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ef40cf1453b426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imension factors" sheetId="1" r:id="R60eee31d862b42bf"/>
    <x:sheet xmlns:r="http://schemas.openxmlformats.org/officeDocument/2006/relationships" name="Method" sheetId="2" r:id="R8d95cdac554d481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%"/>
    <x:numFmt numFmtId="201" formatCode="0.00"/>
  </x:numFmts>
  <x:fonts count="7">
    <x:font>
      <x:sz val="11"/>
      <x:name val="Carlito"/>
    </x:font>
    <x:font>
      <x:b/>
      <x:sz val="15"/>
      <x:color rgb="FF17365D"/>
      <x:name val="Arial"/>
    </x:font>
    <x:font>
      <x:i/>
      <x:sz val="10"/>
      <x:color rgb="FF595959"/>
      <x:name val="Arial"/>
    </x:font>
    <x:font>
      <x:b/>
      <x:sz val="10"/>
      <x:color rgb="FFFFFFFF"/>
      <x:name val="Arial"/>
    </x:font>
    <x:font>
      <x:sz val="10"/>
      <x:name val="Arial"/>
    </x:font>
    <x:font>
      <x:i/>
      <x:sz val="10"/>
      <x:color rgb="FF7F6000"/>
      <x:name val="Arial"/>
    </x:font>
    <x:font>
      <x:i/>
      <x:sz val="9"/>
      <x:color rgb="FF595959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FF2CC"/>
      </x:patternFill>
    </x:fill>
  </x:fills>
  <x:borders count="1">
    <x:border/>
  </x:borders>
  <x:cellStyleXfs count="1">
    <x:xf numFmtId="0" fontId="0" fillId="0" borderId="0"/>
  </x:cellStyleXfs>
  <x:cellXfs count="25">
    <x:xf numFmtId="0" fontId="0" fillId="0" borderId="0" xfId="0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200" fontId="4" fillId="0" borderId="0" xfId="0" applyNumberFormat="1" applyFont="1" applyFill="1" applyBorder="1"/>
    <x:xf numFmtId="201" fontId="4" fillId="0" borderId="0" xfId="0" applyNumberFormat="1" applyFont="1" applyFill="1" applyBorder="1"/>
    <x:xf numFmtId="0" fontId="4" fillId="3" borderId="0" xfId="0" applyNumberFormat="1" applyFont="1" applyFill="1" applyBorder="1"/>
    <x:xf numFmtId="200" fontId="4" fillId="3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center"/>
    </x:xf>
    <x:xf numFmtId="200" fontId="4" fillId="3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 wrapText="1"/>
    </x:xf>
    <x:xf numFmtId="0" fontId="5" fillId="3" borderId="0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f3b81cbdb304527" /><Relationship Type="http://schemas.openxmlformats.org/officeDocument/2006/relationships/theme" Target="/xl/theme/theme1.xml" Id="Rfcca503787a147fe" /><Relationship Type="http://schemas.openxmlformats.org/officeDocument/2006/relationships/sharedStrings" Target="/xl/sharedStrings.xml" Id="R3ddd6fecee36436d" /><Relationship Type="http://schemas.openxmlformats.org/officeDocument/2006/relationships/worksheet" Target="/xl/worksheets/sheet1.xml" Id="R60eee31d862b42bf" /><Relationship Type="http://schemas.openxmlformats.org/officeDocument/2006/relationships/worksheet" Target="/xl/worksheets/sheet2.xml" Id="R8d95cdac554d4818" /></Relationships>
</file>

<file path=xl/tables/table1.xml><?xml version="1.0" encoding="utf-8"?>
<x:table xmlns:x="http://schemas.openxmlformats.org/spreadsheetml/2006/main" id="1" name="DimensionRobustnessFactors" displayName="DimensionRobustnessFactors" ref="A5:X297" headerRowCount="1" totalsRowCount="0" totalsRowShown="0">
  <x:tableColumns count="24">
    <x:tableColumn id="1" name="State"/>
    <x:tableColumn id="2" name="County GEOID"/>
    <x:tableColumn id="3" name="County"/>
    <x:tableColumn id="4" name="Cooling-climate robustness factor"/>
    <x:tableColumn id="5" name="Water robustness factor"/>
    <x:tableColumn id="6" name="Climate-risk robustness factor"/>
    <x:tableColumn id="7" name="Heat risk percentile"/>
    <x:tableColumn id="8" name="Dry risk percentile"/>
    <x:tableColumn id="9" name="Heavy-rain risk percentile"/>
    <x:tableColumn id="10" name="Historic &gt;90°F days"/>
    <x:tableColumn id="11" name="RCP8.5 mid &gt;90°F days"/>
    <x:tableColumn id="12" name="Heat downside change"/>
    <x:tableColumn id="13" name="Historic consecutive dry days"/>
    <x:tableColumn id="14" name="RCP8.5 mid consecutive dry days"/>
    <x:tableColumn id="15" name="Dry downside change"/>
    <x:tableColumn id="16" name="Historic ≥2-inch precipitation days"/>
    <x:tableColumn id="17" name="RCP8.5 mid ≥2-inch precipitation days"/>
    <x:tableColumn id="18" name="Heavy-rain downside change"/>
    <x:tableColumn id="19" name="Cooling maximum penalty λ"/>
    <x:tableColumn id="20" name="Water maximum penalty λ"/>
    <x:tableColumn id="21" name="Climate maximum penalty λ"/>
    <x:tableColumn id="22" name="Cooling penalty rate"/>
    <x:tableColumn id="23" name="Water penalty rate"/>
    <x:tableColumn id="24" name="Climate penalty ra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fc3460a72104e1e" /></Relationships>
</file>

<file path=xl/worksheets/sheet1.xml><?xml version="1.0" encoding="utf-8"?>
<x:worksheet xmlns:x="http://schemas.openxmlformats.org/spreadsheetml/2006/main">
  <x:sheetPr>
    <x:tabColor rgb="FF17365D"/>
  </x:sheetPr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9" hidden="0" customWidth="1"/>
    <x:col min="2" max="2" width="13" hidden="0" customWidth="1"/>
    <x:col min="3" max="3" width="24" hidden="0" customWidth="1"/>
    <x:col min="4" max="4" width="18" hidden="0" customWidth="1"/>
    <x:col min="5" max="5" width="18" hidden="0" customWidth="1"/>
    <x:col min="6" max="6" width="18" hidden="0" customWidth="1"/>
    <x:col min="7" max="7" width="15" hidden="0" customWidth="1"/>
    <x:col min="8" max="8" width="15" hidden="0" customWidth="1"/>
    <x:col min="9" max="9" width="15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</x:cols>
  <x:sheetData>
    <x:row r="1" ht="8" customHeight="1"/>
    <x:row r="2" ht="24" customHeight="1">
      <x:c r="A2" s="3" t="str">
        <x:v>Virginia and Georgia dimension-specific robustness factors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  <x:c r="S2" s="3"/>
      <x:c r="T2" s="3"/>
      <x:c r="U2" s="3"/>
      <x:c r="V2" s="3"/>
      <x:c r="W2" s="3"/>
      <x:c r="X2" s="3"/>
    </x:row>
    <x:row r="3" ht="20" customHeight="1">
      <x:c r="A3" s="4" t="str">
        <x:v>Precomputed independently of Camille's dimension weights, indicator normalization, and safety-margin calculations</x:v>
      </x:c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  <x:c r="P3" s="4"/>
      <x:c r="Q3" s="4"/>
      <x:c r="R3" s="4"/>
      <x:c r="S3" s="4"/>
      <x:c r="T3" s="4"/>
      <x:c r="U3" s="4"/>
      <x:c r="V3" s="4"/>
      <x:c r="W3" s="4"/>
      <x:c r="X3" s="4"/>
    </x:row>
    <x:row r="5" ht="52" customHeight="1">
      <x:c r="A5" s="9" t="str">
        <x:v>State</x:v>
      </x:c>
      <x:c r="B5" s="9" t="str">
        <x:v>County GEOID</x:v>
      </x:c>
      <x:c r="C5" s="9" t="str">
        <x:v>County</x:v>
      </x:c>
      <x:c r="D5" s="9" t="str">
        <x:v>Cooling-climate robustness factor</x:v>
      </x:c>
      <x:c r="E5" s="9" t="str">
        <x:v>Water robustness factor</x:v>
      </x:c>
      <x:c r="F5" s="9" t="str">
        <x:v>Climate-risk robustness factor</x:v>
      </x:c>
      <x:c r="G5" s="9" t="str">
        <x:v>Heat risk percentile</x:v>
      </x:c>
      <x:c r="H5" s="9" t="str">
        <x:v>Dry risk percentile</x:v>
      </x:c>
      <x:c r="I5" s="9" t="str">
        <x:v>Heavy-rain risk percentile</x:v>
      </x:c>
      <x:c r="J5" s="9" t="str">
        <x:v>Historic &gt;90°F days</x:v>
      </x:c>
      <x:c r="K5" s="9" t="str">
        <x:v>RCP8.5 mid &gt;90°F days</x:v>
      </x:c>
      <x:c r="L5" s="9" t="str">
        <x:v>Heat downside change</x:v>
      </x:c>
      <x:c r="M5" s="9" t="str">
        <x:v>Historic consecutive dry days</x:v>
      </x:c>
      <x:c r="N5" s="9" t="str">
        <x:v>RCP8.5 mid consecutive dry days</x:v>
      </x:c>
      <x:c r="O5" s="9" t="str">
        <x:v>Dry downside change</x:v>
      </x:c>
      <x:c r="P5" s="9" t="str">
        <x:v>Historic ≥2-inch precipitation days</x:v>
      </x:c>
      <x:c r="Q5" s="9" t="str">
        <x:v>RCP8.5 mid ≥2-inch precipitation days</x:v>
      </x:c>
      <x:c r="R5" s="9" t="str">
        <x:v>Heavy-rain downside change</x:v>
      </x:c>
      <x:c r="S5" s="9" t="str">
        <x:v>Cooling maximum penalty λ</x:v>
      </x:c>
      <x:c r="T5" s="9" t="str">
        <x:v>Water maximum penalty λ</x:v>
      </x:c>
      <x:c r="U5" s="9" t="str">
        <x:v>Climate maximum penalty λ</x:v>
      </x:c>
      <x:c r="V5" s="9" t="str">
        <x:v>Cooling penalty rate</x:v>
      </x:c>
      <x:c r="W5" s="9" t="str">
        <x:v>Water penalty rate</x:v>
      </x:c>
      <x:c r="X5" s="9" t="str">
        <x:v>Climate penalty rate</x:v>
      </x:c>
    </x:row>
    <x:row r="6" ht="18" customHeight="1">
      <x:c r="A6" s="10" t="str">
        <x:v>GA</x:v>
      </x:c>
      <x:c r="B6" s="10" t="str">
        <x:v>13001</x:v>
      </x:c>
      <x:c r="C6" s="10" t="str">
        <x:v>Appling County</x:v>
      </x:c>
      <x:c r="D6" s="11" t="n">
        <x:f>1-'Method'!$B$7*G6</x:f>
        <x:v>0.8185567010309278</x:v>
      </x:c>
      <x:c r="E6" s="11" t="n">
        <x:f>1-'Method'!$B$8*H6</x:f>
        <x:v>1</x:v>
      </x:c>
      <x:c r="F6" s="11" t="n">
        <x:f>1-'Method'!$B$9*I6</x:f>
        <x:v>0.9470790378006873</x:v>
      </x:c>
      <x:c r="G6" s="11" t="n">
        <x:v>0.9072164948453608</x:v>
      </x:c>
      <x:c r="H6" s="11" t="n">
        <x:v>0</x:v>
      </x:c>
      <x:c r="I6" s="11" t="n">
        <x:v>0.2646048109965636</x:v>
      </x:c>
      <x:c r="J6" s="12" t="n">
        <x:v>73.06198755900066</x:v>
      </x:c>
      <x:c r="K6" s="12" t="n">
        <x:v>135.27695337931314</x:v>
      </x:c>
      <x:c r="L6" s="12" t="n">
        <x:v>62.214965820312486</x:v>
      </x:c>
      <x:c r="M6" s="12" t="n">
        <x:v>28.470523071289062</x:v>
      </x:c>
      <x:c r="N6" s="12" t="n">
        <x:v>27.778220558166502</x:v>
      </x:c>
      <x:c r="O6" s="12" t="n">
        <x:v>0</x:v>
      </x:c>
      <x:c r="P6" s="12" t="n">
        <x:v>1.5463198701540628</x:v>
      </x:c>
      <x:c r="Q6" s="12" t="n">
        <x:v>2.119139226277669</x:v>
      </x:c>
      <x:c r="R6" s="12" t="n">
        <x:v>0.5728193561236063</x:v>
      </x:c>
      <x:c r="S6" s="11" t="n">
        <x:f>'Method'!$B$7</x:f>
        <x:v>0.2</x:v>
      </x:c>
      <x:c r="T6" s="11" t="n">
        <x:f>'Method'!$B$8</x:f>
        <x:v>0.2</x:v>
      </x:c>
      <x:c r="U6" s="11" t="n">
        <x:f>'Method'!$B$9</x:f>
        <x:v>0.2</x:v>
      </x:c>
      <x:c r="V6" s="11" t="n">
        <x:f>1-D6</x:f>
        <x:v>0.1814432989690722</x:v>
      </x:c>
      <x:c r="W6" s="11" t="n">
        <x:f>1-E6</x:f>
        <x:v>0</x:v>
      </x:c>
      <x:c r="X6" s="11" t="n">
        <x:f>1-F6</x:f>
        <x:v>0.05292096219931275</x:v>
      </x:c>
    </x:row>
    <x:row r="7" ht="18" customHeight="1">
      <x:c r="A7" s="10" t="str">
        <x:v>GA</x:v>
      </x:c>
      <x:c r="B7" s="10" t="str">
        <x:v>13003</x:v>
      </x:c>
      <x:c r="C7" s="10" t="str">
        <x:v>Atkinson County</x:v>
      </x:c>
      <x:c r="D7" s="11" t="n">
        <x:f>1-'Method'!$B$7*G7</x:f>
        <x:v>0.8618556701030928</x:v>
      </x:c>
      <x:c r="E7" s="11" t="n">
        <x:f>1-'Method'!$B$8*H7</x:f>
        <x:v>1</x:v>
      </x:c>
      <x:c r="F7" s="11" t="n">
        <x:f>1-'Method'!$B$9*I7</x:f>
        <x:v>0.9271477663230241</x:v>
      </x:c>
      <x:c r="G7" s="11" t="n">
        <x:v>0.6907216494845361</x:v>
      </x:c>
      <x:c r="H7" s="11" t="n">
        <x:v>0</x:v>
      </x:c>
      <x:c r="I7" s="11" t="n">
        <x:v>0.3642611683848797</x:v>
      </x:c>
      <x:c r="J7" s="12" t="n">
        <x:v>77.72325922648112</x:v>
      </x:c>
      <x:c r="K7" s="12" t="n">
        <x:v>136.86759236653646</x:v>
      </x:c>
      <x:c r="L7" s="12" t="n">
        <x:v>59.14433314005534</x:v>
      </x:c>
      <x:c r="M7" s="12" t="n">
        <x:v>28.191326332092284</x:v>
      </x:c>
      <x:c r="N7" s="12" t="n">
        <x:v>27.253495279947916</x:v>
      </x:c>
      <x:c r="O7" s="12" t="n">
        <x:v>0</x:v>
      </x:c>
      <x:c r="P7" s="12" t="n">
        <x:v>1.668237046400706</x:v>
      </x:c>
      <x:c r="Q7" s="12" t="n">
        <x:v>2.3000063061714173</x:v>
      </x:c>
      <x:c r="R7" s="12" t="n">
        <x:v>0.6317692597707114</x:v>
      </x:c>
      <x:c r="S7" s="11" t="n">
        <x:f>'Method'!$B$7</x:f>
        <x:v>0.2</x:v>
      </x:c>
      <x:c r="T7" s="11" t="n">
        <x:f>'Method'!$B$8</x:f>
        <x:v>0.2</x:v>
      </x:c>
      <x:c r="U7" s="11" t="n">
        <x:f>'Method'!$B$9</x:f>
        <x:v>0.2</x:v>
      </x:c>
      <x:c r="V7" s="11" t="n">
        <x:f>1-D7</x:f>
        <x:v>0.13814432989690717</x:v>
      </x:c>
      <x:c r="W7" s="11" t="n">
        <x:f>1-E7</x:f>
        <x:v>0</x:v>
      </x:c>
      <x:c r="X7" s="11" t="n">
        <x:f>1-F7</x:f>
        <x:v>0.07285223367697591</x:v>
      </x:c>
    </x:row>
    <x:row r="8" ht="18" customHeight="1">
      <x:c r="A8" s="10" t="str">
        <x:v>GA</x:v>
      </x:c>
      <x:c r="B8" s="10" t="str">
        <x:v>13005</x:v>
      </x:c>
      <x:c r="C8" s="10" t="str">
        <x:v>Bacon County</x:v>
      </x:c>
      <x:c r="D8" s="11" t="n">
        <x:f>1-'Method'!$B$7*G8</x:f>
        <x:v>0.8013745704467354</x:v>
      </x:c>
      <x:c r="E8" s="11" t="n">
        <x:f>1-'Method'!$B$8*H8</x:f>
        <x:v>1</x:v>
      </x:c>
      <x:c r="F8" s="11" t="n">
        <x:f>1-'Method'!$B$9*I8</x:f>
        <x:v>0.9890034364261169</x:v>
      </x:c>
      <x:c r="G8" s="11" t="n">
        <x:v>0.993127147766323</x:v>
      </x:c>
      <x:c r="H8" s="11" t="n">
        <x:v>0</x:v>
      </x:c>
      <x:c r="I8" s="11" t="n">
        <x:v>0.054982817869415807</x:v>
      </x:c>
      <x:c r="J8" s="12" t="n">
        <x:v>72.69285265604655</x:v>
      </x:c>
      <x:c r="K8" s="12" t="n">
        <x:v>137.10081939697267</x:v>
      </x:c>
      <x:c r="L8" s="12" t="n">
        <x:v>64.40796674092611</x:v>
      </x:c>
      <x:c r="M8" s="12" t="n">
        <x:v>29.486980946858726</x:v>
      </x:c>
      <x:c r="N8" s="12" t="n">
        <x:v>28.345988909403484</x:v>
      </x:c>
      <x:c r="O8" s="12" t="n">
        <x:v>0</x:v>
      </x:c>
      <x:c r="P8" s="12" t="n">
        <x:v>1.9500299970308939</x:v>
      </x:c>
      <x:c r="Q8" s="12" t="n">
        <x:v>2.3814727544784544</x:v>
      </x:c>
      <x:c r="R8" s="12" t="n">
        <x:v>0.43144275744756055</x:v>
      </x:c>
      <x:c r="S8" s="11" t="n">
        <x:f>'Method'!$B$7</x:f>
        <x:v>0.2</x:v>
      </x:c>
      <x:c r="T8" s="11" t="n">
        <x:f>'Method'!$B$8</x:f>
        <x:v>0.2</x:v>
      </x:c>
      <x:c r="U8" s="11" t="n">
        <x:f>'Method'!$B$9</x:f>
        <x:v>0.2</x:v>
      </x:c>
      <x:c r="V8" s="11" t="n">
        <x:f>1-D8</x:f>
        <x:v>0.19862542955326457</x:v>
      </x:c>
      <x:c r="W8" s="11" t="n">
        <x:f>1-E8</x:f>
        <x:v>0</x:v>
      </x:c>
      <x:c r="X8" s="11" t="n">
        <x:f>1-F8</x:f>
        <x:v>0.010996563573883122</x:v>
      </x:c>
    </x:row>
    <x:row r="9" ht="18" customHeight="1">
      <x:c r="A9" s="10" t="str">
        <x:v>GA</x:v>
      </x:c>
      <x:c r="B9" s="10" t="str">
        <x:v>13007</x:v>
      </x:c>
      <x:c r="C9" s="10" t="str">
        <x:v>Baker County</x:v>
      </x:c>
      <x:c r="D9" s="11" t="n">
        <x:f>1-'Method'!$B$7*G9</x:f>
        <x:v>0.8302405498281786</x:v>
      </x:c>
      <x:c r="E9" s="11" t="n">
        <x:f>1-'Method'!$B$8*H9</x:f>
        <x:v>1</x:v>
      </x:c>
      <x:c r="F9" s="11" t="n">
        <x:f>1-'Method'!$B$9*I9</x:f>
        <x:v>0.8549828178694158</x:v>
      </x:c>
      <x:c r="G9" s="11" t="n">
        <x:v>0.8487972508591065</x:v>
      </x:c>
      <x:c r="H9" s="11" t="n">
        <x:v>0</x:v>
      </x:c>
      <x:c r="I9" s="11" t="n">
        <x:v>0.7250859106529209</x:v>
      </x:c>
      <x:c r="J9" s="12" t="n">
        <x:v>77.34104690551757</x:v>
      </x:c>
      <x:c r="K9" s="12" t="n">
        <x:v>138.51538569132487</x:v>
      </x:c>
      <x:c r="L9" s="12" t="n">
        <x:v>61.174338785807294</x:v>
      </x:c>
      <x:c r="M9" s="12" t="n">
        <x:v>27.280480575561523</x:v>
      </x:c>
      <x:c r="N9" s="12" t="n">
        <x:v>26.921084785461424</x:v>
      </x:c>
      <x:c r="O9" s="12" t="n">
        <x:v>0</x:v>
      </x:c>
      <x:c r="P9" s="12" t="n">
        <x:v>2.257281259695689</x:v>
      </x:c>
      <x:c r="Q9" s="12" t="n">
        <x:v>3.0224610726038614</x:v>
      </x:c>
      <x:c r="R9" s="12" t="n">
        <x:v>0.7651798129081726</x:v>
      </x:c>
      <x:c r="S9" s="11" t="n">
        <x:f>'Method'!$B$7</x:f>
        <x:v>0.2</x:v>
      </x:c>
      <x:c r="T9" s="11" t="n">
        <x:f>'Method'!$B$8</x:f>
        <x:v>0.2</x:v>
      </x:c>
      <x:c r="U9" s="11" t="n">
        <x:f>'Method'!$B$9</x:f>
        <x:v>0.2</x:v>
      </x:c>
      <x:c r="V9" s="11" t="n">
        <x:f>1-D9</x:f>
        <x:v>0.16975945017182137</x:v>
      </x:c>
      <x:c r="W9" s="11" t="n">
        <x:f>1-E9</x:f>
        <x:v>0</x:v>
      </x:c>
      <x:c r="X9" s="11" t="n">
        <x:f>1-F9</x:f>
        <x:v>0.14501718213058423</x:v>
      </x:c>
    </x:row>
    <x:row r="10" ht="18" customHeight="1">
      <x:c r="A10" s="10" t="str">
        <x:v>GA</x:v>
      </x:c>
      <x:c r="B10" s="10" t="str">
        <x:v>13009</x:v>
      </x:c>
      <x:c r="C10" s="10" t="str">
        <x:v>Baldwin County</x:v>
      </x:c>
      <x:c r="D10" s="11" t="n">
        <x:f>1-'Method'!$B$7*G10</x:f>
        <x:v>0.8577319587628865</x:v>
      </x:c>
      <x:c r="E10" s="11" t="n">
        <x:f>1-'Method'!$B$8*H10</x:f>
        <x:v>1</x:v>
      </x:c>
      <x:c r="F10" s="11" t="n">
        <x:f>1-'Method'!$B$9*I10</x:f>
        <x:v>0.9189003436426116</x:v>
      </x:c>
      <x:c r="G10" s="11" t="n">
        <x:v>0.711340206185567</x:v>
      </x:c>
      <x:c r="H10" s="11" t="n">
        <x:v>0</x:v>
      </x:c>
      <x:c r="I10" s="11" t="n">
        <x:v>0.4054982817869416</x:v>
      </x:c>
      <x:c r="J10" s="12" t="n">
        <x:v>60.71126314798991</x:v>
      </x:c>
      <x:c r="K10" s="12" t="n">
        <x:v>120.06065063476562</x:v>
      </x:c>
      <x:c r="L10" s="12" t="n">
        <x:v>59.34938748677571</x:v>
      </x:c>
      <x:c r="M10" s="12" t="n">
        <x:v>28.675280380249024</x:v>
      </x:c>
      <x:c r="N10" s="12" t="n">
        <x:v>27.464119084676106</x:v>
      </x:c>
      <x:c r="O10" s="12" t="n">
        <x:v>0</x:v>
      </x:c>
      <x:c r="P10" s="12" t="n">
        <x:v>1.8100515484809876</x:v>
      </x:c>
      <x:c r="Q10" s="12" t="n">
        <x:v>2.4527069767316183</x:v>
      </x:c>
      <x:c r="R10" s="12" t="n">
        <x:v>0.6426554282506307</x:v>
      </x:c>
      <x:c r="S10" s="11" t="n">
        <x:f>'Method'!$B$7</x:f>
        <x:v>0.2</x:v>
      </x:c>
      <x:c r="T10" s="11" t="n">
        <x:f>'Method'!$B$8</x:f>
        <x:v>0.2</x:v>
      </x:c>
      <x:c r="U10" s="11" t="n">
        <x:f>'Method'!$B$9</x:f>
        <x:v>0.2</x:v>
      </x:c>
      <x:c r="V10" s="11" t="n">
        <x:f>1-D10</x:f>
        <x:v>0.14226804123711345</x:v>
      </x:c>
      <x:c r="W10" s="11" t="n">
        <x:f>1-E10</x:f>
        <x:v>0</x:v>
      </x:c>
      <x:c r="X10" s="11" t="n">
        <x:f>1-F10</x:f>
        <x:v>0.08109965635738836</x:v>
      </x:c>
    </x:row>
    <x:row r="11" ht="18" customHeight="1">
      <x:c r="A11" s="10" t="str">
        <x:v>GA</x:v>
      </x:c>
      <x:c r="B11" s="10" t="str">
        <x:v>13011</x:v>
      </x:c>
      <x:c r="C11" s="10" t="str">
        <x:v>Banks County</x:v>
      </x:c>
      <x:c r="D11" s="11" t="n">
        <x:f>1-'Method'!$B$7*G11</x:f>
        <x:v>0.9051546391752577</x:v>
      </x:c>
      <x:c r="E11" s="11" t="n">
        <x:f>1-'Method'!$B$8*H11</x:f>
        <x:v>0.8384879725085911</x:v>
      </x:c>
      <x:c r="F11" s="11" t="n">
        <x:f>1-'Method'!$B$9*I11</x:f>
        <x:v>0.8130584192439863</x:v>
      </x:c>
      <x:c r="G11" s="11" t="n">
        <x:v>0.4742268041237113</x:v>
      </x:c>
      <x:c r="H11" s="11" t="n">
        <x:v>0.8075601374570447</x:v>
      </x:c>
      <x:c r="I11" s="11" t="n">
        <x:v>0.9347079037800687</x:v>
      </x:c>
      <x:c r="J11" s="12" t="n">
        <x:v>29.498154894510904</x:v>
      </x:c>
      <x:c r="K11" s="12" t="n">
        <x:v>84.36523513793945</x:v>
      </x:c>
      <x:c r="L11" s="12" t="n">
        <x:v>54.867080243428546</x:v>
      </x:c>
      <x:c r="M11" s="12" t="n">
        <x:v>24.886019134521483</x:v>
      </x:c>
      <x:c r="N11" s="12" t="n">
        <x:v>25.068916829427085</x:v>
      </x:c>
      <x:c r="O11" s="12" t="n">
        <x:v>0.18289769490560204</x:v>
      </x:c>
      <x:c r="P11" s="12" t="n">
        <x:v>2.560631740093231</x:v>
      </x:c>
      <x:c r="Q11" s="12" t="n">
        <x:v>3.4963168064753214</x:v>
      </x:c>
      <x:c r="R11" s="12" t="n">
        <x:v>0.9356850663820904</x:v>
      </x:c>
      <x:c r="S11" s="11" t="n">
        <x:f>'Method'!$B$7</x:f>
        <x:v>0.2</x:v>
      </x:c>
      <x:c r="T11" s="11" t="n">
        <x:f>'Method'!$B$8</x:f>
        <x:v>0.2</x:v>
      </x:c>
      <x:c r="U11" s="11" t="n">
        <x:f>'Method'!$B$9</x:f>
        <x:v>0.2</x:v>
      </x:c>
      <x:c r="V11" s="11" t="n">
        <x:f>1-D11</x:f>
        <x:v>0.09484536082474226</x:v>
      </x:c>
      <x:c r="W11" s="11" t="n">
        <x:f>1-E11</x:f>
        <x:v>0.16151202749140892</x:v>
      </x:c>
      <x:c r="X11" s="11" t="n">
        <x:f>1-F11</x:f>
        <x:v>0.18694158075601375</x:v>
      </x:c>
    </x:row>
    <x:row r="12" ht="18" customHeight="1">
      <x:c r="A12" s="10" t="str">
        <x:v>GA</x:v>
      </x:c>
      <x:c r="B12" s="10" t="str">
        <x:v>13013</x:v>
      </x:c>
      <x:c r="C12" s="10" t="str">
        <x:v>Barrow County</x:v>
      </x:c>
      <x:c r="D12" s="11" t="n">
        <x:f>1-'Method'!$B$7*G12</x:f>
        <x:v>0.902405498281787</x:v>
      </x:c>
      <x:c r="E12" s="11" t="n">
        <x:f>1-'Method'!$B$8*H12</x:f>
        <x:v>1</x:v>
      </x:c>
      <x:c r="F12" s="11" t="n">
        <x:f>1-'Method'!$B$9*I12</x:f>
        <x:v>0.8213058419243986</x:v>
      </x:c>
      <x:c r="G12" s="11" t="n">
        <x:v>0.4879725085910653</x:v>
      </x:c>
      <x:c r="H12" s="11" t="n">
        <x:v>0</x:v>
      </x:c>
      <x:c r="I12" s="11" t="n">
        <x:v>0.8934707903780069</x:v>
      </x:c>
      <x:c r="J12" s="12" t="n">
        <x:v>37.977589225769044</x:v>
      </x:c>
      <x:c r="K12" s="12" t="n">
        <x:v>93.01049779256185</x:v>
      </x:c>
      <x:c r="L12" s="12" t="n">
        <x:v>55.032908566792806</x:v>
      </x:c>
      <x:c r="M12" s="12" t="n">
        <x:v>25.396831385294597</x:v>
      </x:c>
      <x:c r="N12" s="12" t="n">
        <x:v>25.11993039449056</x:v>
      </x:c>
      <x:c r="O12" s="12" t="n">
        <x:v>0</x:v>
      </x:c>
      <x:c r="P12" s="12" t="n">
        <x:v>2.246036946773529</x:v>
      </x:c>
      <x:c r="Q12" s="12" t="n">
        <x:v>3.134891692797343</x:v>
      </x:c>
      <x:c r="R12" s="12" t="n">
        <x:v>0.8888547460238141</x:v>
      </x:c>
      <x:c r="S12" s="11" t="n">
        <x:f>'Method'!$B$7</x:f>
        <x:v>0.2</x:v>
      </x:c>
      <x:c r="T12" s="11" t="n">
        <x:f>'Method'!$B$8</x:f>
        <x:v>0.2</x:v>
      </x:c>
      <x:c r="U12" s="11" t="n">
        <x:f>'Method'!$B$9</x:f>
        <x:v>0.2</x:v>
      </x:c>
      <x:c r="V12" s="11" t="n">
        <x:f>1-D12</x:f>
        <x:v>0.09759450171821304</x:v>
      </x:c>
      <x:c r="W12" s="11" t="n">
        <x:f>1-E12</x:f>
        <x:v>0</x:v>
      </x:c>
      <x:c r="X12" s="11" t="n">
        <x:f>1-F12</x:f>
        <x:v>0.1786941580756014</x:v>
      </x:c>
    </x:row>
    <x:row r="13" ht="18" customHeight="1">
      <x:c r="A13" s="10" t="str">
        <x:v>GA</x:v>
      </x:c>
      <x:c r="B13" s="10" t="str">
        <x:v>13015</x:v>
      </x:c>
      <x:c r="C13" s="10" t="str">
        <x:v>Bartow County</x:v>
      </x:c>
      <x:c r="D13" s="11" t="n">
        <x:f>1-'Method'!$B$7*G13</x:f>
        <x:v>0.8646048109965636</x:v>
      </x:c>
      <x:c r="E13" s="11" t="n">
        <x:f>1-'Method'!$B$8*H13</x:f>
        <x:v>0.8329896907216494</x:v>
      </x:c>
      <x:c r="F13" s="11" t="n">
        <x:f>1-'Method'!$B$9*I13</x:f>
        <x:v>0.8199312714776632</x:v>
      </x:c>
      <x:c r="G13" s="11" t="n">
        <x:v>0.6769759450171822</x:v>
      </x:c>
      <x:c r="H13" s="11" t="n">
        <x:v>0.8350515463917526</x:v>
      </x:c>
      <x:c r="I13" s="11" t="n">
        <x:v>0.9003436426116839</x:v>
      </x:c>
      <x:c r="J13" s="12" t="n">
        <x:v>33.63199570973714</x:v>
      </x:c>
      <x:c r="K13" s="12" t="n">
        <x:v>92.57629776000977</x:v>
      </x:c>
      <x:c r="L13" s="12" t="n">
        <x:v>58.944302050272626</x:v>
      </x:c>
      <x:c r="M13" s="12" t="n">
        <x:v>25.0336763381958</x:v>
      </x:c>
      <x:c r="N13" s="12" t="n">
        <x:v>25.239181900024413</x:v>
      </x:c>
      <x:c r="O13" s="12" t="n">
        <x:v>0.20550556182861257</x:v>
      </x:c>
      <x:c r="P13" s="12" t="n">
        <x:v>2.3115080992380777</x:v>
      </x:c>
      <x:c r="Q13" s="12" t="n">
        <x:v>3.2145020325978595</x:v>
      </x:c>
      <x:c r="R13" s="12" t="n">
        <x:v>0.9029939333597818</x:v>
      </x:c>
      <x:c r="S13" s="11" t="n">
        <x:f>'Method'!$B$7</x:f>
        <x:v>0.2</x:v>
      </x:c>
      <x:c r="T13" s="11" t="n">
        <x:f>'Method'!$B$8</x:f>
        <x:v>0.2</x:v>
      </x:c>
      <x:c r="U13" s="11" t="n">
        <x:f>'Method'!$B$9</x:f>
        <x:v>0.2</x:v>
      </x:c>
      <x:c r="V13" s="11" t="n">
        <x:f>1-D13</x:f>
        <x:v>0.1353951890034364</x:v>
      </x:c>
      <x:c r="W13" s="11" t="n">
        <x:f>1-E13</x:f>
        <x:v>0.1670103092783506</x:v>
      </x:c>
      <x:c r="X13" s="11" t="n">
        <x:f>1-F13</x:f>
        <x:v>0.1800687285223368</x:v>
      </x:c>
    </x:row>
    <x:row r="14" ht="18" customHeight="1">
      <x:c r="A14" s="10" t="str">
        <x:v>GA</x:v>
      </x:c>
      <x:c r="B14" s="10" t="str">
        <x:v>13017</x:v>
      </x:c>
      <x:c r="C14" s="10" t="str">
        <x:v>Ben Hill County</x:v>
      </x:c>
      <x:c r="D14" s="11" t="n">
        <x:f>1-'Method'!$B$7*G14</x:f>
        <x:v>0.8969072164948454</x:v>
      </x:c>
      <x:c r="E14" s="11" t="n">
        <x:f>1-'Method'!$B$8*H14</x:f>
        <x:v>1</x:v>
      </x:c>
      <x:c r="F14" s="11" t="n">
        <x:f>1-'Method'!$B$9*I14</x:f>
        <x:v>0.845360824742268</x:v>
      </x:c>
      <x:c r="G14" s="11" t="n">
        <x:v>0.5154639175257731</x:v>
      </x:c>
      <x:c r="H14" s="11" t="n">
        <x:v>0</x:v>
      </x:c>
      <x:c r="I14" s="11" t="n">
        <x:v>0.7731958762886598</x:v>
      </x:c>
      <x:c r="J14" s="12" t="n">
        <x:v>76.84320907592773</x:v>
      </x:c>
      <x:c r="K14" s="12" t="n">
        <x:v>132.18360112508137</x:v>
      </x:c>
      <x:c r="L14" s="12" t="n">
        <x:v>55.340392049153635</x:v>
      </x:c>
      <x:c r="M14" s="12" t="n">
        <x:v>28.984328842163087</x:v>
      </x:c>
      <x:c r="N14" s="12" t="n">
        <x:v>28.628740628560383</x:v>
      </x:c>
      <x:c r="O14" s="12" t="n">
        <x:v>0</x:v>
      </x:c>
      <x:c r="P14" s="12" t="n">
        <x:v>2.096214524904887</x:v>
      </x:c>
      <x:c r="Q14" s="12" t="n">
        <x:v>2.8834661841392517</x:v>
      </x:c>
      <x:c r="R14" s="12" t="n">
        <x:v>0.7872516592343648</x:v>
      </x:c>
      <x:c r="S14" s="11" t="n">
        <x:f>'Method'!$B$7</x:f>
        <x:v>0.2</x:v>
      </x:c>
      <x:c r="T14" s="11" t="n">
        <x:f>'Method'!$B$8</x:f>
        <x:v>0.2</x:v>
      </x:c>
      <x:c r="U14" s="11" t="n">
        <x:f>'Method'!$B$9</x:f>
        <x:v>0.2</x:v>
      </x:c>
      <x:c r="V14" s="11" t="n">
        <x:f>1-D14</x:f>
        <x:v>0.1030927835051546</x:v>
      </x:c>
      <x:c r="W14" s="11" t="n">
        <x:f>1-E14</x:f>
        <x:v>0</x:v>
      </x:c>
      <x:c r="X14" s="11" t="n">
        <x:f>1-F14</x:f>
        <x:v>0.15463917525773196</x:v>
      </x:c>
    </x:row>
    <x:row r="15" ht="18" customHeight="1">
      <x:c r="A15" s="10" t="str">
        <x:v>GA</x:v>
      </x:c>
      <x:c r="B15" s="10" t="str">
        <x:v>13019</x:v>
      </x:c>
      <x:c r="C15" s="10" t="str">
        <x:v>Berrien County</x:v>
      </x:c>
      <x:c r="D15" s="11" t="n">
        <x:f>1-'Method'!$B$7*G15</x:f>
        <x:v>0.8591065292096219</x:v>
      </x:c>
      <x:c r="E15" s="11" t="n">
        <x:f>1-'Method'!$B$8*H15</x:f>
        <x:v>1</x:v>
      </x:c>
      <x:c r="F15" s="11" t="n">
        <x:f>1-'Method'!$B$9*I15</x:f>
        <x:v>0.8467353951890034</x:v>
      </x:c>
      <x:c r="G15" s="11" t="n">
        <x:v>0.7044673539518901</x:v>
      </x:c>
      <x:c r="H15" s="11" t="n">
        <x:v>0</x:v>
      </x:c>
      <x:c r="I15" s="11" t="n">
        <x:v>0.7663230240549829</x:v>
      </x:c>
      <x:c r="J15" s="12" t="n">
        <x:v>73.7176394144694</x:v>
      </x:c>
      <x:c r="K15" s="12" t="n">
        <x:v>132.98662134806315</x:v>
      </x:c>
      <x:c r="L15" s="12" t="n">
        <x:v>59.26898193359375</x:v>
      </x:c>
      <x:c r="M15" s="12" t="n">
        <x:v>28.99390392303467</x:v>
      </x:c>
      <x:c r="N15" s="12" t="n">
        <x:v>28.52731196085612</x:v>
      </x:c>
      <x:c r="O15" s="12" t="n">
        <x:v>0</x:v>
      </x:c>
      <x:c r="P15" s="12" t="n">
        <x:v>2.3453472812970477</x:v>
      </x:c>
      <x:c r="Q15" s="12" t="n">
        <x:v>3.1305617968241375</x:v>
      </x:c>
      <x:c r="R15" s="12" t="n">
        <x:v>0.7852145155270898</x:v>
      </x:c>
      <x:c r="S15" s="11" t="n">
        <x:f>'Method'!$B$7</x:f>
        <x:v>0.2</x:v>
      </x:c>
      <x:c r="T15" s="11" t="n">
        <x:f>'Method'!$B$8</x:f>
        <x:v>0.2</x:v>
      </x:c>
      <x:c r="U15" s="11" t="n">
        <x:f>'Method'!$B$9</x:f>
        <x:v>0.2</x:v>
      </x:c>
      <x:c r="V15" s="11" t="n">
        <x:f>1-D15</x:f>
        <x:v>0.14089347079037806</x:v>
      </x:c>
      <x:c r="W15" s="11" t="n">
        <x:f>1-E15</x:f>
        <x:v>0</x:v>
      </x:c>
      <x:c r="X15" s="11" t="n">
        <x:f>1-F15</x:f>
        <x:v>0.15326460481099657</x:v>
      </x:c>
    </x:row>
    <x:row r="16" ht="18" customHeight="1">
      <x:c r="A16" s="10" t="str">
        <x:v>GA</x:v>
      </x:c>
      <x:c r="B16" s="10" t="str">
        <x:v>13021</x:v>
      </x:c>
      <x:c r="C16" s="10" t="str">
        <x:v>Bibb County</x:v>
      </x:c>
      <x:c r="D16" s="11" t="n">
        <x:f>1-'Method'!$B$7*G16</x:f>
        <x:v>0.8178694158075601</x:v>
      </x:c>
      <x:c r="E16" s="11" t="n">
        <x:f>1-'Method'!$B$8*H16</x:f>
        <x:v>1</x:v>
      </x:c>
      <x:c r="F16" s="11" t="n">
        <x:f>1-'Method'!$B$9*I16</x:f>
        <x:v>0.9745704467353952</x:v>
      </x:c>
      <x:c r="G16" s="11" t="n">
        <x:v>0.9106529209621993</x:v>
      </x:c>
      <x:c r="H16" s="11" t="n">
        <x:v>0</x:v>
      </x:c>
      <x:c r="I16" s="11" t="n">
        <x:v>0.12714776632302405</x:v>
      </x:c>
      <x:c r="J16" s="12" t="n">
        <x:v>64.28104489644369</x:v>
      </x:c>
      <x:c r="K16" s="12" t="n">
        <x:v>126.51992975870768</x:v>
      </x:c>
      <x:c r="L16" s="12" t="n">
        <x:v>62.23888486226399</x:v>
      </x:c>
      <x:c r="M16" s="12" t="n">
        <x:v>27.96610730489095</x:v>
      </x:c>
      <x:c r="N16" s="12" t="n">
        <x:v>27.14950663248698</x:v>
      </x:c>
      <x:c r="O16" s="12" t="n">
        <x:v>0</x:v>
      </x:c>
      <x:c r="P16" s="12" t="n">
        <x:v>1.650450579325358</x:v>
      </x:c>
      <x:c r="Q16" s="12" t="n">
        <x:v>2.1445342659950257</x:v>
      </x:c>
      <x:c r="R16" s="12" t="n">
        <x:v>0.4940836866696676</x:v>
      </x:c>
      <x:c r="S16" s="11" t="n">
        <x:f>'Method'!$B$7</x:f>
        <x:v>0.2</x:v>
      </x:c>
      <x:c r="T16" s="11" t="n">
        <x:f>'Method'!$B$8</x:f>
        <x:v>0.2</x:v>
      </x:c>
      <x:c r="U16" s="11" t="n">
        <x:f>'Method'!$B$9</x:f>
        <x:v>0.2</x:v>
      </x:c>
      <x:c r="V16" s="11" t="n">
        <x:f>1-D16</x:f>
        <x:v>0.18213058419243988</x:v>
      </x:c>
      <x:c r="W16" s="11" t="n">
        <x:f>1-E16</x:f>
        <x:v>0</x:v>
      </x:c>
      <x:c r="X16" s="11" t="n">
        <x:f>1-F16</x:f>
        <x:v>0.02542955326460483</x:v>
      </x:c>
    </x:row>
    <x:row r="17" ht="18" customHeight="1">
      <x:c r="A17" s="10" t="str">
        <x:v>GA</x:v>
      </x:c>
      <x:c r="B17" s="10" t="str">
        <x:v>13023</x:v>
      </x:c>
      <x:c r="C17" s="10" t="str">
        <x:v>Bleckley County</x:v>
      </x:c>
      <x:c r="D17" s="11" t="n">
        <x:f>1-'Method'!$B$7*G17</x:f>
        <x:v>0.8776632302405498</x:v>
      </x:c>
      <x:c r="E17" s="11" t="n">
        <x:f>1-'Method'!$B$8*H17</x:f>
        <x:v>1</x:v>
      </x:c>
      <x:c r="F17" s="11" t="n">
        <x:f>1-'Method'!$B$9*I17</x:f>
        <x:v>0.920274914089347</x:v>
      </x:c>
      <x:c r="G17" s="11" t="n">
        <x:v>0.6116838487972509</x:v>
      </x:c>
      <x:c r="H17" s="11" t="n">
        <x:v>0</x:v>
      </x:c>
      <x:c r="I17" s="11" t="n">
        <x:v>0.39862542955326463</x:v>
      </x:c>
      <x:c r="J17" s="12" t="n">
        <x:v>71.67978439331054</x:v>
      </x:c>
      <x:c r="K17" s="12" t="n">
        <x:v>129.29264704386392</x:v>
      </x:c>
      <x:c r="L17" s="12" t="n">
        <x:v>57.61286265055338</x:v>
      </x:c>
      <x:c r="M17" s="12" t="n">
        <x:v>27.79104798634847</x:v>
      </x:c>
      <x:c r="N17" s="12" t="n">
        <x:v>26.645705540974934</x:v>
      </x:c>
      <x:c r="O17" s="12" t="n">
        <x:v>0</x:v>
      </x:c>
      <x:c r="P17" s="12" t="n">
        <x:v>1.4521503428618112</x:v>
      </x:c>
      <x:c r="Q17" s="12" t="n">
        <x:v>2.0945242245992026</x:v>
      </x:c>
      <x:c r="R17" s="12" t="n">
        <x:v>0.6423738817373914</x:v>
      </x:c>
      <x:c r="S17" s="11" t="n">
        <x:f>'Method'!$B$7</x:f>
        <x:v>0.2</x:v>
      </x:c>
      <x:c r="T17" s="11" t="n">
        <x:f>'Method'!$B$8</x:f>
        <x:v>0.2</x:v>
      </x:c>
      <x:c r="U17" s="11" t="n">
        <x:f>'Method'!$B$9</x:f>
        <x:v>0.2</x:v>
      </x:c>
      <x:c r="V17" s="11" t="n">
        <x:f>1-D17</x:f>
        <x:v>0.12233676975945018</x:v>
      </x:c>
      <x:c r="W17" s="11" t="n">
        <x:f>1-E17</x:f>
        <x:v>0</x:v>
      </x:c>
      <x:c r="X17" s="11" t="n">
        <x:f>1-F17</x:f>
        <x:v>0.07972508591065297</x:v>
      </x:c>
    </x:row>
    <x:row r="18" ht="18" customHeight="1">
      <x:c r="A18" s="10" t="str">
        <x:v>GA</x:v>
      </x:c>
      <x:c r="B18" s="10" t="str">
        <x:v>13025</x:v>
      </x:c>
      <x:c r="C18" s="10" t="str">
        <x:v>Brantley County</x:v>
      </x:c>
      <x:c r="D18" s="11" t="n">
        <x:f>1-'Method'!$B$7*G18</x:f>
        <x:v>0.8494845360824742</x:v>
      </x:c>
      <x:c r="E18" s="11" t="n">
        <x:f>1-'Method'!$B$8*H18</x:f>
        <x:v>1</x:v>
      </x:c>
      <x:c r="F18" s="11" t="n">
        <x:f>1-'Method'!$B$9*I18</x:f>
        <x:v>0.9285223367697595</x:v>
      </x:c>
      <x:c r="G18" s="11" t="n">
        <x:v>0.7525773195876289</x:v>
      </x:c>
      <x:c r="H18" s="11" t="n">
        <x:v>0</x:v>
      </x:c>
      <x:c r="I18" s="11" t="n">
        <x:v>0.35738831615120276</x:v>
      </x:c>
      <x:c r="J18" s="12" t="n">
        <x:v>71.54732411702474</x:v>
      </x:c>
      <x:c r="K18" s="12" t="n">
        <x:v>131.47435887654623</x:v>
      </x:c>
      <x:c r="L18" s="12" t="n">
        <x:v>59.92703475952149</x:v>
      </x:c>
      <x:c r="M18" s="12" t="n">
        <x:v>28.563494809468587</x:v>
      </x:c>
      <x:c r="N18" s="12" t="n">
        <x:v>27.691448911031088</x:v>
      </x:c>
      <x:c r="O18" s="12" t="n">
        <x:v>0</x:v>
      </x:c>
      <x:c r="P18" s="12" t="n">
        <x:v>1.9084481000900269</x:v>
      </x:c>
      <x:c r="Q18" s="12" t="n">
        <x:v>2.536953318119049</x:v>
      </x:c>
      <x:c r="R18" s="12" t="n">
        <x:v>0.628505218029022</x:v>
      </x:c>
      <x:c r="S18" s="11" t="n">
        <x:f>'Method'!$B$7</x:f>
        <x:v>0.2</x:v>
      </x:c>
      <x:c r="T18" s="11" t="n">
        <x:f>'Method'!$B$8</x:f>
        <x:v>0.2</x:v>
      </x:c>
      <x:c r="U18" s="11" t="n">
        <x:f>'Method'!$B$9</x:f>
        <x:v>0.2</x:v>
      </x:c>
      <x:c r="V18" s="11" t="n">
        <x:f>1-D18</x:f>
        <x:v>0.1505154639175258</x:v>
      </x:c>
      <x:c r="W18" s="11" t="n">
        <x:f>1-E18</x:f>
        <x:v>0</x:v>
      </x:c>
      <x:c r="X18" s="11" t="n">
        <x:f>1-F18</x:f>
        <x:v>0.07147766323024052</x:v>
      </x:c>
    </x:row>
    <x:row r="19" ht="18" customHeight="1">
      <x:c r="A19" s="10" t="str">
        <x:v>GA</x:v>
      </x:c>
      <x:c r="B19" s="10" t="str">
        <x:v>13027</x:v>
      </x:c>
      <x:c r="C19" s="10" t="str">
        <x:v>Brooks County</x:v>
      </x:c>
      <x:c r="D19" s="11" t="n">
        <x:f>1-'Method'!$B$7*G19</x:f>
        <x:v>0.8171821305841924</x:v>
      </x:c>
      <x:c r="E19" s="11" t="n">
        <x:f>1-'Method'!$B$8*H19</x:f>
        <x:v>0.843298969072165</x:v>
      </x:c>
      <x:c r="F19" s="11" t="n">
        <x:f>1-'Method'!$B$9*I19</x:f>
        <x:v>0.8288659793814432</x:v>
      </x:c>
      <x:c r="G19" s="11" t="n">
        <x:v>0.9140893470790378</x:v>
      </x:c>
      <x:c r="H19" s="11" t="n">
        <x:v>0.7835051546391752</x:v>
      </x:c>
      <x:c r="I19" s="11" t="n">
        <x:v>0.8556701030927835</x:v>
      </x:c>
      <x:c r="J19" s="12" t="n">
        <x:v>76.85538431803386</x:v>
      </x:c>
      <x:c r="K19" s="12" t="n">
        <x:v>139.1545608520508</x:v>
      </x:c>
      <x:c r="L19" s="12" t="n">
        <x:v>62.29917653401694</x:v>
      </x:c>
      <x:c r="M19" s="12" t="n">
        <x:v>28.72122376759847</x:v>
      </x:c>
      <x:c r="N19" s="12" t="n">
        <x:v>28.882086817423502</x:v>
      </x:c>
      <x:c r="O19" s="12" t="n">
        <x:v>0.16086304982503208</x:v>
      </x:c>
      <x:c r="P19" s="12" t="n">
        <x:v>2.4152113159497577</x:v>
      </x:c>
      <x:c r="Q19" s="12" t="n">
        <x:v>3.251435089111328</x:v>
      </x:c>
      <x:c r="R19" s="12" t="n">
        <x:v>0.8362237731615703</x:v>
      </x:c>
      <x:c r="S19" s="11" t="n">
        <x:f>'Method'!$B$7</x:f>
        <x:v>0.2</x:v>
      </x:c>
      <x:c r="T19" s="11" t="n">
        <x:f>'Method'!$B$8</x:f>
        <x:v>0.2</x:v>
      </x:c>
      <x:c r="U19" s="11" t="n">
        <x:f>'Method'!$B$9</x:f>
        <x:v>0.2</x:v>
      </x:c>
      <x:c r="V19" s="11" t="n">
        <x:f>1-D19</x:f>
        <x:v>0.18281786941580758</x:v>
      </x:c>
      <x:c r="W19" s="11" t="n">
        <x:f>1-E19</x:f>
        <x:v>0.15670103092783505</x:v>
      </x:c>
      <x:c r="X19" s="11" t="n">
        <x:f>1-F19</x:f>
        <x:v>0.17113402061855676</x:v>
      </x:c>
    </x:row>
    <x:row r="20" ht="18" customHeight="1">
      <x:c r="A20" s="10" t="str">
        <x:v>GA</x:v>
      </x:c>
      <x:c r="B20" s="10" t="str">
        <x:v>13029</x:v>
      </x:c>
      <x:c r="C20" s="10" t="str">
        <x:v>Bryan County</x:v>
      </x:c>
      <x:c r="D20" s="11" t="n">
        <x:f>1-'Method'!$B$7*G20</x:f>
        <x:v>0.8439862542955326</x:v>
      </x:c>
      <x:c r="E20" s="11" t="n">
        <x:f>1-'Method'!$B$8*H20</x:f>
        <x:v>1</x:v>
      </x:c>
      <x:c r="F20" s="11" t="n">
        <x:f>1-'Method'!$B$9*I20</x:f>
        <x:v>0.9429553264604811</x:v>
      </x:c>
      <x:c r="G20" s="11" t="n">
        <x:v>0.7800687285223368</x:v>
      </x:c>
      <x:c r="H20" s="11" t="n">
        <x:v>0</x:v>
      </x:c>
      <x:c r="I20" s="11" t="n">
        <x:v>0.2852233676975945</x:v>
      </x:c>
      <x:c r="J20" s="12" t="n">
        <x:v>63.68989957173665</x:v>
      </x:c>
      <x:c r="K20" s="12" t="n">
        <x:v>123.91537170410156</x:v>
      </x:c>
      <x:c r="L20" s="12" t="n">
        <x:v>60.22547213236491</x:v>
      </x:c>
      <x:c r="M20" s="12" t="n">
        <x:v>28.5066525777181</x:v>
      </x:c>
      <x:c r="N20" s="12" t="n">
        <x:v>27.44651877085368</x:v>
      </x:c>
      <x:c r="O20" s="12" t="n">
        <x:v>0</x:v>
      </x:c>
      <x:c r="P20" s="12" t="n">
        <x:v>1.640477979183197</x:v>
      </x:c>
      <x:c r="Q20" s="12" t="n">
        <x:v>2.2306304971377053</x:v>
      </x:c>
      <x:c r="R20" s="12" t="n">
        <x:v>0.5901525179545084</x:v>
      </x:c>
      <x:c r="S20" s="11" t="n">
        <x:f>'Method'!$B$7</x:f>
        <x:v>0.2</x:v>
      </x:c>
      <x:c r="T20" s="11" t="n">
        <x:f>'Method'!$B$8</x:f>
        <x:v>0.2</x:v>
      </x:c>
      <x:c r="U20" s="11" t="n">
        <x:f>'Method'!$B$9</x:f>
        <x:v>0.2</x:v>
      </x:c>
      <x:c r="V20" s="11" t="n">
        <x:f>1-D20</x:f>
        <x:v>0.15601374570446735</x:v>
      </x:c>
      <x:c r="W20" s="11" t="n">
        <x:f>1-E20</x:f>
        <x:v>0</x:v>
      </x:c>
      <x:c r="X20" s="11" t="n">
        <x:f>1-F20</x:f>
        <x:v>0.05704467353951892</x:v>
      </x:c>
    </x:row>
    <x:row r="21" ht="18" customHeight="1">
      <x:c r="A21" s="10" t="str">
        <x:v>GA</x:v>
      </x:c>
      <x:c r="B21" s="10" t="str">
        <x:v>13031</x:v>
      </x:c>
      <x:c r="C21" s="10" t="str">
        <x:v>Bulloch County</x:v>
      </x:c>
      <x:c r="D21" s="11" t="n">
        <x:f>1-'Method'!$B$7*G21</x:f>
        <x:v>0.8707903780068729</x:v>
      </x:c>
      <x:c r="E21" s="11" t="n">
        <x:f>1-'Method'!$B$8*H21</x:f>
        <x:v>1</x:v>
      </x:c>
      <x:c r="F21" s="11" t="n">
        <x:f>1-'Method'!$B$9*I21</x:f>
        <x:v>0.9347079037800687</x:v>
      </x:c>
      <x:c r="G21" s="11" t="n">
        <x:v>0.6460481099656358</x:v>
      </x:c>
      <x:c r="H21" s="11" t="n">
        <x:v>0</x:v>
      </x:c>
      <x:c r="I21" s="11" t="n">
        <x:v>0.32646048109965636</x:v>
      </x:c>
      <x:c r="J21" s="12" t="n">
        <x:v>67.07814801534018</x:v>
      </x:c>
      <x:c r="K21" s="12" t="n">
        <x:v>125.74833246866862</x:v>
      </x:c>
      <x:c r="L21" s="12" t="n">
        <x:v>58.670184453328446</x:v>
      </x:c>
      <x:c r="M21" s="12" t="n">
        <x:v>28.522290484110513</x:v>
      </x:c>
      <x:c r="N21" s="12" t="n">
        <x:v>27.394498761494955</x:v>
      </x:c>
      <x:c r="O21" s="12" t="n">
        <x:v>0</x:v>
      </x:c>
      <x:c r="P21" s="12" t="n">
        <x:v>1.5798263907432557</x:v>
      </x:c>
      <x:c r="Q21" s="12" t="n">
        <x:v>2.188020658493042</x:v>
      </x:c>
      <x:c r="R21" s="12" t="n">
        <x:v>0.6081942677497865</x:v>
      </x:c>
      <x:c r="S21" s="11" t="n">
        <x:f>'Method'!$B$7</x:f>
        <x:v>0.2</x:v>
      </x:c>
      <x:c r="T21" s="11" t="n">
        <x:f>'Method'!$B$8</x:f>
        <x:v>0.2</x:v>
      </x:c>
      <x:c r="U21" s="11" t="n">
        <x:f>'Method'!$B$9</x:f>
        <x:v>0.2</x:v>
      </x:c>
      <x:c r="V21" s="11" t="n">
        <x:f>1-D21</x:f>
        <x:v>0.12920962199312713</x:v>
      </x:c>
      <x:c r="W21" s="11" t="n">
        <x:f>1-E21</x:f>
        <x:v>0</x:v>
      </x:c>
      <x:c r="X21" s="11" t="n">
        <x:f>1-F21</x:f>
        <x:v>0.06529209621993126</x:v>
      </x:c>
    </x:row>
    <x:row r="22" ht="18" customHeight="1">
      <x:c r="A22" s="10" t="str">
        <x:v>GA</x:v>
      </x:c>
      <x:c r="B22" s="10" t="str">
        <x:v>13033</x:v>
      </x:c>
      <x:c r="C22" s="10" t="str">
        <x:v>Burke County</x:v>
      </x:c>
      <x:c r="D22" s="11" t="n">
        <x:f>1-'Method'!$B$7*G22</x:f>
        <x:v>0.852233676975945</x:v>
      </x:c>
      <x:c r="E22" s="11" t="n">
        <x:f>1-'Method'!$B$8*H22</x:f>
        <x:v>1</x:v>
      </x:c>
      <x:c r="F22" s="11" t="n">
        <x:f>1-'Method'!$B$9*I22</x:f>
        <x:v>0.9415807560137457</x:v>
      </x:c>
      <x:c r="G22" s="11" t="n">
        <x:v>0.738831615120275</x:v>
      </x:c>
      <x:c r="H22" s="11" t="n">
        <x:v>0</x:v>
      </x:c>
      <x:c r="I22" s="11" t="n">
        <x:v>0.2920962199312715</x:v>
      </x:c>
      <x:c r="J22" s="12" t="n">
        <x:v>62.03187840779622</x:v>
      </x:c>
      <x:c r="K22" s="12" t="n">
        <x:v>121.6779780069987</x:v>
      </x:c>
      <x:c r="L22" s="12" t="n">
        <x:v>59.64609959920248</x:v>
      </x:c>
      <x:c r="M22" s="12" t="n">
        <x:v>28.09194679260254</x:v>
      </x:c>
      <x:c r="N22" s="12" t="n">
        <x:v>27.080024083455402</x:v>
      </x:c>
      <x:c r="O22" s="12" t="n">
        <x:v>0</x:v>
      </x:c>
      <x:c r="P22" s="12" t="n">
        <x:v>1.3127688348293305</x:v>
      </x:c>
      <x:c r="Q22" s="12" t="n">
        <x:v>1.9059108257293702</x:v>
      </x:c>
      <x:c r="R22" s="12" t="n">
        <x:v>0.5931419909000397</x:v>
      </x:c>
      <x:c r="S22" s="11" t="n">
        <x:f>'Method'!$B$7</x:f>
        <x:v>0.2</x:v>
      </x:c>
      <x:c r="T22" s="11" t="n">
        <x:f>'Method'!$B$8</x:f>
        <x:v>0.2</x:v>
      </x:c>
      <x:c r="U22" s="11" t="n">
        <x:f>'Method'!$B$9</x:f>
        <x:v>0.2</x:v>
      </x:c>
      <x:c r="V22" s="11" t="n">
        <x:f>1-D22</x:f>
        <x:v>0.147766323024055</x:v>
      </x:c>
      <x:c r="W22" s="11" t="n">
        <x:f>1-E22</x:f>
        <x:v>0</x:v>
      </x:c>
      <x:c r="X22" s="11" t="n">
        <x:f>1-F22</x:f>
        <x:v>0.05841924398625431</x:v>
      </x:c>
    </x:row>
    <x:row r="23" ht="18" customHeight="1">
      <x:c r="A23" s="10" t="str">
        <x:v>GA</x:v>
      </x:c>
      <x:c r="B23" s="10" t="str">
        <x:v>13035</x:v>
      </x:c>
      <x:c r="C23" s="10" t="str">
        <x:v>Butts County</x:v>
      </x:c>
      <x:c r="D23" s="11" t="n">
        <x:f>1-'Method'!$B$7*G23</x:f>
        <x:v>0.8213058419243986</x:v>
      </x:c>
      <x:c r="E23" s="11" t="n">
        <x:f>1-'Method'!$B$8*H23</x:f>
        <x:v>1</x:v>
      </x:c>
      <x:c r="F23" s="11" t="n">
        <x:f>1-'Method'!$B$9*I23</x:f>
        <x:v>0.9670103092783505</x:v>
      </x:c>
      <x:c r="G23" s="11" t="n">
        <x:v>0.8934707903780069</x:v>
      </x:c>
      <x:c r="H23" s="11" t="n">
        <x:v>0</x:v>
      </x:c>
      <x:c r="I23" s="11" t="n">
        <x:v>0.16494845360824742</x:v>
      </x:c>
      <x:c r="J23" s="12" t="n">
        <x:v>43.91316528320313</x:v>
      </x:c>
      <x:c r="K23" s="12" t="n">
        <x:v>105.85954437255859</x:v>
      </x:c>
      <x:c r="L23" s="12" t="n">
        <x:v>61.94637908935546</x:v>
      </x:c>
      <x:c r="M23" s="12" t="n">
        <x:v>26.26882158915202</x:v>
      </x:c>
      <x:c r="N23" s="12" t="n">
        <x:v>25.52818908691406</x:v>
      </x:c>
      <x:c r="O23" s="12" t="n">
        <x:v>0</x:v>
      </x:c>
      <x:c r="P23" s="12" t="n">
        <x:v>1.6775301396846771</x:v>
      </x:c>
      <x:c r="Q23" s="12" t="n">
        <x:v>2.189280716578166</x:v>
      </x:c>
      <x:c r="R23" s="12" t="n">
        <x:v>0.5117505768934887</x:v>
      </x:c>
      <x:c r="S23" s="11" t="n">
        <x:f>'Method'!$B$7</x:f>
        <x:v>0.2</x:v>
      </x:c>
      <x:c r="T23" s="11" t="n">
        <x:f>'Method'!$B$8</x:f>
        <x:v>0.2</x:v>
      </x:c>
      <x:c r="U23" s="11" t="n">
        <x:f>'Method'!$B$9</x:f>
        <x:v>0.2</x:v>
      </x:c>
      <x:c r="V23" s="11" t="n">
        <x:f>1-D23</x:f>
        <x:v>0.1786941580756014</x:v>
      </x:c>
      <x:c r="W23" s="11" t="n">
        <x:f>1-E23</x:f>
        <x:v>0</x:v>
      </x:c>
      <x:c r="X23" s="11" t="n">
        <x:f>1-F23</x:f>
        <x:v>0.03298969072164948</x:v>
      </x:c>
    </x:row>
    <x:row r="24" ht="18" customHeight="1">
      <x:c r="A24" s="10" t="str">
        <x:v>GA</x:v>
      </x:c>
      <x:c r="B24" s="10" t="str">
        <x:v>13037</x:v>
      </x:c>
      <x:c r="C24" s="10" t="str">
        <x:v>Calhoun County</x:v>
      </x:c>
      <x:c r="D24" s="11" t="n">
        <x:f>1-'Method'!$B$7*G24</x:f>
        <x:v>0.8020618556701031</x:v>
      </x:c>
      <x:c r="E24" s="11" t="n">
        <x:f>1-'Method'!$B$8*H24</x:f>
        <x:v>1</x:v>
      </x:c>
      <x:c r="F24" s="11" t="n">
        <x:f>1-'Method'!$B$9*I24</x:f>
        <x:v>0.9209621993127148</x:v>
      </x:c>
      <x:c r="G24" s="11" t="n">
        <x:v>0.9896907216494846</x:v>
      </x:c>
      <x:c r="H24" s="11" t="n">
        <x:v>0</x:v>
      </x:c>
      <x:c r="I24" s="11" t="n">
        <x:v>0.3951890034364261</x:v>
      </x:c>
      <x:c r="J24" s="12" t="n">
        <x:v>70.01010271708171</x:v>
      </x:c>
      <x:c r="K24" s="12" t="n">
        <x:v>134.34125086466472</x:v>
      </x:c>
      <x:c r="L24" s="12" t="n">
        <x:v>64.33114814758301</x:v>
      </x:c>
      <x:c r="M24" s="12" t="n">
        <x:v>28.20477714538574</x:v>
      </x:c>
      <x:c r="N24" s="12" t="n">
        <x:v>27.49479103088379</x:v>
      </x:c>
      <x:c r="O24" s="12" t="n">
        <x:v>0</x:v>
      </x:c>
      <x:c r="P24" s="12" t="n">
        <x:v>2.634709624449412</x:v>
      </x:c>
      <x:c r="Q24" s="12" t="n">
        <x:v>3.275366433461507</x:v>
      </x:c>
      <x:c r="R24" s="12" t="n">
        <x:v>0.640656809012095</x:v>
      </x:c>
      <x:c r="S24" s="11" t="n">
        <x:f>'Method'!$B$7</x:f>
        <x:v>0.2</x:v>
      </x:c>
      <x:c r="T24" s="11" t="n">
        <x:f>'Method'!$B$8</x:f>
        <x:v>0.2</x:v>
      </x:c>
      <x:c r="U24" s="11" t="n">
        <x:f>'Method'!$B$9</x:f>
        <x:v>0.2</x:v>
      </x:c>
      <x:c r="V24" s="11" t="n">
        <x:f>1-D24</x:f>
        <x:v>0.19793814432989687</x:v>
      </x:c>
      <x:c r="W24" s="11" t="n">
        <x:f>1-E24</x:f>
        <x:v>0</x:v>
      </x:c>
      <x:c r="X24" s="11" t="n">
        <x:f>1-F24</x:f>
        <x:v>0.07903780068728516</x:v>
      </x:c>
    </x:row>
    <x:row r="25" ht="18" customHeight="1">
      <x:c r="A25" s="10" t="str">
        <x:v>GA</x:v>
      </x:c>
      <x:c r="B25" s="10" t="str">
        <x:v>13039</x:v>
      </x:c>
      <x:c r="C25" s="10" t="str">
        <x:v>Camden County</x:v>
      </x:c>
      <x:c r="D25" s="11" t="n">
        <x:f>1-'Method'!$B$7*G25</x:f>
        <x:v>0.8</x:v>
      </x:c>
      <x:c r="E25" s="11" t="n">
        <x:f>1-'Method'!$B$8*H25</x:f>
        <x:v>1</x:v>
      </x:c>
      <x:c r="F25" s="11" t="n">
        <x:f>1-'Method'!$B$9*I25</x:f>
        <x:v>0.8783505154639175</x:v>
      </x:c>
      <x:c r="G25" s="11" t="n">
        <x:v>1</x:v>
      </x:c>
      <x:c r="H25" s="11" t="n">
        <x:v>0</x:v>
      </x:c>
      <x:c r="I25" s="11" t="n">
        <x:v>0.6082474226804123</x:v>
      </x:c>
      <x:c r="J25" s="12" t="n">
        <x:v>53.16195564270019</x:v>
      </x:c>
      <x:c r="K25" s="12" t="n">
        <x:v>117.72702153523763</x:v>
      </x:c>
      <x:c r="L25" s="12" t="n">
        <x:v>64.56506589253743</x:v>
      </x:c>
      <x:c r="M25" s="12" t="n">
        <x:v>28.04384199778239</x:v>
      </x:c>
      <x:c r="N25" s="12" t="n">
        <x:v>27.01433302561442</x:v>
      </x:c>
      <x:c r="O25" s="12" t="n">
        <x:v>0</x:v>
      </x:c>
      <x:c r="P25" s="12" t="n">
        <x:v>2.280482014020284</x:v>
      </x:c>
      <x:c r="Q25" s="12" t="n">
        <x:v>2.996045684814453</x:v>
      </x:c>
      <x:c r="R25" s="12" t="n">
        <x:v>0.715563670794169</x:v>
      </x:c>
      <x:c r="S25" s="11" t="n">
        <x:f>'Method'!$B$7</x:f>
        <x:v>0.2</x:v>
      </x:c>
      <x:c r="T25" s="11" t="n">
        <x:f>'Method'!$B$8</x:f>
        <x:v>0.2</x:v>
      </x:c>
      <x:c r="U25" s="11" t="n">
        <x:f>'Method'!$B$9</x:f>
        <x:v>0.2</x:v>
      </x:c>
      <x:c r="V25" s="11" t="n">
        <x:f>1-D25</x:f>
        <x:v>0.19999999999999996</x:v>
      </x:c>
      <x:c r="W25" s="11" t="n">
        <x:f>1-E25</x:f>
        <x:v>0</x:v>
      </x:c>
      <x:c r="X25" s="11" t="n">
        <x:f>1-F25</x:f>
        <x:v>0.12164948453608249</x:v>
      </x:c>
    </x:row>
    <x:row r="26" ht="18" customHeight="1">
      <x:c r="A26" s="10" t="str">
        <x:v>GA</x:v>
      </x:c>
      <x:c r="B26" s="10" t="str">
        <x:v>13043</x:v>
      </x:c>
      <x:c r="C26" s="10" t="str">
        <x:v>Candler County</x:v>
      </x:c>
      <x:c r="D26" s="11" t="n">
        <x:f>1-'Method'!$B$7*G26</x:f>
        <x:v>0.8797250859106529</x:v>
      </x:c>
      <x:c r="E26" s="11" t="n">
        <x:f>1-'Method'!$B$8*H26</x:f>
        <x:v>1</x:v>
      </x:c>
      <x:c r="F26" s="11" t="n">
        <x:f>1-'Method'!$B$9*I26</x:f>
        <x:v>0.8776632302405498</x:v>
      </x:c>
      <x:c r="G26" s="11" t="n">
        <x:v>0.6013745704467354</x:v>
      </x:c>
      <x:c r="H26" s="11" t="n">
        <x:v>0</x:v>
      </x:c>
      <x:c r="I26" s="11" t="n">
        <x:v>0.6116838487972509</x:v>
      </x:c>
      <x:c r="J26" s="12" t="n">
        <x:v>74.20559056599934</x:v>
      </x:c>
      <x:c r="K26" s="12" t="n">
        <x:v>131.54922103881836</x:v>
      </x:c>
      <x:c r="L26" s="12" t="n">
        <x:v>57.343630472819015</x:v>
      </x:c>
      <x:c r="M26" s="12" t="n">
        <x:v>28.63040828704834</x:v>
      </x:c>
      <x:c r="N26" s="12" t="n">
        <x:v>27.49029966990153</x:v>
      </x:c>
      <x:c r="O26" s="12" t="n">
        <x:v>0</x:v>
      </x:c>
      <x:c r="P26" s="12" t="n">
        <x:v>1.581698767344157</x:v>
      </x:c>
      <x:c r="Q26" s="12" t="n">
        <x:v>2.297434091567993</x:v>
      </x:c>
      <x:c r="R26" s="12" t="n">
        <x:v>0.7157353242238362</x:v>
      </x:c>
      <x:c r="S26" s="11" t="n">
        <x:f>'Method'!$B$7</x:f>
        <x:v>0.2</x:v>
      </x:c>
      <x:c r="T26" s="11" t="n">
        <x:f>'Method'!$B$8</x:f>
        <x:v>0.2</x:v>
      </x:c>
      <x:c r="U26" s="11" t="n">
        <x:f>'Method'!$B$9</x:f>
        <x:v>0.2</x:v>
      </x:c>
      <x:c r="V26" s="11" t="n">
        <x:f>1-D26</x:f>
        <x:v>0.1202749140893471</x:v>
      </x:c>
      <x:c r="W26" s="11" t="n">
        <x:f>1-E26</x:f>
        <x:v>0</x:v>
      </x:c>
      <x:c r="X26" s="11" t="n">
        <x:f>1-F26</x:f>
        <x:v>0.12233676975945018</x:v>
      </x:c>
    </x:row>
    <x:row r="27" ht="18" customHeight="1">
      <x:c r="A27" s="10" t="str">
        <x:v>GA</x:v>
      </x:c>
      <x:c r="B27" s="10" t="str">
        <x:v>13045</x:v>
      </x:c>
      <x:c r="C27" s="10" t="str">
        <x:v>Carroll County</x:v>
      </x:c>
      <x:c r="D27" s="11" t="n">
        <x:f>1-'Method'!$B$7*G27</x:f>
        <x:v>0.8824742268041237</x:v>
      </x:c>
      <x:c r="E27" s="11" t="n">
        <x:f>1-'Method'!$B$8*H27</x:f>
        <x:v>1</x:v>
      </x:c>
      <x:c r="F27" s="11" t="n">
        <x:f>1-'Method'!$B$9*I27</x:f>
        <x:v>0.8302405498281786</x:v>
      </x:c>
      <x:c r="G27" s="11" t="n">
        <x:v>0.5876288659793815</x:v>
      </x:c>
      <x:c r="H27" s="11" t="n">
        <x:v>0</x:v>
      </x:c>
      <x:c r="I27" s="11" t="n">
        <x:v>0.8487972508591065</x:v>
      </x:c>
      <x:c r="J27" s="12" t="n">
        <x:v>27.735671742757162</x:v>
      </x:c>
      <x:c r="K27" s="12" t="n">
        <x:v>84.68417421976726</x:v>
      </x:c>
      <x:c r="L27" s="12" t="n">
        <x:v>56.948502477010095</x:v>
      </x:c>
      <x:c r="M27" s="12" t="n">
        <x:v>25.986356989542642</x:v>
      </x:c>
      <x:c r="N27" s="12" t="n">
        <x:v>25.973237164815266</x:v>
      </x:c>
      <x:c r="O27" s="12" t="n">
        <x:v>0</x:v>
      </x:c>
      <x:c r="P27" s="12" t="n">
        <x:v>2.4594022274017333</x:v>
      </x:c>
      <x:c r="Q27" s="12" t="n">
        <x:v>3.29422918955485</x:v>
      </x:c>
      <x:c r="R27" s="12" t="n">
        <x:v>0.8348269621531168</x:v>
      </x:c>
      <x:c r="S27" s="11" t="n">
        <x:f>'Method'!$B$7</x:f>
        <x:v>0.2</x:v>
      </x:c>
      <x:c r="T27" s="11" t="n">
        <x:f>'Method'!$B$8</x:f>
        <x:v>0.2</x:v>
      </x:c>
      <x:c r="U27" s="11" t="n">
        <x:f>'Method'!$B$9</x:f>
        <x:v>0.2</x:v>
      </x:c>
      <x:c r="V27" s="11" t="n">
        <x:f>1-D27</x:f>
        <x:v>0.11752577319587632</x:v>
      </x:c>
      <x:c r="W27" s="11" t="n">
        <x:f>1-E27</x:f>
        <x:v>0</x:v>
      </x:c>
      <x:c r="X27" s="11" t="n">
        <x:f>1-F27</x:f>
        <x:v>0.16975945017182137</x:v>
      </x:c>
    </x:row>
    <x:row r="28" ht="18" customHeight="1">
      <x:c r="A28" s="10" t="str">
        <x:v>GA</x:v>
      </x:c>
      <x:c r="B28" s="10" t="str">
        <x:v>13047</x:v>
      </x:c>
      <x:c r="C28" s="10" t="str">
        <x:v>Catoosa County</x:v>
      </x:c>
      <x:c r="D28" s="11" t="n">
        <x:f>1-'Method'!$B$7*G28</x:f>
        <x:v>0.8281786941580755</x:v>
      </x:c>
      <x:c r="E28" s="11" t="n">
        <x:f>1-'Method'!$B$8*H28</x:f>
        <x:v>0.8412371134020619</x:v>
      </x:c>
      <x:c r="F28" s="11" t="n">
        <x:f>1-'Method'!$B$9*I28</x:f>
        <x:v>0.8254295532646048</x:v>
      </x:c>
      <x:c r="G28" s="11" t="n">
        <x:v>0.8591065292096219</x:v>
      </x:c>
      <x:c r="H28" s="11" t="n">
        <x:v>0.7938144329896907</x:v>
      </x:c>
      <x:c r="I28" s="11" t="n">
        <x:v>0.872852233676976</x:v>
      </x:c>
      <x:c r="J28" s="12" t="n">
        <x:v>30.63939514160156</x:v>
      </x:c>
      <x:c r="K28" s="12" t="n">
        <x:v>91.89150568644206</x:v>
      </x:c>
      <x:c r="L28" s="12" t="n">
        <x:v>61.2521105448405</x:v>
      </x:c>
      <x:c r="M28" s="12" t="n">
        <x:v>24.516779963175455</x:v>
      </x:c>
      <x:c r="N28" s="12" t="n">
        <x:v>24.685243479410808</x:v>
      </x:c>
      <x:c r="O28" s="12" t="n">
        <x:v>0.16846351623535227</x:v>
      </x:c>
      <x:c r="P28" s="12" t="n">
        <x:v>2.4873096227645872</x:v>
      </x:c>
      <x:c r="Q28" s="12" t="n">
        <x:v>3.333868916829427</x:v>
      </x:c>
      <x:c r="R28" s="12" t="n">
        <x:v>0.8465592940648397</x:v>
      </x:c>
      <x:c r="S28" s="11" t="n">
        <x:f>'Method'!$B$7</x:f>
        <x:v>0.2</x:v>
      </x:c>
      <x:c r="T28" s="11" t="n">
        <x:f>'Method'!$B$8</x:f>
        <x:v>0.2</x:v>
      </x:c>
      <x:c r="U28" s="11" t="n">
        <x:f>'Method'!$B$9</x:f>
        <x:v>0.2</x:v>
      </x:c>
      <x:c r="V28" s="11" t="n">
        <x:f>1-D28</x:f>
        <x:v>0.17182130584192445</x:v>
      </x:c>
      <x:c r="W28" s="11" t="n">
        <x:f>1-E28</x:f>
        <x:v>0.15876288659793814</x:v>
      </x:c>
      <x:c r="X28" s="11" t="n">
        <x:f>1-F28</x:f>
        <x:v>0.17457044673539523</x:v>
      </x:c>
    </x:row>
    <x:row r="29" ht="18" customHeight="1">
      <x:c r="A29" s="10" t="str">
        <x:v>GA</x:v>
      </x:c>
      <x:c r="B29" s="10" t="str">
        <x:v>13049</x:v>
      </x:c>
      <x:c r="C29" s="10" t="str">
        <x:v>Charlton County</x:v>
      </x:c>
      <x:c r="D29" s="11" t="n">
        <x:f>1-'Method'!$B$7*G29</x:f>
        <x:v>0.8625429553264605</x:v>
      </x:c>
      <x:c r="E29" s="11" t="n">
        <x:f>1-'Method'!$B$8*H29</x:f>
        <x:v>1</x:v>
      </x:c>
      <x:c r="F29" s="11" t="n">
        <x:f>1-'Method'!$B$9*I29</x:f>
        <x:v>0.865979381443299</x:v>
      </x:c>
      <x:c r="G29" s="11" t="n">
        <x:v>0.6872852233676976</x:v>
      </x:c>
      <x:c r="H29" s="11" t="n">
        <x:v>0</x:v>
      </x:c>
      <x:c r="I29" s="11" t="n">
        <x:v>0.6701030927835051</x:v>
      </x:c>
      <x:c r="J29" s="12" t="n">
        <x:v>85.41323394775391</x:v>
      </x:c>
      <x:c r="K29" s="12" t="n">
        <x:v>144.50726572672525</x:v>
      </x:c>
      <x:c r="L29" s="12" t="n">
        <x:v>59.09403177897134</x:v>
      </x:c>
      <x:c r="M29" s="12" t="n">
        <x:v>29.193887265523276</x:v>
      </x:c>
      <x:c r="N29" s="12" t="n">
        <x:v>27.82868398030599</x:v>
      </x:c>
      <x:c r="O29" s="12" t="n">
        <x:v>0</x:v>
      </x:c>
      <x:c r="P29" s="12" t="n">
        <x:v>2.250925624370575</x:v>
      </x:c>
      <x:c r="Q29" s="12" t="n">
        <x:v>2.9956951697667438</x:v>
      </x:c>
      <x:c r="R29" s="12" t="n">
        <x:v>0.7447695453961689</x:v>
      </x:c>
      <x:c r="S29" s="11" t="n">
        <x:f>'Method'!$B$7</x:f>
        <x:v>0.2</x:v>
      </x:c>
      <x:c r="T29" s="11" t="n">
        <x:f>'Method'!$B$8</x:f>
        <x:v>0.2</x:v>
      </x:c>
      <x:c r="U29" s="11" t="n">
        <x:f>'Method'!$B$9</x:f>
        <x:v>0.2</x:v>
      </x:c>
      <x:c r="V29" s="11" t="n">
        <x:f>1-D29</x:f>
        <x:v>0.13745704467353947</x:v>
      </x:c>
      <x:c r="W29" s="11" t="n">
        <x:f>1-E29</x:f>
        <x:v>0</x:v>
      </x:c>
      <x:c r="X29" s="11" t="n">
        <x:f>1-F29</x:f>
        <x:v>0.134020618556701</x:v>
      </x:c>
    </x:row>
    <x:row r="30" ht="18" customHeight="1">
      <x:c r="A30" s="10" t="str">
        <x:v>GA</x:v>
      </x:c>
      <x:c r="B30" s="10" t="str">
        <x:v>13051</x:v>
      </x:c>
      <x:c r="C30" s="10" t="str">
        <x:v>Chatham County</x:v>
      </x:c>
      <x:c r="D30" s="11" t="n">
        <x:f>1-'Method'!$B$7*G30</x:f>
        <x:v>0.8412371134020619</x:v>
      </x:c>
      <x:c r="E30" s="11" t="n">
        <x:f>1-'Method'!$B$8*H30</x:f>
        <x:v>1</x:v>
      </x:c>
      <x:c r="F30" s="11" t="n">
        <x:f>1-'Method'!$B$9*I30</x:f>
        <x:v>0.934020618556701</x:v>
      </x:c>
      <x:c r="G30" s="11" t="n">
        <x:v>0.7938144329896907</x:v>
      </x:c>
      <x:c r="H30" s="11" t="n">
        <x:v>0</x:v>
      </x:c>
      <x:c r="I30" s="11" t="n">
        <x:v>0.32989690721649484</x:v>
      </x:c>
      <x:c r="J30" s="12" t="n">
        <x:v>54.37187207539876</x:v>
      </x:c>
      <x:c r="K30" s="12" t="n">
        <x:v>114.73692677815755</x:v>
      </x:c>
      <x:c r="L30" s="12" t="n">
        <x:v>60.36505470275879</x:v>
      </x:c>
      <x:c r="M30" s="12" t="n">
        <x:v>29.300280062357583</x:v>
      </x:c>
      <x:c r="N30" s="12" t="n">
        <x:v>28.531676864624025</x:v>
      </x:c>
      <x:c r="O30" s="12" t="n">
        <x:v>0</x:v>
      </x:c>
      <x:c r="P30" s="12" t="n">
        <x:v>2.171003456910451</x:v>
      </x:c>
      <x:c r="Q30" s="12" t="n">
        <x:v>2.7825373888015745</x:v>
      </x:c>
      <x:c r="R30" s="12" t="n">
        <x:v>0.6115339318911235</x:v>
      </x:c>
      <x:c r="S30" s="11" t="n">
        <x:f>'Method'!$B$7</x:f>
        <x:v>0.2</x:v>
      </x:c>
      <x:c r="T30" s="11" t="n">
        <x:f>'Method'!$B$8</x:f>
        <x:v>0.2</x:v>
      </x:c>
      <x:c r="U30" s="11" t="n">
        <x:f>'Method'!$B$9</x:f>
        <x:v>0.2</x:v>
      </x:c>
      <x:c r="V30" s="11" t="n">
        <x:f>1-D30</x:f>
        <x:v>0.15876288659793814</x:v>
      </x:c>
      <x:c r="W30" s="11" t="n">
        <x:f>1-E30</x:f>
        <x:v>0</x:v>
      </x:c>
      <x:c r="X30" s="11" t="n">
        <x:f>1-F30</x:f>
        <x:v>0.06597938144329896</x:v>
      </x:c>
    </x:row>
    <x:row r="31" ht="18" customHeight="1">
      <x:c r="A31" s="10" t="str">
        <x:v>GA</x:v>
      </x:c>
      <x:c r="B31" s="10" t="str">
        <x:v>13053</x:v>
      </x:c>
      <x:c r="C31" s="10" t="str">
        <x:v>Chattahoochee County</x:v>
      </x:c>
      <x:c r="D31" s="11" t="n">
        <x:f>1-'Method'!$B$7*G31</x:f>
        <x:v>0.8041237113402062</x:v>
      </x:c>
      <x:c r="E31" s="11" t="n">
        <x:f>1-'Method'!$B$8*H31</x:f>
        <x:v>1</x:v>
      </x:c>
      <x:c r="F31" s="11" t="n">
        <x:f>1-'Method'!$B$9*I31</x:f>
        <x:v>0.9532646048109965</x:v>
      </x:c>
      <x:c r="G31" s="11" t="n">
        <x:v>0.979381443298969</x:v>
      </x:c>
      <x:c r="H31" s="11" t="n">
        <x:v>0</x:v>
      </x:c>
      <x:c r="I31" s="11" t="n">
        <x:v>0.23367697594501718</x:v>
      </x:c>
      <x:c r="J31" s="12" t="n">
        <x:v>61.17493120829264</x:v>
      </x:c>
      <x:c r="K31" s="12" t="n">
        <x:v>124.90928624471029</x:v>
      </x:c>
      <x:c r="L31" s="12" t="n">
        <x:v>63.73435503641765</x:v>
      </x:c>
      <x:c r="M31" s="12" t="n">
        <x:v>26.671845308939616</x:v>
      </x:c>
      <x:c r="N31" s="12" t="n">
        <x:v>26.240555636088054</x:v>
      </x:c>
      <x:c r="O31" s="12" t="n">
        <x:v>0</x:v>
      </x:c>
      <x:c r="P31" s="12" t="n">
        <x:v>1.5487950762112936</x:v>
      </x:c>
      <x:c r="Q31" s="12" t="n">
        <x:v>2.110696252187093</x:v>
      </x:c>
      <x:c r="R31" s="12" t="n">
        <x:v>0.5619011759757992</x:v>
      </x:c>
      <x:c r="S31" s="11" t="n">
        <x:f>'Method'!$B$7</x:f>
        <x:v>0.2</x:v>
      </x:c>
      <x:c r="T31" s="11" t="n">
        <x:f>'Method'!$B$8</x:f>
        <x:v>0.2</x:v>
      </x:c>
      <x:c r="U31" s="11" t="n">
        <x:f>'Method'!$B$9</x:f>
        <x:v>0.2</x:v>
      </x:c>
      <x:c r="V31" s="11" t="n">
        <x:f>1-D31</x:f>
        <x:v>0.19587628865979378</x:v>
      </x:c>
      <x:c r="W31" s="11" t="n">
        <x:f>1-E31</x:f>
        <x:v>0</x:v>
      </x:c>
      <x:c r="X31" s="11" t="n">
        <x:f>1-F31</x:f>
        <x:v>0.04673539518900349</x:v>
      </x:c>
    </x:row>
    <x:row r="32" ht="18" customHeight="1">
      <x:c r="A32" s="10" t="str">
        <x:v>GA</x:v>
      </x:c>
      <x:c r="B32" s="10" t="str">
        <x:v>13055</x:v>
      </x:c>
      <x:c r="C32" s="10" t="str">
        <x:v>Chattooga County</x:v>
      </x:c>
      <x:c r="D32" s="11" t="n">
        <x:f>1-'Method'!$B$7*G32</x:f>
        <x:v>0.8783505154639175</x:v>
      </x:c>
      <x:c r="E32" s="11" t="n">
        <x:f>1-'Method'!$B$8*H32</x:f>
        <x:v>0.8350515463917526</x:v>
      </x:c>
      <x:c r="F32" s="11" t="n">
        <x:f>1-'Method'!$B$9*I32</x:f>
        <x:v>0.8089347079037801</x:v>
      </x:c>
      <x:c r="G32" s="11" t="n">
        <x:v>0.6082474226804123</x:v>
      </x:c>
      <x:c r="H32" s="11" t="n">
        <x:v>0.8247422680412371</x:v>
      </x:c>
      <x:c r="I32" s="11" t="n">
        <x:v>0.9553264604810997</x:v>
      </x:c>
      <x:c r="J32" s="12" t="n">
        <x:v>32.2814640045166</x:v>
      </x:c>
      <x:c r="K32" s="12" t="n">
        <x:v>89.71797892252604</x:v>
      </x:c>
      <x:c r="L32" s="12" t="n">
        <x:v>57.43651491800944</x:v>
      </x:c>
      <x:c r="M32" s="12" t="n">
        <x:v>25.73672192891439</x:v>
      </x:c>
      <x:c r="N32" s="12" t="n">
        <x:v>25.933103879292805</x:v>
      </x:c>
      <x:c r="O32" s="12" t="n">
        <x:v>0.19638195037841655</x:v>
      </x:c>
      <x:c r="P32" s="12" t="n">
        <x:v>2.8094278653462728</x:v>
      </x:c>
      <x:c r="Q32" s="12" t="n">
        <x:v>3.7931556940078734</x:v>
      </x:c>
      <x:c r="R32" s="12" t="n">
        <x:v>0.9837278286616007</x:v>
      </x:c>
      <x:c r="S32" s="11" t="n">
        <x:f>'Method'!$B$7</x:f>
        <x:v>0.2</x:v>
      </x:c>
      <x:c r="T32" s="11" t="n">
        <x:f>'Method'!$B$8</x:f>
        <x:v>0.2</x:v>
      </x:c>
      <x:c r="U32" s="11" t="n">
        <x:f>'Method'!$B$9</x:f>
        <x:v>0.2</x:v>
      </x:c>
      <x:c r="V32" s="11" t="n">
        <x:f>1-D32</x:f>
        <x:v>0.12164948453608249</x:v>
      </x:c>
      <x:c r="W32" s="11" t="n">
        <x:f>1-E32</x:f>
        <x:v>0.1649484536082474</x:v>
      </x:c>
      <x:c r="X32" s="11" t="n">
        <x:f>1-F32</x:f>
        <x:v>0.19106529209621992</x:v>
      </x:c>
    </x:row>
    <x:row r="33" ht="18" customHeight="1">
      <x:c r="A33" s="10" t="str">
        <x:v>GA</x:v>
      </x:c>
      <x:c r="B33" s="10" t="str">
        <x:v>13057</x:v>
      </x:c>
      <x:c r="C33" s="10" t="str">
        <x:v>Cherokee County</x:v>
      </x:c>
      <x:c r="D33" s="11" t="n">
        <x:f>1-'Method'!$B$7*G33</x:f>
        <x:v>0.8955326460481099</x:v>
      </x:c>
      <x:c r="E33" s="11" t="n">
        <x:f>1-'Method'!$B$8*H33</x:f>
        <x:v>0.845360824742268</x:v>
      </x:c>
      <x:c r="F33" s="11" t="n">
        <x:f>1-'Method'!$B$9*I33</x:f>
        <x:v>0.813745704467354</x:v>
      </x:c>
      <x:c r="G33" s="11" t="n">
        <x:v>0.5223367697594502</x:v>
      </x:c>
      <x:c r="H33" s="11" t="n">
        <x:v>0.7731958762886598</x:v>
      </x:c>
      <x:c r="I33" s="11" t="n">
        <x:v>0.9312714776632303</x:v>
      </x:c>
      <x:c r="J33" s="12" t="n">
        <x:v>25.476819610595705</x:v>
      </x:c>
      <x:c r="K33" s="12" t="n">
        <x:v>80.96353251139323</x:v>
      </x:c>
      <x:c r="L33" s="12" t="n">
        <x:v>55.48671290079752</x:v>
      </x:c>
      <x:c r="M33" s="12" t="n">
        <x:v>24.752534993489583</x:v>
      </x:c>
      <x:c r="N33" s="12" t="n">
        <x:v>24.905790328979492</x:v>
      </x:c>
      <x:c r="O33" s="12" t="n">
        <x:v>0.15325533548990933</x:v>
      </x:c>
      <x:c r="P33" s="12" t="n">
        <x:v>2.5752543210983276</x:v>
      </x:c>
      <x:c r="Q33" s="12" t="n">
        <x:v>3.508256475130717</x:v>
      </x:c>
      <x:c r="R33" s="12" t="n">
        <x:v>0.9330021540323892</x:v>
      </x:c>
      <x:c r="S33" s="11" t="n">
        <x:f>'Method'!$B$7</x:f>
        <x:v>0.2</x:v>
      </x:c>
      <x:c r="T33" s="11" t="n">
        <x:f>'Method'!$B$8</x:f>
        <x:v>0.2</x:v>
      </x:c>
      <x:c r="U33" s="11" t="n">
        <x:f>'Method'!$B$9</x:f>
        <x:v>0.2</x:v>
      </x:c>
      <x:c r="V33" s="11" t="n">
        <x:f>1-D33</x:f>
        <x:v>0.10446735395189011</x:v>
      </x:c>
      <x:c r="W33" s="11" t="n">
        <x:f>1-E33</x:f>
        <x:v>0.15463917525773196</x:v>
      </x:c>
      <x:c r="X33" s="11" t="n">
        <x:f>1-F33</x:f>
        <x:v>0.18625429553264605</x:v>
      </x:c>
    </x:row>
    <x:row r="34" ht="18" customHeight="1">
      <x:c r="A34" s="10" t="str">
        <x:v>GA</x:v>
      </x:c>
      <x:c r="B34" s="10" t="str">
        <x:v>13059</x:v>
      </x:c>
      <x:c r="C34" s="10" t="str">
        <x:v>Clarke County</x:v>
      </x:c>
      <x:c r="D34" s="11" t="n">
        <x:f>1-'Method'!$B$7*G34</x:f>
        <x:v>0.8845360824742268</x:v>
      </x:c>
      <x:c r="E34" s="11" t="n">
        <x:f>1-'Method'!$B$8*H34</x:f>
        <x:v>1</x:v>
      </x:c>
      <x:c r="F34" s="11" t="n">
        <x:f>1-'Method'!$B$9*I34</x:f>
        <x:v>0.8927835051546391</x:v>
      </x:c>
      <x:c r="G34" s="11" t="n">
        <x:v>0.5773195876288659</x:v>
      </x:c>
      <x:c r="H34" s="11" t="n">
        <x:v>0</x:v>
      </x:c>
      <x:c r="I34" s="11" t="n">
        <x:v>0.5360824742268041</x:v>
      </x:c>
      <x:c r="J34" s="12" t="n">
        <x:v>44.860876592000324</x:v>
      </x:c>
      <x:c r="K34" s="12" t="n">
        <x:v>101.61660410563151</x:v>
      </x:c>
      <x:c r="L34" s="12" t="n">
        <x:v>56.755727513631186</x:v>
      </x:c>
      <x:c r="M34" s="12" t="n">
        <x:v>25.72089188893636</x:v>
      </x:c>
      <x:c r="N34" s="12" t="n">
        <x:v>25.42467581431071</x:v>
      </x:c>
      <x:c r="O34" s="12" t="n">
        <x:v>0</x:v>
      </x:c>
      <x:c r="P34" s="12" t="n">
        <x:v>1.780855949719747</x:v>
      </x:c>
      <x:c r="Q34" s="12" t="n">
        <x:v>2.4671440919240317</x:v>
      </x:c>
      <x:c r="R34" s="12" t="n">
        <x:v>0.6862881422042848</x:v>
      </x:c>
      <x:c r="S34" s="11" t="n">
        <x:f>'Method'!$B$7</x:f>
        <x:v>0.2</x:v>
      </x:c>
      <x:c r="T34" s="11" t="n">
        <x:f>'Method'!$B$8</x:f>
        <x:v>0.2</x:v>
      </x:c>
      <x:c r="U34" s="11" t="n">
        <x:f>'Method'!$B$9</x:f>
        <x:v>0.2</x:v>
      </x:c>
      <x:c r="V34" s="11" t="n">
        <x:f>1-D34</x:f>
        <x:v>0.11546391752577323</x:v>
      </x:c>
      <x:c r="W34" s="11" t="n">
        <x:f>1-E34</x:f>
        <x:v>0</x:v>
      </x:c>
      <x:c r="X34" s="11" t="n">
        <x:f>1-F34</x:f>
        <x:v>0.10721649484536089</x:v>
      </x:c>
    </x:row>
    <x:row r="35" ht="18" customHeight="1">
      <x:c r="A35" s="10" t="str">
        <x:v>GA</x:v>
      </x:c>
      <x:c r="B35" s="10" t="str">
        <x:v>13061</x:v>
      </x:c>
      <x:c r="C35" s="10" t="str">
        <x:v>Clay County</x:v>
      </x:c>
      <x:c r="D35" s="11" t="n">
        <x:f>1-'Method'!$B$7*G35</x:f>
        <x:v>0.8109965635738832</x:v>
      </x:c>
      <x:c r="E35" s="11" t="n">
        <x:f>1-'Method'!$B$8*H35</x:f>
        <x:v>1</x:v>
      </x:c>
      <x:c r="F35" s="11" t="n">
        <x:f>1-'Method'!$B$9*I35</x:f>
        <x:v>0.9560137457044674</x:v>
      </x:c>
      <x:c r="G35" s="11" t="n">
        <x:v>0.9450171821305842</x:v>
      </x:c>
      <x:c r="H35" s="11" t="n">
        <x:v>0</x:v>
      </x:c>
      <x:c r="I35" s="11" t="n">
        <x:v>0.21993127147766323</x:v>
      </x:c>
      <x:c r="J35" s="12" t="n">
        <x:v>67.52021764119466</x:v>
      </x:c>
      <x:c r="K35" s="12" t="n">
        <x:v>130.33795344034831</x:v>
      </x:c>
      <x:c r="L35" s="12" t="n">
        <x:v>62.81773579915365</x:v>
      </x:c>
      <x:c r="M35" s="12" t="n">
        <x:v>27.403356806437174</x:v>
      </x:c>
      <x:c r="N35" s="12" t="n">
        <x:v>27.0568328221639</x:v>
      </x:c>
      <x:c r="O35" s="12" t="n">
        <x:v>0</x:v>
      </x:c>
      <x:c r="P35" s="12" t="n">
        <x:v>2.776077469189962</x:v>
      </x:c>
      <x:c r="Q35" s="12" t="n">
        <x:v>3.3306921164194745</x:v>
      </x:c>
      <x:c r="R35" s="12" t="n">
        <x:v>0.5546146472295126</x:v>
      </x:c>
      <x:c r="S35" s="11" t="n">
        <x:f>'Method'!$B$7</x:f>
        <x:v>0.2</x:v>
      </x:c>
      <x:c r="T35" s="11" t="n">
        <x:f>'Method'!$B$8</x:f>
        <x:v>0.2</x:v>
      </x:c>
      <x:c r="U35" s="11" t="n">
        <x:f>'Method'!$B$9</x:f>
        <x:v>0.2</x:v>
      </x:c>
      <x:c r="V35" s="11" t="n">
        <x:f>1-D35</x:f>
        <x:v>0.18900343642611683</x:v>
      </x:c>
      <x:c r="W35" s="11" t="n">
        <x:f>1-E35</x:f>
        <x:v>0</x:v>
      </x:c>
      <x:c r="X35" s="11" t="n">
        <x:f>1-F35</x:f>
        <x:v>0.0439862542955326</x:v>
      </x:c>
    </x:row>
    <x:row r="36" ht="18" customHeight="1">
      <x:c r="A36" s="10" t="str">
        <x:v>GA</x:v>
      </x:c>
      <x:c r="B36" s="10" t="str">
        <x:v>13063</x:v>
      </x:c>
      <x:c r="C36" s="10" t="str">
        <x:v>Clayton County</x:v>
      </x:c>
      <x:c r="D36" s="11" t="n">
        <x:f>1-'Method'!$B$7*G36</x:f>
        <x:v>0.8398625429553265</x:v>
      </x:c>
      <x:c r="E36" s="11" t="n">
        <x:f>1-'Method'!$B$8*H36</x:f>
        <x:v>0.8570446735395189</x:v>
      </x:c>
      <x:c r="F36" s="11" t="n">
        <x:f>1-'Method'!$B$9*I36</x:f>
        <x:v>0.9017182130584193</x:v>
      </x:c>
      <x:c r="G36" s="11" t="n">
        <x:v>0.8006872852233677</x:v>
      </x:c>
      <x:c r="H36" s="11" t="n">
        <x:v>0.7147766323024055</x:v>
      </x:c>
      <x:c r="I36" s="11" t="n">
        <x:v>0.49140893470790376</x:v>
      </x:c>
      <x:c r="J36" s="12" t="n">
        <x:v>32.648726081848146</x:v>
      </x:c>
      <x:c r="K36" s="12" t="n">
        <x:v>93.08873494466145</x:v>
      </x:c>
      <x:c r="L36" s="12" t="n">
        <x:v>60.44000886281331</x:v>
      </x:c>
      <x:c r="M36" s="12" t="n">
        <x:v>26.313142840067545</x:v>
      </x:c>
      <x:c r="N36" s="12" t="n">
        <x:v>26.35179748535156</x:v>
      </x:c>
      <x:c r="O36" s="12" t="n">
        <x:v>0.03865464528401574</x:v>
      </x:c>
      <x:c r="P36" s="12" t="n">
        <x:v>1.7890431801478068</x:v>
      </x:c>
      <x:c r="Q36" s="12" t="n">
        <x:v>2.4655839562416078</x:v>
      </x:c>
      <x:c r="R36" s="12" t="n">
        <x:v>0.6765407760938009</x:v>
      </x:c>
      <x:c r="S36" s="11" t="n">
        <x:f>'Method'!$B$7</x:f>
        <x:v>0.2</x:v>
      </x:c>
      <x:c r="T36" s="11" t="n">
        <x:f>'Method'!$B$8</x:f>
        <x:v>0.2</x:v>
      </x:c>
      <x:c r="U36" s="11" t="n">
        <x:f>'Method'!$B$9</x:f>
        <x:v>0.2</x:v>
      </x:c>
      <x:c r="V36" s="11" t="n">
        <x:f>1-D36</x:f>
        <x:v>0.16013745704467353</x:v>
      </x:c>
      <x:c r="W36" s="11" t="n">
        <x:f>1-E36</x:f>
        <x:v>0.14295532646048115</x:v>
      </x:c>
      <x:c r="X36" s="11" t="n">
        <x:f>1-F36</x:f>
        <x:v>0.09828178694158074</x:v>
      </x:c>
    </x:row>
    <x:row r="37" ht="18" customHeight="1">
      <x:c r="A37" s="10" t="str">
        <x:v>GA</x:v>
      </x:c>
      <x:c r="B37" s="10" t="str">
        <x:v>13065</x:v>
      </x:c>
      <x:c r="C37" s="10" t="str">
        <x:v>Clinch County</x:v>
      </x:c>
      <x:c r="D37" s="11" t="n">
        <x:f>1-'Method'!$B$7*G37</x:f>
        <x:v>0.8632302405498282</x:v>
      </x:c>
      <x:c r="E37" s="11" t="n">
        <x:f>1-'Method'!$B$8*H37</x:f>
        <x:v>1</x:v>
      </x:c>
      <x:c r="F37" s="11" t="n">
        <x:f>1-'Method'!$B$9*I37</x:f>
        <x:v>0.8687285223367698</x:v>
      </x:c>
      <x:c r="G37" s="11" t="n">
        <x:v>0.6838487972508591</x:v>
      </x:c>
      <x:c r="H37" s="11" t="n">
        <x:v>0</x:v>
      </x:c>
      <x:c r="I37" s="11" t="n">
        <x:v>0.6563573883161512</x:v>
      </x:c>
      <x:c r="J37" s="12" t="n">
        <x:v>80.03414840698242</x:v>
      </x:c>
      <x:c r="K37" s="12" t="n">
        <x:v>139.12573750813803</x:v>
      </x:c>
      <x:c r="L37" s="12" t="n">
        <x:v>59.091589101155606</x:v>
      </x:c>
      <x:c r="M37" s="12" t="n">
        <x:v>28.809592501322427</x:v>
      </x:c>
      <x:c r="N37" s="12" t="n">
        <x:v>28.03154182434082</x:v>
      </x:c>
      <x:c r="O37" s="12" t="n">
        <x:v>0</x:v>
      </x:c>
      <x:c r="P37" s="12" t="n">
        <x:v>2.264643891652425</x:v>
      </x:c>
      <x:c r="Q37" s="12" t="n">
        <x:v>3.0064720074335733</x:v>
      </x:c>
      <x:c r="R37" s="12" t="n">
        <x:v>0.7418281157811482</x:v>
      </x:c>
      <x:c r="S37" s="11" t="n">
        <x:f>'Method'!$B$7</x:f>
        <x:v>0.2</x:v>
      </x:c>
      <x:c r="T37" s="11" t="n">
        <x:f>'Method'!$B$8</x:f>
        <x:v>0.2</x:v>
      </x:c>
      <x:c r="U37" s="11" t="n">
        <x:f>'Method'!$B$9</x:f>
        <x:v>0.2</x:v>
      </x:c>
      <x:c r="V37" s="11" t="n">
        <x:f>1-D37</x:f>
        <x:v>0.13676975945017178</x:v>
      </x:c>
      <x:c r="W37" s="11" t="n">
        <x:f>1-E37</x:f>
        <x:v>0</x:v>
      </x:c>
      <x:c r="X37" s="11" t="n">
        <x:f>1-F37</x:f>
        <x:v>0.13127147766323022</x:v>
      </x:c>
    </x:row>
    <x:row r="38" ht="18" customHeight="1">
      <x:c r="A38" s="10" t="str">
        <x:v>GA</x:v>
      </x:c>
      <x:c r="B38" s="10" t="str">
        <x:v>13067</x:v>
      </x:c>
      <x:c r="C38" s="10" t="str">
        <x:v>Cobb County</x:v>
      </x:c>
      <x:c r="D38" s="11" t="n">
        <x:f>1-'Method'!$B$7*G38</x:f>
        <x:v>0.8501718213058419</x:v>
      </x:c>
      <x:c r="E38" s="11" t="n">
        <x:f>1-'Method'!$B$8*H38</x:f>
        <x:v>0.8130584192439863</x:v>
      </x:c>
      <x:c r="F38" s="11" t="n">
        <x:f>1-'Method'!$B$9*I38</x:f>
        <x:v>0.8487972508591065</x:v>
      </x:c>
      <x:c r="G38" s="11" t="n">
        <x:v>0.7491408934707904</x:v>
      </x:c>
      <x:c r="H38" s="11" t="n">
        <x:v>0.9347079037800687</x:v>
      </x:c>
      <x:c r="I38" s="11" t="n">
        <x:v>0.7560137457044673</x:v>
      </x:c>
      <x:c r="J38" s="12" t="n">
        <x:v>32.11747252146403</x:v>
      </x:c>
      <x:c r="K38" s="12" t="n">
        <x:v>91.91028289794922</x:v>
      </x:c>
      <x:c r="L38" s="12" t="n">
        <x:v>59.792810376485185</x:v>
      </x:c>
      <x:c r="M38" s="12" t="n">
        <x:v>24.930557759602866</x:v>
      </x:c>
      <x:c r="N38" s="12" t="n">
        <x:v>25.36630783081055</x:v>
      </x:c>
      <x:c r="O38" s="12" t="n">
        <x:v>0.43575007120768205</x:v>
      </x:c>
      <x:c r="P38" s="12" t="n">
        <x:v>2.0268401741981505</x:v>
      </x:c>
      <x:c r="Q38" s="12" t="n">
        <x:v>2.8064200321833295</x:v>
      </x:c>
      <x:c r="R38" s="12" t="n">
        <x:v>0.7795798579851789</x:v>
      </x:c>
      <x:c r="S38" s="11" t="n">
        <x:f>'Method'!$B$7</x:f>
        <x:v>0.2</x:v>
      </x:c>
      <x:c r="T38" s="11" t="n">
        <x:f>'Method'!$B$8</x:f>
        <x:v>0.2</x:v>
      </x:c>
      <x:c r="U38" s="11" t="n">
        <x:f>'Method'!$B$9</x:f>
        <x:v>0.2</x:v>
      </x:c>
      <x:c r="V38" s="11" t="n">
        <x:f>1-D38</x:f>
        <x:v>0.1498281786941581</x:v>
      </x:c>
      <x:c r="W38" s="11" t="n">
        <x:f>1-E38</x:f>
        <x:v>0.18694158075601375</x:v>
      </x:c>
      <x:c r="X38" s="11" t="n">
        <x:f>1-F38</x:f>
        <x:v>0.1512027491408935</x:v>
      </x:c>
    </x:row>
    <x:row r="39" ht="18" customHeight="1">
      <x:c r="A39" s="10" t="str">
        <x:v>GA</x:v>
      </x:c>
      <x:c r="B39" s="10" t="str">
        <x:v>13069</x:v>
      </x:c>
      <x:c r="C39" s="10" t="str">
        <x:v>Coffee County</x:v>
      </x:c>
      <x:c r="D39" s="11" t="n">
        <x:f>1-'Method'!$B$7*G39</x:f>
        <x:v>0.8673539518900344</x:v>
      </x:c>
      <x:c r="E39" s="11" t="n">
        <x:f>1-'Method'!$B$8*H39</x:f>
        <x:v>1</x:v>
      </x:c>
      <x:c r="F39" s="11" t="n">
        <x:f>1-'Method'!$B$9*I39</x:f>
        <x:v>0.9230240549828179</x:v>
      </x:c>
      <x:c r="G39" s="11" t="n">
        <x:v>0.6632302405498282</x:v>
      </x:c>
      <x:c r="H39" s="11" t="n">
        <x:v>0</x:v>
      </x:c>
      <x:c r="I39" s="11" t="n">
        <x:v>0.3848797250859107</x:v>
      </x:c>
      <x:c r="J39" s="12" t="n">
        <x:v>77.47298126220703</x:v>
      </x:c>
      <x:c r="K39" s="12" t="n">
        <x:v>136.3054532368978</x:v>
      </x:c>
      <x:c r="L39" s="12" t="n">
        <x:v>58.83247197469076</x:v>
      </x:c>
      <x:c r="M39" s="12" t="n">
        <x:v>29.04974276224772</x:v>
      </x:c>
      <x:c r="N39" s="12" t="n">
        <x:v>28.00184377034505</x:v>
      </x:c>
      <x:c r="O39" s="12" t="n">
        <x:v>0</x:v>
      </x:c>
      <x:c r="P39" s="12" t="n">
        <x:v>1.774291197458903</x:v>
      </x:c>
      <x:c r="Q39" s="12" t="n">
        <x:v>2.411666770776113</x:v>
      </x:c>
      <x:c r="R39" s="12" t="n">
        <x:v>0.63737557331721</x:v>
      </x:c>
      <x:c r="S39" s="11" t="n">
        <x:f>'Method'!$B$7</x:f>
        <x:v>0.2</x:v>
      </x:c>
      <x:c r="T39" s="11" t="n">
        <x:f>'Method'!$B$8</x:f>
        <x:v>0.2</x:v>
      </x:c>
      <x:c r="U39" s="11" t="n">
        <x:f>'Method'!$B$9</x:f>
        <x:v>0.2</x:v>
      </x:c>
      <x:c r="V39" s="11" t="n">
        <x:f>1-D39</x:f>
        <x:v>0.1326460481099656</x:v>
      </x:c>
      <x:c r="W39" s="11" t="n">
        <x:f>1-E39</x:f>
        <x:v>0</x:v>
      </x:c>
      <x:c r="X39" s="11" t="n">
        <x:f>1-F39</x:f>
        <x:v>0.07697594501718208</x:v>
      </x:c>
    </x:row>
    <x:row r="40" ht="18" customHeight="1">
      <x:c r="A40" s="10" t="str">
        <x:v>GA</x:v>
      </x:c>
      <x:c r="B40" s="10" t="str">
        <x:v>13071</x:v>
      </x:c>
      <x:c r="C40" s="10" t="str">
        <x:v>Colquitt County</x:v>
      </x:c>
      <x:c r="D40" s="11" t="n">
        <x:f>1-'Method'!$B$7*G40</x:f>
        <x:v>0.8199312714776632</x:v>
      </x:c>
      <x:c r="E40" s="11" t="n">
        <x:f>1-'Method'!$B$8*H40</x:f>
        <x:v>1</x:v>
      </x:c>
      <x:c r="F40" s="11" t="n">
        <x:f>1-'Method'!$B$9*I40</x:f>
        <x:v>0.8474226804123711</x:v>
      </x:c>
      <x:c r="G40" s="11" t="n">
        <x:v>0.9003436426116839</x:v>
      </x:c>
      <x:c r="H40" s="11" t="n">
        <x:v>0</x:v>
      </x:c>
      <x:c r="I40" s="11" t="n">
        <x:v>0.7628865979381443</x:v>
      </x:c>
      <x:c r="J40" s="12" t="n">
        <x:v>73.61512285868326</x:v>
      </x:c>
      <x:c r="K40" s="12" t="n">
        <x:v>135.74497985839844</x:v>
      </x:c>
      <x:c r="L40" s="12" t="n">
        <x:v>62.12985699971517</x:v>
      </x:c>
      <x:c r="M40" s="12" t="n">
        <x:v>27.845187695821128</x:v>
      </x:c>
      <x:c r="N40" s="12" t="n">
        <x:v>27.775194549560545</x:v>
      </x:c>
      <x:c r="O40" s="12" t="n">
        <x:v>0</x:v>
      </x:c>
      <x:c r="P40" s="12" t="n">
        <x:v>2.1717480421066284</x:v>
      </x:c>
      <x:c r="Q40" s="12" t="n">
        <x:v>2.9545106728871664</x:v>
      </x:c>
      <x:c r="R40" s="12" t="n">
        <x:v>0.782762630780538</x:v>
      </x:c>
      <x:c r="S40" s="11" t="n">
        <x:f>'Method'!$B$7</x:f>
        <x:v>0.2</x:v>
      </x:c>
      <x:c r="T40" s="11" t="n">
        <x:f>'Method'!$B$8</x:f>
        <x:v>0.2</x:v>
      </x:c>
      <x:c r="U40" s="11" t="n">
        <x:f>'Method'!$B$9</x:f>
        <x:v>0.2</x:v>
      </x:c>
      <x:c r="V40" s="11" t="n">
        <x:f>1-D40</x:f>
        <x:v>0.1800687285223368</x:v>
      </x:c>
      <x:c r="W40" s="11" t="n">
        <x:f>1-E40</x:f>
        <x:v>0</x:v>
      </x:c>
      <x:c r="X40" s="11" t="n">
        <x:f>1-F40</x:f>
        <x:v>0.15257731958762888</x:v>
      </x:c>
    </x:row>
    <x:row r="41" ht="18" customHeight="1">
      <x:c r="A41" s="10" t="str">
        <x:v>GA</x:v>
      </x:c>
      <x:c r="B41" s="10" t="str">
        <x:v>13073</x:v>
      </x:c>
      <x:c r="C41" s="10" t="str">
        <x:v>Columbia County</x:v>
      </x:c>
      <x:c r="D41" s="11" t="n">
        <x:f>1-'Method'!$B$7*G41</x:f>
        <x:v>0.8920962199312714</x:v>
      </x:c>
      <x:c r="E41" s="11" t="n">
        <x:f>1-'Method'!$B$8*H41</x:f>
        <x:v>1</x:v>
      </x:c>
      <x:c r="F41" s="11" t="n">
        <x:f>1-'Method'!$B$9*I41</x:f>
        <x:v>0.9140893470790378</x:v>
      </x:c>
      <x:c r="G41" s="11" t="n">
        <x:v>0.5395189003436426</x:v>
      </x:c>
      <x:c r="H41" s="11" t="n">
        <x:v>0</x:v>
      </x:c>
      <x:c r="I41" s="11" t="n">
        <x:v>0.42955326460481097</x:v>
      </x:c>
      <x:c r="J41" s="12" t="n">
        <x:v>57.015149688720705</x:v>
      </x:c>
      <x:c r="K41" s="12" t="n">
        <x:v>113.16903686523438</x:v>
      </x:c>
      <x:c r="L41" s="12" t="n">
        <x:v>56.15388717651367</x:v>
      </x:c>
      <x:c r="M41" s="12" t="n">
        <x:v>28.28351707458496</x:v>
      </x:c>
      <x:c r="N41" s="12" t="n">
        <x:v>26.91476764678955</x:v>
      </x:c>
      <x:c r="O41" s="12" t="n">
        <x:v>0</x:v>
      </x:c>
      <x:c r="P41" s="12" t="n">
        <x:v>1.752287173271179</x:v>
      </x:c>
      <x:c r="Q41" s="12" t="n">
        <x:v>2.407089376449585</x:v>
      </x:c>
      <x:c r="R41" s="12" t="n">
        <x:v>0.6548022031784058</x:v>
      </x:c>
      <x:c r="S41" s="11" t="n">
        <x:f>'Method'!$B$7</x:f>
        <x:v>0.2</x:v>
      </x:c>
      <x:c r="T41" s="11" t="n">
        <x:f>'Method'!$B$8</x:f>
        <x:v>0.2</x:v>
      </x:c>
      <x:c r="U41" s="11" t="n">
        <x:f>'Method'!$B$9</x:f>
        <x:v>0.2</x:v>
      </x:c>
      <x:c r="V41" s="11" t="n">
        <x:f>1-D41</x:f>
        <x:v>0.10790378006872858</x:v>
      </x:c>
      <x:c r="W41" s="11" t="n">
        <x:f>1-E41</x:f>
        <x:v>0</x:v>
      </x:c>
      <x:c r="X41" s="11" t="n">
        <x:f>1-F41</x:f>
        <x:v>0.08591065292096223</x:v>
      </x:c>
    </x:row>
    <x:row r="42" ht="18" customHeight="1">
      <x:c r="A42" s="10" t="str">
        <x:v>GA</x:v>
      </x:c>
      <x:c r="B42" s="10" t="str">
        <x:v>13075</x:v>
      </x:c>
      <x:c r="C42" s="10" t="str">
        <x:v>Cook County</x:v>
      </x:c>
      <x:c r="D42" s="11" t="n">
        <x:f>1-'Method'!$B$7*G42</x:f>
        <x:v>0.831615120274914</x:v>
      </x:c>
      <x:c r="E42" s="11" t="n">
        <x:f>1-'Method'!$B$8*H42</x:f>
        <x:v>0.8268041237113402</x:v>
      </x:c>
      <x:c r="F42" s="11" t="n">
        <x:f>1-'Method'!$B$9*I42</x:f>
        <x:v>0.8350515463917526</x:v>
      </x:c>
      <x:c r="G42" s="11" t="n">
        <x:v>0.8419243986254296</x:v>
      </x:c>
      <x:c r="H42" s="11" t="n">
        <x:v>0.865979381443299</x:v>
      </x:c>
      <x:c r="I42" s="11" t="n">
        <x:v>0.8247422680412371</x:v>
      </x:c>
      <x:c r="J42" s="12" t="n">
        <x:v>73.77168769836426</x:v>
      </x:c>
      <x:c r="K42" s="12" t="n">
        <x:v>134.82861785888673</x:v>
      </x:c>
      <x:c r="L42" s="12" t="n">
        <x:v>61.05693016052247</x:v>
      </x:c>
      <x:c r="M42" s="12" t="n">
        <x:v>27.203358713785807</x:v>
      </x:c>
      <x:c r="N42" s="12" t="n">
        <x:v>27.481228383382163</x:v>
      </x:c>
      <x:c r="O42" s="12" t="n">
        <x:v>0.27786966959635606</x:v>
      </x:c>
      <x:c r="P42" s="12" t="n">
        <x:v>2.3288065433502196</x:v>
      </x:c>
      <x:c r="Q42" s="12" t="n">
        <x:v>3.144117983182271</x:v>
      </x:c>
      <x:c r="R42" s="12" t="n">
        <x:v>0.8153114398320516</x:v>
      </x:c>
      <x:c r="S42" s="11" t="n">
        <x:f>'Method'!$B$7</x:f>
        <x:v>0.2</x:v>
      </x:c>
      <x:c r="T42" s="11" t="n">
        <x:f>'Method'!$B$8</x:f>
        <x:v>0.2</x:v>
      </x:c>
      <x:c r="U42" s="11" t="n">
        <x:f>'Method'!$B$9</x:f>
        <x:v>0.2</x:v>
      </x:c>
      <x:c r="V42" s="11" t="n">
        <x:f>1-D42</x:f>
        <x:v>0.16838487972508598</x:v>
      </x:c>
      <x:c r="W42" s="11" t="n">
        <x:f>1-E42</x:f>
        <x:v>0.17319587628865984</x:v>
      </x:c>
      <x:c r="X42" s="11" t="n">
        <x:f>1-F42</x:f>
        <x:v>0.1649484536082474</x:v>
      </x:c>
    </x:row>
    <x:row r="43" ht="18" customHeight="1">
      <x:c r="A43" s="10" t="str">
        <x:v>GA</x:v>
      </x:c>
      <x:c r="B43" s="10" t="str">
        <x:v>13077</x:v>
      </x:c>
      <x:c r="C43" s="10" t="str">
        <x:v>Coweta County</x:v>
      </x:c>
      <x:c r="D43" s="11" t="n">
        <x:f>1-'Method'!$B$7*G43</x:f>
        <x:v>0.8336769759450171</x:v>
      </x:c>
      <x:c r="E43" s="11" t="n">
        <x:f>1-'Method'!$B$8*H43</x:f>
        <x:v>1</x:v>
      </x:c>
      <x:c r="F43" s="11" t="n">
        <x:f>1-'Method'!$B$9*I43</x:f>
        <x:v>0.8405498281786942</x:v>
      </x:c>
      <x:c r="G43" s="11" t="n">
        <x:v>0.8316151202749141</x:v>
      </x:c>
      <x:c r="H43" s="11" t="n">
        <x:v>0</x:v>
      </x:c>
      <x:c r="I43" s="11" t="n">
        <x:v>0.7972508591065293</x:v>
      </x:c>
      <x:c r="J43" s="12" t="n">
        <x:v>36.913720703125</x:v>
      </x:c>
      <x:c r="K43" s="12" t="n">
        <x:v>97.86977971394857</x:v>
      </x:c>
      <x:c r="L43" s="12" t="n">
        <x:v>60.95605901082357</x:v>
      </x:c>
      <x:c r="M43" s="12" t="n">
        <x:v>25.812276077270507</x:v>
      </x:c>
      <x:c r="N43" s="12" t="n">
        <x:v>25.807568232218426</x:v>
      </x:c>
      <x:c r="O43" s="12" t="n">
        <x:v>0</x:v>
      </x:c>
      <x:c r="P43" s="12" t="n">
        <x:v>1.871761441230774</x:v>
      </x:c>
      <x:c r="Q43" s="12" t="n">
        <x:v>2.6769364277521768</x:v>
      </x:c>
      <x:c r="R43" s="12" t="n">
        <x:v>0.8051749865214028</x:v>
      </x:c>
      <x:c r="S43" s="11" t="n">
        <x:f>'Method'!$B$7</x:f>
        <x:v>0.2</x:v>
      </x:c>
      <x:c r="T43" s="11" t="n">
        <x:f>'Method'!$B$8</x:f>
        <x:v>0.2</x:v>
      </x:c>
      <x:c r="U43" s="11" t="n">
        <x:f>'Method'!$B$9</x:f>
        <x:v>0.2</x:v>
      </x:c>
      <x:c r="V43" s="11" t="n">
        <x:f>1-D43</x:f>
        <x:v>0.1663230240549829</x:v>
      </x:c>
      <x:c r="W43" s="11" t="n">
        <x:f>1-E43</x:f>
        <x:v>0</x:v>
      </x:c>
      <x:c r="X43" s="11" t="n">
        <x:f>1-F43</x:f>
        <x:v>0.15945017182130583</x:v>
      </x:c>
    </x:row>
    <x:row r="44" ht="18" customHeight="1">
      <x:c r="A44" s="10" t="str">
        <x:v>GA</x:v>
      </x:c>
      <x:c r="B44" s="10" t="str">
        <x:v>13079</x:v>
      </x:c>
      <x:c r="C44" s="10" t="str">
        <x:v>Crawford County</x:v>
      </x:c>
      <x:c r="D44" s="11" t="n">
        <x:f>1-'Method'!$B$7*G44</x:f>
        <x:v>0.8082474226804124</x:v>
      </x:c>
      <x:c r="E44" s="11" t="n">
        <x:f>1-'Method'!$B$8*H44</x:f>
        <x:v>1</x:v>
      </x:c>
      <x:c r="F44" s="11" t="n">
        <x:f>1-'Method'!$B$9*I44</x:f>
        <x:v>0.9546391752577319</x:v>
      </x:c>
      <x:c r="G44" s="11" t="n">
        <x:v>0.9587628865979382</x:v>
      </x:c>
      <x:c r="H44" s="11" t="n">
        <x:v>0</x:v>
      </x:c>
      <x:c r="I44" s="11" t="n">
        <x:v>0.2268041237113402</x:v>
      </x:c>
      <x:c r="J44" s="12" t="n">
        <x:v>59.046179580688474</x:v>
      </x:c>
      <x:c r="K44" s="12" t="n">
        <x:v>122.44547500610352</x:v>
      </x:c>
      <x:c r="L44" s="12" t="n">
        <x:v>63.39929542541505</x:v>
      </x:c>
      <x:c r="M44" s="12" t="n">
        <x:v>26.912523969014487</x:v>
      </x:c>
      <x:c r="N44" s="12" t="n">
        <x:v>26.544020716349284</x:v>
      </x:c>
      <x:c r="O44" s="12" t="n">
        <x:v>0</x:v>
      </x:c>
      <x:c r="P44" s="12" t="n">
        <x:v>1.5313410063584645</x:v>
      </x:c>
      <x:c r="Q44" s="12" t="n">
        <x:v>2.0902339458465575</x:v>
      </x:c>
      <x:c r="R44" s="12" t="n">
        <x:v>0.558892939488093</x:v>
      </x:c>
      <x:c r="S44" s="11" t="n">
        <x:f>'Method'!$B$7</x:f>
        <x:v>0.2</x:v>
      </x:c>
      <x:c r="T44" s="11" t="n">
        <x:f>'Method'!$B$8</x:f>
        <x:v>0.2</x:v>
      </x:c>
      <x:c r="U44" s="11" t="n">
        <x:f>'Method'!$B$9</x:f>
        <x:v>0.2</x:v>
      </x:c>
      <x:c r="V44" s="11" t="n">
        <x:f>1-D44</x:f>
        <x:v>0.1917525773195876</x:v>
      </x:c>
      <x:c r="W44" s="11" t="n">
        <x:f>1-E44</x:f>
        <x:v>0</x:v>
      </x:c>
      <x:c r="X44" s="11" t="n">
        <x:f>1-F44</x:f>
        <x:v>0.0453608247422681</x:v>
      </x:c>
    </x:row>
    <x:row r="45" ht="18" customHeight="1">
      <x:c r="A45" s="10" t="str">
        <x:v>GA</x:v>
      </x:c>
      <x:c r="B45" s="10" t="str">
        <x:v>13081</x:v>
      </x:c>
      <x:c r="C45" s="10" t="str">
        <x:v>Crisp County</x:v>
      </x:c>
      <x:c r="D45" s="11" t="n">
        <x:f>1-'Method'!$B$7*G45</x:f>
        <x:v>0.8900343642611683</x:v>
      </x:c>
      <x:c r="E45" s="11" t="n">
        <x:f>1-'Method'!$B$8*H45</x:f>
        <x:v>1</x:v>
      </x:c>
      <x:c r="F45" s="11" t="n">
        <x:f>1-'Method'!$B$9*I45</x:f>
        <x:v>0.8481099656357388</x:v>
      </x:c>
      <x:c r="G45" s="11" t="n">
        <x:v>0.5498281786941581</x:v>
      </x:c>
      <x:c r="H45" s="11" t="n">
        <x:v>0</x:v>
      </x:c>
      <x:c r="I45" s="11" t="n">
        <x:v>0.7594501718213058</x:v>
      </x:c>
      <x:c r="J45" s="12" t="n">
        <x:v>78.02267990112304</x:v>
      </x:c>
      <x:c r="K45" s="12" t="n">
        <x:v>134.2742940266927</x:v>
      </x:c>
      <x:c r="L45" s="12" t="n">
        <x:v>56.25161412556966</x:v>
      </x:c>
      <x:c r="M45" s="12" t="n">
        <x:v>29.884411430358888</x:v>
      </x:c>
      <x:c r="N45" s="12" t="n">
        <x:v>29.483360036214194</x:v>
      </x:c>
      <x:c r="O45" s="12" t="n">
        <x:v>0</x:v>
      </x:c>
      <x:c r="P45" s="12" t="n">
        <x:v>2.02861324151357</x:v>
      </x:c>
      <x:c r="Q45" s="12" t="n">
        <x:v>2.809260598818461</x:v>
      </x:c>
      <x:c r="R45" s="12" t="n">
        <x:v>0.7806473573048911</x:v>
      </x:c>
      <x:c r="S45" s="11" t="n">
        <x:f>'Method'!$B$7</x:f>
        <x:v>0.2</x:v>
      </x:c>
      <x:c r="T45" s="11" t="n">
        <x:f>'Method'!$B$8</x:f>
        <x:v>0.2</x:v>
      </x:c>
      <x:c r="U45" s="11" t="n">
        <x:f>'Method'!$B$9</x:f>
        <x:v>0.2</x:v>
      </x:c>
      <x:c r="V45" s="11" t="n">
        <x:f>1-D45</x:f>
        <x:v>0.10996563573883167</x:v>
      </x:c>
      <x:c r="W45" s="11" t="n">
        <x:f>1-E45</x:f>
        <x:v>0</x:v>
      </x:c>
      <x:c r="X45" s="11" t="n">
        <x:f>1-F45</x:f>
        <x:v>0.15189003436426118</x:v>
      </x:c>
    </x:row>
    <x:row r="46" ht="18" customHeight="1">
      <x:c r="A46" s="10" t="str">
        <x:v>GA</x:v>
      </x:c>
      <x:c r="B46" s="10" t="str">
        <x:v>13083</x:v>
      </x:c>
      <x:c r="C46" s="10" t="str">
        <x:v>Dade County</x:v>
      </x:c>
      <x:c r="D46" s="11" t="n">
        <x:f>1-'Method'!$B$7*G46</x:f>
        <x:v>0.9360824742268041</x:v>
      </x:c>
      <x:c r="E46" s="11" t="n">
        <x:f>1-'Method'!$B$8*H46</x:f>
        <x:v>0.8536082474226804</x:v>
      </x:c>
      <x:c r="F46" s="11" t="n">
        <x:f>1-'Method'!$B$9*I46</x:f>
        <x:v>0.8048109965635739</x:v>
      </x:c>
      <x:c r="G46" s="11" t="n">
        <x:v>0.31958762886597936</x:v>
      </x:c>
      <x:c r="H46" s="11" t="n">
        <x:v>0.7319587628865979</x:v>
      </x:c>
      <x:c r="I46" s="11" t="n">
        <x:v>0.9759450171821306</x:v>
      </x:c>
      <x:c r="J46" s="12" t="n">
        <x:v>19.0670134862264</x:v>
      </x:c>
      <x:c r="K46" s="12" t="n">
        <x:v>71.13173421223958</x:v>
      </x:c>
      <x:c r="L46" s="12" t="n">
        <x:v>52.06472072601318</x:v>
      </x:c>
      <x:c r="M46" s="12" t="n">
        <x:v>23.43025671641032</x:v>
      </x:c>
      <x:c r="N46" s="12" t="n">
        <x:v>23.50344155629476</x:v>
      </x:c>
      <x:c r="O46" s="12" t="n">
        <x:v>0.07318483988444058</x:v>
      </x:c>
      <x:c r="P46" s="12" t="n">
        <x:v>3.012295683224996</x:v>
      </x:c>
      <x:c r="Q46" s="12" t="n">
        <x:v>4.089783477783203</x:v>
      </x:c>
      <x:c r="R46" s="12" t="n">
        <x:v>1.0774877945582069</x:v>
      </x:c>
      <x:c r="S46" s="11" t="n">
        <x:f>'Method'!$B$7</x:f>
        <x:v>0.2</x:v>
      </x:c>
      <x:c r="T46" s="11" t="n">
        <x:f>'Method'!$B$8</x:f>
        <x:v>0.2</x:v>
      </x:c>
      <x:c r="U46" s="11" t="n">
        <x:f>'Method'!$B$9</x:f>
        <x:v>0.2</x:v>
      </x:c>
      <x:c r="V46" s="11" t="n">
        <x:f>1-D46</x:f>
        <x:v>0.06391752577319587</x:v>
      </x:c>
      <x:c r="W46" s="11" t="n">
        <x:f>1-E46</x:f>
        <x:v>0.14639175257731962</x:v>
      </x:c>
      <x:c r="X46" s="11" t="n">
        <x:f>1-F46</x:f>
        <x:v>0.1951890034364261</x:v>
      </x:c>
    </x:row>
    <x:row r="47" ht="18" customHeight="1">
      <x:c r="A47" s="10" t="str">
        <x:v>GA</x:v>
      </x:c>
      <x:c r="B47" s="10" t="str">
        <x:v>13085</x:v>
      </x:c>
      <x:c r="C47" s="10" t="str">
        <x:v>Dawson County</x:v>
      </x:c>
      <x:c r="D47" s="11" t="n">
        <x:f>1-'Method'!$B$7*G47</x:f>
        <x:v>0.9573883161512028</x:v>
      </x:c>
      <x:c r="E47" s="11" t="n">
        <x:f>1-'Method'!$B$8*H47</x:f>
        <x:v>0.8061855670103093</x:v>
      </x:c>
      <x:c r="F47" s="11" t="n">
        <x:f>1-'Method'!$B$9*I47</x:f>
        <x:v>0.8034364261168385</x:v>
      </x:c>
      <x:c r="G47" s="11" t="n">
        <x:v>0.21305841924398625</x:v>
      </x:c>
      <x:c r="H47" s="11" t="n">
        <x:v>0.9690721649484536</x:v>
      </x:c>
      <x:c r="I47" s="11" t="n">
        <x:v>0.9828178694158075</x:v>
      </x:c>
      <x:c r="J47" s="12" t="n">
        <x:v>16.084179083506267</x:v>
      </x:c>
      <x:c r="K47" s="12" t="n">
        <x:v>63.80239435831706</x:v>
      </x:c>
      <x:c r="L47" s="12" t="n">
        <x:v>47.71821527481079</x:v>
      </x:c>
      <x:c r="M47" s="12" t="n">
        <x:v>23.473460388183593</x:v>
      </x:c>
      <x:c r="N47" s="12" t="n">
        <x:v>24.031328201293945</x:v>
      </x:c>
      <x:c r="O47" s="12" t="n">
        <x:v>0.5578678131103523</x:v>
      </x:c>
      <x:c r="P47" s="12" t="n">
        <x:v>3.4353657881418864</x:v>
      </x:c>
      <x:c r="Q47" s="12" t="n">
        <x:v>4.544886859258016</x:v>
      </x:c>
      <x:c r="R47" s="12" t="n">
        <x:v>1.1095210711161294</x:v>
      </x:c>
      <x:c r="S47" s="11" t="n">
        <x:f>'Method'!$B$7</x:f>
        <x:v>0.2</x:v>
      </x:c>
      <x:c r="T47" s="11" t="n">
        <x:f>'Method'!$B$8</x:f>
        <x:v>0.2</x:v>
      </x:c>
      <x:c r="U47" s="11" t="n">
        <x:f>'Method'!$B$9</x:f>
        <x:v>0.2</x:v>
      </x:c>
      <x:c r="V47" s="11" t="n">
        <x:f>1-D47</x:f>
        <x:v>0.04261168384879721</x:v>
      </x:c>
      <x:c r="W47" s="11" t="n">
        <x:f>1-E47</x:f>
        <x:v>0.1938144329896907</x:v>
      </x:c>
      <x:c r="X47" s="11" t="n">
        <x:f>1-F47</x:f>
        <x:v>0.19656357388316148</x:v>
      </x:c>
    </x:row>
    <x:row r="48" ht="18" customHeight="1">
      <x:c r="A48" s="10" t="str">
        <x:v>GA</x:v>
      </x:c>
      <x:c r="B48" s="10" t="str">
        <x:v>13087</x:v>
      </x:c>
      <x:c r="C48" s="10" t="str">
        <x:v>Decatur County</x:v>
      </x:c>
      <x:c r="D48" s="11" t="n">
        <x:f>1-'Method'!$B$7*G48</x:f>
        <x:v>0.8130584192439863</x:v>
      </x:c>
      <x:c r="E48" s="11" t="n">
        <x:f>1-'Method'!$B$8*H48</x:f>
        <x:v>1</x:v>
      </x:c>
      <x:c r="F48" s="11" t="n">
        <x:f>1-'Method'!$B$9*I48</x:f>
        <x:v>0.8371134020618557</x:v>
      </x:c>
      <x:c r="G48" s="11" t="n">
        <x:v>0.9347079037800687</x:v>
      </x:c>
      <x:c r="H48" s="11" t="n">
        <x:v>0</x:v>
      </x:c>
      <x:c r="I48" s="11" t="n">
        <x:v>0.8144329896907216</x:v>
      </x:c>
      <x:c r="J48" s="12" t="n">
        <x:v>77.88280995686848</x:v>
      </x:c>
      <x:c r="K48" s="12" t="n">
        <x:v>140.47479222615559</x:v>
      </x:c>
      <x:c r="L48" s="12" t="n">
        <x:v>62.5919822692871</x:v>
      </x:c>
      <x:c r="M48" s="12" t="n">
        <x:v>27.83564484914144</x:v>
      </x:c>
      <x:c r="N48" s="12" t="n">
        <x:v>27.620909627278646</x:v>
      </x:c>
      <x:c r="O48" s="12" t="n">
        <x:v>0</x:v>
      </x:c>
      <x:c r="P48" s="12" t="n">
        <x:v>2.6839164018630983</x:v>
      </x:c>
      <x:c r="Q48" s="12" t="n">
        <x:v>3.4972644567489626</x:v>
      </x:c>
      <x:c r="R48" s="12" t="n">
        <x:v>0.8133480548858643</x:v>
      </x:c>
      <x:c r="S48" s="11" t="n">
        <x:f>'Method'!$B$7</x:f>
        <x:v>0.2</x:v>
      </x:c>
      <x:c r="T48" s="11" t="n">
        <x:f>'Method'!$B$8</x:f>
        <x:v>0.2</x:v>
      </x:c>
      <x:c r="U48" s="11" t="n">
        <x:f>'Method'!$B$9</x:f>
        <x:v>0.2</x:v>
      </x:c>
      <x:c r="V48" s="11" t="n">
        <x:f>1-D48</x:f>
        <x:v>0.18694158075601375</x:v>
      </x:c>
      <x:c r="W48" s="11" t="n">
        <x:f>1-E48</x:f>
        <x:v>0</x:v>
      </x:c>
      <x:c r="X48" s="11" t="n">
        <x:f>1-F48</x:f>
        <x:v>0.1628865979381443</x:v>
      </x:c>
    </x:row>
    <x:row r="49" ht="18" customHeight="1">
      <x:c r="A49" s="10" t="str">
        <x:v>GA</x:v>
      </x:c>
      <x:c r="B49" s="10" t="str">
        <x:v>13089</x:v>
      </x:c>
      <x:c r="C49" s="10" t="str">
        <x:v>DeKalb County</x:v>
      </x:c>
      <x:c r="D49" s="11" t="n">
        <x:f>1-'Method'!$B$7*G49</x:f>
        <x:v>0.8467353951890034</x:v>
      </x:c>
      <x:c r="E49" s="11" t="n">
        <x:f>1-'Method'!$B$8*H49</x:f>
        <x:v>0.8302405498281786</x:v>
      </x:c>
      <x:c r="F49" s="11" t="n">
        <x:f>1-'Method'!$B$9*I49</x:f>
        <x:v>0.9127147766323024</x:v>
      </x:c>
      <x:c r="G49" s="11" t="n">
        <x:v>0.7663230240549829</x:v>
      </x:c>
      <x:c r="H49" s="11" t="n">
        <x:v>0.8487972508591065</x:v>
      </x:c>
      <x:c r="I49" s="11" t="n">
        <x:v>0.436426116838488</x:v>
      </x:c>
      <x:c r="J49" s="12" t="n">
        <x:v>31.47008934020996</x:v>
      </x:c>
      <x:c r="K49" s="12" t="n">
        <x:v>91.60751088460286</x:v>
      </x:c>
      <x:c r="L49" s="12" t="n">
        <x:v>60.1374215443929</x:v>
      </x:c>
      <x:c r="M49" s="12" t="n">
        <x:v>24.654318300882974</x:v>
      </x:c>
      <x:c r="N49" s="12" t="n">
        <x:v>24.88931573232015</x:v>
      </x:c>
      <x:c r="O49" s="12" t="n">
        <x:v>0.23499743143717566</x:v>
      </x:c>
      <x:c r="P49" s="12" t="n">
        <x:v>1.4923913876215618</x:v>
      </x:c>
      <x:c r="Q49" s="12" t="n">
        <x:v>2.1487717032432556</x:v>
      </x:c>
      <x:c r="R49" s="12" t="n">
        <x:v>0.6563803156216939</x:v>
      </x:c>
      <x:c r="S49" s="11" t="n">
        <x:f>'Method'!$B$7</x:f>
        <x:v>0.2</x:v>
      </x:c>
      <x:c r="T49" s="11" t="n">
        <x:f>'Method'!$B$8</x:f>
        <x:v>0.2</x:v>
      </x:c>
      <x:c r="U49" s="11" t="n">
        <x:f>'Method'!$B$9</x:f>
        <x:v>0.2</x:v>
      </x:c>
      <x:c r="V49" s="11" t="n">
        <x:f>1-D49</x:f>
        <x:v>0.15326460481099657</x:v>
      </x:c>
      <x:c r="W49" s="11" t="n">
        <x:f>1-E49</x:f>
        <x:v>0.16975945017182137</x:v>
      </x:c>
      <x:c r="X49" s="11" t="n">
        <x:f>1-F49</x:f>
        <x:v>0.08728522336769762</x:v>
      </x:c>
    </x:row>
    <x:row r="50" ht="18" customHeight="1">
      <x:c r="A50" s="10" t="str">
        <x:v>GA</x:v>
      </x:c>
      <x:c r="B50" s="10" t="str">
        <x:v>13091</x:v>
      </x:c>
      <x:c r="C50" s="10" t="str">
        <x:v>Dodge County</x:v>
      </x:c>
      <x:c r="D50" s="11" t="n">
        <x:f>1-'Method'!$B$7*G50</x:f>
        <x:v>0.9106529209621993</x:v>
      </x:c>
      <x:c r="E50" s="11" t="n">
        <x:f>1-'Method'!$B$8*H50</x:f>
        <x:v>1</x:v>
      </x:c>
      <x:c r="F50" s="11" t="n">
        <x:f>1-'Method'!$B$9*I50</x:f>
        <x:v>0.852233676975945</x:v>
      </x:c>
      <x:c r="G50" s="11" t="n">
        <x:v>0.44673539518900346</x:v>
      </x:c>
      <x:c r="H50" s="11" t="n">
        <x:v>0</x:v>
      </x:c>
      <x:c r="I50" s="11" t="n">
        <x:v>0.738831615120275</x:v>
      </x:c>
      <x:c r="J50" s="12" t="n">
        <x:v>76.10488306681314</x:v>
      </x:c>
      <x:c r="K50" s="12" t="n">
        <x:v>130.16430943806967</x:v>
      </x:c>
      <x:c r="L50" s="12" t="n">
        <x:v>54.05942637125652</x:v>
      </x:c>
      <x:c r="M50" s="12" t="n">
        <x:v>28.884372075398762</x:v>
      </x:c>
      <x:c r="N50" s="12" t="n">
        <x:v>28.3719482421875</x:v>
      </x:c>
      <x:c r="O50" s="12" t="n">
        <x:v>0</x:v>
      </x:c>
      <x:c r="P50" s="12" t="n">
        <x:v>2.029737881819407</x:v>
      </x:c>
      <x:c r="Q50" s="12" t="n">
        <x:v>2.802743411064148</x:v>
      </x:c>
      <x:c r="R50" s="12" t="n">
        <x:v>0.7730055292447409</x:v>
      </x:c>
      <x:c r="S50" s="11" t="n">
        <x:f>'Method'!$B$7</x:f>
        <x:v>0.2</x:v>
      </x:c>
      <x:c r="T50" s="11" t="n">
        <x:f>'Method'!$B$8</x:f>
        <x:v>0.2</x:v>
      </x:c>
      <x:c r="U50" s="11" t="n">
        <x:f>'Method'!$B$9</x:f>
        <x:v>0.2</x:v>
      </x:c>
      <x:c r="V50" s="11" t="n">
        <x:f>1-D50</x:f>
        <x:v>0.0893470790378007</x:v>
      </x:c>
      <x:c r="W50" s="11" t="n">
        <x:f>1-E50</x:f>
        <x:v>0</x:v>
      </x:c>
      <x:c r="X50" s="11" t="n">
        <x:f>1-F50</x:f>
        <x:v>0.147766323024055</x:v>
      </x:c>
    </x:row>
    <x:row r="51" ht="18" customHeight="1">
      <x:c r="A51" s="10" t="str">
        <x:v>GA</x:v>
      </x:c>
      <x:c r="B51" s="10" t="str">
        <x:v>13093</x:v>
      </x:c>
      <x:c r="C51" s="10" t="str">
        <x:v>Dooly County</x:v>
      </x:c>
      <x:c r="D51" s="11" t="n">
        <x:f>1-'Method'!$B$7*G51</x:f>
        <x:v>0.8701030927835052</x:v>
      </x:c>
      <x:c r="E51" s="11" t="n">
        <x:f>1-'Method'!$B$8*H51</x:f>
        <x:v>1</x:v>
      </x:c>
      <x:c r="F51" s="11" t="n">
        <x:f>1-'Method'!$B$9*I51</x:f>
        <x:v>0.8989690721649485</x:v>
      </x:c>
      <x:c r="G51" s="11" t="n">
        <x:v>0.6494845360824743</x:v>
      </x:c>
      <x:c r="H51" s="11" t="n">
        <x:v>0</x:v>
      </x:c>
      <x:c r="I51" s="11" t="n">
        <x:v>0.5051546391752577</x:v>
      </x:c>
      <x:c r="J51" s="12" t="n">
        <x:v>73.29885711669922</x:v>
      </x:c>
      <x:c r="K51" s="12" t="n">
        <x:v>131.99266510009767</x:v>
      </x:c>
      <x:c r="L51" s="12" t="n">
        <x:v>58.69380798339844</x:v>
      </x:c>
      <x:c r="M51" s="12" t="n">
        <x:v>28.36130886077881</x:v>
      </x:c>
      <x:c r="N51" s="12" t="n">
        <x:v>28.06286366780599</x:v>
      </x:c>
      <x:c r="O51" s="12" t="n">
        <x:v>0</x:v>
      </x:c>
      <x:c r="P51" s="12" t="n">
        <x:v>1.7809226433436076</x:v>
      </x:c>
      <x:c r="Q51" s="12" t="n">
        <x:v>2.4612163941065472</x:v>
      </x:c>
      <x:c r="R51" s="12" t="n">
        <x:v>0.6802937507629396</x:v>
      </x:c>
      <x:c r="S51" s="11" t="n">
        <x:f>'Method'!$B$7</x:f>
        <x:v>0.2</x:v>
      </x:c>
      <x:c r="T51" s="11" t="n">
        <x:f>'Method'!$B$8</x:f>
        <x:v>0.2</x:v>
      </x:c>
      <x:c r="U51" s="11" t="n">
        <x:f>'Method'!$B$9</x:f>
        <x:v>0.2</x:v>
      </x:c>
      <x:c r="V51" s="11" t="n">
        <x:f>1-D51</x:f>
        <x:v>0.12989690721649483</x:v>
      </x:c>
      <x:c r="W51" s="11" t="n">
        <x:f>1-E51</x:f>
        <x:v>0</x:v>
      </x:c>
      <x:c r="X51" s="11" t="n">
        <x:f>1-F51</x:f>
        <x:v>0.10103092783505152</x:v>
      </x:c>
    </x:row>
    <x:row r="52" ht="18" customHeight="1">
      <x:c r="A52" s="10" t="str">
        <x:v>GA</x:v>
      </x:c>
      <x:c r="B52" s="10" t="str">
        <x:v>13095</x:v>
      </x:c>
      <x:c r="C52" s="10" t="str">
        <x:v>Dougherty County</x:v>
      </x:c>
      <x:c r="D52" s="11" t="n">
        <x:f>1-'Method'!$B$7*G52</x:f>
        <x:v>0.8639175257731959</x:v>
      </x:c>
      <x:c r="E52" s="11" t="n">
        <x:f>1-'Method'!$B$8*H52</x:f>
        <x:v>1</x:v>
      </x:c>
      <x:c r="F52" s="11" t="n">
        <x:f>1-'Method'!$B$9*I52</x:f>
        <x:v>0.8721649484536083</x:v>
      </x:c>
      <x:c r="G52" s="11" t="n">
        <x:v>0.6804123711340206</x:v>
      </x:c>
      <x:c r="H52" s="11" t="n">
        <x:v>0</x:v>
      </x:c>
      <x:c r="I52" s="11" t="n">
        <x:v>0.6391752577319587</x:v>
      </x:c>
      <x:c r="J52" s="12" t="n">
        <x:v>76.10166625976562</x:v>
      </x:c>
      <x:c r="K52" s="12" t="n">
        <x:v>135.1539733886719</x:v>
      </x:c>
      <x:c r="L52" s="12" t="n">
        <x:v>59.052307128906264</x:v>
      </x:c>
      <x:c r="M52" s="12" t="n">
        <x:v>27.688678359985353</x:v>
      </x:c>
      <x:c r="N52" s="12" t="n">
        <x:v>27.292319107055665</x:v>
      </x:c>
      <x:c r="O52" s="12" t="n">
        <x:v>0</x:v>
      </x:c>
      <x:c r="P52" s="12" t="n">
        <x:v>1.9561679045359293</x:v>
      </x:c>
      <x:c r="Q52" s="12" t="n">
        <x:v>2.692453118165334</x:v>
      </x:c>
      <x:c r="R52" s="12" t="n">
        <x:v>0.7362852136294047</x:v>
      </x:c>
      <x:c r="S52" s="11" t="n">
        <x:f>'Method'!$B$7</x:f>
        <x:v>0.2</x:v>
      </x:c>
      <x:c r="T52" s="11" t="n">
        <x:f>'Method'!$B$8</x:f>
        <x:v>0.2</x:v>
      </x:c>
      <x:c r="U52" s="11" t="n">
        <x:f>'Method'!$B$9</x:f>
        <x:v>0.2</x:v>
      </x:c>
      <x:c r="V52" s="11" t="n">
        <x:f>1-D52</x:f>
        <x:v>0.13608247422680408</x:v>
      </x:c>
      <x:c r="W52" s="11" t="n">
        <x:f>1-E52</x:f>
        <x:v>0</x:v>
      </x:c>
      <x:c r="X52" s="11" t="n">
        <x:f>1-F52</x:f>
        <x:v>0.12783505154639174</x:v>
      </x:c>
    </x:row>
    <x:row r="53" ht="18" customHeight="1">
      <x:c r="A53" s="10" t="str">
        <x:v>GA</x:v>
      </x:c>
      <x:c r="B53" s="10" t="str">
        <x:v>13097</x:v>
      </x:c>
      <x:c r="C53" s="10" t="str">
        <x:v>Douglas County</x:v>
      </x:c>
      <x:c r="D53" s="11" t="n">
        <x:f>1-'Method'!$B$7*G53</x:f>
        <x:v>0.8597938144329897</x:v>
      </x:c>
      <x:c r="E53" s="11" t="n">
        <x:f>1-'Method'!$B$8*H53</x:f>
        <x:v>0.8467353951890034</x:v>
      </x:c>
      <x:c r="F53" s="11" t="n">
        <x:f>1-'Method'!$B$9*I53</x:f>
        <x:v>0.8797250859106529</x:v>
      </x:c>
      <x:c r="G53" s="11" t="n">
        <x:v>0.7010309278350515</x:v>
      </x:c>
      <x:c r="H53" s="11" t="n">
        <x:v>0.7663230240549829</x:v>
      </x:c>
      <x:c r="I53" s="11" t="n">
        <x:v>0.6013745704467354</x:v>
      </x:c>
      <x:c r="J53" s="12" t="n">
        <x:v>30.84349708557129</x:v>
      </x:c>
      <x:c r="K53" s="12" t="n">
        <x:v>90.0888287862142</x:v>
      </x:c>
      <x:c r="L53" s="12" t="n">
        <x:v>59.24533170064291</x:v>
      </x:c>
      <x:c r="M53" s="12" t="n">
        <x:v>25.315090815226238</x:v>
      </x:c>
      <x:c r="N53" s="12" t="n">
        <x:v>25.443455568949382</x:v>
      </x:c>
      <x:c r="O53" s="12" t="n">
        <x:v>0.12836475372314382</x:v>
      </x:c>
      <x:c r="P53" s="12" t="n">
        <x:v>2.0054380853970843</x:v>
      </x:c>
      <x:c r="Q53" s="12" t="n">
        <x:v>2.7143392006556195</x:v>
      </x:c>
      <x:c r="R53" s="12" t="n">
        <x:v>0.7089011152585352</x:v>
      </x:c>
      <x:c r="S53" s="11" t="n">
        <x:f>'Method'!$B$7</x:f>
        <x:v>0.2</x:v>
      </x:c>
      <x:c r="T53" s="11" t="n">
        <x:f>'Method'!$B$8</x:f>
        <x:v>0.2</x:v>
      </x:c>
      <x:c r="U53" s="11" t="n">
        <x:f>'Method'!$B$9</x:f>
        <x:v>0.2</x:v>
      </x:c>
      <x:c r="V53" s="11" t="n">
        <x:f>1-D53</x:f>
        <x:v>0.14020618556701026</x:v>
      </x:c>
      <x:c r="W53" s="11" t="n">
        <x:f>1-E53</x:f>
        <x:v>0.15326460481099657</x:v>
      </x:c>
      <x:c r="X53" s="11" t="n">
        <x:f>1-F53</x:f>
        <x:v>0.1202749140893471</x:v>
      </x:c>
    </x:row>
    <x:row r="54" ht="18" customHeight="1">
      <x:c r="A54" s="10" t="str">
        <x:v>GA</x:v>
      </x:c>
      <x:c r="B54" s="10" t="str">
        <x:v>13099</x:v>
      </x:c>
      <x:c r="C54" s="10" t="str">
        <x:v>Early County</x:v>
      </x:c>
      <x:c r="D54" s="11" t="n">
        <x:f>1-'Method'!$B$7*G54</x:f>
        <x:v>0.8061855670103093</x:v>
      </x:c>
      <x:c r="E54" s="11" t="n">
        <x:f>1-'Method'!$B$8*H54</x:f>
        <x:v>1</x:v>
      </x:c>
      <x:c r="F54" s="11" t="n">
        <x:f>1-'Method'!$B$9*I54</x:f>
        <x:v>0.8756013745704467</x:v>
      </x:c>
      <x:c r="G54" s="11" t="n">
        <x:v>0.9690721649484536</x:v>
      </x:c>
      <x:c r="H54" s="11" t="n">
        <x:v>0</x:v>
      </x:c>
      <x:c r="I54" s="11" t="n">
        <x:v>0.6219931271477663</x:v>
      </x:c>
      <x:c r="J54" s="12" t="n">
        <x:v>74.15402259826661</x:v>
      </x:c>
      <x:c r="K54" s="12" t="n">
        <x:v>137.72178497314454</x:v>
      </x:c>
      <x:c r="L54" s="12" t="n">
        <x:v>63.56776237487793</x:v>
      </x:c>
      <x:c r="M54" s="12" t="n">
        <x:v>27.290827560424805</x:v>
      </x:c>
      <x:c r="N54" s="12" t="n">
        <x:v>26.767730458577475</x:v>
      </x:c>
      <x:c r="O54" s="12" t="n">
        <x:v>0</x:v>
      </x:c>
      <x:c r="P54" s="12" t="n">
        <x:v>2.618037764231364</x:v>
      </x:c>
      <x:c r="Q54" s="12" t="n">
        <x:v>3.3452245394388833</x:v>
      </x:c>
      <x:c r="R54" s="12" t="n">
        <x:v>0.7271867752075192</x:v>
      </x:c>
      <x:c r="S54" s="11" t="n">
        <x:f>'Method'!$B$7</x:f>
        <x:v>0.2</x:v>
      </x:c>
      <x:c r="T54" s="11" t="n">
        <x:f>'Method'!$B$8</x:f>
        <x:v>0.2</x:v>
      </x:c>
      <x:c r="U54" s="11" t="n">
        <x:f>'Method'!$B$9</x:f>
        <x:v>0.2</x:v>
      </x:c>
      <x:c r="V54" s="11" t="n">
        <x:f>1-D54</x:f>
        <x:v>0.1938144329896907</x:v>
      </x:c>
      <x:c r="W54" s="11" t="n">
        <x:f>1-E54</x:f>
        <x:v>0</x:v>
      </x:c>
      <x:c r="X54" s="11" t="n">
        <x:f>1-F54</x:f>
        <x:v>0.12439862542955327</x:v>
      </x:c>
    </x:row>
    <x:row r="55" ht="18" customHeight="1">
      <x:c r="A55" s="10" t="str">
        <x:v>GA</x:v>
      </x:c>
      <x:c r="B55" s="10" t="str">
        <x:v>13101</x:v>
      </x:c>
      <x:c r="C55" s="10" t="str">
        <x:v>Echols County</x:v>
      </x:c>
      <x:c r="D55" s="11" t="n">
        <x:f>1-'Method'!$B$7*G55</x:f>
        <x:v>0.8254295532646048</x:v>
      </x:c>
      <x:c r="E55" s="11" t="n">
        <x:f>1-'Method'!$B$8*H55</x:f>
        <x:v>1</x:v>
      </x:c>
      <x:c r="F55" s="11" t="n">
        <x:f>1-'Method'!$B$9*I55</x:f>
        <x:v>0.9120274914089347</x:v>
      </x:c>
      <x:c r="G55" s="11" t="n">
        <x:v>0.872852233676976</x:v>
      </x:c>
      <x:c r="H55" s="11" t="n">
        <x:v>0</x:v>
      </x:c>
      <x:c r="I55" s="11" t="n">
        <x:v>0.43986254295532645</x:v>
      </x:c>
      <x:c r="J55" s="12" t="n">
        <x:v>80.1769276936849</x:v>
      </x:c>
      <x:c r="K55" s="12" t="n">
        <x:v>141.6693244934082</x:v>
      </x:c>
      <x:c r="L55" s="12" t="n">
        <x:v>61.492396799723295</x:v>
      </x:c>
      <x:c r="M55" s="12" t="n">
        <x:v>28.033735593159992</x:v>
      </x:c>
      <x:c r="N55" s="12" t="n">
        <x:v>27.182416979471842</x:v>
      </x:c>
      <x:c r="O55" s="12" t="n">
        <x:v>0</x:v>
      </x:c>
      <x:c r="P55" s="12" t="n">
        <x:v>2.0608024994532266</x:v>
      </x:c>
      <x:c r="Q55" s="12" t="n">
        <x:v>2.7173046271006265</x:v>
      </x:c>
      <x:c r="R55" s="12" t="n">
        <x:v>0.6565021276473999</x:v>
      </x:c>
      <x:c r="S55" s="11" t="n">
        <x:f>'Method'!$B$7</x:f>
        <x:v>0.2</x:v>
      </x:c>
      <x:c r="T55" s="11" t="n">
        <x:f>'Method'!$B$8</x:f>
        <x:v>0.2</x:v>
      </x:c>
      <x:c r="U55" s="11" t="n">
        <x:f>'Method'!$B$9</x:f>
        <x:v>0.2</x:v>
      </x:c>
      <x:c r="V55" s="11" t="n">
        <x:f>1-D55</x:f>
        <x:v>0.17457044673539523</x:v>
      </x:c>
      <x:c r="W55" s="11" t="n">
        <x:f>1-E55</x:f>
        <x:v>0</x:v>
      </x:c>
      <x:c r="X55" s="11" t="n">
        <x:f>1-F55</x:f>
        <x:v>0.08797250859106531</x:v>
      </x:c>
    </x:row>
    <x:row r="56" ht="18" customHeight="1">
      <x:c r="A56" s="10" t="str">
        <x:v>GA</x:v>
      </x:c>
      <x:c r="B56" s="10" t="str">
        <x:v>13103</x:v>
      </x:c>
      <x:c r="C56" s="10" t="str">
        <x:v>Effingham County</x:v>
      </x:c>
      <x:c r="D56" s="11" t="n">
        <x:f>1-'Method'!$B$7*G56</x:f>
        <x:v>0.8378006872852234</x:v>
      </x:c>
      <x:c r="E56" s="11" t="n">
        <x:f>1-'Method'!$B$8*H56</x:f>
        <x:v>1</x:v>
      </x:c>
      <x:c r="F56" s="11" t="n">
        <x:f>1-'Method'!$B$9*I56</x:f>
        <x:v>0.9353951890034364</x:v>
      </x:c>
      <x:c r="G56" s="11" t="n">
        <x:v>0.8109965635738832</x:v>
      </x:c>
      <x:c r="H56" s="11" t="n">
        <x:v>0</x:v>
      </x:c>
      <x:c r="I56" s="11" t="n">
        <x:v>0.3230240549828179</x:v>
      </x:c>
      <x:c r="J56" s="12" t="n">
        <x:v>62.613263575236004</x:v>
      </x:c>
      <x:c r="K56" s="12" t="n">
        <x:v>123.2931292215983</x:v>
      </x:c>
      <x:c r="L56" s="12" t="n">
        <x:v>60.6798656463623</x:v>
      </x:c>
      <x:c r="M56" s="12" t="n">
        <x:v>27.832641283671062</x:v>
      </x:c>
      <x:c r="N56" s="12" t="n">
        <x:v>26.930091222127277</x:v>
      </x:c>
      <x:c r="O56" s="12" t="n">
        <x:v>0</x:v>
      </x:c>
      <x:c r="P56" s="12" t="n">
        <x:v>1.5253334482510885</x:v>
      </x:c>
      <x:c r="Q56" s="12" t="n">
        <x:v>2.1319023847579954</x:v>
      </x:c>
      <x:c r="R56" s="12" t="n">
        <x:v>0.6065689365069069</x:v>
      </x:c>
      <x:c r="S56" s="11" t="n">
        <x:f>'Method'!$B$7</x:f>
        <x:v>0.2</x:v>
      </x:c>
      <x:c r="T56" s="11" t="n">
        <x:f>'Method'!$B$8</x:f>
        <x:v>0.2</x:v>
      </x:c>
      <x:c r="U56" s="11" t="n">
        <x:f>'Method'!$B$9</x:f>
        <x:v>0.2</x:v>
      </x:c>
      <x:c r="V56" s="11" t="n">
        <x:f>1-D56</x:f>
        <x:v>0.1621993127147766</x:v>
      </x:c>
      <x:c r="W56" s="11" t="n">
        <x:f>1-E56</x:f>
        <x:v>0</x:v>
      </x:c>
      <x:c r="X56" s="11" t="n">
        <x:f>1-F56</x:f>
        <x:v>0.06460481099656357</x:v>
      </x:c>
    </x:row>
    <x:row r="57" ht="18" customHeight="1">
      <x:c r="A57" s="10" t="str">
        <x:v>GA</x:v>
      </x:c>
      <x:c r="B57" s="10" t="str">
        <x:v>13105</x:v>
      </x:c>
      <x:c r="C57" s="10" t="str">
        <x:v>Elbert County</x:v>
      </x:c>
      <x:c r="D57" s="11" t="n">
        <x:f>1-'Method'!$B$7*G57</x:f>
        <x:v>0.9079037800687285</x:v>
      </x:c>
      <x:c r="E57" s="11" t="n">
        <x:f>1-'Method'!$B$8*H57</x:f>
        <x:v>1</x:v>
      </x:c>
      <x:c r="F57" s="11" t="n">
        <x:f>1-'Method'!$B$9*I57</x:f>
        <x:v>0.8123711340206186</x:v>
      </x:c>
      <x:c r="G57" s="11" t="n">
        <x:v>0.46048109965635736</x:v>
      </x:c>
      <x:c r="H57" s="11" t="n">
        <x:v>0</x:v>
      </x:c>
      <x:c r="I57" s="11" t="n">
        <x:v>0.9381443298969072</x:v>
      </x:c>
      <x:c r="J57" s="12" t="n">
        <x:v>40.93811111450195</x:v>
      </x:c>
      <x:c r="K57" s="12" t="n">
        <x:v>95.33400166829428</x:v>
      </x:c>
      <x:c r="L57" s="12" t="n">
        <x:v>54.39589055379233</x:v>
      </x:c>
      <x:c r="M57" s="12" t="n">
        <x:v>27.614220428466798</x:v>
      </x:c>
      <x:c r="N57" s="12" t="n">
        <x:v>27.0619202931722</x:v>
      </x:c>
      <x:c r="O57" s="12" t="n">
        <x:v>0</x:v>
      </x:c>
      <x:c r="P57" s="12" t="n">
        <x:v>1.8710462729136148</x:v>
      </x:c>
      <x:c r="Q57" s="12" t="n">
        <x:v>2.808351182937622</x:v>
      </x:c>
      <x:c r="R57" s="12" t="n">
        <x:v>0.9373049100240072</x:v>
      </x:c>
      <x:c r="S57" s="11" t="n">
        <x:f>'Method'!$B$7</x:f>
        <x:v>0.2</x:v>
      </x:c>
      <x:c r="T57" s="11" t="n">
        <x:f>'Method'!$B$8</x:f>
        <x:v>0.2</x:v>
      </x:c>
      <x:c r="U57" s="11" t="n">
        <x:f>'Method'!$B$9</x:f>
        <x:v>0.2</x:v>
      </x:c>
      <x:c r="V57" s="11" t="n">
        <x:f>1-D57</x:f>
        <x:v>0.09209621993127148</x:v>
      </x:c>
      <x:c r="W57" s="11" t="n">
        <x:f>1-E57</x:f>
        <x:v>0</x:v>
      </x:c>
      <x:c r="X57" s="11" t="n">
        <x:f>1-F57</x:f>
        <x:v>0.18762886597938144</x:v>
      </x:c>
    </x:row>
    <x:row r="58" ht="18" customHeight="1">
      <x:c r="A58" s="10" t="str">
        <x:v>GA</x:v>
      </x:c>
      <x:c r="B58" s="10" t="str">
        <x:v>13107</x:v>
      </x:c>
      <x:c r="C58" s="10" t="str">
        <x:v>Emanuel County</x:v>
      </x:c>
      <x:c r="D58" s="11" t="n">
        <x:f>1-'Method'!$B$7*G58</x:f>
        <x:v>0.8852233676975945</x:v>
      </x:c>
      <x:c r="E58" s="11" t="n">
        <x:f>1-'Method'!$B$8*H58</x:f>
        <x:v>1</x:v>
      </x:c>
      <x:c r="F58" s="11" t="n">
        <x:f>1-'Method'!$B$9*I58</x:f>
        <x:v>0.9539518900343642</x:v>
      </x:c>
      <x:c r="G58" s="11" t="n">
        <x:v>0.5738831615120275</x:v>
      </x:c>
      <x:c r="H58" s="11" t="n">
        <x:v>0</x:v>
      </x:c>
      <x:c r="I58" s="11" t="n">
        <x:v>0.23024054982817868</x:v>
      </x:c>
      <x:c r="J58" s="12" t="n">
        <x:v>71.30938873291015</x:v>
      </x:c>
      <x:c r="K58" s="12" t="n">
        <x:v>128.04259541829427</x:v>
      </x:c>
      <x:c r="L58" s="12" t="n">
        <x:v>56.73320668538412</x:v>
      </x:c>
      <x:c r="M58" s="12" t="n">
        <x:v>28.050941022237144</x:v>
      </x:c>
      <x:c r="N58" s="12" t="n">
        <x:v>27.094094848632814</x:v>
      </x:c>
      <x:c r="O58" s="12" t="n">
        <x:v>0</x:v>
      </x:c>
      <x:c r="P58" s="12" t="n">
        <x:v>1.4699912269910176</x:v>
      </x:c>
      <x:c r="Q58" s="12" t="n">
        <x:v>2.0317563017209372</x:v>
      </x:c>
      <x:c r="R58" s="12" t="n">
        <x:v>0.5617650747299197</x:v>
      </x:c>
      <x:c r="S58" s="11" t="n">
        <x:f>'Method'!$B$7</x:f>
        <x:v>0.2</x:v>
      </x:c>
      <x:c r="T58" s="11" t="n">
        <x:f>'Method'!$B$8</x:f>
        <x:v>0.2</x:v>
      </x:c>
      <x:c r="U58" s="11" t="n">
        <x:f>'Method'!$B$9</x:f>
        <x:v>0.2</x:v>
      </x:c>
      <x:c r="V58" s="11" t="n">
        <x:f>1-D58</x:f>
        <x:v>0.11477663230240553</x:v>
      </x:c>
      <x:c r="W58" s="11" t="n">
        <x:f>1-E58</x:f>
        <x:v>0</x:v>
      </x:c>
      <x:c r="X58" s="11" t="n">
        <x:f>1-F58</x:f>
        <x:v>0.0460481099656358</x:v>
      </x:c>
    </x:row>
    <x:row r="59" ht="18" customHeight="1">
      <x:c r="A59" s="10" t="str">
        <x:v>GA</x:v>
      </x:c>
      <x:c r="B59" s="10" t="str">
        <x:v>13109</x:v>
      </x:c>
      <x:c r="C59" s="10" t="str">
        <x:v>Evans County</x:v>
      </x:c>
      <x:c r="D59" s="11" t="n">
        <x:f>1-'Method'!$B$7*G59</x:f>
        <x:v>0.8694158075601375</x:v>
      </x:c>
      <x:c r="E59" s="11" t="n">
        <x:f>1-'Method'!$B$8*H59</x:f>
        <x:v>1</x:v>
      </x:c>
      <x:c r="F59" s="11" t="n">
        <x:f>1-'Method'!$B$9*I59</x:f>
        <x:v>0.8611683848797251</x:v>
      </x:c>
      <x:c r="G59" s="11" t="n">
        <x:v>0.6529209621993127</x:v>
      </x:c>
      <x:c r="H59" s="11" t="n">
        <x:v>0</x:v>
      </x:c>
      <x:c r="I59" s="11" t="n">
        <x:v>0.6941580756013745</x:v>
      </x:c>
      <x:c r="J59" s="12" t="n">
        <x:v>71.0933671315511</x:v>
      </x:c>
      <x:c r="K59" s="12" t="n">
        <x:v>129.83709487915038</x:v>
      </x:c>
      <x:c r="L59" s="12" t="n">
        <x:v>58.74372774759928</x:v>
      </x:c>
      <x:c r="M59" s="12" t="n">
        <x:v>29.19488302866618</x:v>
      </x:c>
      <x:c r="N59" s="12" t="n">
        <x:v>28.097925885518393</x:v>
      </x:c>
      <x:c r="O59" s="12" t="n">
        <x:v>0</x:v>
      </x:c>
      <x:c r="P59" s="12" t="n">
        <x:v>1.4507077614466348</x:v>
      </x:c>
      <x:c r="Q59" s="12" t="n">
        <x:v>2.2037185430526733</x:v>
      </x:c>
      <x:c r="R59" s="12" t="n">
        <x:v>0.7530107816060385</x:v>
      </x:c>
      <x:c r="S59" s="11" t="n">
        <x:f>'Method'!$B$7</x:f>
        <x:v>0.2</x:v>
      </x:c>
      <x:c r="T59" s="11" t="n">
        <x:f>'Method'!$B$8</x:f>
        <x:v>0.2</x:v>
      </x:c>
      <x:c r="U59" s="11" t="n">
        <x:f>'Method'!$B$9</x:f>
        <x:v>0.2</x:v>
      </x:c>
      <x:c r="V59" s="11" t="n">
        <x:f>1-D59</x:f>
        <x:v>0.13058419243986252</x:v>
      </x:c>
      <x:c r="W59" s="11" t="n">
        <x:f>1-E59</x:f>
        <x:v>0</x:v>
      </x:c>
      <x:c r="X59" s="11" t="n">
        <x:f>1-F59</x:f>
        <x:v>0.13883161512027486</x:v>
      </x:c>
    </x:row>
    <x:row r="60" ht="18" customHeight="1">
      <x:c r="A60" s="10" t="str">
        <x:v>GA</x:v>
      </x:c>
      <x:c r="B60" s="10" t="str">
        <x:v>13111</x:v>
      </x:c>
      <x:c r="C60" s="10" t="str">
        <x:v>Fannin County</x:v>
      </x:c>
      <x:c r="D60" s="11" t="n">
        <x:f>1-'Method'!$B$7*G60</x:f>
        <x:v>0.979381443298969</x:v>
      </x:c>
      <x:c r="E60" s="11" t="n">
        <x:f>1-'Method'!$B$8*H60</x:f>
        <x:v>0.8041237113402062</x:v>
      </x:c>
      <x:c r="F60" s="11" t="n">
        <x:f>1-'Method'!$B$9*I60</x:f>
        <x:v>0.815807560137457</x:v>
      </x:c>
      <x:c r="G60" s="11" t="n">
        <x:v>0.10309278350515463</x:v>
      </x:c>
      <x:c r="H60" s="11" t="n">
        <x:v>0.979381443298969</x:v>
      </x:c>
      <x:c r="I60" s="11" t="n">
        <x:v>0.9209621993127147</x:v>
      </x:c>
      <x:c r="J60" s="12" t="n">
        <x:v>6.025788577397664</x:v>
      </x:c>
      <x:c r="K60" s="12" t="n">
        <x:v>47.21127891540527</x:v>
      </x:c>
      <x:c r="L60" s="12" t="n">
        <x:v>41.18549033800761</x:v>
      </x:c>
      <x:c r="M60" s="12" t="n">
        <x:v>21.060774930318196</x:v>
      </x:c>
      <x:c r="N60" s="12" t="n">
        <x:v>21.666394805908205</x:v>
      </x:c>
      <x:c r="O60" s="12" t="n">
        <x:v>0.6056198755900084</x:v>
      </x:c>
      <x:c r="P60" s="12" t="n">
        <x:v>2.703165396054586</x:v>
      </x:c>
      <x:c r="Q60" s="12" t="n">
        <x:v>3.626927208900452</x:v>
      </x:c>
      <x:c r="R60" s="12" t="n">
        <x:v>0.923761812845866</x:v>
      </x:c>
      <x:c r="S60" s="11" t="n">
        <x:f>'Method'!$B$7</x:f>
        <x:v>0.2</x:v>
      </x:c>
      <x:c r="T60" s="11" t="n">
        <x:f>'Method'!$B$8</x:f>
        <x:v>0.2</x:v>
      </x:c>
      <x:c r="U60" s="11" t="n">
        <x:f>'Method'!$B$9</x:f>
        <x:v>0.2</x:v>
      </x:c>
      <x:c r="V60" s="11" t="n">
        <x:f>1-D60</x:f>
        <x:v>0.020618556701030966</x:v>
      </x:c>
      <x:c r="W60" s="11" t="n">
        <x:f>1-E60</x:f>
        <x:v>0.19587628865979378</x:v>
      </x:c>
      <x:c r="X60" s="11" t="n">
        <x:f>1-F60</x:f>
        <x:v>0.18419243986254297</x:v>
      </x:c>
    </x:row>
    <x:row r="61" ht="18" customHeight="1">
      <x:c r="A61" s="10" t="str">
        <x:v>GA</x:v>
      </x:c>
      <x:c r="B61" s="10" t="str">
        <x:v>13113</x:v>
      </x:c>
      <x:c r="C61" s="10" t="str">
        <x:v>Fayette County</x:v>
      </x:c>
      <x:c r="D61" s="11" t="n">
        <x:f>1-'Method'!$B$7*G61</x:f>
        <x:v>0.8240549828178694</x:v>
      </x:c>
      <x:c r="E61" s="11" t="n">
        <x:f>1-'Method'!$B$8*H61</x:f>
        <x:v>1</x:v>
      </x:c>
      <x:c r="F61" s="11" t="n">
        <x:f>1-'Method'!$B$9*I61</x:f>
        <x:v>0.9161512027491409</x:v>
      </x:c>
      <x:c r="G61" s="11" t="n">
        <x:v>0.8797250859106529</x:v>
      </x:c>
      <x:c r="H61" s="11" t="n">
        <x:v>0</x:v>
      </x:c>
      <x:c r="I61" s="11" t="n">
        <x:v>0.41924398625429554</x:v>
      </x:c>
      <x:c r="J61" s="12" t="n">
        <x:v>33.77586994171143</x:v>
      </x:c>
      <x:c r="K61" s="12" t="n">
        <x:v>95.46259053548177</x:v>
      </x:c>
      <x:c r="L61" s="12" t="n">
        <x:v>61.68672059377034</x:v>
      </x:c>
      <x:c r="M61" s="12" t="n">
        <x:v>25.329220072428384</x:v>
      </x:c>
      <x:c r="N61" s="12" t="n">
        <x:v>25.304574139912923</x:v>
      </x:c>
      <x:c r="O61" s="12" t="n">
        <x:v>0</x:v>
      </x:c>
      <x:c r="P61" s="12" t="n">
        <x:v>1.5500411947568258</x:v>
      </x:c>
      <x:c r="Q61" s="12" t="n">
        <x:v>2.200349791844686</x:v>
      </x:c>
      <x:c r="R61" s="12" t="n">
        <x:v>0.6503085970878602</x:v>
      </x:c>
      <x:c r="S61" s="11" t="n">
        <x:f>'Method'!$B$7</x:f>
        <x:v>0.2</x:v>
      </x:c>
      <x:c r="T61" s="11" t="n">
        <x:f>'Method'!$B$8</x:f>
        <x:v>0.2</x:v>
      </x:c>
      <x:c r="U61" s="11" t="n">
        <x:f>'Method'!$B$9</x:f>
        <x:v>0.2</x:v>
      </x:c>
      <x:c r="V61" s="11" t="n">
        <x:f>1-D61</x:f>
        <x:v>0.17594501718213063</x:v>
      </x:c>
      <x:c r="W61" s="11" t="n">
        <x:f>1-E61</x:f>
        <x:v>0</x:v>
      </x:c>
      <x:c r="X61" s="11" t="n">
        <x:f>1-F61</x:f>
        <x:v>0.08384879725085914</x:v>
      </x:c>
    </x:row>
    <x:row r="62" ht="18" customHeight="1">
      <x:c r="A62" s="10" t="str">
        <x:v>GA</x:v>
      </x:c>
      <x:c r="B62" s="10" t="str">
        <x:v>13115</x:v>
      </x:c>
      <x:c r="C62" s="10" t="str">
        <x:v>Floyd County</x:v>
      </x:c>
      <x:c r="D62" s="11" t="n">
        <x:f>1-'Method'!$B$7*G62</x:f>
        <x:v>0.8426116838487973</x:v>
      </x:c>
      <x:c r="E62" s="11" t="n">
        <x:f>1-'Method'!$B$8*H62</x:f>
        <x:v>0.8460481099656357</x:v>
      </x:c>
      <x:c r="F62" s="11" t="n">
        <x:f>1-'Method'!$B$9*I62</x:f>
        <x:v>0.8281786941580755</x:v>
      </x:c>
      <x:c r="G62" s="11" t="n">
        <x:v>0.7869415807560137</x:v>
      </x:c>
      <x:c r="H62" s="11" t="n">
        <x:v>0.7697594501718213</x:v>
      </x:c>
      <x:c r="I62" s="11" t="n">
        <x:v>0.8591065292096219</x:v>
      </x:c>
      <x:c r="J62" s="12" t="n">
        <x:v>35.526956176757814</x:v>
      </x:c>
      <x:c r="K62" s="12" t="n">
        <x:v>95.82790247599284</x:v>
      </x:c>
      <x:c r="L62" s="12" t="n">
        <x:v>60.30094629923503</x:v>
      </x:c>
      <x:c r="M62" s="12" t="n">
        <x:v>24.725446065266926</x:v>
      </x:c>
      <x:c r="N62" s="12" t="n">
        <x:v>24.85942211151123</x:v>
      </x:c>
      <x:c r="O62" s="12" t="n">
        <x:v>0.13397604624430315</x:v>
      </x:c>
      <x:c r="P62" s="12" t="n">
        <x:v>2.1773881475130716</x:v>
      </x:c>
      <x:c r="Q62" s="12" t="n">
        <x:v>3.0167372862497968</x:v>
      </x:c>
      <x:c r="R62" s="12" t="n">
        <x:v>0.8393491387367251</x:v>
      </x:c>
      <x:c r="S62" s="11" t="n">
        <x:f>'Method'!$B$7</x:f>
        <x:v>0.2</x:v>
      </x:c>
      <x:c r="T62" s="11" t="n">
        <x:f>'Method'!$B$8</x:f>
        <x:v>0.2</x:v>
      </x:c>
      <x:c r="U62" s="11" t="n">
        <x:f>'Method'!$B$9</x:f>
        <x:v>0.2</x:v>
      </x:c>
      <x:c r="V62" s="11" t="n">
        <x:f>1-D62</x:f>
        <x:v>0.15738831615120275</x:v>
      </x:c>
      <x:c r="W62" s="11" t="n">
        <x:f>1-E62</x:f>
        <x:v>0.15395189003436427</x:v>
      </x:c>
      <x:c r="X62" s="11" t="n">
        <x:f>1-F62</x:f>
        <x:v>0.17182130584192445</x:v>
      </x:c>
    </x:row>
    <x:row r="63" ht="18" customHeight="1">
      <x:c r="A63" s="10" t="str">
        <x:v>GA</x:v>
      </x:c>
      <x:c r="B63" s="10" t="str">
        <x:v>13117</x:v>
      </x:c>
      <x:c r="C63" s="10" t="str">
        <x:v>Forsyth County</x:v>
      </x:c>
      <x:c r="D63" s="11" t="n">
        <x:f>1-'Method'!$B$7*G63</x:f>
        <x:v>0.9395189003436426</x:v>
      </x:c>
      <x:c r="E63" s="11" t="n">
        <x:f>1-'Method'!$B$8*H63</x:f>
        <x:v>0.8336769759450171</x:v>
      </x:c>
      <x:c r="F63" s="11" t="n">
        <x:f>1-'Method'!$B$9*I63</x:f>
        <x:v>0.8041237113402062</x:v>
      </x:c>
      <x:c r="G63" s="11" t="n">
        <x:v>0.3024054982817869</x:v>
      </x:c>
      <x:c r="H63" s="11" t="n">
        <x:v>0.8316151202749141</x:v>
      </x:c>
      <x:c r="I63" s="11" t="n">
        <x:v>0.979381443298969</x:v>
      </x:c>
      <x:c r="J63" s="12" t="n">
        <x:v>22.745748202006023</x:v>
      </x:c>
      <x:c r="K63" s="12" t="n">
        <x:v>74.65430043538412</x:v>
      </x:c>
      <x:c r="L63" s="12" t="n">
        <x:v>51.90855223337809</x:v>
      </x:c>
      <x:c r="M63" s="12" t="n">
        <x:v>24.574616940816245</x:v>
      </x:c>
      <x:c r="N63" s="12" t="n">
        <x:v>24.776881154378255</x:v>
      </x:c>
      <x:c r="O63" s="12" t="n">
        <x:v>0.2022642135620103</x:v>
      </x:c>
      <x:c r="P63" s="12" t="n">
        <x:v>2.6969542940457663</x:v>
      </x:c>
      <x:c r="Q63" s="12" t="n">
        <x:v>3.791985193888346</x:v>
      </x:c>
      <x:c r="R63" s="12" t="n">
        <x:v>1.09503089984258</x:v>
      </x:c>
      <x:c r="S63" s="11" t="n">
        <x:f>'Method'!$B$7</x:f>
        <x:v>0.2</x:v>
      </x:c>
      <x:c r="T63" s="11" t="n">
        <x:f>'Method'!$B$8</x:f>
        <x:v>0.2</x:v>
      </x:c>
      <x:c r="U63" s="11" t="n">
        <x:f>'Method'!$B$9</x:f>
        <x:v>0.2</x:v>
      </x:c>
      <x:c r="V63" s="11" t="n">
        <x:f>1-D63</x:f>
        <x:v>0.060481099656357395</x:v>
      </x:c>
      <x:c r="W63" s="11" t="n">
        <x:f>1-E63</x:f>
        <x:v>0.1663230240549829</x:v>
      </x:c>
      <x:c r="X63" s="11" t="n">
        <x:f>1-F63</x:f>
        <x:v>0.19587628865979378</x:v>
      </x:c>
    </x:row>
    <x:row r="64" ht="18" customHeight="1">
      <x:c r="A64" s="10" t="str">
        <x:v>GA</x:v>
      </x:c>
      <x:c r="B64" s="10" t="str">
        <x:v>13119</x:v>
      </x:c>
      <x:c r="C64" s="10" t="str">
        <x:v>Franklin County</x:v>
      </x:c>
      <x:c r="D64" s="11" t="n">
        <x:f>1-'Method'!$B$7*G64</x:f>
        <x:v>0.8762886597938144</x:v>
      </x:c>
      <x:c r="E64" s="11" t="n">
        <x:f>1-'Method'!$B$8*H64</x:f>
        <x:v>1</x:v>
      </x:c>
      <x:c r="F64" s="11" t="n">
        <x:f>1-'Method'!$B$9*I64</x:f>
        <x:v>0.8185567010309278</x:v>
      </x:c>
      <x:c r="G64" s="11" t="n">
        <x:v>0.6185567010309279</x:v>
      </x:c>
      <x:c r="H64" s="11" t="n">
        <x:v>0</x:v>
      </x:c>
      <x:c r="I64" s="11" t="n">
        <x:v>0.9072164948453608</x:v>
      </x:c>
      <x:c r="J64" s="12" t="n">
        <x:v>35.5015308380127</x:v>
      </x:c>
      <x:c r="K64" s="12" t="n">
        <x:v>93.4729715983073</x:v>
      </x:c>
      <x:c r="L64" s="12" t="n">
        <x:v>57.9714407602946</x:v>
      </x:c>
      <x:c r="M64" s="12" t="n">
        <x:v>25.491841570536295</x:v>
      </x:c>
      <x:c r="N64" s="12" t="n">
        <x:v>25.271756744384767</x:v>
      </x:c>
      <x:c r="O64" s="12" t="n">
        <x:v>0</x:v>
      </x:c>
      <x:c r="P64" s="12" t="n">
        <x:v>2.0361122727394103</x:v>
      </x:c>
      <x:c r="Q64" s="12" t="n">
        <x:v>2.9449738264083862</x:v>
      </x:c>
      <x:c r="R64" s="12" t="n">
        <x:v>0.9088615536689759</x:v>
      </x:c>
      <x:c r="S64" s="11" t="n">
        <x:f>'Method'!$B$7</x:f>
        <x:v>0.2</x:v>
      </x:c>
      <x:c r="T64" s="11" t="n">
        <x:f>'Method'!$B$8</x:f>
        <x:v>0.2</x:v>
      </x:c>
      <x:c r="U64" s="11" t="n">
        <x:f>'Method'!$B$9</x:f>
        <x:v>0.2</x:v>
      </x:c>
      <x:c r="V64" s="11" t="n">
        <x:f>1-D64</x:f>
        <x:v>0.12371134020618557</x:v>
      </x:c>
      <x:c r="W64" s="11" t="n">
        <x:f>1-E64</x:f>
        <x:v>0</x:v>
      </x:c>
      <x:c r="X64" s="11" t="n">
        <x:f>1-F64</x:f>
        <x:v>0.1814432989690722</x:v>
      </x:c>
    </x:row>
    <x:row r="65" ht="18" customHeight="1">
      <x:c r="A65" s="10" t="str">
        <x:v>GA</x:v>
      </x:c>
      <x:c r="B65" s="10" t="str">
        <x:v>13121</x:v>
      </x:c>
      <x:c r="C65" s="10" t="str">
        <x:v>Fulton County</x:v>
      </x:c>
      <x:c r="D65" s="11" t="n">
        <x:f>1-'Method'!$B$7*G65</x:f>
        <x:v>0.8584192439862542</x:v>
      </x:c>
      <x:c r="E65" s="11" t="n">
        <x:f>1-'Method'!$B$8*H65</x:f>
        <x:v>0.831615120274914</x:v>
      </x:c>
      <x:c r="F65" s="11" t="n">
        <x:f>1-'Method'!$B$9*I65</x:f>
        <x:v>0.8859106529209622</x:v>
      </x:c>
      <x:c r="G65" s="11" t="n">
        <x:v>0.7079037800687286</x:v>
      </x:c>
      <x:c r="H65" s="11" t="n">
        <x:v>0.8419243986254296</x:v>
      </x:c>
      <x:c r="I65" s="11" t="n">
        <x:v>0.570446735395189</x:v>
      </x:c>
      <x:c r="J65" s="12" t="n">
        <x:v>30.740964508056642</x:v>
      </x:c>
      <x:c r="K65" s="12" t="n">
        <x:v>90.01644465128581</x:v>
      </x:c>
      <x:c r="L65" s="12" t="n">
        <x:v>59.27548014322917</x:v>
      </x:c>
      <x:c r="M65" s="12" t="n">
        <x:v>24.940361722310385</x:v>
      </x:c>
      <x:c r="N65" s="12" t="n">
        <x:v>25.158426602681477</x:v>
      </x:c>
      <x:c r="O65" s="12" t="n">
        <x:v>0.21806488037109162</x:v>
      </x:c>
      <x:c r="P65" s="12" t="n">
        <x:v>1.762756637732188</x:v>
      </x:c>
      <x:c r="Q65" s="12" t="n">
        <x:v>2.4573390603065492</x:v>
      </x:c>
      <x:c r="R65" s="12" t="n">
        <x:v>0.6945824225743613</x:v>
      </x:c>
      <x:c r="S65" s="11" t="n">
        <x:f>'Method'!$B$7</x:f>
        <x:v>0.2</x:v>
      </x:c>
      <x:c r="T65" s="11" t="n">
        <x:f>'Method'!$B$8</x:f>
        <x:v>0.2</x:v>
      </x:c>
      <x:c r="U65" s="11" t="n">
        <x:f>'Method'!$B$9</x:f>
        <x:v>0.2</x:v>
      </x:c>
      <x:c r="V65" s="11" t="n">
        <x:f>1-D65</x:f>
        <x:v>0.14158075601374576</x:v>
      </x:c>
      <x:c r="W65" s="11" t="n">
        <x:f>1-E65</x:f>
        <x:v>0.16838487972508598</x:v>
      </x:c>
      <x:c r="X65" s="11" t="n">
        <x:f>1-F65</x:f>
        <x:v>0.11408934707903784</x:v>
      </x:c>
    </x:row>
    <x:row r="66" ht="18" customHeight="1">
      <x:c r="A66" s="10" t="str">
        <x:v>GA</x:v>
      </x:c>
      <x:c r="B66" s="10" t="str">
        <x:v>13123</x:v>
      </x:c>
      <x:c r="C66" s="10" t="str">
        <x:v>Gilmer County</x:v>
      </x:c>
      <x:c r="D66" s="11" t="n">
        <x:f>1-'Method'!$B$7*G66</x:f>
        <x:v>0.9807560137457044</x:v>
      </x:c>
      <x:c r="E66" s="11" t="n">
        <x:f>1-'Method'!$B$8*H66</x:f>
        <x:v>0.8013745704467354</x:v>
      </x:c>
      <x:c r="F66" s="11" t="n">
        <x:f>1-'Method'!$B$9*I66</x:f>
        <x:v>0.8075601374570447</x:v>
      </x:c>
      <x:c r="G66" s="11" t="n">
        <x:v>0.09621993127147767</x:v>
      </x:c>
      <x:c r="H66" s="11" t="n">
        <x:v>0.993127147766323</x:v>
      </x:c>
      <x:c r="I66" s="11" t="n">
        <x:v>0.9621993127147767</x:v>
      </x:c>
      <x:c r="J66" s="12" t="n">
        <x:v>9.143349313735962</x:v>
      </x:c>
      <x:c r="K66" s="12" t="n">
        <x:v>49.253706487019855</x:v>
      </x:c>
      <x:c r="L66" s="12" t="n">
        <x:v>40.110357173283894</x:v>
      </x:c>
      <x:c r="M66" s="12" t="n">
        <x:v>22.15162181854248</x:v>
      </x:c>
      <x:c r="N66" s="12" t="n">
        <x:v>22.829451052347817</x:v>
      </x:c>
      <x:c r="O66" s="12" t="n">
        <x:v>0.6778292338053369</x:v>
      </x:c>
      <x:c r="P66" s="12" t="n">
        <x:v>3.064856847127279</x:v>
      </x:c>
      <x:c r="Q66" s="12" t="n">
        <x:v>4.068344298998515</x:v>
      </x:c>
      <x:c r="R66" s="12" t="n">
        <x:v>1.0034874518712358</x:v>
      </x:c>
      <x:c r="S66" s="11" t="n">
        <x:f>'Method'!$B$7</x:f>
        <x:v>0.2</x:v>
      </x:c>
      <x:c r="T66" s="11" t="n">
        <x:f>'Method'!$B$8</x:f>
        <x:v>0.2</x:v>
      </x:c>
      <x:c r="U66" s="11" t="n">
        <x:f>'Method'!$B$9</x:f>
        <x:v>0.2</x:v>
      </x:c>
      <x:c r="V66" s="11" t="n">
        <x:f>1-D66</x:f>
        <x:v>0.019243986254295575</x:v>
      </x:c>
      <x:c r="W66" s="11" t="n">
        <x:f>1-E66</x:f>
        <x:v>0.19862542955326457</x:v>
      </x:c>
      <x:c r="X66" s="11" t="n">
        <x:f>1-F66</x:f>
        <x:v>0.1924398625429553</x:v>
      </x:c>
    </x:row>
    <x:row r="67" ht="18" customHeight="1">
      <x:c r="A67" s="10" t="str">
        <x:v>GA</x:v>
      </x:c>
      <x:c r="B67" s="10" t="str">
        <x:v>13125</x:v>
      </x:c>
      <x:c r="C67" s="10" t="str">
        <x:v>Glascock County</x:v>
      </x:c>
      <x:c r="D67" s="11" t="n">
        <x:f>1-'Method'!$B$7*G67</x:f>
        <x:v>0.872852233676976</x:v>
      </x:c>
      <x:c r="E67" s="11" t="n">
        <x:f>1-'Method'!$B$8*H67</x:f>
        <x:v>1</x:v>
      </x:c>
      <x:c r="F67" s="11" t="n">
        <x:f>1-'Method'!$B$9*I67</x:f>
        <x:v>0.8563573883161512</x:v>
      </x:c>
      <x:c r="G67" s="11" t="n">
        <x:v>0.6357388316151202</x:v>
      </x:c>
      <x:c r="H67" s="11" t="n">
        <x:v>0</x:v>
      </x:c>
      <x:c r="I67" s="11" t="n">
        <x:v>0.718213058419244</x:v>
      </x:c>
      <x:c r="J67" s="12" t="n">
        <x:v>53.355281321207684</x:v>
      </x:c>
      <x:c r="K67" s="12" t="n">
        <x:v>111.7459821065267</x:v>
      </x:c>
      <x:c r="L67" s="12" t="n">
        <x:v>58.39070078531901</x:v>
      </x:c>
      <x:c r="M67" s="12" t="n">
        <x:v>29.376919492085776</x:v>
      </x:c>
      <x:c r="N67" s="12" t="n">
        <x:v>28.378405125935874</x:v>
      </x:c>
      <x:c r="O67" s="12" t="n">
        <x:v>0</x:v>
      </x:c>
      <x:c r="P67" s="12" t="n">
        <x:v>2.1212709029515584</x:v>
      </x:c>
      <x:c r="Q67" s="12" t="n">
        <x:v>2.8800380071004232</x:v>
      </x:c>
      <x:c r="R67" s="12" t="n">
        <x:v>0.7587671041488648</x:v>
      </x:c>
      <x:c r="S67" s="11" t="n">
        <x:f>'Method'!$B$7</x:f>
        <x:v>0.2</x:v>
      </x:c>
      <x:c r="T67" s="11" t="n">
        <x:f>'Method'!$B$8</x:f>
        <x:v>0.2</x:v>
      </x:c>
      <x:c r="U67" s="11" t="n">
        <x:f>'Method'!$B$9</x:f>
        <x:v>0.2</x:v>
      </x:c>
      <x:c r="V67" s="11" t="n">
        <x:f>1-D67</x:f>
        <x:v>0.12714776632302405</x:v>
      </x:c>
      <x:c r="W67" s="11" t="n">
        <x:f>1-E67</x:f>
        <x:v>0</x:v>
      </x:c>
      <x:c r="X67" s="11" t="n">
        <x:f>1-F67</x:f>
        <x:v>0.14364261168384884</x:v>
      </x:c>
    </x:row>
    <x:row r="68" ht="18" customHeight="1">
      <x:c r="A68" s="10" t="str">
        <x:v>GA</x:v>
      </x:c>
      <x:c r="B68" s="10" t="str">
        <x:v>13127</x:v>
      </x:c>
      <x:c r="C68" s="10" t="str">
        <x:v>Glynn County</x:v>
      </x:c>
      <x:c r="D68" s="11" t="n">
        <x:f>1-'Method'!$B$7*G68</x:f>
        <x:v>0.8219931271477663</x:v>
      </x:c>
      <x:c r="E68" s="11" t="n">
        <x:f>1-'Method'!$B$8*H68</x:f>
        <x:v>1</x:v>
      </x:c>
      <x:c r="F68" s="11" t="n">
        <x:f>1-'Method'!$B$9*I68</x:f>
        <x:v>0.9422680412371134</x:v>
      </x:c>
      <x:c r="G68" s="11" t="n">
        <x:v>0.8900343642611683</x:v>
      </x:c>
      <x:c r="H68" s="11" t="n">
        <x:v>0</x:v>
      </x:c>
      <x:c r="I68" s="11" t="n">
        <x:v>0.28865979381443296</x:v>
      </x:c>
      <x:c r="J68" s="12" t="n">
        <x:v>50.03989677429199</x:v>
      </x:c>
      <x:c r="K68" s="12" t="n">
        <x:v>111.90590871175131</x:v>
      </x:c>
      <x:c r="L68" s="12" t="n">
        <x:v>61.86601193745932</x:v>
      </x:c>
      <x:c r="M68" s="12" t="n">
        <x:v>29.784523582458498</x:v>
      </x:c>
      <x:c r="N68" s="12" t="n">
        <x:v>28.86197503407796</x:v>
      </x:c>
      <x:c r="O68" s="12" t="n">
        <x:v>0</x:v>
      </x:c>
      <x:c r="P68" s="12" t="n">
        <x:v>2.5581217765808106</x:v>
      </x:c>
      <x:c r="Q68" s="12" t="n">
        <x:v>3.1502833286921184</x:v>
      </x:c>
      <x:c r="R68" s="12" t="n">
        <x:v>0.5921615521113077</x:v>
      </x:c>
      <x:c r="S68" s="11" t="n">
        <x:f>'Method'!$B$7</x:f>
        <x:v>0.2</x:v>
      </x:c>
      <x:c r="T68" s="11" t="n">
        <x:f>'Method'!$B$8</x:f>
        <x:v>0.2</x:v>
      </x:c>
      <x:c r="U68" s="11" t="n">
        <x:f>'Method'!$B$9</x:f>
        <x:v>0.2</x:v>
      </x:c>
      <x:c r="V68" s="11" t="n">
        <x:f>1-D68</x:f>
        <x:v>0.1780068728522337</x:v>
      </x:c>
      <x:c r="W68" s="11" t="n">
        <x:f>1-E68</x:f>
        <x:v>0</x:v>
      </x:c>
      <x:c r="X68" s="11" t="n">
        <x:f>1-F68</x:f>
        <x:v>0.057731958762886615</x:v>
      </x:c>
    </x:row>
    <x:row r="69" ht="18" customHeight="1">
      <x:c r="A69" s="10" t="str">
        <x:v>GA</x:v>
      </x:c>
      <x:c r="B69" s="10" t="str">
        <x:v>13129</x:v>
      </x:c>
      <x:c r="C69" s="10" t="str">
        <x:v>Gordon County</x:v>
      </x:c>
      <x:c r="D69" s="11" t="n">
        <x:f>1-'Method'!$B$7*G69</x:f>
        <x:v>0.8810996563573883</x:v>
      </x:c>
      <x:c r="E69" s="11" t="n">
        <x:f>1-'Method'!$B$8*H69</x:f>
        <x:v>0.8529209621993127</x:v>
      </x:c>
      <x:c r="F69" s="11" t="n">
        <x:f>1-'Method'!$B$9*I69</x:f>
        <x:v>0.8082474226804124</x:v>
      </x:c>
      <x:c r="G69" s="11" t="n">
        <x:v>0.5945017182130584</x:v>
      </x:c>
      <x:c r="H69" s="11" t="n">
        <x:v>0.7353951890034365</x:v>
      </x:c>
      <x:c r="I69" s="11" t="n">
        <x:v>0.9587628865979382</x:v>
      </x:c>
      <x:c r="J69" s="12" t="n">
        <x:v>36.01423937479655</x:v>
      </x:c>
      <x:c r="K69" s="12" t="n">
        <x:v>93.19825134277343</x:v>
      </x:c>
      <x:c r="L69" s="12" t="n">
        <x:v>57.18401196797688</x:v>
      </x:c>
      <x:c r="M69" s="12" t="n">
        <x:v>25.18678067525228</x:v>
      </x:c>
      <x:c r="N69" s="12" t="n">
        <x:v>25.263130124409994</x:v>
      </x:c>
      <x:c r="O69" s="12" t="n">
        <x:v>0.07634944915771413</x:v>
      </x:c>
      <x:c r="P69" s="12" t="n">
        <x:v>2.41115825176239</x:v>
      </x:c>
      <x:c r="Q69" s="12" t="n">
        <x:v>3.4055502653121947</x:v>
      </x:c>
      <x:c r="R69" s="12" t="n">
        <x:v>0.9943920135498048</x:v>
      </x:c>
      <x:c r="S69" s="11" t="n">
        <x:f>'Method'!$B$7</x:f>
        <x:v>0.2</x:v>
      </x:c>
      <x:c r="T69" s="11" t="n">
        <x:f>'Method'!$B$8</x:f>
        <x:v>0.2</x:v>
      </x:c>
      <x:c r="U69" s="11" t="n">
        <x:f>'Method'!$B$9</x:f>
        <x:v>0.2</x:v>
      </x:c>
      <x:c r="V69" s="11" t="n">
        <x:f>1-D69</x:f>
        <x:v>0.1189003436426117</x:v>
      </x:c>
      <x:c r="W69" s="11" t="n">
        <x:f>1-E69</x:f>
        <x:v>0.14707903780068732</x:v>
      </x:c>
      <x:c r="X69" s="11" t="n">
        <x:f>1-F69</x:f>
        <x:v>0.1917525773195876</x:v>
      </x:c>
    </x:row>
    <x:row r="70" ht="18" customHeight="1">
      <x:c r="A70" s="10" t="str">
        <x:v>GA</x:v>
      </x:c>
      <x:c r="B70" s="10" t="str">
        <x:v>13131</x:v>
      </x:c>
      <x:c r="C70" s="10" t="str">
        <x:v>Grady County</x:v>
      </x:c>
      <x:c r="D70" s="11" t="n">
        <x:f>1-'Method'!$B$7*G70</x:f>
        <x:v>0.822680412371134</x:v>
      </x:c>
      <x:c r="E70" s="11" t="n">
        <x:f>1-'Method'!$B$8*H70</x:f>
        <x:v>1</x:v>
      </x:c>
      <x:c r="F70" s="11" t="n">
        <x:f>1-'Method'!$B$9*I70</x:f>
        <x:v>0.8494845360824742</x:v>
      </x:c>
      <x:c r="G70" s="11" t="n">
        <x:v>0.8865979381443299</x:v>
      </x:c>
      <x:c r="H70" s="11" t="n">
        <x:v>0</x:v>
      </x:c>
      <x:c r="I70" s="11" t="n">
        <x:v>0.7525773195876289</x:v>
      </x:c>
      <x:c r="J70" s="12" t="n">
        <x:v>71.81278699239095</x:v>
      </x:c>
      <x:c r="K70" s="12" t="n">
        <x:v>133.59316940307616</x:v>
      </x:c>
      <x:c r="L70" s="12" t="n">
        <x:v>61.780382410685206</x:v>
      </x:c>
      <x:c r="M70" s="12" t="n">
        <x:v>28.134551429748534</x:v>
      </x:c>
      <x:c r="N70" s="12" t="n">
        <x:v>28.079977607727052</x:v>
      </x:c>
      <x:c r="O70" s="12" t="n">
        <x:v>0</x:v>
      </x:c>
      <x:c r="P70" s="12" t="n">
        <x:v>2.486673855781555</x:v>
      </x:c>
      <x:c r="Q70" s="12" t="n">
        <x:v>3.262095292409261</x:v>
      </x:c>
      <x:c r="R70" s="12" t="n">
        <x:v>0.7754214366277061</x:v>
      </x:c>
      <x:c r="S70" s="11" t="n">
        <x:f>'Method'!$B$7</x:f>
        <x:v>0.2</x:v>
      </x:c>
      <x:c r="T70" s="11" t="n">
        <x:f>'Method'!$B$8</x:f>
        <x:v>0.2</x:v>
      </x:c>
      <x:c r="U70" s="11" t="n">
        <x:f>'Method'!$B$9</x:f>
        <x:v>0.2</x:v>
      </x:c>
      <x:c r="V70" s="11" t="n">
        <x:f>1-D70</x:f>
        <x:v>0.17731958762886602</x:v>
      </x:c>
      <x:c r="W70" s="11" t="n">
        <x:f>1-E70</x:f>
        <x:v>0</x:v>
      </x:c>
      <x:c r="X70" s="11" t="n">
        <x:f>1-F70</x:f>
        <x:v>0.1505154639175258</x:v>
      </x:c>
    </x:row>
    <x:row r="71" ht="18" customHeight="1">
      <x:c r="A71" s="10" t="str">
        <x:v>GA</x:v>
      </x:c>
      <x:c r="B71" s="10" t="str">
        <x:v>13133</x:v>
      </x:c>
      <x:c r="C71" s="10" t="str">
        <x:v>Greene County</x:v>
      </x:c>
      <x:c r="D71" s="11" t="n">
        <x:f>1-'Method'!$B$7*G71</x:f>
        <x:v>0.8460481099656357</x:v>
      </x:c>
      <x:c r="E71" s="11" t="n">
        <x:f>1-'Method'!$B$8*H71</x:f>
        <x:v>1</x:v>
      </x:c>
      <x:c r="F71" s="11" t="n">
        <x:f>1-'Method'!$B$9*I71</x:f>
        <x:v>0.8666666666666667</x:v>
      </x:c>
      <x:c r="G71" s="11" t="n">
        <x:v>0.7697594501718213</x:v>
      </x:c>
      <x:c r="H71" s="11" t="n">
        <x:v>0</x:v>
      </x:c>
      <x:c r="I71" s="11" t="n">
        <x:v>0.6666666666666666</x:v>
      </x:c>
      <x:c r="J71" s="12" t="n">
        <x:v>51.63347625732422</x:v>
      </x:c>
      <x:c r="K71" s="12" t="n">
        <x:v>111.7842010498047</x:v>
      </x:c>
      <x:c r="L71" s="12" t="n">
        <x:v>60.150724792480474</x:v>
      </x:c>
      <x:c r="M71" s="12" t="n">
        <x:v>27.778662300109865</x:v>
      </x:c>
      <x:c r="N71" s="12" t="n">
        <x:v>26.64107437133789</x:v>
      </x:c>
      <x:c r="O71" s="12" t="n">
        <x:v>0</x:v>
      </x:c>
      <x:c r="P71" s="12" t="n">
        <x:v>1.846794807910919</x:v>
      </x:c>
      <x:c r="Q71" s="12" t="n">
        <x:v>2.5901990652084352</x:v>
      </x:c>
      <x:c r="R71" s="12" t="n">
        <x:v>0.7434042572975161</x:v>
      </x:c>
      <x:c r="S71" s="11" t="n">
        <x:f>'Method'!$B$7</x:f>
        <x:v>0.2</x:v>
      </x:c>
      <x:c r="T71" s="11" t="n">
        <x:f>'Method'!$B$8</x:f>
        <x:v>0.2</x:v>
      </x:c>
      <x:c r="U71" s="11" t="n">
        <x:f>'Method'!$B$9</x:f>
        <x:v>0.2</x:v>
      </x:c>
      <x:c r="V71" s="11" t="n">
        <x:f>1-D71</x:f>
        <x:v>0.15395189003436427</x:v>
      </x:c>
      <x:c r="W71" s="11" t="n">
        <x:f>1-E71</x:f>
        <x:v>0</x:v>
      </x:c>
      <x:c r="X71" s="11" t="n">
        <x:f>1-F71</x:f>
        <x:v>0.1333333333333333</x:v>
      </x:c>
    </x:row>
    <x:row r="72" ht="18" customHeight="1">
      <x:c r="A72" s="10" t="str">
        <x:v>GA</x:v>
      </x:c>
      <x:c r="B72" s="10" t="str">
        <x:v>13135</x:v>
      </x:c>
      <x:c r="C72" s="10" t="str">
        <x:v>Gwinnett County</x:v>
      </x:c>
      <x:c r="D72" s="11" t="n">
        <x:f>1-'Method'!$B$7*G72</x:f>
        <x:v>0.9010309278350516</x:v>
      </x:c>
      <x:c r="E72" s="11" t="n">
        <x:f>1-'Method'!$B$8*H72</x:f>
        <x:v>1</x:v>
      </x:c>
      <x:c r="F72" s="11" t="n">
        <x:f>1-'Method'!$B$9*I72</x:f>
        <x:v>0.8309278350515463</x:v>
      </x:c>
      <x:c r="G72" s="11" t="n">
        <x:v>0.4948453608247423</x:v>
      </x:c>
      <x:c r="H72" s="11" t="n">
        <x:v>0</x:v>
      </x:c>
      <x:c r="I72" s="11" t="n">
        <x:v>0.845360824742268</x:v>
      </x:c>
      <x:c r="J72" s="12" t="n">
        <x:v>30.084377988179526</x:v>
      </x:c>
      <x:c r="K72" s="12" t="n">
        <x:v>85.28473307291667</x:v>
      </x:c>
      <x:c r="L72" s="12" t="n">
        <x:v>55.20035508473714</x:v>
      </x:c>
      <x:c r="M72" s="12" t="n">
        <x:v>25.025289217631023</x:v>
      </x:c>
      <x:c r="N72" s="12" t="n">
        <x:v>24.878746477762856</x:v>
      </x:c>
      <x:c r="O72" s="12" t="n">
        <x:v>0</x:v>
      </x:c>
      <x:c r="P72" s="12" t="n">
        <x:v>2.176208178202311</x:v>
      </x:c>
      <x:c r="Q72" s="12" t="n">
        <x:v>3.007082049051921</x:v>
      </x:c>
      <x:c r="R72" s="12" t="n">
        <x:v>0.8308738708496097</x:v>
      </x:c>
      <x:c r="S72" s="11" t="n">
        <x:f>'Method'!$B$7</x:f>
        <x:v>0.2</x:v>
      </x:c>
      <x:c r="T72" s="11" t="n">
        <x:f>'Method'!$B$8</x:f>
        <x:v>0.2</x:v>
      </x:c>
      <x:c r="U72" s="11" t="n">
        <x:f>'Method'!$B$9</x:f>
        <x:v>0.2</x:v>
      </x:c>
      <x:c r="V72" s="11" t="n">
        <x:f>1-D72</x:f>
        <x:v>0.09896907216494844</x:v>
      </x:c>
      <x:c r="W72" s="11" t="n">
        <x:f>1-E72</x:f>
        <x:v>0</x:v>
      </x:c>
      <x:c r="X72" s="11" t="n">
        <x:f>1-F72</x:f>
        <x:v>0.16907216494845367</x:v>
      </x:c>
    </x:row>
    <x:row r="73" ht="18" customHeight="1">
      <x:c r="A73" s="10" t="str">
        <x:v>GA</x:v>
      </x:c>
      <x:c r="B73" s="10" t="str">
        <x:v>13137</x:v>
      </x:c>
      <x:c r="C73" s="10" t="str">
        <x:v>Habersham County</x:v>
      </x:c>
      <x:c r="D73" s="11" t="n">
        <x:f>1-'Method'!$B$7*G73</x:f>
        <x:v>0.9546391752577319</x:v>
      </x:c>
      <x:c r="E73" s="11" t="n">
        <x:f>1-'Method'!$B$8*H73</x:f>
        <x:v>0.8343642611683848</x:v>
      </x:c>
      <x:c r="F73" s="11" t="n">
        <x:f>1-'Method'!$B$9*I73</x:f>
        <x:v>0.8027491408934708</x:v>
      </x:c>
      <x:c r="G73" s="11" t="n">
        <x:v>0.2268041237113402</x:v>
      </x:c>
      <x:c r="H73" s="11" t="n">
        <x:v>0.8281786941580757</x:v>
      </x:c>
      <x:c r="I73" s="11" t="n">
        <x:v>0.9862542955326461</x:v>
      </x:c>
      <x:c r="J73" s="12" t="n">
        <x:v>13.124905077616374</x:v>
      </x:c>
      <x:c r="K73" s="12" t="n">
        <x:v>62.19787127176921</x:v>
      </x:c>
      <x:c r="L73" s="12" t="n">
        <x:v>49.07296619415283</x:v>
      </x:c>
      <x:c r="M73" s="12" t="n">
        <x:v>23.161201095581056</x:v>
      </x:c>
      <x:c r="N73" s="12" t="n">
        <x:v>23.362001355489095</x:v>
      </x:c>
      <x:c r="O73" s="12" t="n">
        <x:v>0.20080025990803918</x:v>
      </x:c>
      <x:c r="P73" s="12" t="n">
        <x:v>3.4107168038686115</x:v>
      </x:c>
      <x:c r="Q73" s="12" t="n">
        <x:v>4.596664126714071</x:v>
      </x:c>
      <x:c r="R73" s="12" t="n">
        <x:v>1.1859473228454593</x:v>
      </x:c>
      <x:c r="S73" s="11" t="n">
        <x:f>'Method'!$B$7</x:f>
        <x:v>0.2</x:v>
      </x:c>
      <x:c r="T73" s="11" t="n">
        <x:f>'Method'!$B$8</x:f>
        <x:v>0.2</x:v>
      </x:c>
      <x:c r="U73" s="11" t="n">
        <x:f>'Method'!$B$9</x:f>
        <x:v>0.2</x:v>
      </x:c>
      <x:c r="V73" s="11" t="n">
        <x:f>1-D73</x:f>
        <x:v>0.0453608247422681</x:v>
      </x:c>
      <x:c r="W73" s="11" t="n">
        <x:f>1-E73</x:f>
        <x:v>0.1656357388316152</x:v>
      </x:c>
      <x:c r="X73" s="11" t="n">
        <x:f>1-F73</x:f>
        <x:v>0.19725085910652917</x:v>
      </x:c>
    </x:row>
    <x:row r="74" ht="18" customHeight="1">
      <x:c r="A74" s="10" t="str">
        <x:v>GA</x:v>
      </x:c>
      <x:c r="B74" s="10" t="str">
        <x:v>13139</x:v>
      </x:c>
      <x:c r="C74" s="10" t="str">
        <x:v>Hall County</x:v>
      </x:c>
      <x:c r="D74" s="11" t="n">
        <x:f>1-'Method'!$B$7*G74</x:f>
        <x:v>0.9463917525773196</x:v>
      </x:c>
      <x:c r="E74" s="11" t="n">
        <x:f>1-'Method'!$B$8*H74</x:f>
        <x:v>0.8405498281786942</x:v>
      </x:c>
      <x:c r="F74" s="11" t="n">
        <x:f>1-'Method'!$B$9*I74</x:f>
        <x:v>0.8178694158075601</x:v>
      </x:c>
      <x:c r="G74" s="11" t="n">
        <x:v>0.26804123711340205</x:v>
      </x:c>
      <x:c r="H74" s="11" t="n">
        <x:v>0.7972508591065293</x:v>
      </x:c>
      <x:c r="I74" s="11" t="n">
        <x:v>0.9106529209621993</x:v>
      </x:c>
      <x:c r="J74" s="12" t="n">
        <x:v>23.210152180989585</x:v>
      </x:c>
      <x:c r="K74" s="12" t="n">
        <x:v>74.53604087829589</x:v>
      </x:c>
      <x:c r="L74" s="12" t="n">
        <x:v>51.32588869730631</x:v>
      </x:c>
      <x:c r="M74" s="12" t="n">
        <x:v>23.958664321899413</x:v>
      </x:c>
      <x:c r="N74" s="12" t="n">
        <x:v>24.130084292093912</x:v>
      </x:c>
      <x:c r="O74" s="12" t="n">
        <x:v>0.17141997019449917</x:v>
      </x:c>
      <x:c r="P74" s="12" t="n">
        <x:v>2.730588849385579</x:v>
      </x:c>
      <x:c r="Q74" s="12" t="n">
        <x:v>3.640662129720052</x:v>
      </x:c>
      <x:c r="R74" s="12" t="n">
        <x:v>0.9100732803344727</x:v>
      </x:c>
      <x:c r="S74" s="11" t="n">
        <x:f>'Method'!$B$7</x:f>
        <x:v>0.2</x:v>
      </x:c>
      <x:c r="T74" s="11" t="n">
        <x:f>'Method'!$B$8</x:f>
        <x:v>0.2</x:v>
      </x:c>
      <x:c r="U74" s="11" t="n">
        <x:f>'Method'!$B$9</x:f>
        <x:v>0.2</x:v>
      </x:c>
      <x:c r="V74" s="11" t="n">
        <x:f>1-D74</x:f>
        <x:v>0.053608247422680444</x:v>
      </x:c>
      <x:c r="W74" s="11" t="n">
        <x:f>1-E74</x:f>
        <x:v>0.15945017182130583</x:v>
      </x:c>
      <x:c r="X74" s="11" t="n">
        <x:f>1-F74</x:f>
        <x:v>0.18213058419243988</x:v>
      </x:c>
    </x:row>
    <x:row r="75" ht="18" customHeight="1">
      <x:c r="A75" s="10" t="str">
        <x:v>GA</x:v>
      </x:c>
      <x:c r="B75" s="10" t="str">
        <x:v>13141</x:v>
      </x:c>
      <x:c r="C75" s="10" t="str">
        <x:v>Hancock County</x:v>
      </x:c>
      <x:c r="D75" s="11" t="n">
        <x:f>1-'Method'!$B$7*G75</x:f>
        <x:v>0.8481099656357388</x:v>
      </x:c>
      <x:c r="E75" s="11" t="n">
        <x:f>1-'Method'!$B$8*H75</x:f>
        <x:v>1</x:v>
      </x:c>
      <x:c r="F75" s="11" t="n">
        <x:f>1-'Method'!$B$9*I75</x:f>
        <x:v>0.9463917525773196</x:v>
      </x:c>
      <x:c r="G75" s="11" t="n">
        <x:v>0.7594501718213058</x:v>
      </x:c>
      <x:c r="H75" s="11" t="n">
        <x:v>0</x:v>
      </x:c>
      <x:c r="I75" s="11" t="n">
        <x:v>0.26804123711340205</x:v>
      </x:c>
      <x:c r="J75" s="12" t="n">
        <x:v>53.226409149169925</x:v>
      </x:c>
      <x:c r="K75" s="12" t="n">
        <x:v>113.25814641316732</x:v>
      </x:c>
      <x:c r="L75" s="12" t="n">
        <x:v>60.0317372639974</x:v>
      </x:c>
      <x:c r="M75" s="12" t="n">
        <x:v>28.312823740641274</x:v>
      </x:c>
      <x:c r="N75" s="12" t="n">
        <x:v>27.133197402954103</x:v>
      </x:c>
      <x:c r="O75" s="12" t="n">
        <x:v>0</x:v>
      </x:c>
      <x:c r="P75" s="12" t="n">
        <x:v>1.6513433853785198</x:v>
      </x:c>
      <x:c r="Q75" s="12" t="n">
        <x:v>2.2312399466832478</x:v>
      </x:c>
      <x:c r="R75" s="12" t="n">
        <x:v>0.579896561304728</x:v>
      </x:c>
      <x:c r="S75" s="11" t="n">
        <x:f>'Method'!$B$7</x:f>
        <x:v>0.2</x:v>
      </x:c>
      <x:c r="T75" s="11" t="n">
        <x:f>'Method'!$B$8</x:f>
        <x:v>0.2</x:v>
      </x:c>
      <x:c r="U75" s="11" t="n">
        <x:f>'Method'!$B$9</x:f>
        <x:v>0.2</x:v>
      </x:c>
      <x:c r="V75" s="11" t="n">
        <x:f>1-D75</x:f>
        <x:v>0.15189003436426118</x:v>
      </x:c>
      <x:c r="W75" s="11" t="n">
        <x:f>1-E75</x:f>
        <x:v>0</x:v>
      </x:c>
      <x:c r="X75" s="11" t="n">
        <x:f>1-F75</x:f>
        <x:v>0.053608247422680444</x:v>
      </x:c>
    </x:row>
    <x:row r="76" ht="18" customHeight="1">
      <x:c r="A76" s="10" t="str">
        <x:v>GA</x:v>
      </x:c>
      <x:c r="B76" s="10" t="str">
        <x:v>13143</x:v>
      </x:c>
      <x:c r="C76" s="10" t="str">
        <x:v>Haralson County</x:v>
      </x:c>
      <x:c r="D76" s="11" t="n">
        <x:f>1-'Method'!$B$7*G76</x:f>
        <x:v>0.8831615120274914</x:v>
      </x:c>
      <x:c r="E76" s="11" t="n">
        <x:f>1-'Method'!$B$8*H76</x:f>
        <x:v>0.8611683848797251</x:v>
      </x:c>
      <x:c r="F76" s="11" t="n">
        <x:f>1-'Method'!$B$9*I76</x:f>
        <x:v>0.836426116838488</x:v>
      </x:c>
      <x:c r="G76" s="11" t="n">
        <x:v>0.584192439862543</x:v>
      </x:c>
      <x:c r="H76" s="11" t="n">
        <x:v>0.6941580756013745</x:v>
      </x:c>
      <x:c r="I76" s="11" t="n">
        <x:v>0.8178694158075601</x:v>
      </x:c>
      <x:c r="J76" s="12" t="n">
        <x:v>23.747326596577963</x:v>
      </x:c>
      <x:c r="K76" s="12" t="n">
        <x:v>80.56367429097493</x:v>
      </x:c>
      <x:c r="L76" s="12" t="n">
        <x:v>56.81634769439697</x:v>
      </x:c>
      <x:c r="M76" s="12" t="n">
        <x:v>24.9663948059082</x:v>
      </x:c>
      <x:c r="N76" s="12" t="n">
        <x:v>24.97139898935954</x:v>
      </x:c>
      <x:c r="O76" s="12" t="n">
        <x:v>0.005004183451337241</x:v>
      </x:c>
      <x:c r="P76" s="12" t="n">
        <x:v>2.3742709159851074</x:v>
      </x:c>
      <x:c r="Q76" s="12" t="n">
        <x:v>3.1880430936813355</x:v>
      </x:c>
      <x:c r="R76" s="12" t="n">
        <x:v>0.8137721776962281</x:v>
      </x:c>
      <x:c r="S76" s="11" t="n">
        <x:f>'Method'!$B$7</x:f>
        <x:v>0.2</x:v>
      </x:c>
      <x:c r="T76" s="11" t="n">
        <x:f>'Method'!$B$8</x:f>
        <x:v>0.2</x:v>
      </x:c>
      <x:c r="U76" s="11" t="n">
        <x:f>'Method'!$B$9</x:f>
        <x:v>0.2</x:v>
      </x:c>
      <x:c r="V76" s="11" t="n">
        <x:f>1-D76</x:f>
        <x:v>0.11683848797250862</x:v>
      </x:c>
      <x:c r="W76" s="11" t="n">
        <x:f>1-E76</x:f>
        <x:v>0.13883161512027486</x:v>
      </x:c>
      <x:c r="X76" s="11" t="n">
        <x:f>1-F76</x:f>
        <x:v>0.163573883161512</x:v>
      </x:c>
    </x:row>
    <x:row r="77" ht="18" customHeight="1">
      <x:c r="A77" s="10" t="str">
        <x:v>GA</x:v>
      </x:c>
      <x:c r="B77" s="10" t="str">
        <x:v>13145</x:v>
      </x:c>
      <x:c r="C77" s="10" t="str">
        <x:v>Harris County</x:v>
      </x:c>
      <x:c r="D77" s="11" t="n">
        <x:f>1-'Method'!$B$7*G77</x:f>
        <x:v>0.8116838487972509</x:v>
      </x:c>
      <x:c r="E77" s="11" t="n">
        <x:f>1-'Method'!$B$8*H77</x:f>
        <x:v>1</x:v>
      </x:c>
      <x:c r="F77" s="11" t="n">
        <x:f>1-'Method'!$B$9*I77</x:f>
        <x:v>0.8694158075601375</x:v>
      </x:c>
      <x:c r="G77" s="11" t="n">
        <x:v>0.9415807560137457</x:v>
      </x:c>
      <x:c r="H77" s="11" t="n">
        <x:v>0</x:v>
      </x:c>
      <x:c r="I77" s="11" t="n">
        <x:v>0.6529209621993127</x:v>
      </x:c>
      <x:c r="J77" s="12" t="n">
        <x:v>46.32635027567546</x:v>
      </x:c>
      <x:c r="K77" s="12" t="n">
        <x:v>109.12058054606119</x:v>
      </x:c>
      <x:c r="L77" s="12" t="n">
        <x:v>62.79423027038573</x:v>
      </x:c>
      <x:c r="M77" s="12" t="n">
        <x:v>26.71791820526123</x:v>
      </x:c>
      <x:c r="N77" s="12" t="n">
        <x:v>26.509349060058593</x:v>
      </x:c>
      <x:c r="O77" s="12" t="n">
        <x:v>0</x:v>
      </x:c>
      <x:c r="P77" s="12" t="n">
        <x:v>1.897280009587606</x:v>
      </x:c>
      <x:c r="Q77" s="12" t="n">
        <x:v>2.638117249806722</x:v>
      </x:c>
      <x:c r="R77" s="12" t="n">
        <x:v>0.7408372402191159</x:v>
      </x:c>
      <x:c r="S77" s="11" t="n">
        <x:f>'Method'!$B$7</x:f>
        <x:v>0.2</x:v>
      </x:c>
      <x:c r="T77" s="11" t="n">
        <x:f>'Method'!$B$8</x:f>
        <x:v>0.2</x:v>
      </x:c>
      <x:c r="U77" s="11" t="n">
        <x:f>'Method'!$B$9</x:f>
        <x:v>0.2</x:v>
      </x:c>
      <x:c r="V77" s="11" t="n">
        <x:f>1-D77</x:f>
        <x:v>0.18831615120274914</x:v>
      </x:c>
      <x:c r="W77" s="11" t="n">
        <x:f>1-E77</x:f>
        <x:v>0</x:v>
      </x:c>
      <x:c r="X77" s="11" t="n">
        <x:f>1-F77</x:f>
        <x:v>0.13058419243986252</x:v>
      </x:c>
    </x:row>
    <x:row r="78" ht="18" customHeight="1">
      <x:c r="A78" s="10" t="str">
        <x:v>GA</x:v>
      </x:c>
      <x:c r="B78" s="10" t="str">
        <x:v>13147</x:v>
      </x:c>
      <x:c r="C78" s="10" t="str">
        <x:v>Hart County</x:v>
      </x:c>
      <x:c r="D78" s="11" t="n">
        <x:f>1-'Method'!$B$7*G78</x:f>
        <x:v>0.9292096219931272</x:v>
      </x:c>
      <x:c r="E78" s="11" t="n">
        <x:f>1-'Method'!$B$8*H78</x:f>
        <x:v>1</x:v>
      </x:c>
      <x:c r="F78" s="11" t="n">
        <x:f>1-'Method'!$B$9*I78</x:f>
        <x:v>0.8556701030927835</x:v>
      </x:c>
      <x:c r="G78" s="11" t="n">
        <x:v>0.3539518900343643</x:v>
      </x:c>
      <x:c r="H78" s="11" t="n">
        <x:v>0</x:v>
      </x:c>
      <x:c r="I78" s="11" t="n">
        <x:v>0.7216494845360825</x:v>
      </x:c>
      <x:c r="J78" s="12" t="n">
        <x:v>39.70391419728597</x:v>
      </x:c>
      <x:c r="K78" s="12" t="n">
        <x:v>92.27156066894531</x:v>
      </x:c>
      <x:c r="L78" s="12" t="n">
        <x:v>52.567646471659344</x:v>
      </x:c>
      <x:c r="M78" s="12" t="n">
        <x:v>26.34469725290934</x:v>
      </x:c>
      <x:c r="N78" s="12" t="n">
        <x:v>25.833105278015136</x:v>
      </x:c>
      <x:c r="O78" s="12" t="n">
        <x:v>0</x:v>
      </x:c>
      <x:c r="P78" s="12" t="n">
        <x:v>1.7161588748296102</x:v>
      </x:c>
      <x:c r="Q78" s="12" t="n">
        <x:v>2.4786137262980144</x:v>
      </x:c>
      <x:c r="R78" s="12" t="n">
        <x:v>0.7624548514684042</x:v>
      </x:c>
      <x:c r="S78" s="11" t="n">
        <x:f>'Method'!$B$7</x:f>
        <x:v>0.2</x:v>
      </x:c>
      <x:c r="T78" s="11" t="n">
        <x:f>'Method'!$B$8</x:f>
        <x:v>0.2</x:v>
      </x:c>
      <x:c r="U78" s="11" t="n">
        <x:f>'Method'!$B$9</x:f>
        <x:v>0.2</x:v>
      </x:c>
      <x:c r="V78" s="11" t="n">
        <x:f>1-D78</x:f>
        <x:v>0.07079037800687282</x:v>
      </x:c>
      <x:c r="W78" s="11" t="n">
        <x:f>1-E78</x:f>
        <x:v>0</x:v>
      </x:c>
      <x:c r="X78" s="11" t="n">
        <x:f>1-F78</x:f>
        <x:v>0.14432989690721654</x:v>
      </x:c>
    </x:row>
    <x:row r="79" ht="18" customHeight="1">
      <x:c r="A79" s="10" t="str">
        <x:v>GA</x:v>
      </x:c>
      <x:c r="B79" s="10" t="str">
        <x:v>13149</x:v>
      </x:c>
      <x:c r="C79" s="10" t="str">
        <x:v>Heard County</x:v>
      </x:c>
      <x:c r="D79" s="11" t="n">
        <x:f>1-'Method'!$B$7*G79</x:f>
        <x:v>0.8295532646048109</x:v>
      </x:c>
      <x:c r="E79" s="11" t="n">
        <x:f>1-'Method'!$B$8*H79</x:f>
        <x:v>1</x:v>
      </x:c>
      <x:c r="F79" s="11" t="n">
        <x:f>1-'Method'!$B$9*I79</x:f>
        <x:v>0.8206185567010309</x:v>
      </x:c>
      <x:c r="G79" s="11" t="n">
        <x:v>0.852233676975945</x:v>
      </x:c>
      <x:c r="H79" s="11" t="n">
        <x:v>0</x:v>
      </x:c>
      <x:c r="I79" s="11" t="n">
        <x:v>0.8969072164948454</x:v>
      </x:c>
      <x:c r="J79" s="12" t="n">
        <x:v>41.73626149495443</x:v>
      </x:c>
      <x:c r="K79" s="12" t="n">
        <x:v>102.94001083374023</x:v>
      </x:c>
      <x:c r="L79" s="12" t="n">
        <x:v>61.203749338785805</x:v>
      </x:c>
      <x:c r="M79" s="12" t="n">
        <x:v>26.967576599121095</x:v>
      </x:c>
      <x:c r="N79" s="12" t="n">
        <x:v>26.521073468526204</x:v>
      </x:c>
      <x:c r="O79" s="12" t="n">
        <x:v>0</x:v>
      </x:c>
      <x:c r="P79" s="12" t="n">
        <x:v>2.4588151454925535</x:v>
      </x:c>
      <x:c r="Q79" s="12" t="n">
        <x:v>3.3526050567626955</x:v>
      </x:c>
      <x:c r="R79" s="12" t="n">
        <x:v>0.893789911270142</x:v>
      </x:c>
      <x:c r="S79" s="11" t="n">
        <x:f>'Method'!$B$7</x:f>
        <x:v>0.2</x:v>
      </x:c>
      <x:c r="T79" s="11" t="n">
        <x:f>'Method'!$B$8</x:f>
        <x:v>0.2</x:v>
      </x:c>
      <x:c r="U79" s="11" t="n">
        <x:f>'Method'!$B$9</x:f>
        <x:v>0.2</x:v>
      </x:c>
      <x:c r="V79" s="11" t="n">
        <x:f>1-D79</x:f>
        <x:v>0.17044673539518906</x:v>
      </x:c>
      <x:c r="W79" s="11" t="n">
        <x:f>1-E79</x:f>
        <x:v>0</x:v>
      </x:c>
      <x:c r="X79" s="11" t="n">
        <x:f>1-F79</x:f>
        <x:v>0.1793814432989691</x:v>
      </x:c>
    </x:row>
    <x:row r="80" ht="18" customHeight="1">
      <x:c r="A80" s="10" t="str">
        <x:v>GA</x:v>
      </x:c>
      <x:c r="B80" s="10" t="str">
        <x:v>13151</x:v>
      </x:c>
      <x:c r="C80" s="10" t="str">
        <x:v>Henry County</x:v>
      </x:c>
      <x:c r="D80" s="11" t="n">
        <x:f>1-'Method'!$B$7*G80</x:f>
        <x:v>0.8206185567010309</x:v>
      </x:c>
      <x:c r="E80" s="11" t="n">
        <x:f>1-'Method'!$B$8*H80</x:f>
        <x:v>1</x:v>
      </x:c>
      <x:c r="F80" s="11" t="n">
        <x:f>1-'Method'!$B$9*I80</x:f>
        <x:v>0.8934707903780068</x:v>
      </x:c>
      <x:c r="G80" s="11" t="n">
        <x:v>0.8969072164948454</x:v>
      </x:c>
      <x:c r="H80" s="11" t="n">
        <x:v>0</x:v>
      </x:c>
      <x:c r="I80" s="11" t="n">
        <x:v>0.5326460481099656</x:v>
      </x:c>
      <x:c r="J80" s="12" t="n">
        <x:v>35.42950185139974</x:v>
      </x:c>
      <x:c r="K80" s="12" t="n">
        <x:v>97.37977040608725</x:v>
      </x:c>
      <x:c r="L80" s="12" t="n">
        <x:v>61.950268554687504</x:v>
      </x:c>
      <x:c r="M80" s="12" t="n">
        <x:v>25.963282203674318</x:v>
      </x:c>
      <x:c r="N80" s="12" t="n">
        <x:v>25.717357190450034</x:v>
      </x:c>
      <x:c r="O80" s="12" t="n">
        <x:v>0</x:v>
      </x:c>
      <x:c r="P80" s="12" t="n">
        <x:v>1.7187135199705759</x:v>
      </x:c>
      <x:c r="Q80" s="12" t="n">
        <x:v>2.4035490989685058</x:v>
      </x:c>
      <x:c r="R80" s="12" t="n">
        <x:v>0.6848355789979299</x:v>
      </x:c>
      <x:c r="S80" s="11" t="n">
        <x:f>'Method'!$B$7</x:f>
        <x:v>0.2</x:v>
      </x:c>
      <x:c r="T80" s="11" t="n">
        <x:f>'Method'!$B$8</x:f>
        <x:v>0.2</x:v>
      </x:c>
      <x:c r="U80" s="11" t="n">
        <x:f>'Method'!$B$9</x:f>
        <x:v>0.2</x:v>
      </x:c>
      <x:c r="V80" s="11" t="n">
        <x:f>1-D80</x:f>
        <x:v>0.1793814432989691</x:v>
      </x:c>
      <x:c r="W80" s="11" t="n">
        <x:f>1-E80</x:f>
        <x:v>0</x:v>
      </x:c>
      <x:c r="X80" s="11" t="n">
        <x:f>1-F80</x:f>
        <x:v>0.10652920962199319</x:v>
      </x:c>
    </x:row>
    <x:row r="81" ht="18" customHeight="1">
      <x:c r="A81" s="10" t="str">
        <x:v>GA</x:v>
      </x:c>
      <x:c r="B81" s="10" t="str">
        <x:v>13153</x:v>
      </x:c>
      <x:c r="C81" s="10" t="str">
        <x:v>Houston County</x:v>
      </x:c>
      <x:c r="D81" s="11" t="n">
        <x:f>1-'Method'!$B$7*G81</x:f>
        <x:v>0.8233676975945017</x:v>
      </x:c>
      <x:c r="E81" s="11" t="n">
        <x:f>1-'Method'!$B$8*H81</x:f>
        <x:v>1</x:v>
      </x:c>
      <x:c r="F81" s="11" t="n">
        <x:f>1-'Method'!$B$9*I81</x:f>
        <x:v>0.9642611683848797</x:v>
      </x:c>
      <x:c r="G81" s="11" t="n">
        <x:v>0.8831615120274914</x:v>
      </x:c>
      <x:c r="H81" s="11" t="n">
        <x:v>0</x:v>
      </x:c>
      <x:c r="I81" s="11" t="n">
        <x:v>0.17869415807560138</x:v>
      </x:c>
      <x:c r="J81" s="12" t="n">
        <x:v>66.85262285868326</x:v>
      </x:c>
      <x:c r="K81" s="12" t="n">
        <x:v>128.56569493611653</x:v>
      </x:c>
      <x:c r="L81" s="12" t="n">
        <x:v>61.71307207743327</x:v>
      </x:c>
      <x:c r="M81" s="12" t="n">
        <x:v>27.6093962987264</x:v>
      </x:c>
      <x:c r="N81" s="12" t="n">
        <x:v>26.944979921976724</x:v>
      </x:c>
      <x:c r="O81" s="12" t="n">
        <x:v>0</x:v>
      </x:c>
      <x:c r="P81" s="12" t="n">
        <x:v>1.5125016431013742</x:v>
      </x:c>
      <x:c r="Q81" s="12" t="n">
        <x:v>2.041547242800395</x:v>
      </x:c>
      <x:c r="R81" s="12" t="n">
        <x:v>0.5290455996990207</x:v>
      </x:c>
      <x:c r="S81" s="11" t="n">
        <x:f>'Method'!$B$7</x:f>
        <x:v>0.2</x:v>
      </x:c>
      <x:c r="T81" s="11" t="n">
        <x:f>'Method'!$B$8</x:f>
        <x:v>0.2</x:v>
      </x:c>
      <x:c r="U81" s="11" t="n">
        <x:f>'Method'!$B$9</x:f>
        <x:v>0.2</x:v>
      </x:c>
      <x:c r="V81" s="11" t="n">
        <x:f>1-D81</x:f>
        <x:v>0.17663230240549832</x:v>
      </x:c>
      <x:c r="W81" s="11" t="n">
        <x:f>1-E81</x:f>
        <x:v>0</x:v>
      </x:c>
      <x:c r="X81" s="11" t="n">
        <x:f>1-F81</x:f>
        <x:v>0.03573883161512026</x:v>
      </x:c>
    </x:row>
    <x:row r="82" ht="18" customHeight="1">
      <x:c r="A82" s="10" t="str">
        <x:v>GA</x:v>
      </x:c>
      <x:c r="B82" s="10" t="str">
        <x:v>13155</x:v>
      </x:c>
      <x:c r="C82" s="10" t="str">
        <x:v>Irwin County</x:v>
      </x:c>
      <x:c r="D82" s="11" t="n">
        <x:f>1-'Method'!$B$7*G82</x:f>
        <x:v>0.8804123711340206</x:v>
      </x:c>
      <x:c r="E82" s="11" t="n">
        <x:f>1-'Method'!$B$8*H82</x:f>
        <x:v>1</x:v>
      </x:c>
      <x:c r="F82" s="11" t="n">
        <x:f>1-'Method'!$B$9*I82</x:f>
        <x:v>0.8804123711340206</x:v>
      </x:c>
      <x:c r="G82" s="11" t="n">
        <x:v>0.5979381443298969</x:v>
      </x:c>
      <x:c r="H82" s="11" t="n">
        <x:v>0</x:v>
      </x:c>
      <x:c r="I82" s="11" t="n">
        <x:v>0.5979381443298969</x:v>
      </x:c>
      <x:c r="J82" s="12" t="n">
        <x:v>72.43587532043458</x:v>
      </x:c>
      <x:c r="K82" s="12" t="n">
        <x:v>129.71093139648437</x:v>
      </x:c>
      <x:c r="L82" s="12" t="n">
        <x:v>57.27505607604979</x:v>
      </x:c>
      <x:c r="M82" s="12" t="n">
        <x:v>28.514879035949708</x:v>
      </x:c>
      <x:c r="N82" s="12" t="n">
        <x:v>27.87471211751302</x:v>
      </x:c>
      <x:c r="O82" s="12" t="n">
        <x:v>0</x:v>
      </x:c>
      <x:c r="P82" s="12" t="n">
        <x:v>1.8760959426561992</x:v>
      </x:c>
      <x:c r="Q82" s="12" t="n">
        <x:v>2.5843088030815125</x:v>
      </x:c>
      <x:c r="R82" s="12" t="n">
        <x:v>0.7082128604253133</x:v>
      </x:c>
      <x:c r="S82" s="11" t="n">
        <x:f>'Method'!$B$7</x:f>
        <x:v>0.2</x:v>
      </x:c>
      <x:c r="T82" s="11" t="n">
        <x:f>'Method'!$B$8</x:f>
        <x:v>0.2</x:v>
      </x:c>
      <x:c r="U82" s="11" t="n">
        <x:f>'Method'!$B$9</x:f>
        <x:v>0.2</x:v>
      </x:c>
      <x:c r="V82" s="11" t="n">
        <x:f>1-D82</x:f>
        <x:v>0.1195876288659794</x:v>
      </x:c>
      <x:c r="W82" s="11" t="n">
        <x:f>1-E82</x:f>
        <x:v>0</x:v>
      </x:c>
      <x:c r="X82" s="11" t="n">
        <x:f>1-F82</x:f>
        <x:v>0.1195876288659794</x:v>
      </x:c>
    </x:row>
    <x:row r="83" ht="18" customHeight="1">
      <x:c r="A83" s="10" t="str">
        <x:v>GA</x:v>
      </x:c>
      <x:c r="B83" s="10" t="str">
        <x:v>13157</x:v>
      </x:c>
      <x:c r="C83" s="10" t="str">
        <x:v>Jackson County</x:v>
      </x:c>
      <x:c r="D83" s="11" t="n">
        <x:f>1-'Method'!$B$7*G83</x:f>
        <x:v>0.9092783505154639</x:v>
      </x:c>
      <x:c r="E83" s="11" t="n">
        <x:f>1-'Method'!$B$8*H83</x:f>
        <x:v>1</x:v>
      </x:c>
      <x:c r="F83" s="11" t="n">
        <x:f>1-'Method'!$B$9*I83</x:f>
        <x:v>0.8460481099656357</x:v>
      </x:c>
      <x:c r="G83" s="11" t="n">
        <x:v>0.4536082474226804</x:v>
      </x:c>
      <x:c r="H83" s="11" t="n">
        <x:v>0</x:v>
      </x:c>
      <x:c r="I83" s="11" t="n">
        <x:v>0.7697594501718213</x:v>
      </x:c>
      <x:c r="J83" s="12" t="n">
        <x:v>36.08658014933268</x:v>
      </x:c>
      <x:c r="K83" s="12" t="n">
        <x:v>90.30292053222657</x:v>
      </x:c>
      <x:c r="L83" s="12" t="n">
        <x:v>54.21634038289388</x:v>
      </x:c>
      <x:c r="M83" s="12" t="n">
        <x:v>24.383837890625</x:v>
      </x:c>
      <x:c r="N83" s="12" t="n">
        <x:v>24.379513295491538</x:v>
      </x:c>
      <x:c r="O83" s="12" t="n">
        <x:v>0</x:v>
      </x:c>
      <x:c r="P83" s="12" t="n">
        <x:v>2.087275671958923</x:v>
      </x:c>
      <x:c r="Q83" s="12" t="n">
        <x:v>2.872600261370341</x:v>
      </x:c>
      <x:c r="R83" s="12" t="n">
        <x:v>0.785324589411418</x:v>
      </x:c>
      <x:c r="S83" s="11" t="n">
        <x:f>'Method'!$B$7</x:f>
        <x:v>0.2</x:v>
      </x:c>
      <x:c r="T83" s="11" t="n">
        <x:f>'Method'!$B$8</x:f>
        <x:v>0.2</x:v>
      </x:c>
      <x:c r="U83" s="11" t="n">
        <x:f>'Method'!$B$9</x:f>
        <x:v>0.2</x:v>
      </x:c>
      <x:c r="V83" s="11" t="n">
        <x:f>1-D83</x:f>
        <x:v>0.0907216494845361</x:v>
      </x:c>
      <x:c r="W83" s="11" t="n">
        <x:f>1-E83</x:f>
        <x:v>0</x:v>
      </x:c>
      <x:c r="X83" s="11" t="n">
        <x:f>1-F83</x:f>
        <x:v>0.15395189003436427</x:v>
      </x:c>
    </x:row>
    <x:row r="84" ht="18" customHeight="1">
      <x:c r="A84" s="10" t="str">
        <x:v>GA</x:v>
      </x:c>
      <x:c r="B84" s="10" t="str">
        <x:v>13159</x:v>
      </x:c>
      <x:c r="C84" s="10" t="str">
        <x:v>Jasper County</x:v>
      </x:c>
      <x:c r="D84" s="11" t="n">
        <x:f>1-'Method'!$B$7*G84</x:f>
        <x:v>0.8446735395189003</x:v>
      </x:c>
      <x:c r="E84" s="11" t="n">
        <x:f>1-'Method'!$B$8*H84</x:f>
        <x:v>1</x:v>
      </x:c>
      <x:c r="F84" s="11" t="n">
        <x:f>1-'Method'!$B$9*I84</x:f>
        <x:v>0.9512027491408934</x:v>
      </x:c>
      <x:c r="G84" s="11" t="n">
        <x:v>0.7766323024054983</x:v>
      </x:c>
      <x:c r="H84" s="11" t="n">
        <x:v>0</x:v>
      </x:c>
      <x:c r="I84" s="11" t="n">
        <x:v>0.24398625429553264</x:v>
      </x:c>
      <x:c r="J84" s="12" t="n">
        <x:v>47.854315694173174</x:v>
      </x:c>
      <x:c r="K84" s="12" t="n">
        <x:v>108.05485382080079</x:v>
      </x:c>
      <x:c r="L84" s="12" t="n">
        <x:v>60.20053812662761</x:v>
      </x:c>
      <x:c r="M84" s="12" t="n">
        <x:v>28.20312042236328</x:v>
      </x:c>
      <x:c r="N84" s="12" t="n">
        <x:v>27.06326395670573</x:v>
      </x:c>
      <x:c r="O84" s="12" t="n">
        <x:v>0</x:v>
      </x:c>
      <x:c r="P84" s="12" t="n">
        <x:v>1.9621298829714457</x:v>
      </x:c>
      <x:c r="Q84" s="12" t="n">
        <x:v>2.52755868434906</x:v>
      </x:c>
      <x:c r="R84" s="12" t="n">
        <x:v>0.5654288013776143</x:v>
      </x:c>
      <x:c r="S84" s="11" t="n">
        <x:f>'Method'!$B$7</x:f>
        <x:v>0.2</x:v>
      </x:c>
      <x:c r="T84" s="11" t="n">
        <x:f>'Method'!$B$8</x:f>
        <x:v>0.2</x:v>
      </x:c>
      <x:c r="U84" s="11" t="n">
        <x:f>'Method'!$B$9</x:f>
        <x:v>0.2</x:v>
      </x:c>
      <x:c r="V84" s="11" t="n">
        <x:f>1-D84</x:f>
        <x:v>0.15532646048109966</x:v>
      </x:c>
      <x:c r="W84" s="11" t="n">
        <x:f>1-E84</x:f>
        <x:v>0</x:v>
      </x:c>
      <x:c r="X84" s="11" t="n">
        <x:f>1-F84</x:f>
        <x:v>0.04879725085910658</x:v>
      </x:c>
    </x:row>
    <x:row r="85" ht="18" customHeight="1">
      <x:c r="A85" s="10" t="str">
        <x:v>GA</x:v>
      </x:c>
      <x:c r="B85" s="10" t="str">
        <x:v>13161</x:v>
      </x:c>
      <x:c r="C85" s="10" t="str">
        <x:v>Jeff Davis County</x:v>
      </x:c>
      <x:c r="D85" s="11" t="n">
        <x:f>1-'Method'!$B$7*G85</x:f>
        <x:v>0.8261168384879725</x:v>
      </x:c>
      <x:c r="E85" s="11" t="n">
        <x:f>1-'Method'!$B$8*H85</x:f>
        <x:v>1</x:v>
      </x:c>
      <x:c r="F85" s="11" t="n">
        <x:f>1-'Method'!$B$9*I85</x:f>
        <x:v>0.9649484536082474</x:v>
      </x:c>
      <x:c r="G85" s="11" t="n">
        <x:v>0.8694158075601375</x:v>
      </x:c>
      <x:c r="H85" s="11" t="n">
        <x:v>0</x:v>
      </x:c>
      <x:c r="I85" s="11" t="n">
        <x:v>0.17525773195876287</x:v>
      </x:c>
      <x:c r="J85" s="12" t="n">
        <x:v>72.29266026814778</x:v>
      </x:c>
      <x:c r="K85" s="12" t="n">
        <x:v>133.69346618652344</x:v>
      </x:c>
      <x:c r="L85" s="12" t="n">
        <x:v>61.40080591837565</x:v>
      </x:c>
      <x:c r="M85" s="12" t="n">
        <x:v>28.400516764322916</x:v>
      </x:c>
      <x:c r="N85" s="12" t="n">
        <x:v>27.913999366760255</x:v>
      </x:c>
      <x:c r="O85" s="12" t="n">
        <x:v>0</x:v>
      </x:c>
      <x:c r="P85" s="12" t="n">
        <x:v>1.7704433083534241</x:v>
      </x:c>
      <x:c r="Q85" s="12" t="n">
        <x:v>2.2952770590782166</x:v>
      </x:c>
      <x:c r="R85" s="12" t="n">
        <x:v>0.5248337507247924</x:v>
      </x:c>
      <x:c r="S85" s="11" t="n">
        <x:f>'Method'!$B$7</x:f>
        <x:v>0.2</x:v>
      </x:c>
      <x:c r="T85" s="11" t="n">
        <x:f>'Method'!$B$8</x:f>
        <x:v>0.2</x:v>
      </x:c>
      <x:c r="U85" s="11" t="n">
        <x:f>'Method'!$B$9</x:f>
        <x:v>0.2</x:v>
      </x:c>
      <x:c r="V85" s="11" t="n">
        <x:f>1-D85</x:f>
        <x:v>0.17388316151202754</x:v>
      </x:c>
      <x:c r="W85" s="11" t="n">
        <x:f>1-E85</x:f>
        <x:v>0</x:v>
      </x:c>
      <x:c r="X85" s="11" t="n">
        <x:f>1-F85</x:f>
        <x:v>0.035051546391752564</x:v>
      </x:c>
    </x:row>
    <x:row r="86" ht="18" customHeight="1">
      <x:c r="A86" s="10" t="str">
        <x:v>GA</x:v>
      </x:c>
      <x:c r="B86" s="10" t="str">
        <x:v>13163</x:v>
      </x:c>
      <x:c r="C86" s="10" t="str">
        <x:v>Jefferson County</x:v>
      </x:c>
      <x:c r="D86" s="11" t="n">
        <x:f>1-'Method'!$B$7*G86</x:f>
        <x:v>0.8536082474226804</x:v>
      </x:c>
      <x:c r="E86" s="11" t="n">
        <x:f>1-'Method'!$B$8*H86</x:f>
        <x:v>1</x:v>
      </x:c>
      <x:c r="F86" s="11" t="n">
        <x:f>1-'Method'!$B$9*I86</x:f>
        <x:v>0.9010309278350516</x:v>
      </x:c>
      <x:c r="G86" s="11" t="n">
        <x:v>0.7319587628865979</x:v>
      </x:c>
      <x:c r="H86" s="11" t="n">
        <x:v>0</x:v>
      </x:c>
      <x:c r="I86" s="11" t="n">
        <x:v>0.4948453608247423</x:v>
      </x:c>
      <x:c r="J86" s="12" t="n">
        <x:v>62.24526481628418</x:v>
      </x:c>
      <x:c r="K86" s="12" t="n">
        <x:v>121.85624491373697</x:v>
      </x:c>
      <x:c r="L86" s="12" t="n">
        <x:v>59.610980097452796</x:v>
      </x:c>
      <x:c r="M86" s="12" t="n">
        <x:v>28.29153683980306</x:v>
      </x:c>
      <x:c r="N86" s="12" t="n">
        <x:v>27.434700393676756</x:v>
      </x:c>
      <x:c r="O86" s="12" t="n">
        <x:v>0</x:v>
      </x:c>
      <x:c r="P86" s="12" t="n">
        <x:v>1.6965386907259623</x:v>
      </x:c>
      <x:c r="Q86" s="12" t="n">
        <x:v>2.3732220411300657</x:v>
      </x:c>
      <x:c r="R86" s="12" t="n">
        <x:v>0.6766833504041034</x:v>
      </x:c>
      <x:c r="S86" s="11" t="n">
        <x:f>'Method'!$B$7</x:f>
        <x:v>0.2</x:v>
      </x:c>
      <x:c r="T86" s="11" t="n">
        <x:f>'Method'!$B$8</x:f>
        <x:v>0.2</x:v>
      </x:c>
      <x:c r="U86" s="11" t="n">
        <x:f>'Method'!$B$9</x:f>
        <x:v>0.2</x:v>
      </x:c>
      <x:c r="V86" s="11" t="n">
        <x:f>1-D86</x:f>
        <x:v>0.14639175257731962</x:v>
      </x:c>
      <x:c r="W86" s="11" t="n">
        <x:f>1-E86</x:f>
        <x:v>0</x:v>
      </x:c>
      <x:c r="X86" s="11" t="n">
        <x:f>1-F86</x:f>
        <x:v>0.09896907216494844</x:v>
      </x:c>
    </x:row>
    <x:row r="87" ht="18" customHeight="1">
      <x:c r="A87" s="10" t="str">
        <x:v>GA</x:v>
      </x:c>
      <x:c r="B87" s="10" t="str">
        <x:v>13165</x:v>
      </x:c>
      <x:c r="C87" s="10" t="str">
        <x:v>Jenkins County</x:v>
      </x:c>
      <x:c r="D87" s="11" t="n">
        <x:f>1-'Method'!$B$7*G87</x:f>
        <x:v>0.881786941580756</x:v>
      </x:c>
      <x:c r="E87" s="11" t="n">
        <x:f>1-'Method'!$B$8*H87</x:f>
        <x:v>1</x:v>
      </x:c>
      <x:c r="F87" s="11" t="n">
        <x:f>1-'Method'!$B$9*I87</x:f>
        <x:v>0.9257731958762887</x:v>
      </x:c>
      <x:c r="G87" s="11" t="n">
        <x:v>0.5910652920962199</x:v>
      </x:c>
      <x:c r="H87" s="11" t="n">
        <x:v>0</x:v>
      </x:c>
      <x:c r="I87" s="11" t="n">
        <x:v>0.3711340206185567</x:v>
      </x:c>
      <x:c r="J87" s="12" t="n">
        <x:v>68.98989372253418</x:v>
      </x:c>
      <x:c r="K87" s="12" t="n">
        <x:v>125.98457717895508</x:v>
      </x:c>
      <x:c r="L87" s="12" t="n">
        <x:v>56.9946834564209</x:v>
      </x:c>
      <x:c r="M87" s="12" t="n">
        <x:v>28.070053354899088</x:v>
      </x:c>
      <x:c r="N87" s="12" t="n">
        <x:v>26.72613951365153</x:v>
      </x:c>
      <x:c r="O87" s="12" t="n">
        <x:v>0</x:v>
      </x:c>
      <x:c r="P87" s="12" t="n">
        <x:v>1.4065806547800699</x:v>
      </x:c>
      <x:c r="Q87" s="12" t="n">
        <x:v>2.0395788391431173</x:v>
      </x:c>
      <x:c r="R87" s="12" t="n">
        <x:v>0.6329981843630474</x:v>
      </x:c>
      <x:c r="S87" s="11" t="n">
        <x:f>'Method'!$B$7</x:f>
        <x:v>0.2</x:v>
      </x:c>
      <x:c r="T87" s="11" t="n">
        <x:f>'Method'!$B$8</x:f>
        <x:v>0.2</x:v>
      </x:c>
      <x:c r="U87" s="11" t="n">
        <x:f>'Method'!$B$9</x:f>
        <x:v>0.2</x:v>
      </x:c>
      <x:c r="V87" s="11" t="n">
        <x:f>1-D87</x:f>
        <x:v>0.11821305841924401</x:v>
      </x:c>
      <x:c r="W87" s="11" t="n">
        <x:f>1-E87</x:f>
        <x:v>0</x:v>
      </x:c>
      <x:c r="X87" s="11" t="n">
        <x:f>1-F87</x:f>
        <x:v>0.0742268041237113</x:v>
      </x:c>
    </x:row>
    <x:row r="88" ht="18" customHeight="1">
      <x:c r="A88" s="10" t="str">
        <x:v>GA</x:v>
      </x:c>
      <x:c r="B88" s="10" t="str">
        <x:v>13167</x:v>
      </x:c>
      <x:c r="C88" s="10" t="str">
        <x:v>Johnson County</x:v>
      </x:c>
      <x:c r="D88" s="11" t="n">
        <x:f>1-'Method'!$B$7*G88</x:f>
        <x:v>0.8769759450171821</x:v>
      </x:c>
      <x:c r="E88" s="11" t="n">
        <x:f>1-'Method'!$B$8*H88</x:f>
        <x:v>1</x:v>
      </x:c>
      <x:c r="F88" s="11" t="n">
        <x:f>1-'Method'!$B$9*I88</x:f>
        <x:v>0.9683848797250859</x:v>
      </x:c>
      <x:c r="G88" s="11" t="n">
        <x:v>0.6151202749140894</x:v>
      </x:c>
      <x:c r="H88" s="11" t="n">
        <x:v>0</x:v>
      </x:c>
      <x:c r="I88" s="11" t="n">
        <x:v>0.15807560137457044</x:v>
      </x:c>
      <x:c r="J88" s="12" t="n">
        <x:v>67.21316947937012</x:v>
      </x:c>
      <x:c r="K88" s="12" t="n">
        <x:v>124.95764821370443</x:v>
      </x:c>
      <x:c r="L88" s="12" t="n">
        <x:v>57.74447873433431</x:v>
      </x:c>
      <x:c r="M88" s="12" t="n">
        <x:v>27.21906916300456</x:v>
      </x:c>
      <x:c r="N88" s="12" t="n">
        <x:v>26.275846099853517</x:v>
      </x:c>
      <x:c r="O88" s="12" t="n">
        <x:v>0</x:v>
      </x:c>
      <x:c r="P88" s="12" t="n">
        <x:v>1.178183952967326</x:v>
      </x:c>
      <x:c r="Q88" s="12" t="n">
        <x:v>1.6863265872001647</x:v>
      </x:c>
      <x:c r="R88" s="12" t="n">
        <x:v>0.5081426342328388</x:v>
      </x:c>
      <x:c r="S88" s="11" t="n">
        <x:f>'Method'!$B$7</x:f>
        <x:v>0.2</x:v>
      </x:c>
      <x:c r="T88" s="11" t="n">
        <x:f>'Method'!$B$8</x:f>
        <x:v>0.2</x:v>
      </x:c>
      <x:c r="U88" s="11" t="n">
        <x:f>'Method'!$B$9</x:f>
        <x:v>0.2</x:v>
      </x:c>
      <x:c r="V88" s="11" t="n">
        <x:f>1-D88</x:f>
        <x:v>0.12302405498281788</x:v>
      </x:c>
      <x:c r="W88" s="11" t="n">
        <x:f>1-E88</x:f>
        <x:v>0</x:v>
      </x:c>
      <x:c r="X88" s="11" t="n">
        <x:f>1-F88</x:f>
        <x:v>0.03161512027491409</x:v>
      </x:c>
    </x:row>
    <x:row r="89" ht="18" customHeight="1">
      <x:c r="A89" s="10" t="str">
        <x:v>GA</x:v>
      </x:c>
      <x:c r="B89" s="10" t="str">
        <x:v>13169</x:v>
      </x:c>
      <x:c r="C89" s="10" t="str">
        <x:v>Jones County</x:v>
      </x:c>
      <x:c r="D89" s="11" t="n">
        <x:f>1-'Method'!$B$7*G89</x:f>
        <x:v>0.8164948453608247</x:v>
      </x:c>
      <x:c r="E89" s="11" t="n">
        <x:f>1-'Method'!$B$8*H89</x:f>
        <x:v>1</x:v>
      </x:c>
      <x:c r="F89" s="11" t="n">
        <x:f>1-'Method'!$B$9*I89</x:f>
        <x:v>0.9835051546391752</x:v>
      </x:c>
      <x:c r="G89" s="11" t="n">
        <x:v>0.9175257731958762</x:v>
      </x:c>
      <x:c r="H89" s="11" t="n">
        <x:v>0</x:v>
      </x:c>
      <x:c r="I89" s="11" t="n">
        <x:v>0.08247422680412371</x:v>
      </x:c>
      <x:c r="J89" s="12" t="n">
        <x:v>57.645565541585285</x:v>
      </x:c>
      <x:c r="K89" s="12" t="n">
        <x:v>119.98602854410807</x:v>
      </x:c>
      <x:c r="L89" s="12" t="n">
        <x:v>62.34046300252278</x:v>
      </x:c>
      <x:c r="M89" s="12" t="n">
        <x:v>26.96908925374349</x:v>
      </x:c>
      <x:c r="N89" s="12" t="n">
        <x:v>26.095404307047527</x:v>
      </x:c>
      <x:c r="O89" s="12" t="n">
        <x:v>0</x:v>
      </x:c>
      <x:c r="P89" s="12" t="n">
        <x:v>1.4550721069176993</x:v>
      </x:c>
      <x:c r="Q89" s="12" t="n">
        <x:v>1.9141570210456849</x:v>
      </x:c>
      <x:c r="R89" s="12" t="n">
        <x:v>0.4590849141279856</x:v>
      </x:c>
      <x:c r="S89" s="11" t="n">
        <x:f>'Method'!$B$7</x:f>
        <x:v>0.2</x:v>
      </x:c>
      <x:c r="T89" s="11" t="n">
        <x:f>'Method'!$B$8</x:f>
        <x:v>0.2</x:v>
      </x:c>
      <x:c r="U89" s="11" t="n">
        <x:f>'Method'!$B$9</x:f>
        <x:v>0.2</x:v>
      </x:c>
      <x:c r="V89" s="11" t="n">
        <x:f>1-D89</x:f>
        <x:v>0.18350515463917527</x:v>
      </x:c>
      <x:c r="W89" s="11" t="n">
        <x:f>1-E89</x:f>
        <x:v>0</x:v>
      </x:c>
      <x:c r="X89" s="11" t="n">
        <x:f>1-F89</x:f>
        <x:v>0.016494845360824795</x:v>
      </x:c>
    </x:row>
    <x:row r="90" ht="18" customHeight="1">
      <x:c r="A90" s="10" t="str">
        <x:v>GA</x:v>
      </x:c>
      <x:c r="B90" s="10" t="str">
        <x:v>13171</x:v>
      </x:c>
      <x:c r="C90" s="10" t="str">
        <x:v>Lamar County</x:v>
      </x:c>
      <x:c r="D90" s="11" t="n">
        <x:f>1-'Method'!$B$7*G90</x:f>
        <x:v>0.8048109965635739</x:v>
      </x:c>
      <x:c r="E90" s="11" t="n">
        <x:f>1-'Method'!$B$8*H90</x:f>
        <x:v>1</x:v>
      </x:c>
      <x:c r="F90" s="11" t="n">
        <x:f>1-'Method'!$B$9*I90</x:f>
        <x:v>0.9608247422680413</x:v>
      </x:c>
      <x:c r="G90" s="11" t="n">
        <x:v>0.9759450171821306</x:v>
      </x:c>
      <x:c r="H90" s="11" t="n">
        <x:v>0</x:v>
      </x:c>
      <x:c r="I90" s="11" t="n">
        <x:v>0.1958762886597938</x:v>
      </x:c>
      <x:c r="J90" s="12" t="n">
        <x:v>43.090708033243814</x:v>
      </x:c>
      <x:c r="K90" s="12" t="n">
        <x:v>106.7417724609375</x:v>
      </x:c>
      <x:c r="L90" s="12" t="n">
        <x:v>63.65106442769368</x:v>
      </x:c>
      <x:c r="M90" s="12" t="n">
        <x:v>26.28534870147705</x:v>
      </x:c>
      <x:c r="N90" s="12" t="n">
        <x:v>25.634226290384927</x:v>
      </x:c>
      <x:c r="O90" s="12" t="n">
        <x:v>0</x:v>
      </x:c>
      <x:c r="P90" s="12" t="n">
        <x:v>1.6606517950693767</x:v>
      </x:c>
      <x:c r="Q90" s="12" t="n">
        <x:v>2.202164586385091</x:v>
      </x:c>
      <x:c r="R90" s="12" t="n">
        <x:v>0.5415127913157143</x:v>
      </x:c>
      <x:c r="S90" s="11" t="n">
        <x:f>'Method'!$B$7</x:f>
        <x:v>0.2</x:v>
      </x:c>
      <x:c r="T90" s="11" t="n">
        <x:f>'Method'!$B$8</x:f>
        <x:v>0.2</x:v>
      </x:c>
      <x:c r="U90" s="11" t="n">
        <x:f>'Method'!$B$9</x:f>
        <x:v>0.2</x:v>
      </x:c>
      <x:c r="V90" s="11" t="n">
        <x:f>1-D90</x:f>
        <x:v>0.1951890034364261</x:v>
      </x:c>
      <x:c r="W90" s="11" t="n">
        <x:f>1-E90</x:f>
        <x:v>0</x:v>
      </x:c>
      <x:c r="X90" s="11" t="n">
        <x:f>1-F90</x:f>
        <x:v>0.039175257731958735</x:v>
      </x:c>
    </x:row>
    <x:row r="91" ht="18" customHeight="1">
      <x:c r="A91" s="10" t="str">
        <x:v>GA</x:v>
      </x:c>
      <x:c r="B91" s="10" t="str">
        <x:v>13173</x:v>
      </x:c>
      <x:c r="C91" s="10" t="str">
        <x:v>Lanier County</x:v>
      </x:c>
      <x:c r="D91" s="11" t="n">
        <x:f>1-'Method'!$B$7*G91</x:f>
        <x:v>0.8542955326460481</x:v>
      </x:c>
      <x:c r="E91" s="11" t="n">
        <x:f>1-'Method'!$B$8*H91</x:f>
        <x:v>0.8577319587628865</x:v>
      </x:c>
      <x:c r="F91" s="11" t="n">
        <x:f>1-'Method'!$B$9*I91</x:f>
        <x:v>0.931958762886598</x:v>
      </x:c>
      <x:c r="G91" s="11" t="n">
        <x:v>0.7285223367697594</x:v>
      </x:c>
      <x:c r="H91" s="11" t="n">
        <x:v>0.711340206185567</x:v>
      </x:c>
      <x:c r="I91" s="11" t="n">
        <x:v>0.3402061855670103</x:v>
      </x:c>
      <x:c r="J91" s="12" t="n">
        <x:v>76.87980550130209</x:v>
      </x:c>
      <x:c r="K91" s="12" t="n">
        <x:v>136.4834887186686</x:v>
      </x:c>
      <x:c r="L91" s="12" t="n">
        <x:v>59.60368321736652</x:v>
      </x:c>
      <x:c r="M91" s="12" t="n">
        <x:v>27.636257489522297</x:v>
      </x:c>
      <x:c r="N91" s="12" t="n">
        <x:v>27.661306444803873</x:v>
      </x:c>
      <x:c r="O91" s="12" t="n">
        <x:v>0.025048955281576468</x:v>
      </x:c>
      <x:c r="P91" s="12" t="n">
        <x:v>2.1231636881828306</x:v>
      </x:c>
      <x:c r="Q91" s="12" t="n">
        <x:v>2.7470868666966757</x:v>
      </x:c>
      <x:c r="R91" s="12" t="n">
        <x:v>0.623923178513845</x:v>
      </x:c>
      <x:c r="S91" s="11" t="n">
        <x:f>'Method'!$B$7</x:f>
        <x:v>0.2</x:v>
      </x:c>
      <x:c r="T91" s="11" t="n">
        <x:f>'Method'!$B$8</x:f>
        <x:v>0.2</x:v>
      </x:c>
      <x:c r="U91" s="11" t="n">
        <x:f>'Method'!$B$9</x:f>
        <x:v>0.2</x:v>
      </x:c>
      <x:c r="V91" s="11" t="n">
        <x:f>1-D91</x:f>
        <x:v>0.14570446735395193</x:v>
      </x:c>
      <x:c r="W91" s="11" t="n">
        <x:f>1-E91</x:f>
        <x:v>0.14226804123711345</x:v>
      </x:c>
      <x:c r="X91" s="11" t="n">
        <x:f>1-F91</x:f>
        <x:v>0.06804123711340204</x:v>
      </x:c>
    </x:row>
    <x:row r="92" ht="18" customHeight="1">
      <x:c r="A92" s="10" t="str">
        <x:v>GA</x:v>
      </x:c>
      <x:c r="B92" s="10" t="str">
        <x:v>13175</x:v>
      </x:c>
      <x:c r="C92" s="10" t="str">
        <x:v>Laurens County</x:v>
      </x:c>
      <x:c r="D92" s="11" t="n">
        <x:f>1-'Method'!$B$7*G92</x:f>
        <x:v>0.90446735395189</x:v>
      </x:c>
      <x:c r="E92" s="11" t="n">
        <x:f>1-'Method'!$B$8*H92</x:f>
        <x:v>1</x:v>
      </x:c>
      <x:c r="F92" s="11" t="n">
        <x:f>1-'Method'!$B$9*I92</x:f>
        <x:v>0.9367697594501718</x:v>
      </x:c>
      <x:c r="G92" s="11" t="n">
        <x:v>0.47766323024054985</x:v>
      </x:c>
      <x:c r="H92" s="11" t="n">
        <x:v>0</x:v>
      </x:c>
      <x:c r="I92" s="11" t="n">
        <x:v>0.3161512027491409</x:v>
      </x:c>
      <x:c r="J92" s="12" t="n">
        <x:v>76.98034693400065</x:v>
      </x:c>
      <x:c r="K92" s="12" t="n">
        <x:v>131.95522028605143</x:v>
      </x:c>
      <x:c r="L92" s="12" t="n">
        <x:v>54.97487335205078</x:v>
      </x:c>
      <x:c r="M92" s="12" t="n">
        <x:v>28.056112162272136</x:v>
      </x:c>
      <x:c r="N92" s="12" t="n">
        <x:v>27.082029088338217</x:v>
      </x:c>
      <x:c r="O92" s="12" t="n">
        <x:v>0</x:v>
      </x:c>
      <x:c r="P92" s="12" t="n">
        <x:v>1.460579260190328</x:v>
      </x:c>
      <x:c r="Q92" s="12" t="n">
        <x:v>2.065963061650594</x:v>
      </x:c>
      <x:c r="R92" s="12" t="n">
        <x:v>0.6053838014602659</x:v>
      </x:c>
      <x:c r="S92" s="11" t="n">
        <x:f>'Method'!$B$7</x:f>
        <x:v>0.2</x:v>
      </x:c>
      <x:c r="T92" s="11" t="n">
        <x:f>'Method'!$B$8</x:f>
        <x:v>0.2</x:v>
      </x:c>
      <x:c r="U92" s="11" t="n">
        <x:f>'Method'!$B$9</x:f>
        <x:v>0.2</x:v>
      </x:c>
      <x:c r="V92" s="11" t="n">
        <x:f>1-D92</x:f>
        <x:v>0.09553264604810996</x:v>
      </x:c>
      <x:c r="W92" s="11" t="n">
        <x:f>1-E92</x:f>
        <x:v>0</x:v>
      </x:c>
      <x:c r="X92" s="11" t="n">
        <x:f>1-F92</x:f>
        <x:v>0.06323024054982818</x:v>
      </x:c>
    </x:row>
    <x:row r="93" ht="18" customHeight="1">
      <x:c r="A93" s="10" t="str">
        <x:v>GA</x:v>
      </x:c>
      <x:c r="B93" s="10" t="str">
        <x:v>13177</x:v>
      </x:c>
      <x:c r="C93" s="10" t="str">
        <x:v>Lee County</x:v>
      </x:c>
      <x:c r="D93" s="11" t="n">
        <x:f>1-'Method'!$B$7*G93</x:f>
        <x:v>0.8652920962199313</x:v>
      </x:c>
      <x:c r="E93" s="11" t="n">
        <x:f>1-'Method'!$B$8*H93</x:f>
        <x:v>1</x:v>
      </x:c>
      <x:c r="F93" s="11" t="n">
        <x:f>1-'Method'!$B$9*I93</x:f>
        <x:v>0.8701030927835052</x:v>
      </x:c>
      <x:c r="G93" s="11" t="n">
        <x:v>0.6735395189003437</x:v>
      </x:c>
      <x:c r="H93" s="11" t="n">
        <x:v>0</x:v>
      </x:c>
      <x:c r="I93" s="11" t="n">
        <x:v>0.6494845360824743</x:v>
      </x:c>
      <x:c r="J93" s="12" t="n">
        <x:v>72.3065086364746</x:v>
      </x:c>
      <x:c r="K93" s="12" t="n">
        <x:v>131.2065439860026</x:v>
      </x:c>
      <x:c r="L93" s="12" t="n">
        <x:v>58.900035349528</x:v>
      </x:c>
      <x:c r="M93" s="12" t="n">
        <x:v>27.37744255065918</x:v>
      </x:c>
      <x:c r="N93" s="12" t="n">
        <x:v>26.965717188517253</x:v>
      </x:c>
      <x:c r="O93" s="12" t="n">
        <x:v>0</x:v>
      </x:c>
      <x:c r="P93" s="12" t="n">
        <x:v>1.6700853407382965</x:v>
      </x:c>
      <x:c r="Q93" s="12" t="n">
        <x:v>2.410829257965088</x:v>
      </x:c>
      <x:c r="R93" s="12" t="n">
        <x:v>0.7407439172267916</x:v>
      </x:c>
      <x:c r="S93" s="11" t="n">
        <x:f>'Method'!$B$7</x:f>
        <x:v>0.2</x:v>
      </x:c>
      <x:c r="T93" s="11" t="n">
        <x:f>'Method'!$B$8</x:f>
        <x:v>0.2</x:v>
      </x:c>
      <x:c r="U93" s="11" t="n">
        <x:f>'Method'!$B$9</x:f>
        <x:v>0.2</x:v>
      </x:c>
      <x:c r="V93" s="11" t="n">
        <x:f>1-D93</x:f>
        <x:v>0.1347079037800687</x:v>
      </x:c>
      <x:c r="W93" s="11" t="n">
        <x:f>1-E93</x:f>
        <x:v>0</x:v>
      </x:c>
      <x:c r="X93" s="11" t="n">
        <x:f>1-F93</x:f>
        <x:v>0.12989690721649483</x:v>
      </x:c>
    </x:row>
    <x:row r="94" ht="18" customHeight="1">
      <x:c r="A94" s="10" t="str">
        <x:v>GA</x:v>
      </x:c>
      <x:c r="B94" s="10" t="str">
        <x:v>13179</x:v>
      </x:c>
      <x:c r="C94" s="10" t="str">
        <x:v>Liberty County</x:v>
      </x:c>
      <x:c r="D94" s="11" t="n">
        <x:f>1-'Method'!$B$7*G94</x:f>
        <x:v>0.8487972508591065</x:v>
      </x:c>
      <x:c r="E94" s="11" t="n">
        <x:f>1-'Method'!$B$8*H94</x:f>
        <x:v>1</x:v>
      </x:c>
      <x:c r="F94" s="11" t="n">
        <x:f>1-'Method'!$B$9*I94</x:f>
        <x:v>0.90446735395189</x:v>
      </x:c>
      <x:c r="G94" s="11" t="n">
        <x:v>0.7560137457044673</x:v>
      </x:c>
      <x:c r="H94" s="11" t="n">
        <x:v>0</x:v>
      </x:c>
      <x:c r="I94" s="11" t="n">
        <x:v>0.47766323024054985</x:v>
      </x:c>
      <x:c r="J94" s="12" t="n">
        <x:v>65.09857889811198</x:v>
      </x:c>
      <x:c r="K94" s="12" t="n">
        <x:v>125.02616577148437</x:v>
      </x:c>
      <x:c r="L94" s="12" t="n">
        <x:v>59.92758687337239</x:v>
      </x:c>
      <x:c r="M94" s="12" t="n">
        <x:v>29.668304761250813</x:v>
      </x:c>
      <x:c r="N94" s="12" t="n">
        <x:v>28.369576263427735</x:v>
      </x:c>
      <x:c r="O94" s="12" t="n">
        <x:v>0</x:v>
      </x:c>
      <x:c r="P94" s="12" t="n">
        <x:v>1.956198811531067</x:v>
      </x:c>
      <x:c r="Q94" s="12" t="n">
        <x:v>2.6306031545003257</x:v>
      </x:c>
      <x:c r="R94" s="12" t="n">
        <x:v>0.6744043429692588</x:v>
      </x:c>
      <x:c r="S94" s="11" t="n">
        <x:f>'Method'!$B$7</x:f>
        <x:v>0.2</x:v>
      </x:c>
      <x:c r="T94" s="11" t="n">
        <x:f>'Method'!$B$8</x:f>
        <x:v>0.2</x:v>
      </x:c>
      <x:c r="U94" s="11" t="n">
        <x:f>'Method'!$B$9</x:f>
        <x:v>0.2</x:v>
      </x:c>
      <x:c r="V94" s="11" t="n">
        <x:f>1-D94</x:f>
        <x:v>0.1512027491408935</x:v>
      </x:c>
      <x:c r="W94" s="11" t="n">
        <x:f>1-E94</x:f>
        <x:v>0</x:v>
      </x:c>
      <x:c r="X94" s="11" t="n">
        <x:f>1-F94</x:f>
        <x:v>0.09553264604810996</x:v>
      </x:c>
    </x:row>
    <x:row r="95" ht="18" customHeight="1">
      <x:c r="A95" s="10" t="str">
        <x:v>GA</x:v>
      </x:c>
      <x:c r="B95" s="10" t="str">
        <x:v>13181</x:v>
      </x:c>
      <x:c r="C95" s="10" t="str">
        <x:v>Lincoln County</x:v>
      </x:c>
      <x:c r="D95" s="11" t="n">
        <x:f>1-'Method'!$B$7*G95</x:f>
        <x:v>0.9030927835051547</x:v>
      </x:c>
      <x:c r="E95" s="11" t="n">
        <x:f>1-'Method'!$B$8*H95</x:f>
        <x:v>1</x:v>
      </x:c>
      <x:c r="F95" s="11" t="n">
        <x:f>1-'Method'!$B$9*I95</x:f>
        <x:v>0.8515463917525773</x:v>
      </x:c>
      <x:c r="G95" s="11" t="n">
        <x:v>0.4845360824742268</x:v>
      </x:c>
      <x:c r="H95" s="11" t="n">
        <x:v>0</x:v>
      </x:c>
      <x:c r="I95" s="11" t="n">
        <x:v>0.7422680412371134</x:v>
      </x:c>
      <x:c r="J95" s="12" t="n">
        <x:v>54.826527150472</x:v>
      </x:c>
      <x:c r="K95" s="12" t="n">
        <x:v>109.83700485229492</x:v>
      </x:c>
      <x:c r="L95" s="12" t="n">
        <x:v>55.01047770182292</x:v>
      </x:c>
      <x:c r="M95" s="12" t="n">
        <x:v>28.450090599060058</x:v>
      </x:c>
      <x:c r="N95" s="12" t="n">
        <x:v>27.317356681823732</x:v>
      </x:c>
      <x:c r="O95" s="12" t="n">
        <x:v>0</x:v>
      </x:c>
      <x:c r="P95" s="12" t="n">
        <x:v>1.8836183667182922</x:v>
      </x:c>
      <x:c r="Q95" s="12" t="n">
        <x:v>2.6575615723927815</x:v>
      </x:c>
      <x:c r="R95" s="12" t="n">
        <x:v>0.7739432056744893</x:v>
      </x:c>
      <x:c r="S95" s="11" t="n">
        <x:f>'Method'!$B$7</x:f>
        <x:v>0.2</x:v>
      </x:c>
      <x:c r="T95" s="11" t="n">
        <x:f>'Method'!$B$8</x:f>
        <x:v>0.2</x:v>
      </x:c>
      <x:c r="U95" s="11" t="n">
        <x:f>'Method'!$B$9</x:f>
        <x:v>0.2</x:v>
      </x:c>
      <x:c r="V95" s="11" t="n">
        <x:f>1-D95</x:f>
        <x:v>0.09690721649484535</x:v>
      </x:c>
      <x:c r="W95" s="11" t="n">
        <x:f>1-E95</x:f>
        <x:v>0</x:v>
      </x:c>
      <x:c r="X95" s="11" t="n">
        <x:f>1-F95</x:f>
        <x:v>0.1484536082474227</x:v>
      </x:c>
    </x:row>
    <x:row r="96" ht="18" customHeight="1">
      <x:c r="A96" s="10" t="str">
        <x:v>GA</x:v>
      </x:c>
      <x:c r="B96" s="10" t="str">
        <x:v>13183</x:v>
      </x:c>
      <x:c r="C96" s="10" t="str">
        <x:v>Long County</x:v>
      </x:c>
      <x:c r="D96" s="11" t="n">
        <x:f>1-'Method'!$B$7*G96</x:f>
        <x:v>0.8556701030927835</x:v>
      </x:c>
      <x:c r="E96" s="11" t="n">
        <x:f>1-'Method'!$B$8*H96</x:f>
        <x:v>1</x:v>
      </x:c>
      <x:c r="F96" s="11" t="n">
        <x:f>1-'Method'!$B$9*I96</x:f>
        <x:v>0.9278350515463918</x:v>
      </x:c>
      <x:c r="G96" s="11" t="n">
        <x:v>0.7216494845360825</x:v>
      </x:c>
      <x:c r="H96" s="11" t="n">
        <x:v>0</x:v>
      </x:c>
      <x:c r="I96" s="11" t="n">
        <x:v>0.36082474226804123</x:v>
      </x:c>
      <x:c r="J96" s="12" t="n">
        <x:v>71.90462379455566</x:v>
      </x:c>
      <x:c r="K96" s="12" t="n">
        <x:v>131.38670603434244</x:v>
      </x:c>
      <x:c r="L96" s="12" t="n">
        <x:v>59.48208223978678</x:v>
      </x:c>
      <x:c r="M96" s="12" t="n">
        <x:v>28.16778341929118</x:v>
      </x:c>
      <x:c r="N96" s="12" t="n">
        <x:v>27.247934277852377</x:v>
      </x:c>
      <x:c r="O96" s="12" t="n">
        <x:v>0</x:v>
      </x:c>
      <x:c r="P96" s="12" t="n">
        <x:v>1.4821136673291524</x:v>
      </x:c>
      <x:c r="Q96" s="12" t="n">
        <x:v>2.113162120183309</x:v>
      </x:c>
      <x:c r="R96" s="12" t="n">
        <x:v>0.6310484528541567</x:v>
      </x:c>
      <x:c r="S96" s="11" t="n">
        <x:f>'Method'!$B$7</x:f>
        <x:v>0.2</x:v>
      </x:c>
      <x:c r="T96" s="11" t="n">
        <x:f>'Method'!$B$8</x:f>
        <x:v>0.2</x:v>
      </x:c>
      <x:c r="U96" s="11" t="n">
        <x:f>'Method'!$B$9</x:f>
        <x:v>0.2</x:v>
      </x:c>
      <x:c r="V96" s="11" t="n">
        <x:f>1-D96</x:f>
        <x:v>0.14432989690721654</x:v>
      </x:c>
      <x:c r="W96" s="11" t="n">
        <x:f>1-E96</x:f>
        <x:v>0</x:v>
      </x:c>
      <x:c r="X96" s="11" t="n">
        <x:f>1-F96</x:f>
        <x:v>0.07216494845360821</x:v>
      </x:c>
    </x:row>
    <x:row r="97" ht="18" customHeight="1">
      <x:c r="A97" s="10" t="str">
        <x:v>GA</x:v>
      </x:c>
      <x:c r="B97" s="10" t="str">
        <x:v>13185</x:v>
      </x:c>
      <x:c r="C97" s="10" t="str">
        <x:v>Lowndes County</x:v>
      </x:c>
      <x:c r="D97" s="11" t="n">
        <x:f>1-'Method'!$B$7*G97</x:f>
        <x:v>0.8151202749140893</x:v>
      </x:c>
      <x:c r="E97" s="11" t="n">
        <x:f>1-'Method'!$B$8*H97</x:f>
        <x:v>1</x:v>
      </x:c>
      <x:c r="F97" s="11" t="n">
        <x:f>1-'Method'!$B$9*I97</x:f>
        <x:v>0.9388316151202749</x:v>
      </x:c>
      <x:c r="G97" s="11" t="n">
        <x:v>0.9243986254295533</x:v>
      </x:c>
      <x:c r="H97" s="11" t="n">
        <x:v>0</x:v>
      </x:c>
      <x:c r="I97" s="11" t="n">
        <x:v>0.30584192439862545</x:v>
      </x:c>
      <x:c r="J97" s="12" t="n">
        <x:v>77.4346331278483</x:v>
      </x:c>
      <x:c r="K97" s="12" t="n">
        <x:v>139.89923019409179</x:v>
      </x:c>
      <x:c r="L97" s="12" t="n">
        <x:v>62.464597066243485</x:v>
      </x:c>
      <x:c r="M97" s="12" t="n">
        <x:v>28.785138638814292</x:v>
      </x:c>
      <x:c r="N97" s="12" t="n">
        <x:v>28.438597869873046</x:v>
      </x:c>
      <x:c r="O97" s="12" t="n">
        <x:v>0</x:v>
      </x:c>
      <x:c r="P97" s="12" t="n">
        <x:v>2.285759397347768</x:v>
      </x:c>
      <x:c r="Q97" s="12" t="n">
        <x:v>2.887767752011617</x:v>
      </x:c>
      <x:c r="R97" s="12" t="n">
        <x:v>0.602008354663849</x:v>
      </x:c>
      <x:c r="S97" s="11" t="n">
        <x:f>'Method'!$B$7</x:f>
        <x:v>0.2</x:v>
      </x:c>
      <x:c r="T97" s="11" t="n">
        <x:f>'Method'!$B$8</x:f>
        <x:v>0.2</x:v>
      </x:c>
      <x:c r="U97" s="11" t="n">
        <x:f>'Method'!$B$9</x:f>
        <x:v>0.2</x:v>
      </x:c>
      <x:c r="V97" s="11" t="n">
        <x:f>1-D97</x:f>
        <x:v>0.18487972508591066</x:v>
      </x:c>
      <x:c r="W97" s="11" t="n">
        <x:f>1-E97</x:f>
        <x:v>0</x:v>
      </x:c>
      <x:c r="X97" s="11" t="n">
        <x:f>1-F97</x:f>
        <x:v>0.06116838487972509</x:v>
      </x:c>
    </x:row>
    <x:row r="98" ht="18" customHeight="1">
      <x:c r="A98" s="10" t="str">
        <x:v>GA</x:v>
      </x:c>
      <x:c r="B98" s="10" t="str">
        <x:v>13187</x:v>
      </x:c>
      <x:c r="C98" s="10" t="str">
        <x:v>Lumpkin County</x:v>
      </x:c>
      <x:c r="D98" s="11" t="n">
        <x:f>1-'Method'!$B$7*G98</x:f>
        <x:v>0.9567010309278351</x:v>
      </x:c>
      <x:c r="E98" s="11" t="n">
        <x:f>1-'Method'!$B$8*H98</x:f>
        <x:v>0.8103092783505155</x:v>
      </x:c>
      <x:c r="F98" s="11" t="n">
        <x:f>1-'Method'!$B$9*I98</x:f>
        <x:v>0.8013745704467354</x:v>
      </x:c>
      <x:c r="G98" s="11" t="n">
        <x:v>0.21649484536082475</x:v>
      </x:c>
      <x:c r="H98" s="11" t="n">
        <x:v>0.9484536082474226</x:v>
      </x:c>
      <x:c r="I98" s="11" t="n">
        <x:v>0.993127147766323</x:v>
      </x:c>
      <x:c r="J98" s="12" t="n">
        <x:v>11.859264945983886</x:v>
      </x:c>
      <x:c r="K98" s="12" t="n">
        <x:v>60.31285146077474</x:v>
      </x:c>
      <x:c r="L98" s="12" t="n">
        <x:v>48.45358651479085</x:v>
      </x:c>
      <x:c r="M98" s="12" t="n">
        <x:v>22.74072831471761</x:v>
      </x:c>
      <x:c r="N98" s="12" t="n">
        <x:v>23.194723892211915</x:v>
      </x:c>
      <x:c r="O98" s="12" t="n">
        <x:v>0.45399557749430386</x:v>
      </x:c>
      <x:c r="P98" s="12" t="n">
        <x:v>3.968647837638855</x:v>
      </x:c>
      <x:c r="Q98" s="12" t="n">
        <x:v>5.251471996307373</x:v>
      </x:c>
      <x:c r="R98" s="12" t="n">
        <x:v>1.282824158668518</x:v>
      </x:c>
      <x:c r="S98" s="11" t="n">
        <x:f>'Method'!$B$7</x:f>
        <x:v>0.2</x:v>
      </x:c>
      <x:c r="T98" s="11" t="n">
        <x:f>'Method'!$B$8</x:f>
        <x:v>0.2</x:v>
      </x:c>
      <x:c r="U98" s="11" t="n">
        <x:f>'Method'!$B$9</x:f>
        <x:v>0.2</x:v>
      </x:c>
      <x:c r="V98" s="11" t="n">
        <x:f>1-D98</x:f>
        <x:v>0.043298969072164906</x:v>
      </x:c>
      <x:c r="W98" s="11" t="n">
        <x:f>1-E98</x:f>
        <x:v>0.18969072164948453</x:v>
      </x:c>
      <x:c r="X98" s="11" t="n">
        <x:f>1-F98</x:f>
        <x:v>0.19862542955326457</x:v>
      </x:c>
    </x:row>
    <x:row r="99" ht="18" customHeight="1">
      <x:c r="A99" s="10" t="str">
        <x:v>GA</x:v>
      </x:c>
      <x:c r="B99" s="10" t="str">
        <x:v>13189</x:v>
      </x:c>
      <x:c r="C99" s="10" t="str">
        <x:v>McDuffie County</x:v>
      </x:c>
      <x:c r="D99" s="11" t="n">
        <x:f>1-'Method'!$B$7*G99</x:f>
        <x:v>0.8735395189003436</x:v>
      </x:c>
      <x:c r="E99" s="11" t="n">
        <x:f>1-'Method'!$B$8*H99</x:f>
        <x:v>1</x:v>
      </x:c>
      <x:c r="F99" s="11" t="n">
        <x:f>1-'Method'!$B$9*I99</x:f>
        <x:v>0.8838487972508591</x:v>
      </x:c>
      <x:c r="G99" s="11" t="n">
        <x:v>0.6323024054982818</x:v>
      </x:c>
      <x:c r="H99" s="11" t="n">
        <x:v>0</x:v>
      </x:c>
      <x:c r="I99" s="11" t="n">
        <x:v>0.5807560137457045</x:v>
      </x:c>
      <x:c r="J99" s="12" t="n">
        <x:v>51.80126266479492</x:v>
      </x:c>
      <x:c r="K99" s="12" t="n">
        <x:v>110.12377014160157</x:v>
      </x:c>
      <x:c r="L99" s="12" t="n">
        <x:v>58.32250747680665</x:v>
      </x:c>
      <x:c r="M99" s="12" t="n">
        <x:v>27.70566069285075</x:v>
      </x:c>
      <x:c r="N99" s="12" t="n">
        <x:v>26.592937151590984</x:v>
      </x:c>
      <x:c r="O99" s="12" t="n">
        <x:v>0</x:v>
      </x:c>
      <x:c r="P99" s="12" t="n">
        <x:v>1.8675374786059062</x:v>
      </x:c>
      <x:c r="Q99" s="12" t="n">
        <x:v>2.567405271530151</x:v>
      </x:c>
      <x:c r="R99" s="12" t="n">
        <x:v>0.699867792924245</x:v>
      </x:c>
      <x:c r="S99" s="11" t="n">
        <x:f>'Method'!$B$7</x:f>
        <x:v>0.2</x:v>
      </x:c>
      <x:c r="T99" s="11" t="n">
        <x:f>'Method'!$B$8</x:f>
        <x:v>0.2</x:v>
      </x:c>
      <x:c r="U99" s="11" t="n">
        <x:f>'Method'!$B$9</x:f>
        <x:v>0.2</x:v>
      </x:c>
      <x:c r="V99" s="11" t="n">
        <x:f>1-D99</x:f>
        <x:v>0.12646048109965635</x:v>
      </x:c>
      <x:c r="W99" s="11" t="n">
        <x:f>1-E99</x:f>
        <x:v>0</x:v>
      </x:c>
      <x:c r="X99" s="11" t="n">
        <x:f>1-F99</x:f>
        <x:v>0.11615120274914092</x:v>
      </x:c>
    </x:row>
    <x:row r="100" ht="18" customHeight="1">
      <x:c r="A100" s="10" t="str">
        <x:v>GA</x:v>
      </x:c>
      <x:c r="B100" s="10" t="str">
        <x:v>13191</x:v>
      </x:c>
      <x:c r="C100" s="10" t="str">
        <x:v>McIntosh County</x:v>
      </x:c>
      <x:c r="D100" s="11" t="n">
        <x:f>1-'Method'!$B$7*G100</x:f>
        <x:v>0.836426116838488</x:v>
      </x:c>
      <x:c r="E100" s="11" t="n">
        <x:f>1-'Method'!$B$8*H100</x:f>
        <x:v>1</x:v>
      </x:c>
      <x:c r="F100" s="11" t="n">
        <x:f>1-'Method'!$B$9*I100</x:f>
        <x:v>0.9092783505154639</x:v>
      </x:c>
      <x:c r="G100" s="11" t="n">
        <x:v>0.8178694158075601</x:v>
      </x:c>
      <x:c r="H100" s="11" t="n">
        <x:v>0</x:v>
      </x:c>
      <x:c r="I100" s="11" t="n">
        <x:v>0.4536082474226804</x:v>
      </x:c>
      <x:c r="J100" s="12" t="n">
        <x:v>49.119938659667966</x:v>
      </x:c>
      <x:c r="K100" s="12" t="n">
        <x:v>109.92448501586914</x:v>
      </x:c>
      <x:c r="L100" s="12" t="n">
        <x:v>60.80454635620117</x:v>
      </x:c>
      <x:c r="M100" s="12" t="n">
        <x:v>28.76712417602539</x:v>
      </x:c>
      <x:c r="N100" s="12" t="n">
        <x:v>27.729336865743</x:v>
      </x:c>
      <x:c r="O100" s="12" t="n">
        <x:v>0</x:v>
      </x:c>
      <x:c r="P100" s="12" t="n">
        <x:v>2.3549564401308696</x:v>
      </x:c>
      <x:c r="Q100" s="12" t="n">
        <x:v>3.0207088470458983</x:v>
      </x:c>
      <x:c r="R100" s="12" t="n">
        <x:v>0.6657524069150287</x:v>
      </x:c>
      <x:c r="S100" s="11" t="n">
        <x:f>'Method'!$B$7</x:f>
        <x:v>0.2</x:v>
      </x:c>
      <x:c r="T100" s="11" t="n">
        <x:f>'Method'!$B$8</x:f>
        <x:v>0.2</x:v>
      </x:c>
      <x:c r="U100" s="11" t="n">
        <x:f>'Method'!$B$9</x:f>
        <x:v>0.2</x:v>
      </x:c>
      <x:c r="V100" s="11" t="n">
        <x:f>1-D100</x:f>
        <x:v>0.163573883161512</x:v>
      </x:c>
      <x:c r="W100" s="11" t="n">
        <x:f>1-E100</x:f>
        <x:v>0</x:v>
      </x:c>
      <x:c r="X100" s="11" t="n">
        <x:f>1-F100</x:f>
        <x:v>0.0907216494845361</x:v>
      </x:c>
    </x:row>
    <x:row r="101" ht="18" customHeight="1">
      <x:c r="A101" s="10" t="str">
        <x:v>GA</x:v>
      </x:c>
      <x:c r="B101" s="10" t="str">
        <x:v>13193</x:v>
      </x:c>
      <x:c r="C101" s="10" t="str">
        <x:v>Macon County</x:v>
      </x:c>
      <x:c r="D101" s="11" t="n">
        <x:f>1-'Method'!$B$7*G101</x:f>
        <x:v>0.8075601374570447</x:v>
      </x:c>
      <x:c r="E101" s="11" t="n">
        <x:f>1-'Method'!$B$8*H101</x:f>
        <x:v>1</x:v>
      </x:c>
      <x:c r="F101" s="11" t="n">
        <x:f>1-'Method'!$B$9*I101</x:f>
        <x:v>0.9106529209621993</x:v>
      </x:c>
      <x:c r="G101" s="11" t="n">
        <x:v>0.9621993127147767</x:v>
      </x:c>
      <x:c r="H101" s="11" t="n">
        <x:v>0</x:v>
      </x:c>
      <x:c r="I101" s="11" t="n">
        <x:v>0.44673539518900346</x:v>
      </x:c>
      <x:c r="J101" s="12" t="n">
        <x:v>61.708170827229814</x:v>
      </x:c>
      <x:c r="K101" s="12" t="n">
        <x:v>125.14190165201823</x:v>
      </x:c>
      <x:c r="L101" s="12" t="n">
        <x:v>63.43373082478842</x:v>
      </x:c>
      <x:c r="M101" s="12" t="n">
        <x:v>29.359063784281414</x:v>
      </x:c>
      <x:c r="N101" s="12" t="n">
        <x:v>28.798348681131998</x:v>
      </x:c>
      <x:c r="O101" s="12" t="n">
        <x:v>0</x:v>
      </x:c>
      <x:c r="P101" s="12" t="n">
        <x:v>2.0565725684165956</x:v>
      </x:c>
      <x:c r="Q101" s="12" t="n">
        <x:v>2.721597146987915</x:v>
      </x:c>
      <x:c r="R101" s="12" t="n">
        <x:v>0.6650245785713196</x:v>
      </x:c>
      <x:c r="S101" s="11" t="n">
        <x:f>'Method'!$B$7</x:f>
        <x:v>0.2</x:v>
      </x:c>
      <x:c r="T101" s="11" t="n">
        <x:f>'Method'!$B$8</x:f>
        <x:v>0.2</x:v>
      </x:c>
      <x:c r="U101" s="11" t="n">
        <x:f>'Method'!$B$9</x:f>
        <x:v>0.2</x:v>
      </x:c>
      <x:c r="V101" s="11" t="n">
        <x:f>1-D101</x:f>
        <x:v>0.1924398625429553</x:v>
      </x:c>
      <x:c r="W101" s="11" t="n">
        <x:f>1-E101</x:f>
        <x:v>0</x:v>
      </x:c>
      <x:c r="X101" s="11" t="n">
        <x:f>1-F101</x:f>
        <x:v>0.0893470790378007</x:v>
      </x:c>
    </x:row>
    <x:row r="102" ht="18" customHeight="1">
      <x:c r="A102" s="10" t="str">
        <x:v>GA</x:v>
      </x:c>
      <x:c r="B102" s="10" t="str">
        <x:v>13195</x:v>
      </x:c>
      <x:c r="C102" s="10" t="str">
        <x:v>Madison County</x:v>
      </x:c>
      <x:c r="D102" s="11" t="n">
        <x:f>1-'Method'!$B$7*G102</x:f>
        <x:v>0.8996563573883162</x:v>
      </x:c>
      <x:c r="E102" s="11" t="n">
        <x:f>1-'Method'!$B$8*H102</x:f>
        <x:v>1</x:v>
      </x:c>
      <x:c r="F102" s="11" t="n">
        <x:f>1-'Method'!$B$9*I102</x:f>
        <x:v>0.8508591065292096</x:v>
      </x:c>
      <x:c r="G102" s="11" t="n">
        <x:v>0.5017182130584192</x:v>
      </x:c>
      <x:c r="H102" s="11" t="n">
        <x:v>0</x:v>
      </x:c>
      <x:c r="I102" s="11" t="n">
        <x:v>0.7457044673539519</x:v>
      </x:c>
      <x:c r="J102" s="12" t="n">
        <x:v>39.24476699829101</x:v>
      </x:c>
      <x:c r="K102" s="12" t="n">
        <x:v>94.48475672403971</x:v>
      </x:c>
      <x:c r="L102" s="12" t="n">
        <x:v>55.2399897257487</x:v>
      </x:c>
      <x:c r="M102" s="12" t="n">
        <x:v>25.563822555541993</x:v>
      </x:c>
      <x:c r="N102" s="12" t="n">
        <x:v>25.081284968058267</x:v>
      </x:c>
      <x:c r="O102" s="12" t="n">
        <x:v>0</x:v>
      </x:c>
      <x:c r="P102" s="12" t="n">
        <x:v>1.7839360078175863</x:v>
      </x:c>
      <x:c r="Q102" s="12" t="n">
        <x:v>2.557929265499115</x:v>
      </x:c>
      <x:c r="R102" s="12" t="n">
        <x:v>0.7739932576815285</x:v>
      </x:c>
      <x:c r="S102" s="11" t="n">
        <x:f>'Method'!$B$7</x:f>
        <x:v>0.2</x:v>
      </x:c>
      <x:c r="T102" s="11" t="n">
        <x:f>'Method'!$B$8</x:f>
        <x:v>0.2</x:v>
      </x:c>
      <x:c r="U102" s="11" t="n">
        <x:f>'Method'!$B$9</x:f>
        <x:v>0.2</x:v>
      </x:c>
      <x:c r="V102" s="11" t="n">
        <x:f>1-D102</x:f>
        <x:v>0.10034364261168383</x:v>
      </x:c>
      <x:c r="W102" s="11" t="n">
        <x:f>1-E102</x:f>
        <x:v>0</x:v>
      </x:c>
      <x:c r="X102" s="11" t="n">
        <x:f>1-F102</x:f>
        <x:v>0.1491408934707904</x:v>
      </x:c>
    </x:row>
    <x:row r="103" ht="18" customHeight="1">
      <x:c r="A103" s="10" t="str">
        <x:v>GA</x:v>
      </x:c>
      <x:c r="B103" s="10" t="str">
        <x:v>13197</x:v>
      </x:c>
      <x:c r="C103" s="10" t="str">
        <x:v>Marion County</x:v>
      </x:c>
      <x:c r="D103" s="11" t="n">
        <x:f>1-'Method'!$B$7*G103</x:f>
        <x:v>0.8054982817869416</x:v>
      </x:c>
      <x:c r="E103" s="11" t="n">
        <x:f>1-'Method'!$B$8*H103</x:f>
        <x:v>1</x:v>
      </x:c>
      <x:c r="F103" s="11" t="n">
        <x:f>1-'Method'!$B$9*I103</x:f>
        <x:v>0.8632302405498282</x:v>
      </x:c>
      <x:c r="G103" s="11" t="n">
        <x:v>0.9725085910652921</x:v>
      </x:c>
      <x:c r="H103" s="11" t="n">
        <x:v>0</x:v>
      </x:c>
      <x:c r="I103" s="11" t="n">
        <x:v>0.6838487972508591</x:v>
      </x:c>
      <x:c r="J103" s="12" t="n">
        <x:v>53.417323684692384</x:v>
      </x:c>
      <x:c r="K103" s="12" t="n">
        <x:v>117.00711135864258</x:v>
      </x:c>
      <x:c r="L103" s="12" t="n">
        <x:v>63.58978767395019</x:v>
      </x:c>
      <x:c r="M103" s="12" t="n">
        <x:v>27.590953826904297</x:v>
      </x:c>
      <x:c r="N103" s="12" t="n">
        <x:v>27.249683825174966</x:v>
      </x:c>
      <x:c r="O103" s="12" t="n">
        <x:v>0</x:v>
      </x:c>
      <x:c r="P103" s="12" t="n">
        <x:v>2.1819398721059162</x:v>
      </x:c>
      <x:c r="Q103" s="12" t="n">
        <x:v>2.9314385573069255</x:v>
      </x:c>
      <x:c r="R103" s="12" t="n">
        <x:v>0.7494986852010093</x:v>
      </x:c>
      <x:c r="S103" s="11" t="n">
        <x:f>'Method'!$B$7</x:f>
        <x:v>0.2</x:v>
      </x:c>
      <x:c r="T103" s="11" t="n">
        <x:f>'Method'!$B$8</x:f>
        <x:v>0.2</x:v>
      </x:c>
      <x:c r="U103" s="11" t="n">
        <x:f>'Method'!$B$9</x:f>
        <x:v>0.2</x:v>
      </x:c>
      <x:c r="V103" s="11" t="n">
        <x:f>1-D103</x:f>
        <x:v>0.1945017182130584</x:v>
      </x:c>
      <x:c r="W103" s="11" t="n">
        <x:f>1-E103</x:f>
        <x:v>0</x:v>
      </x:c>
      <x:c r="X103" s="11" t="n">
        <x:f>1-F103</x:f>
        <x:v>0.13676975945017178</x:v>
      </x:c>
    </x:row>
    <x:row r="104" ht="18" customHeight="1">
      <x:c r="A104" s="10" t="str">
        <x:v>GA</x:v>
      </x:c>
      <x:c r="B104" s="10" t="str">
        <x:v>13199</x:v>
      </x:c>
      <x:c r="C104" s="10" t="str">
        <x:v>Meriwether County</x:v>
      </x:c>
      <x:c r="D104" s="11" t="n">
        <x:f>1-'Method'!$B$7*G104</x:f>
        <x:v>0.8192439862542955</x:v>
      </x:c>
      <x:c r="E104" s="11" t="n">
        <x:f>1-'Method'!$B$8*H104</x:f>
        <x:v>1</x:v>
      </x:c>
      <x:c r="F104" s="11" t="n">
        <x:f>1-'Method'!$B$9*I104</x:f>
        <x:v>0.8769759450171821</x:v>
      </x:c>
      <x:c r="G104" s="11" t="n">
        <x:v>0.9037800687285223</x:v>
      </x:c>
      <x:c r="H104" s="11" t="n">
        <x:v>0</x:v>
      </x:c>
      <x:c r="I104" s="11" t="n">
        <x:v>0.6151202749140894</x:v>
      </x:c>
      <x:c r="J104" s="12" t="n">
        <x:v>43.243171310424806</x:v>
      </x:c>
      <x:c r="K104" s="12" t="n">
        <x:v>105.38350143432618</x:v>
      </x:c>
      <x:c r="L104" s="12" t="n">
        <x:v>62.14033012390137</x:v>
      </x:c>
      <x:c r="M104" s="12" t="n">
        <x:v>27.358378219604493</x:v>
      </x:c>
      <x:c r="N104" s="12" t="n">
        <x:v>26.434041659037273</x:v>
      </x:c>
      <x:c r="O104" s="12" t="n">
        <x:v>0</x:v>
      </x:c>
      <x:c r="P104" s="12" t="n">
        <x:v>1.953657344977061</x:v>
      </x:c>
      <x:c r="Q104" s="12" t="n">
        <x:v>2.672974447409312</x:v>
      </x:c>
      <x:c r="R104" s="12" t="n">
        <x:v>0.7193171024322509</x:v>
      </x:c>
      <x:c r="S104" s="11" t="n">
        <x:f>'Method'!$B$7</x:f>
        <x:v>0.2</x:v>
      </x:c>
      <x:c r="T104" s="11" t="n">
        <x:f>'Method'!$B$8</x:f>
        <x:v>0.2</x:v>
      </x:c>
      <x:c r="U104" s="11" t="n">
        <x:f>'Method'!$B$9</x:f>
        <x:v>0.2</x:v>
      </x:c>
      <x:c r="V104" s="11" t="n">
        <x:f>1-D104</x:f>
        <x:v>0.1807560137457045</x:v>
      </x:c>
      <x:c r="W104" s="11" t="n">
        <x:f>1-E104</x:f>
        <x:v>0</x:v>
      </x:c>
      <x:c r="X104" s="11" t="n">
        <x:f>1-F104</x:f>
        <x:v>0.12302405498281788</x:v>
      </x:c>
    </x:row>
    <x:row r="105" ht="18" customHeight="1">
      <x:c r="A105" s="10" t="str">
        <x:v>GA</x:v>
      </x:c>
      <x:c r="B105" s="10" t="str">
        <x:v>13201</x:v>
      </x:c>
      <x:c r="C105" s="10" t="str">
        <x:v>Miller County</x:v>
      </x:c>
      <x:c r="D105" s="11" t="n">
        <x:f>1-'Method'!$B$7*G105</x:f>
        <x:v>0.8611683848797251</x:v>
      </x:c>
      <x:c r="E105" s="11" t="n">
        <x:f>1-'Method'!$B$8*H105</x:f>
        <x:v>1</x:v>
      </x:c>
      <x:c r="F105" s="11" t="n">
        <x:f>1-'Method'!$B$9*I105</x:f>
        <x:v>0.9216494845360825</x:v>
      </x:c>
      <x:c r="G105" s="11" t="n">
        <x:v>0.6941580756013745</x:v>
      </x:c>
      <x:c r="H105" s="11" t="n">
        <x:v>0</x:v>
      </x:c>
      <x:c r="I105" s="11" t="n">
        <x:v>0.3917525773195876</x:v>
      </x:c>
      <x:c r="J105" s="12" t="n">
        <x:v>80.61361592610677</x:v>
      </x:c>
      <x:c r="K105" s="12" t="n">
        <x:v>139.76731567382814</x:v>
      </x:c>
      <x:c r="L105" s="12" t="n">
        <x:v>59.15369974772136</x:v>
      </x:c>
      <x:c r="M105" s="12" t="n">
        <x:v>29.48312079111735</x:v>
      </x:c>
      <x:c r="N105" s="12" t="n">
        <x:v>28.963263193766277</x:v>
      </x:c>
      <x:c r="O105" s="12" t="n">
        <x:v>0</x:v>
      </x:c>
      <x:c r="P105" s="12" t="n">
        <x:v>3.071935606002808</x:v>
      </x:c>
      <x:c r="Q105" s="12" t="n">
        <x:v>3.7125887870788574</x:v>
      </x:c>
      <x:c r="R105" s="12" t="n">
        <x:v>0.6406531810760496</x:v>
      </x:c>
      <x:c r="S105" s="11" t="n">
        <x:f>'Method'!$B$7</x:f>
        <x:v>0.2</x:v>
      </x:c>
      <x:c r="T105" s="11" t="n">
        <x:f>'Method'!$B$8</x:f>
        <x:v>0.2</x:v>
      </x:c>
      <x:c r="U105" s="11" t="n">
        <x:f>'Method'!$B$9</x:f>
        <x:v>0.2</x:v>
      </x:c>
      <x:c r="V105" s="11" t="n">
        <x:f>1-D105</x:f>
        <x:v>0.13883161512027486</x:v>
      </x:c>
      <x:c r="W105" s="11" t="n">
        <x:f>1-E105</x:f>
        <x:v>0</x:v>
      </x:c>
      <x:c r="X105" s="11" t="n">
        <x:f>1-F105</x:f>
        <x:v>0.07835051546391747</x:v>
      </x:c>
    </x:row>
    <x:row r="106" ht="18" customHeight="1">
      <x:c r="A106" s="10" t="str">
        <x:v>GA</x:v>
      </x:c>
      <x:c r="B106" s="10" t="str">
        <x:v>13205</x:v>
      </x:c>
      <x:c r="C106" s="10" t="str">
        <x:v>Mitchell County</x:v>
      </x:c>
      <x:c r="D106" s="11" t="n">
        <x:f>1-'Method'!$B$7*G106</x:f>
        <x:v>0.8329896907216494</x:v>
      </x:c>
      <x:c r="E106" s="11" t="n">
        <x:f>1-'Method'!$B$8*H106</x:f>
        <x:v>1</x:v>
      </x:c>
      <x:c r="F106" s="11" t="n">
        <x:f>1-'Method'!$B$9*I106</x:f>
        <x:v>0.8384879725085911</x:v>
      </x:c>
      <x:c r="G106" s="11" t="n">
        <x:v>0.8350515463917526</x:v>
      </x:c>
      <x:c r="H106" s="11" t="n">
        <x:v>0</x:v>
      </x:c>
      <x:c r="I106" s="11" t="n">
        <x:v>0.8075601374570447</x:v>
      </x:c>
      <x:c r="J106" s="12" t="n">
        <x:v>76.23566233317057</x:v>
      </x:c>
      <x:c r="K106" s="12" t="n">
        <x:v>137.21018346150717</x:v>
      </x:c>
      <x:c r="L106" s="12" t="n">
        <x:v>60.974521128336605</x:v>
      </x:c>
      <x:c r="M106" s="12" t="n">
        <x:v>28.117475318908692</x:v>
      </x:c>
      <x:c r="N106" s="12" t="n">
        <x:v>27.726321538289387</x:v>
      </x:c>
      <x:c r="O106" s="12" t="n">
        <x:v>0</x:v>
      </x:c>
      <x:c r="P106" s="12" t="n">
        <x:v>2.3802702466646832</x:v>
      </x:c>
      <x:c r="Q106" s="12" t="n">
        <x:v>3.1912858724594115</x:v>
      </x:c>
      <x:c r="R106" s="12" t="n">
        <x:v>0.8110156257947283</x:v>
      </x:c>
      <x:c r="S106" s="11" t="n">
        <x:f>'Method'!$B$7</x:f>
        <x:v>0.2</x:v>
      </x:c>
      <x:c r="T106" s="11" t="n">
        <x:f>'Method'!$B$8</x:f>
        <x:v>0.2</x:v>
      </x:c>
      <x:c r="U106" s="11" t="n">
        <x:f>'Method'!$B$9</x:f>
        <x:v>0.2</x:v>
      </x:c>
      <x:c r="V106" s="11" t="n">
        <x:f>1-D106</x:f>
        <x:v>0.1670103092783506</x:v>
      </x:c>
      <x:c r="W106" s="11" t="n">
        <x:f>1-E106</x:f>
        <x:v>0</x:v>
      </x:c>
      <x:c r="X106" s="11" t="n">
        <x:f>1-F106</x:f>
        <x:v>0.16151202749140892</x:v>
      </x:c>
    </x:row>
    <x:row r="107" ht="18" customHeight="1">
      <x:c r="A107" s="10" t="str">
        <x:v>GA</x:v>
      </x:c>
      <x:c r="B107" s="10" t="str">
        <x:v>13207</x:v>
      </x:c>
      <x:c r="C107" s="10" t="str">
        <x:v>Monroe County</x:v>
      </x:c>
      <x:c r="D107" s="11" t="n">
        <x:f>1-'Method'!$B$7*G107</x:f>
        <x:v>0.8006872852233677</x:v>
      </x:c>
      <x:c r="E107" s="11" t="n">
        <x:f>1-'Method'!$B$8*H107</x:f>
        <x:v>1</x:v>
      </x:c>
      <x:c r="F107" s="11" t="n">
        <x:f>1-'Method'!$B$9*I107</x:f>
        <x:v>0.979381443298969</x:v>
      </x:c>
      <x:c r="G107" s="11" t="n">
        <x:v>0.9965635738831615</x:v>
      </x:c>
      <x:c r="H107" s="11" t="n">
        <x:v>0</x:v>
      </x:c>
      <x:c r="I107" s="11" t="n">
        <x:v>0.10309278350515463</x:v>
      </x:c>
      <x:c r="J107" s="12" t="n">
        <x:v>52.50535545349121</x:v>
      </x:c>
      <x:c r="K107" s="12" t="n">
        <x:v>116.91351954142253</x:v>
      </x:c>
      <x:c r="L107" s="12" t="n">
        <x:v>64.40816408793131</x:v>
      </x:c>
      <x:c r="M107" s="12" t="n">
        <x:v>27.341727828979494</x:v>
      </x:c>
      <x:c r="N107" s="12" t="n">
        <x:v>26.751651573181153</x:v>
      </x:c>
      <x:c r="O107" s="12" t="n">
        <x:v>0</x:v>
      </x:c>
      <x:c r="P107" s="12" t="n">
        <x:v>1.8477489431699117</x:v>
      </x:c>
      <x:c r="Q107" s="12" t="n">
        <x:v>2.3144538203875222</x:v>
      </x:c>
      <x:c r="R107" s="12" t="n">
        <x:v>0.46670487721761056</x:v>
      </x:c>
      <x:c r="S107" s="11" t="n">
        <x:f>'Method'!$B$7</x:f>
        <x:v>0.2</x:v>
      </x:c>
      <x:c r="T107" s="11" t="n">
        <x:f>'Method'!$B$8</x:f>
        <x:v>0.2</x:v>
      </x:c>
      <x:c r="U107" s="11" t="n">
        <x:f>'Method'!$B$9</x:f>
        <x:v>0.2</x:v>
      </x:c>
      <x:c r="V107" s="11" t="n">
        <x:f>1-D107</x:f>
        <x:v>0.19931271477663226</x:v>
      </x:c>
      <x:c r="W107" s="11" t="n">
        <x:f>1-E107</x:f>
        <x:v>0</x:v>
      </x:c>
      <x:c r="X107" s="11" t="n">
        <x:f>1-F107</x:f>
        <x:v>0.020618556701030966</x:v>
      </x:c>
    </x:row>
    <x:row r="108" ht="18" customHeight="1">
      <x:c r="A108" s="10" t="str">
        <x:v>GA</x:v>
      </x:c>
      <x:c r="B108" s="10" t="str">
        <x:v>13209</x:v>
      </x:c>
      <x:c r="C108" s="10" t="str">
        <x:v>Montgomery County</x:v>
      </x:c>
      <x:c r="D108" s="11" t="n">
        <x:f>1-'Method'!$B$7*G108</x:f>
        <x:v>0.8865979381443299</x:v>
      </x:c>
      <x:c r="E108" s="11" t="n">
        <x:f>1-'Method'!$B$8*H108</x:f>
        <x:v>1</x:v>
      </x:c>
      <x:c r="F108" s="11" t="n">
        <x:f>1-'Method'!$B$9*I108</x:f>
        <x:v>0.9725085910652921</x:v>
      </x:c>
      <x:c r="G108" s="11" t="n">
        <x:v>0.5670103092783505</x:v>
      </x:c>
      <x:c r="H108" s="11" t="n">
        <x:v>0</x:v>
      </x:c>
      <x:c r="I108" s="11" t="n">
        <x:v>0.13745704467353953</x:v>
      </x:c>
      <x:c r="J108" s="12" t="n">
        <x:v>74.79854863484701</x:v>
      </x:c>
      <x:c r="K108" s="12" t="n">
        <x:v>131.47681477864583</x:v>
      </x:c>
      <x:c r="L108" s="12" t="n">
        <x:v>56.67826614379882</x:v>
      </x:c>
      <x:c r="M108" s="12" t="n">
        <x:v>29.85795103708903</x:v>
      </x:c>
      <x:c r="N108" s="12" t="n">
        <x:v>29.224889945983886</x:v>
      </x:c>
      <x:c r="O108" s="12" t="n">
        <x:v>0</x:v>
      </x:c>
      <x:c r="P108" s="12" t="n">
        <x:v>2.3518433769543967</x:v>
      </x:c>
      <x:c r="Q108" s="12" t="n">
        <x:v>2.8540257453918456</x:v>
      </x:c>
      <x:c r="R108" s="12" t="n">
        <x:v>0.5021823684374489</x:v>
      </x:c>
      <x:c r="S108" s="11" t="n">
        <x:f>'Method'!$B$7</x:f>
        <x:v>0.2</x:v>
      </x:c>
      <x:c r="T108" s="11" t="n">
        <x:f>'Method'!$B$8</x:f>
        <x:v>0.2</x:v>
      </x:c>
      <x:c r="U108" s="11" t="n">
        <x:f>'Method'!$B$9</x:f>
        <x:v>0.2</x:v>
      </x:c>
      <x:c r="V108" s="11" t="n">
        <x:f>1-D108</x:f>
        <x:v>0.11340206185567014</x:v>
      </x:c>
      <x:c r="W108" s="11" t="n">
        <x:f>1-E108</x:f>
        <x:v>0</x:v>
      </x:c>
      <x:c r="X108" s="11" t="n">
        <x:f>1-F108</x:f>
        <x:v>0.027491408934707917</x:v>
      </x:c>
    </x:row>
    <x:row r="109" ht="18" customHeight="1">
      <x:c r="A109" s="10" t="str">
        <x:v>GA</x:v>
      </x:c>
      <x:c r="B109" s="10" t="str">
        <x:v>13211</x:v>
      </x:c>
      <x:c r="C109" s="10" t="str">
        <x:v>Morgan County</x:v>
      </x:c>
      <x:c r="D109" s="11" t="n">
        <x:f>1-'Method'!$B$7*G109</x:f>
        <x:v>0.8563573883161512</x:v>
      </x:c>
      <x:c r="E109" s="11" t="n">
        <x:f>1-'Method'!$B$8*H109</x:f>
        <x:v>1</x:v>
      </x:c>
      <x:c r="F109" s="11" t="n">
        <x:f>1-'Method'!$B$9*I109</x:f>
        <x:v>0.8597938144329897</x:v>
      </x:c>
      <x:c r="G109" s="11" t="n">
        <x:v>0.718213058419244</x:v>
      </x:c>
      <x:c r="H109" s="11" t="n">
        <x:v>0</x:v>
      </x:c>
      <x:c r="I109" s="11" t="n">
        <x:v>0.7010309278350515</x:v>
      </x:c>
      <x:c r="J109" s="12" t="n">
        <x:v>50.02244186401367</x:v>
      </x:c>
      <x:c r="K109" s="12" t="n">
        <x:v>109.45230662027994</x:v>
      </x:c>
      <x:c r="L109" s="12" t="n">
        <x:v>59.42986475626627</x:v>
      </x:c>
      <x:c r="M109" s="12" t="n">
        <x:v>26.734105364481607</x:v>
      </x:c>
      <x:c r="N109" s="12" t="n">
        <x:v>25.7891362508138</x:v>
      </x:c>
      <x:c r="O109" s="12" t="n">
        <x:v>0</x:v>
      </x:c>
      <x:c r="P109" s="12" t="n">
        <x:v>1.7014626224835714</x:v>
      </x:c>
      <x:c r="Q109" s="12" t="n">
        <x:v>2.458124840259552</x:v>
      </x:c>
      <x:c r="R109" s="12" t="n">
        <x:v>0.7566622177759805</x:v>
      </x:c>
      <x:c r="S109" s="11" t="n">
        <x:f>'Method'!$B$7</x:f>
        <x:v>0.2</x:v>
      </x:c>
      <x:c r="T109" s="11" t="n">
        <x:f>'Method'!$B$8</x:f>
        <x:v>0.2</x:v>
      </x:c>
      <x:c r="U109" s="11" t="n">
        <x:f>'Method'!$B$9</x:f>
        <x:v>0.2</x:v>
      </x:c>
      <x:c r="V109" s="11" t="n">
        <x:f>1-D109</x:f>
        <x:v>0.14364261168384884</x:v>
      </x:c>
      <x:c r="W109" s="11" t="n">
        <x:f>1-E109</x:f>
        <x:v>0</x:v>
      </x:c>
      <x:c r="X109" s="11" t="n">
        <x:f>1-F109</x:f>
        <x:v>0.14020618556701026</x:v>
      </x:c>
    </x:row>
    <x:row r="110" ht="18" customHeight="1">
      <x:c r="A110" s="10" t="str">
        <x:v>GA</x:v>
      </x:c>
      <x:c r="B110" s="10" t="str">
        <x:v>13213</x:v>
      </x:c>
      <x:c r="C110" s="10" t="str">
        <x:v>Murray County</x:v>
      </x:c>
      <x:c r="D110" s="11" t="n">
        <x:f>1-'Method'!$B$7*G110</x:f>
        <x:v>0.9037800687285223</x:v>
      </x:c>
      <x:c r="E110" s="11" t="n">
        <x:f>1-'Method'!$B$8*H110</x:f>
        <x:v>0.8</x:v>
      </x:c>
      <x:c r="F110" s="11" t="n">
        <x:f>1-'Method'!$B$9*I110</x:f>
        <x:v>0.8144329896907216</x:v>
      </x:c>
      <x:c r="G110" s="11" t="n">
        <x:v>0.48109965635738833</x:v>
      </x:c>
      <x:c r="H110" s="11" t="n">
        <x:v>1</x:v>
      </x:c>
      <x:c r="I110" s="11" t="n">
        <x:v>0.9278350515463918</x:v>
      </x:c>
      <x:c r="J110" s="12" t="n">
        <x:v>26.08835620880127</x:v>
      </x:c>
      <x:c r="K110" s="12" t="n">
        <x:v>81.06333491007487</x:v>
      </x:c>
      <x:c r="L110" s="12" t="n">
        <x:v>54.9749787012736</x:v>
      </x:c>
      <x:c r="M110" s="12" t="n">
        <x:v>22.924541600545247</x:v>
      </x:c>
      <x:c r="N110" s="12" t="n">
        <x:v>23.769597625732423</x:v>
      </x:c>
      <x:c r="O110" s="12" t="n">
        <x:v>0.8450560251871764</x:v>
      </x:c>
      <x:c r="P110" s="12" t="n">
        <x:v>2.5450037320454917</x:v>
      </x:c>
      <x:c r="Q110" s="12" t="n">
        <x:v>3.4772756735483807</x:v>
      </x:c>
      <x:c r="R110" s="12" t="n">
        <x:v>0.9322719415028891</x:v>
      </x:c>
      <x:c r="S110" s="11" t="n">
        <x:f>'Method'!$B$7</x:f>
        <x:v>0.2</x:v>
      </x:c>
      <x:c r="T110" s="11" t="n">
        <x:f>'Method'!$B$8</x:f>
        <x:v>0.2</x:v>
      </x:c>
      <x:c r="U110" s="11" t="n">
        <x:f>'Method'!$B$9</x:f>
        <x:v>0.2</x:v>
      </x:c>
      <x:c r="V110" s="11" t="n">
        <x:f>1-D110</x:f>
        <x:v>0.09621993127147765</x:v>
      </x:c>
      <x:c r="W110" s="11" t="n">
        <x:f>1-E110</x:f>
        <x:v>0.19999999999999996</x:v>
      </x:c>
      <x:c r="X110" s="11" t="n">
        <x:f>1-F110</x:f>
        <x:v>0.18556701030927836</x:v>
      </x:c>
    </x:row>
    <x:row r="111" ht="18" customHeight="1">
      <x:c r="A111" s="10" t="str">
        <x:v>GA</x:v>
      </x:c>
      <x:c r="B111" s="10" t="str">
        <x:v>13215</x:v>
      </x:c>
      <x:c r="C111" s="10" t="str">
        <x:v>Muscogee County</x:v>
      </x:c>
      <x:c r="D111" s="11" t="n">
        <x:f>1-'Method'!$B$7*G111</x:f>
        <x:v>0.8034364261168385</x:v>
      </x:c>
      <x:c r="E111" s="11" t="n">
        <x:f>1-'Method'!$B$8*H111</x:f>
        <x:v>1</x:v>
      </x:c>
      <x:c r="F111" s="11" t="n">
        <x:f>1-'Method'!$B$9*I111</x:f>
        <x:v>0.9573883161512028</x:v>
      </x:c>
      <x:c r="G111" s="11" t="n">
        <x:v>0.9828178694158075</x:v>
      </x:c>
      <x:c r="H111" s="11" t="n">
        <x:v>0</x:v>
      </x:c>
      <x:c r="I111" s="11" t="n">
        <x:v>0.21305841924398625</x:v>
      </x:c>
      <x:c r="J111" s="12" t="n">
        <x:v>61.630753962198895</x:v>
      </x:c>
      <x:c r="K111" s="12" t="n">
        <x:v>125.4491559346517</x:v>
      </x:c>
      <x:c r="L111" s="12" t="n">
        <x:v>63.818401972452804</x:v>
      </x:c>
      <x:c r="M111" s="12" t="n">
        <x:v>27.179663149515786</x:v>
      </x:c>
      <x:c r="N111" s="12" t="n">
        <x:v>26.554746882120767</x:v>
      </x:c>
      <x:c r="O111" s="12" t="n">
        <x:v>0</x:v>
      </x:c>
      <x:c r="P111" s="12" t="n">
        <x:v>1.7614094257354735</x:v>
      </x:c>
      <x:c r="Q111" s="12" t="n">
        <x:v>2.314338541030884</x:v>
      </x:c>
      <x:c r="R111" s="12" t="n">
        <x:v>0.5529291152954103</x:v>
      </x:c>
      <x:c r="S111" s="11" t="n">
        <x:f>'Method'!$B$7</x:f>
        <x:v>0.2</x:v>
      </x:c>
      <x:c r="T111" s="11" t="n">
        <x:f>'Method'!$B$8</x:f>
        <x:v>0.2</x:v>
      </x:c>
      <x:c r="U111" s="11" t="n">
        <x:f>'Method'!$B$9</x:f>
        <x:v>0.2</x:v>
      </x:c>
      <x:c r="V111" s="11" t="n">
        <x:f>1-D111</x:f>
        <x:v>0.19656357388316148</x:v>
      </x:c>
      <x:c r="W111" s="11" t="n">
        <x:f>1-E111</x:f>
        <x:v>0</x:v>
      </x:c>
      <x:c r="X111" s="11" t="n">
        <x:f>1-F111</x:f>
        <x:v>0.04261168384879721</x:v>
      </x:c>
    </x:row>
    <x:row r="112" ht="18" customHeight="1">
      <x:c r="A112" s="10" t="str">
        <x:v>GA</x:v>
      </x:c>
      <x:c r="B112" s="10" t="str">
        <x:v>13217</x:v>
      </x:c>
      <x:c r="C112" s="10" t="str">
        <x:v>Newton County</x:v>
      </x:c>
      <x:c r="D112" s="11" t="n">
        <x:f>1-'Method'!$B$7*G112</x:f>
        <x:v>0.843298969072165</x:v>
      </x:c>
      <x:c r="E112" s="11" t="n">
        <x:f>1-'Method'!$B$8*H112</x:f>
        <x:v>1</x:v>
      </x:c>
      <x:c r="F112" s="11" t="n">
        <x:f>1-'Method'!$B$9*I112</x:f>
        <x:v>0.8542955326460481</x:v>
      </x:c>
      <x:c r="G112" s="11" t="n">
        <x:v>0.7835051546391752</x:v>
      </x:c>
      <x:c r="H112" s="11" t="n">
        <x:v>0</x:v>
      </x:c>
      <x:c r="I112" s="11" t="n">
        <x:v>0.7285223367697594</x:v>
      </x:c>
      <x:c r="J112" s="12" t="n">
        <x:v>41.684600321451825</x:v>
      </x:c>
      <x:c r="K112" s="12" t="n">
        <x:v>101.92759882609049</x:v>
      </x:c>
      <x:c r="L112" s="12" t="n">
        <x:v>60.24299850463866</x:v>
      </x:c>
      <x:c r="M112" s="12" t="n">
        <x:v>27.315125211079916</x:v>
      </x:c>
      <x:c r="N112" s="12" t="n">
        <x:v>26.901203028361003</x:v>
      </x:c>
      <x:c r="O112" s="12" t="n">
        <x:v>0</x:v>
      </x:c>
      <x:c r="P112" s="12" t="n">
        <x:v>2.1889163931210835</x:v>
      </x:c>
      <x:c r="Q112" s="12" t="n">
        <x:v>2.9567483266194663</x:v>
      </x:c>
      <x:c r="R112" s="12" t="n">
        <x:v>0.7678319334983827</x:v>
      </x:c>
      <x:c r="S112" s="11" t="n">
        <x:f>'Method'!$B$7</x:f>
        <x:v>0.2</x:v>
      </x:c>
      <x:c r="T112" s="11" t="n">
        <x:f>'Method'!$B$8</x:f>
        <x:v>0.2</x:v>
      </x:c>
      <x:c r="U112" s="11" t="n">
        <x:f>'Method'!$B$9</x:f>
        <x:v>0.2</x:v>
      </x:c>
      <x:c r="V112" s="11" t="n">
        <x:f>1-D112</x:f>
        <x:v>0.15670103092783505</x:v>
      </x:c>
      <x:c r="W112" s="11" t="n">
        <x:f>1-E112</x:f>
        <x:v>0</x:v>
      </x:c>
      <x:c r="X112" s="11" t="n">
        <x:f>1-F112</x:f>
        <x:v>0.14570446735395193</x:v>
      </x:c>
    </x:row>
    <x:row r="113" ht="18" customHeight="1">
      <x:c r="A113" s="10" t="str">
        <x:v>GA</x:v>
      </x:c>
      <x:c r="B113" s="10" t="str">
        <x:v>13219</x:v>
      </x:c>
      <x:c r="C113" s="10" t="str">
        <x:v>Oconee County</x:v>
      </x:c>
      <x:c r="D113" s="11" t="n">
        <x:f>1-'Method'!$B$7*G113</x:f>
        <x:v>0.8893470790378006</x:v>
      </x:c>
      <x:c r="E113" s="11" t="n">
        <x:f>1-'Method'!$B$8*H113</x:f>
        <x:v>1</x:v>
      </x:c>
      <x:c r="F113" s="11" t="n">
        <x:f>1-'Method'!$B$9*I113</x:f>
        <x:v>0.925085910652921</x:v>
      </x:c>
      <x:c r="G113" s="11" t="n">
        <x:v>0.5532646048109966</x:v>
      </x:c>
      <x:c r="H113" s="11" t="n">
        <x:v>0</x:v>
      </x:c>
      <x:c r="I113" s="11" t="n">
        <x:v>0.3745704467353952</x:v>
      </x:c>
      <x:c r="J113" s="12" t="n">
        <x:v>47.44086545308431</x:v>
      </x:c>
      <x:c r="K113" s="12" t="n">
        <x:v>103.69562352498373</x:v>
      </x:c>
      <x:c r="L113" s="12" t="n">
        <x:v>56.254758071899424</x:v>
      </x:c>
      <x:c r="M113" s="12" t="n">
        <x:v>25.509169642130534</x:v>
      </x:c>
      <x:c r="N113" s="12" t="n">
        <x:v>24.955078570048013</x:v>
      </x:c>
      <x:c r="O113" s="12" t="n">
        <x:v>0</x:v>
      </x:c>
      <x:c r="P113" s="12" t="n">
        <x:v>1.747163458665212</x:v>
      </x:c>
      <x:c r="Q113" s="12" t="n">
        <x:v>2.3809454798698426</x:v>
      </x:c>
      <x:c r="R113" s="12" t="n">
        <x:v>0.6337820212046306</x:v>
      </x:c>
      <x:c r="S113" s="11" t="n">
        <x:f>'Method'!$B$7</x:f>
        <x:v>0.2</x:v>
      </x:c>
      <x:c r="T113" s="11" t="n">
        <x:f>'Method'!$B$8</x:f>
        <x:v>0.2</x:v>
      </x:c>
      <x:c r="U113" s="11" t="n">
        <x:f>'Method'!$B$9</x:f>
        <x:v>0.2</x:v>
      </x:c>
      <x:c r="V113" s="11" t="n">
        <x:f>1-D113</x:f>
        <x:v>0.11065292096219936</x:v>
      </x:c>
      <x:c r="W113" s="11" t="n">
        <x:f>1-E113</x:f>
        <x:v>0</x:v>
      </x:c>
      <x:c r="X113" s="11" t="n">
        <x:f>1-F113</x:f>
        <x:v>0.074914089347079</x:v>
      </x:c>
    </x:row>
    <x:row r="114" ht="18" customHeight="1">
      <x:c r="A114" s="10" t="str">
        <x:v>GA</x:v>
      </x:c>
      <x:c r="B114" s="10" t="str">
        <x:v>13221</x:v>
      </x:c>
      <x:c r="C114" s="10" t="str">
        <x:v>Oglethorpe County</x:v>
      </x:c>
      <x:c r="D114" s="11" t="n">
        <x:f>1-'Method'!$B$7*G114</x:f>
        <x:v>0.8721649484536083</x:v>
      </x:c>
      <x:c r="E114" s="11" t="n">
        <x:f>1-'Method'!$B$8*H114</x:f>
        <x:v>1</x:v>
      </x:c>
      <x:c r="F114" s="11" t="n">
        <x:f>1-'Method'!$B$9*I114</x:f>
        <x:v>0.8295532646048109</x:v>
      </x:c>
      <x:c r="G114" s="11" t="n">
        <x:v>0.6391752577319587</x:v>
      </x:c>
      <x:c r="H114" s="11" t="n">
        <x:v>0</x:v>
      </x:c>
      <x:c r="I114" s="11" t="n">
        <x:v>0.852233676975945</x:v>
      </x:c>
      <x:c r="J114" s="12" t="n">
        <x:v>44.86394640604655</x:v>
      </x:c>
      <x:c r="K114" s="12" t="n">
        <x:v>103.26639963785807</x:v>
      </x:c>
      <x:c r="L114" s="12" t="n">
        <x:v>58.40245323181152</x:v>
      </x:c>
      <x:c r="M114" s="12" t="n">
        <x:v>27.068242645263673</x:v>
      </x:c>
      <x:c r="N114" s="12" t="n">
        <x:v>26.442769304911295</x:v>
      </x:c>
      <x:c r="O114" s="12" t="n">
        <x:v>0</x:v>
      </x:c>
      <x:c r="P114" s="12" t="n">
        <x:v>1.7540106892585754</x:v>
      </x:c>
      <x:c r="Q114" s="12" t="n">
        <x:v>2.589000984032949</x:v>
      </x:c>
      <x:c r="R114" s="12" t="n">
        <x:v>0.8349902947743735</x:v>
      </x:c>
      <x:c r="S114" s="11" t="n">
        <x:f>'Method'!$B$7</x:f>
        <x:v>0.2</x:v>
      </x:c>
      <x:c r="T114" s="11" t="n">
        <x:f>'Method'!$B$8</x:f>
        <x:v>0.2</x:v>
      </x:c>
      <x:c r="U114" s="11" t="n">
        <x:f>'Method'!$B$9</x:f>
        <x:v>0.2</x:v>
      </x:c>
      <x:c r="V114" s="11" t="n">
        <x:f>1-D114</x:f>
        <x:v>0.12783505154639174</x:v>
      </x:c>
      <x:c r="W114" s="11" t="n">
        <x:f>1-E114</x:f>
        <x:v>0</x:v>
      </x:c>
      <x:c r="X114" s="11" t="n">
        <x:f>1-F114</x:f>
        <x:v>0.17044673539518906</x:v>
      </x:c>
    </x:row>
    <x:row r="115" ht="18" customHeight="1">
      <x:c r="A115" s="10" t="str">
        <x:v>GA</x:v>
      </x:c>
      <x:c r="B115" s="10" t="str">
        <x:v>13223</x:v>
      </x:c>
      <x:c r="C115" s="10" t="str">
        <x:v>Paulding County</x:v>
      </x:c>
      <x:c r="D115" s="11" t="n">
        <x:f>1-'Method'!$B$7*G115</x:f>
        <x:v>0.8604810996563574</x:v>
      </x:c>
      <x:c r="E115" s="11" t="n">
        <x:f>1-'Method'!$B$8*H115</x:f>
        <x:v>0.8494845360824742</x:v>
      </x:c>
      <x:c r="F115" s="11" t="n">
        <x:f>1-'Method'!$B$9*I115</x:f>
        <x:v>0.8116838487972509</x:v>
      </x:c>
      <x:c r="G115" s="11" t="n">
        <x:v>0.697594501718213</x:v>
      </x:c>
      <x:c r="H115" s="11" t="n">
        <x:v>0.7525773195876289</x:v>
      </x:c>
      <x:c r="I115" s="11" t="n">
        <x:v>0.9415807560137457</x:v>
      </x:c>
      <x:c r="J115" s="12" t="n">
        <x:v>31.20554370880127</x:v>
      </x:c>
      <x:c r="K115" s="12" t="n">
        <x:v>90.38030014038085</x:v>
      </x:c>
      <x:c r="L115" s="12" t="n">
        <x:v>59.17475643157958</x:v>
      </x:c>
      <x:c r="M115" s="12" t="n">
        <x:v>25.360470962524413</x:v>
      </x:c>
      <x:c r="N115" s="12" t="n">
        <x:v>25.451450792948403</x:v>
      </x:c>
      <x:c r="O115" s="12" t="n">
        <x:v>0.09097983042398994</x:v>
      </x:c>
      <x:c r="P115" s="12" t="n">
        <x:v>2.4088813106218976</x:v>
      </x:c>
      <x:c r="Q115" s="12" t="n">
        <x:v>3.3466396649678547</x:v>
      </x:c>
      <x:c r="R115" s="12" t="n">
        <x:v>0.9377583543459571</x:v>
      </x:c>
      <x:c r="S115" s="11" t="n">
        <x:f>'Method'!$B$7</x:f>
        <x:v>0.2</x:v>
      </x:c>
      <x:c r="T115" s="11" t="n">
        <x:f>'Method'!$B$8</x:f>
        <x:v>0.2</x:v>
      </x:c>
      <x:c r="U115" s="11" t="n">
        <x:f>'Method'!$B$9</x:f>
        <x:v>0.2</x:v>
      </x:c>
      <x:c r="V115" s="11" t="n">
        <x:f>1-D115</x:f>
        <x:v>0.13951890034364256</x:v>
      </x:c>
      <x:c r="W115" s="11" t="n">
        <x:f>1-E115</x:f>
        <x:v>0.1505154639175258</x:v>
      </x:c>
      <x:c r="X115" s="11" t="n">
        <x:f>1-F115</x:f>
        <x:v>0.18831615120274914</x:v>
      </x:c>
    </x:row>
    <x:row r="116" ht="18" customHeight="1">
      <x:c r="A116" s="10" t="str">
        <x:v>GA</x:v>
      </x:c>
      <x:c r="B116" s="10" t="str">
        <x:v>13225</x:v>
      </x:c>
      <x:c r="C116" s="10" t="str">
        <x:v>Peach County</x:v>
      </x:c>
      <x:c r="D116" s="11" t="n">
        <x:f>1-'Method'!$B$7*G116</x:f>
        <x:v>0.8096219931271478</x:v>
      </x:c>
      <x:c r="E116" s="11" t="n">
        <x:f>1-'Method'!$B$8*H116</x:f>
        <x:v>1</x:v>
      </x:c>
      <x:c r="F116" s="11" t="n">
        <x:f>1-'Method'!$B$9*I116</x:f>
        <x:v>0.9601374570446736</x:v>
      </x:c>
      <x:c r="G116" s="11" t="n">
        <x:v>0.9518900343642611</x:v>
      </x:c>
      <x:c r="H116" s="11" t="n">
        <x:v>0</x:v>
      </x:c>
      <x:c r="I116" s="11" t="n">
        <x:v>0.19931271477663232</x:v>
      </x:c>
      <x:c r="J116" s="12" t="n">
        <x:v>60.32554295857747</x:v>
      </x:c>
      <x:c r="K116" s="12" t="n">
        <x:v>123.4500343322754</x:v>
      </x:c>
      <x:c r="L116" s="12" t="n">
        <x:v>63.12449137369792</x:v>
      </x:c>
      <x:c r="M116" s="12" t="n">
        <x:v>27.85597063700358</x:v>
      </x:c>
      <x:c r="N116" s="12" t="n">
        <x:v>27.34701353708903</x:v>
      </x:c>
      <x:c r="O116" s="12" t="n">
        <x:v>0</x:v>
      </x:c>
      <x:c r="P116" s="12" t="n">
        <x:v>1.7989633480707805</x:v>
      </x:c>
      <x:c r="Q116" s="12" t="n">
        <x:v>2.342953316370646</x:v>
      </x:c>
      <x:c r="R116" s="12" t="n">
        <x:v>0.5439899682998657</x:v>
      </x:c>
      <x:c r="S116" s="11" t="n">
        <x:f>'Method'!$B$7</x:f>
        <x:v>0.2</x:v>
      </x:c>
      <x:c r="T116" s="11" t="n">
        <x:f>'Method'!$B$8</x:f>
        <x:v>0.2</x:v>
      </x:c>
      <x:c r="U116" s="11" t="n">
        <x:f>'Method'!$B$9</x:f>
        <x:v>0.2</x:v>
      </x:c>
      <x:c r="V116" s="11" t="n">
        <x:f>1-D116</x:f>
        <x:v>0.19037800687285222</x:v>
      </x:c>
      <x:c r="W116" s="11" t="n">
        <x:f>1-E116</x:f>
        <x:v>0</x:v>
      </x:c>
      <x:c r="X116" s="11" t="n">
        <x:f>1-F116</x:f>
        <x:v>0.03986254295532643</x:v>
      </x:c>
    </x:row>
    <x:row r="117" ht="18" customHeight="1">
      <x:c r="A117" s="10" t="str">
        <x:v>GA</x:v>
      </x:c>
      <x:c r="B117" s="10" t="str">
        <x:v>13227</x:v>
      </x:c>
      <x:c r="C117" s="10" t="str">
        <x:v>Pickens County</x:v>
      </x:c>
      <x:c r="D117" s="11" t="n">
        <x:f>1-'Method'!$B$7*G117</x:f>
        <x:v>0.9759450171821306</x:v>
      </x:c>
      <x:c r="E117" s="11" t="n">
        <x:f>1-'Method'!$B$8*H117</x:f>
        <x:v>0.8089347079037801</x:v>
      </x:c>
      <x:c r="F117" s="11" t="n">
        <x:f>1-'Method'!$B$9*I117</x:f>
        <x:v>0.8054982817869416</x:v>
      </x:c>
      <x:c r="G117" s="11" t="n">
        <x:v>0.12027491408934708</x:v>
      </x:c>
      <x:c r="H117" s="11" t="n">
        <x:v>0.9553264604810997</x:v>
      </x:c>
      <x:c r="I117" s="11" t="n">
        <x:v>0.9725085910652921</x:v>
      </x:c>
      <x:c r="J117" s="12" t="n">
        <x:v>15.30830036799113</x:v>
      </x:c>
      <x:c r="K117" s="12" t="n">
        <x:v>58.0502431233724</x:v>
      </x:c>
      <x:c r="L117" s="12" t="n">
        <x:v>42.74194275538127</x:v>
      </x:c>
      <x:c r="M117" s="12" t="n">
        <x:v>23.891453234354653</x:v>
      </x:c>
      <x:c r="N117" s="12" t="n">
        <x:v>24.396488253275553</x:v>
      </x:c>
      <x:c r="O117" s="12" t="n">
        <x:v>0.5050350189208999</x:v>
      </x:c>
      <x:c r="P117" s="12" t="n">
        <x:v>2.8750608444213865</x:v>
      </x:c>
      <x:c r="Q117" s="12" t="n">
        <x:v>3.947202769915263</x:v>
      </x:c>
      <x:c r="R117" s="12" t="n">
        <x:v>1.0721419254938764</x:v>
      </x:c>
      <x:c r="S117" s="11" t="n">
        <x:f>'Method'!$B$7</x:f>
        <x:v>0.2</x:v>
      </x:c>
      <x:c r="T117" s="11" t="n">
        <x:f>'Method'!$B$8</x:f>
        <x:v>0.2</x:v>
      </x:c>
      <x:c r="U117" s="11" t="n">
        <x:f>'Method'!$B$9</x:f>
        <x:v>0.2</x:v>
      </x:c>
      <x:c r="V117" s="11" t="n">
        <x:f>1-D117</x:f>
        <x:v>0.02405498281786944</x:v>
      </x:c>
      <x:c r="W117" s="11" t="n">
        <x:f>1-E117</x:f>
        <x:v>0.19106529209621992</x:v>
      </x:c>
      <x:c r="X117" s="11" t="n">
        <x:f>1-F117</x:f>
        <x:v>0.1945017182130584</x:v>
      </x:c>
    </x:row>
    <x:row r="118" ht="18" customHeight="1">
      <x:c r="A118" s="10" t="str">
        <x:v>GA</x:v>
      </x:c>
      <x:c r="B118" s="10" t="str">
        <x:v>13229</x:v>
      </x:c>
      <x:c r="C118" s="10" t="str">
        <x:v>Pierce County</x:v>
      </x:c>
      <x:c r="D118" s="11" t="n">
        <x:f>1-'Method'!$B$7*G118</x:f>
        <x:v>0.8680412371134021</x:v>
      </x:c>
      <x:c r="E118" s="11" t="n">
        <x:f>1-'Method'!$B$8*H118</x:f>
        <x:v>1</x:v>
      </x:c>
      <x:c r="F118" s="11" t="n">
        <x:f>1-'Method'!$B$9*I118</x:f>
        <x:v>0.9567010309278351</x:v>
      </x:c>
      <x:c r="G118" s="11" t="n">
        <x:v>0.6597938144329897</x:v>
      </x:c>
      <x:c r="H118" s="11" t="n">
        <x:v>0</x:v>
      </x:c>
      <x:c r="I118" s="11" t="n">
        <x:v>0.21649484536082475</x:v>
      </x:c>
      <x:c r="J118" s="12" t="n">
        <x:v>80.12437006632487</x:v>
      </x:c>
      <x:c r="K118" s="12" t="n">
        <x:v>138.92091751098633</x:v>
      </x:c>
      <x:c r="L118" s="12" t="n">
        <x:v>58.796547444661456</x:v>
      </x:c>
      <x:c r="M118" s="12" t="n">
        <x:v>29.385177421569825</x:v>
      </x:c>
      <x:c r="N118" s="12" t="n">
        <x:v>28.22089983622233</x:v>
      </x:c>
      <x:c r="O118" s="12" t="n">
        <x:v>0</x:v>
      </x:c>
      <x:c r="P118" s="12" t="n">
        <x:v>1.9940529108047484</x:v>
      </x:c>
      <x:c r="Q118" s="12" t="n">
        <x:v>2.5477592945098877</x:v>
      </x:c>
      <x:c r="R118" s="12" t="n">
        <x:v>0.5537063837051392</x:v>
      </x:c>
      <x:c r="S118" s="11" t="n">
        <x:f>'Method'!$B$7</x:f>
        <x:v>0.2</x:v>
      </x:c>
      <x:c r="T118" s="11" t="n">
        <x:f>'Method'!$B$8</x:f>
        <x:v>0.2</x:v>
      </x:c>
      <x:c r="U118" s="11" t="n">
        <x:f>'Method'!$B$9</x:f>
        <x:v>0.2</x:v>
      </x:c>
      <x:c r="V118" s="11" t="n">
        <x:f>1-D118</x:f>
        <x:v>0.1319587628865979</x:v>
      </x:c>
      <x:c r="W118" s="11" t="n">
        <x:f>1-E118</x:f>
        <x:v>0</x:v>
      </x:c>
      <x:c r="X118" s="11" t="n">
        <x:f>1-F118</x:f>
        <x:v>0.043298969072164906</x:v>
      </x:c>
    </x:row>
    <x:row r="119" ht="18" customHeight="1">
      <x:c r="A119" s="10" t="str">
        <x:v>GA</x:v>
      </x:c>
      <x:c r="B119" s="10" t="str">
        <x:v>13231</x:v>
      </x:c>
      <x:c r="C119" s="10" t="str">
        <x:v>Pike County</x:v>
      </x:c>
      <x:c r="D119" s="11" t="n">
        <x:f>1-'Method'!$B$7*G119</x:f>
        <x:v>0.806872852233677</x:v>
      </x:c>
      <x:c r="E119" s="11" t="n">
        <x:f>1-'Method'!$B$8*H119</x:f>
        <x:v>1</x:v>
      </x:c>
      <x:c r="F119" s="11" t="n">
        <x:f>1-'Method'!$B$9*I119</x:f>
        <x:v>0.9099656357388316</x:v>
      </x:c>
      <x:c r="G119" s="11" t="n">
        <x:v>0.9656357388316151</x:v>
      </x:c>
      <x:c r="H119" s="11" t="n">
        <x:v>0</x:v>
      </x:c>
      <x:c r="I119" s="11" t="n">
        <x:v>0.45017182130584193</x:v>
      </x:c>
      <x:c r="J119" s="12" t="n">
        <x:v>42.29377161661784</x:v>
      </x:c>
      <x:c r="K119" s="12" t="n">
        <x:v>105.85387166341145</x:v>
      </x:c>
      <x:c r="L119" s="12" t="n">
        <x:v>63.560100046793615</x:v>
      </x:c>
      <x:c r="M119" s="12" t="n">
        <x:v>26.964702733357747</x:v>
      </x:c>
      <x:c r="N119" s="12" t="n">
        <x:v>26.016343752543133</x:v>
      </x:c>
      <x:c r="O119" s="12" t="n">
        <x:v>0</x:v>
      </x:c>
      <x:c r="P119" s="12" t="n">
        <x:v>1.7702586889266967</x:v>
      </x:c>
      <x:c r="Q119" s="12" t="n">
        <x:v>2.43531018892924</x:v>
      </x:c>
      <x:c r="R119" s="12" t="n">
        <x:v>0.6650515000025434</x:v>
      </x:c>
      <x:c r="S119" s="11" t="n">
        <x:f>'Method'!$B$7</x:f>
        <x:v>0.2</x:v>
      </x:c>
      <x:c r="T119" s="11" t="n">
        <x:f>'Method'!$B$8</x:f>
        <x:v>0.2</x:v>
      </x:c>
      <x:c r="U119" s="11" t="n">
        <x:f>'Method'!$B$9</x:f>
        <x:v>0.2</x:v>
      </x:c>
      <x:c r="V119" s="11" t="n">
        <x:f>1-D119</x:f>
        <x:v>0.193127147766323</x:v>
      </x:c>
      <x:c r="W119" s="11" t="n">
        <x:f>1-E119</x:f>
        <x:v>0</x:v>
      </x:c>
      <x:c r="X119" s="11" t="n">
        <x:f>1-F119</x:f>
        <x:v>0.0900343642611684</x:v>
      </x:c>
    </x:row>
    <x:row r="120" ht="18" customHeight="1">
      <x:c r="A120" s="10" t="str">
        <x:v>GA</x:v>
      </x:c>
      <x:c r="B120" s="10" t="str">
        <x:v>13233</x:v>
      </x:c>
      <x:c r="C120" s="10" t="str">
        <x:v>Polk County</x:v>
      </x:c>
      <x:c r="D120" s="11" t="n">
        <x:f>1-'Method'!$B$7*G120</x:f>
        <x:v>0.8274914089347079</x:v>
      </x:c>
      <x:c r="E120" s="11" t="n">
        <x:f>1-'Method'!$B$8*H120</x:f>
        <x:v>1</x:v>
      </x:c>
      <x:c r="F120" s="11" t="n">
        <x:f>1-'Method'!$B$9*I120</x:f>
        <x:v>0.8219931271477663</x:v>
      </x:c>
      <x:c r="G120" s="11" t="n">
        <x:v>0.8625429553264605</x:v>
      </x:c>
      <x:c r="H120" s="11" t="n">
        <x:v>0</x:v>
      </x:c>
      <x:c r="I120" s="11" t="n">
        <x:v>0.8900343642611683</x:v>
      </x:c>
      <x:c r="J120" s="12" t="n">
        <x:v>31.893498611450195</x:v>
      </x:c>
      <x:c r="K120" s="12" t="n">
        <x:v>93.2321787516276</x:v>
      </x:c>
      <x:c r="L120" s="12" t="n">
        <x:v>61.3386801401774</x:v>
      </x:c>
      <x:c r="M120" s="12" t="n">
        <x:v>25.804214731852213</x:v>
      </x:c>
      <x:c r="N120" s="12" t="n">
        <x:v>25.71007188161214</x:v>
      </x:c>
      <x:c r="O120" s="12" t="n">
        <x:v>0</x:v>
      </x:c>
      <x:c r="P120" s="12" t="n">
        <x:v>2.573111828168233</x:v>
      </x:c>
      <x:c r="Q120" s="12" t="n">
        <x:v>3.4567315260569256</x:v>
      </x:c>
      <x:c r="R120" s="12" t="n">
        <x:v>0.8836196978886925</x:v>
      </x:c>
      <x:c r="S120" s="11" t="n">
        <x:f>'Method'!$B$7</x:f>
        <x:v>0.2</x:v>
      </x:c>
      <x:c r="T120" s="11" t="n">
        <x:f>'Method'!$B$8</x:f>
        <x:v>0.2</x:v>
      </x:c>
      <x:c r="U120" s="11" t="n">
        <x:f>'Method'!$B$9</x:f>
        <x:v>0.2</x:v>
      </x:c>
      <x:c r="V120" s="11" t="n">
        <x:f>1-D120</x:f>
        <x:v>0.17250859106529215</x:v>
      </x:c>
      <x:c r="W120" s="11" t="n">
        <x:f>1-E120</x:f>
        <x:v>0</x:v>
      </x:c>
      <x:c r="X120" s="11" t="n">
        <x:f>1-F120</x:f>
        <x:v>0.1780068728522337</x:v>
      </x:c>
    </x:row>
    <x:row r="121" ht="18" customHeight="1">
      <x:c r="A121" s="10" t="str">
        <x:v>GA</x:v>
      </x:c>
      <x:c r="B121" s="10" t="str">
        <x:v>13235</x:v>
      </x:c>
      <x:c r="C121" s="10" t="str">
        <x:v>Pulaski County</x:v>
      </x:c>
      <x:c r="D121" s="11" t="n">
        <x:f>1-'Method'!$B$7*G121</x:f>
        <x:v>0.8886597938144329</x:v>
      </x:c>
      <x:c r="E121" s="11" t="n">
        <x:f>1-'Method'!$B$8*H121</x:f>
        <x:v>1</x:v>
      </x:c>
      <x:c r="F121" s="11" t="n">
        <x:f>1-'Method'!$B$9*I121</x:f>
        <x:v>0.8707903780068729</x:v>
      </x:c>
      <x:c r="G121" s="11" t="n">
        <x:v>0.5567010309278351</x:v>
      </x:c>
      <x:c r="H121" s="11" t="n">
        <x:v>0</x:v>
      </x:c>
      <x:c r="I121" s="11" t="n">
        <x:v>0.6460481099656358</x:v>
      </x:c>
      <x:c r="J121" s="12" t="n">
        <x:v>76.24696172078451</x:v>
      </x:c>
      <x:c r="K121" s="12" t="n">
        <x:v>132.6322914123535</x:v>
      </x:c>
      <x:c r="L121" s="12" t="n">
        <x:v>56.385329691569</x:v>
      </x:c>
      <x:c r="M121" s="12" t="n">
        <x:v>29.010174051920572</x:v>
      </x:c>
      <x:c r="N121" s="12" t="n">
        <x:v>28.510657374064127</x:v>
      </x:c>
      <x:c r="O121" s="12" t="n">
        <x:v>0</x:v>
      </x:c>
      <x:c r="P121" s="12" t="n">
        <x:v>2.0704391241073608</x:v>
      </x:c>
      <x:c r="Q121" s="12" t="n">
        <x:v>2.809414521853129</x:v>
      </x:c>
      <x:c r="R121" s="12" t="n">
        <x:v>0.7389753977457683</x:v>
      </x:c>
      <x:c r="S121" s="11" t="n">
        <x:f>'Method'!$B$7</x:f>
        <x:v>0.2</x:v>
      </x:c>
      <x:c r="T121" s="11" t="n">
        <x:f>'Method'!$B$8</x:f>
        <x:v>0.2</x:v>
      </x:c>
      <x:c r="U121" s="11" t="n">
        <x:f>'Method'!$B$9</x:f>
        <x:v>0.2</x:v>
      </x:c>
      <x:c r="V121" s="11" t="n">
        <x:f>1-D121</x:f>
        <x:v>0.11134020618556706</x:v>
      </x:c>
      <x:c r="W121" s="11" t="n">
        <x:f>1-E121</x:f>
        <x:v>0</x:v>
      </x:c>
      <x:c r="X121" s="11" t="n">
        <x:f>1-F121</x:f>
        <x:v>0.12920962199312713</x:v>
      </x:c>
    </x:row>
    <x:row r="122" ht="18" customHeight="1">
      <x:c r="A122" s="10" t="str">
        <x:v>GA</x:v>
      </x:c>
      <x:c r="B122" s="10" t="str">
        <x:v>13237</x:v>
      </x:c>
      <x:c r="C122" s="10" t="str">
        <x:v>Putnam County</x:v>
      </x:c>
      <x:c r="D122" s="11" t="n">
        <x:f>1-'Method'!$B$7*G122</x:f>
        <x:v>0.845360824742268</x:v>
      </x:c>
      <x:c r="E122" s="11" t="n">
        <x:f>1-'Method'!$B$8*H122</x:f>
        <x:v>1</x:v>
      </x:c>
      <x:c r="F122" s="11" t="n">
        <x:f>1-'Method'!$B$9*I122</x:f>
        <x:v>0.9621993127147767</x:v>
      </x:c>
      <x:c r="G122" s="11" t="n">
        <x:v>0.7731958762886598</x:v>
      </x:c>
      <x:c r="H122" s="11" t="n">
        <x:v>0</x:v>
      </x:c>
      <x:c r="I122" s="11" t="n">
        <x:v>0.18900343642611683</x:v>
      </x:c>
      <x:c r="J122" s="12" t="n">
        <x:v>60.57427876790364</x:v>
      </x:c>
      <x:c r="K122" s="12" t="n">
        <x:v>120.76165491739908</x:v>
      </x:c>
      <x:c r="L122" s="12" t="n">
        <x:v>60.18737614949544</x:v>
      </x:c>
      <x:c r="M122" s="12" t="n">
        <x:v>27.347219785054524</x:v>
      </x:c>
      <x:c r="N122" s="12" t="n">
        <x:v>26.243347549438475</x:v>
      </x:c>
      <x:c r="O122" s="12" t="n">
        <x:v>0</x:v>
      </x:c>
      <x:c r="P122" s="12" t="n">
        <x:v>1.630612979332606</x:v>
      </x:c>
      <x:c r="Q122" s="12" t="n">
        <x:v>2.1692045529683432</x:v>
      </x:c>
      <x:c r="R122" s="12" t="n">
        <x:v>0.5385915736357372</x:v>
      </x:c>
      <x:c r="S122" s="11" t="n">
        <x:f>'Method'!$B$7</x:f>
        <x:v>0.2</x:v>
      </x:c>
      <x:c r="T122" s="11" t="n">
        <x:f>'Method'!$B$8</x:f>
        <x:v>0.2</x:v>
      </x:c>
      <x:c r="U122" s="11" t="n">
        <x:f>'Method'!$B$9</x:f>
        <x:v>0.2</x:v>
      </x:c>
      <x:c r="V122" s="11" t="n">
        <x:f>1-D122</x:f>
        <x:v>0.15463917525773196</x:v>
      </x:c>
      <x:c r="W122" s="11" t="n">
        <x:f>1-E122</x:f>
        <x:v>0</x:v>
      </x:c>
      <x:c r="X122" s="11" t="n">
        <x:f>1-F122</x:f>
        <x:v>0.037800687285223344</x:v>
      </x:c>
    </x:row>
    <x:row r="123" ht="18" customHeight="1">
      <x:c r="A123" s="10" t="str">
        <x:v>GA</x:v>
      </x:c>
      <x:c r="B123" s="10" t="str">
        <x:v>13239</x:v>
      </x:c>
      <x:c r="C123" s="10" t="str">
        <x:v>Quitman County</x:v>
      </x:c>
      <x:c r="D123" s="11" t="n">
        <x:f>1-'Method'!$B$7*G123</x:f>
        <x:v>0.8371134020618557</x:v>
      </x:c>
      <x:c r="E123" s="11" t="n">
        <x:f>1-'Method'!$B$8*H123</x:f>
        <x:v>1</x:v>
      </x:c>
      <x:c r="F123" s="11" t="n">
        <x:f>1-'Method'!$B$9*I123</x:f>
        <x:v>0.9436426116838488</x:v>
      </x:c>
      <x:c r="G123" s="11" t="n">
        <x:v>0.8144329896907216</x:v>
      </x:c>
      <x:c r="H123" s="11" t="n">
        <x:v>0</x:v>
      </x:c>
      <x:c r="I123" s="11" t="n">
        <x:v>0.281786941580756</x:v>
      </x:c>
      <x:c r="J123" s="12" t="n">
        <x:v>67.20421752929687</x:v>
      </x:c>
      <x:c r="K123" s="12" t="n">
        <x:v>127.89882176717123</x:v>
      </x:c>
      <x:c r="L123" s="12" t="n">
        <x:v>60.69460423787436</x:v>
      </x:c>
      <x:c r="M123" s="12" t="n">
        <x:v>28.011505381266275</x:v>
      </x:c>
      <x:c r="N123" s="12" t="n">
        <x:v>27.266279474894205</x:v>
      </x:c>
      <x:c r="O123" s="12" t="n">
        <x:v>0</x:v>
      </x:c>
      <x:c r="P123" s="12" t="n">
        <x:v>2.441513168811798</x:v>
      </x:c>
      <x:c r="Q123" s="12" t="n">
        <x:v>3.0316127220789593</x:v>
      </x:c>
      <x:c r="R123" s="12" t="n">
        <x:v>0.5900995532671613</x:v>
      </x:c>
      <x:c r="S123" s="11" t="n">
        <x:f>'Method'!$B$7</x:f>
        <x:v>0.2</x:v>
      </x:c>
      <x:c r="T123" s="11" t="n">
        <x:f>'Method'!$B$8</x:f>
        <x:v>0.2</x:v>
      </x:c>
      <x:c r="U123" s="11" t="n">
        <x:f>'Method'!$B$9</x:f>
        <x:v>0.2</x:v>
      </x:c>
      <x:c r="V123" s="11" t="n">
        <x:f>1-D123</x:f>
        <x:v>0.1628865979381443</x:v>
      </x:c>
      <x:c r="W123" s="11" t="n">
        <x:f>1-E123</x:f>
        <x:v>0</x:v>
      </x:c>
      <x:c r="X123" s="11" t="n">
        <x:f>1-F123</x:f>
        <x:v>0.056357388316151225</x:v>
      </x:c>
    </x:row>
    <x:row r="124" ht="18" customHeight="1">
      <x:c r="A124" s="10" t="str">
        <x:v>GA</x:v>
      </x:c>
      <x:c r="B124" s="10" t="str">
        <x:v>13241</x:v>
      </x:c>
      <x:c r="C124" s="10" t="str">
        <x:v>Rabun County</x:v>
      </x:c>
      <x:c r="D124" s="11" t="n">
        <x:f>1-'Method'!$B$7*G124</x:f>
        <x:v>0.9869415807560138</x:v>
      </x:c>
      <x:c r="E124" s="11" t="n">
        <x:f>1-'Method'!$B$8*H124</x:f>
        <x:v>0.8192439862542955</x:v>
      </x:c>
      <x:c r="F124" s="11" t="n">
        <x:f>1-'Method'!$B$9*I124</x:f>
        <x:v>0.8</x:v>
      </x:c>
      <x:c r="G124" s="11" t="n">
        <x:v>0.06529209621993128</x:v>
      </x:c>
      <x:c r="H124" s="11" t="n">
        <x:v>0.9037800687285223</x:v>
      </x:c>
      <x:c r="I124" s="11" t="n">
        <x:v>1</x:v>
      </x:c>
      <x:c r="J124" s="12" t="n">
        <x:v>4.264108395576477</x:v>
      </x:c>
      <x:c r="K124" s="12" t="n">
        <x:v>36.74092464447021</x:v>
      </x:c>
      <x:c r="L124" s="12" t="n">
        <x:v>32.47681624889373</x:v>
      </x:c>
      <x:c r="M124" s="12" t="n">
        <x:v>21.110301844278972</x:v>
      </x:c>
      <x:c r="N124" s="12" t="n">
        <x:v>21.466896629333498</x:v>
      </x:c>
      <x:c r="O124" s="12" t="n">
        <x:v>0.3565947850545257</x:v>
      </x:c>
      <x:c r="P124" s="12" t="n">
        <x:v>4.531497979164124</x:v>
      </x:c>
      <x:c r="Q124" s="12" t="n">
        <x:v>5.852668571472168</x:v>
      </x:c>
      <x:c r="R124" s="12" t="n">
        <x:v>1.321170592308044</x:v>
      </x:c>
      <x:c r="S124" s="11" t="n">
        <x:f>'Method'!$B$7</x:f>
        <x:v>0.2</x:v>
      </x:c>
      <x:c r="T124" s="11" t="n">
        <x:f>'Method'!$B$8</x:f>
        <x:v>0.2</x:v>
      </x:c>
      <x:c r="U124" s="11" t="n">
        <x:f>'Method'!$B$9</x:f>
        <x:v>0.2</x:v>
      </x:c>
      <x:c r="V124" s="11" t="n">
        <x:f>1-D124</x:f>
        <x:v>0.013058419243986208</x:v>
      </x:c>
      <x:c r="W124" s="11" t="n">
        <x:f>1-E124</x:f>
        <x:v>0.1807560137457045</x:v>
      </x:c>
      <x:c r="X124" s="11" t="n">
        <x:f>1-F124</x:f>
        <x:v>0.19999999999999996</x:v>
      </x:c>
    </x:row>
    <x:row r="125" ht="18" customHeight="1">
      <x:c r="A125" s="10" t="str">
        <x:v>GA</x:v>
      </x:c>
      <x:c r="B125" s="10" t="str">
        <x:v>13243</x:v>
      </x:c>
      <x:c r="C125" s="10" t="str">
        <x:v>Randolph County</x:v>
      </x:c>
      <x:c r="D125" s="11" t="n">
        <x:f>1-'Method'!$B$7*G125</x:f>
        <x:v>0.8323024054982817</x:v>
      </x:c>
      <x:c r="E125" s="11" t="n">
        <x:f>1-'Method'!$B$8*H125</x:f>
        <x:v>1</x:v>
      </x:c>
      <x:c r="F125" s="11" t="n">
        <x:f>1-'Method'!$B$9*I125</x:f>
        <x:v>0.9587628865979382</x:v>
      </x:c>
      <x:c r="G125" s="11" t="n">
        <x:v>0.8384879725085911</x:v>
      </x:c>
      <x:c r="H125" s="11" t="n">
        <x:v>0</x:v>
      </x:c>
      <x:c r="I125" s="11" t="n">
        <x:v>0.20618556701030927</x:v>
      </x:c>
      <x:c r="J125" s="12" t="n">
        <x:v>69.5423828125</x:v>
      </x:c>
      <x:c r="K125" s="12" t="n">
        <x:v>130.5449417114258</x:v>
      </x:c>
      <x:c r="L125" s="12" t="n">
        <x:v>61.0025588989258</x:v>
      </x:c>
      <x:c r="M125" s="12" t="n">
        <x:v>28.28792603810628</x:v>
      </x:c>
      <x:c r="N125" s="12" t="n">
        <x:v>27.64095942179362</x:v>
      </x:c>
      <x:c r="O125" s="12" t="n">
        <x:v>0</x:v>
      </x:c>
      <x:c r="P125" s="12" t="n">
        <x:v>2.4870423555374144</x:v>
      </x:c>
      <x:c r="Q125" s="12" t="n">
        <x:v>3.0373836358388266</x:v>
      </x:c>
      <x:c r="R125" s="12" t="n">
        <x:v>0.5503412803014123</x:v>
      </x:c>
      <x:c r="S125" s="11" t="n">
        <x:f>'Method'!$B$7</x:f>
        <x:v>0.2</x:v>
      </x:c>
      <x:c r="T125" s="11" t="n">
        <x:f>'Method'!$B$8</x:f>
        <x:v>0.2</x:v>
      </x:c>
      <x:c r="U125" s="11" t="n">
        <x:f>'Method'!$B$9</x:f>
        <x:v>0.2</x:v>
      </x:c>
      <x:c r="V125" s="11" t="n">
        <x:f>1-D125</x:f>
        <x:v>0.16769759450171828</x:v>
      </x:c>
      <x:c r="W125" s="11" t="n">
        <x:f>1-E125</x:f>
        <x:v>0</x:v>
      </x:c>
      <x:c r="X125" s="11" t="n">
        <x:f>1-F125</x:f>
        <x:v>0.04123711340206182</x:v>
      </x:c>
    </x:row>
    <x:row r="126" ht="18" customHeight="1">
      <x:c r="A126" s="10" t="str">
        <x:v>GA</x:v>
      </x:c>
      <x:c r="B126" s="10" t="str">
        <x:v>13245</x:v>
      </x:c>
      <x:c r="C126" s="10" t="str">
        <x:v>Richmond County</x:v>
      </x:c>
      <x:c r="D126" s="11" t="n">
        <x:f>1-'Method'!$B$7*G126</x:f>
        <x:v>0.8384879725085911</x:v>
      </x:c>
      <x:c r="E126" s="11" t="n">
        <x:f>1-'Method'!$B$8*H126</x:f>
        <x:v>1</x:v>
      </x:c>
      <x:c r="F126" s="11" t="n">
        <x:f>1-'Method'!$B$9*I126</x:f>
        <x:v>0.949828178694158</x:v>
      </x:c>
      <x:c r="G126" s="11" t="n">
        <x:v>0.8075601374570447</x:v>
      </x:c>
      <x:c r="H126" s="11" t="n">
        <x:v>0</x:v>
      </x:c>
      <x:c r="I126" s="11" t="n">
        <x:v>0.2508591065292096</x:v>
      </x:c>
      <x:c r="J126" s="12" t="n">
        <x:v>58.85758043924967</x:v>
      </x:c>
      <x:c r="K126" s="12" t="n">
        <x:v>119.5205477396647</x:v>
      </x:c>
      <x:c r="L126" s="12" t="n">
        <x:v>60.66296730041503</x:v>
      </x:c>
      <x:c r="M126" s="12" t="n">
        <x:v>27.739539337158202</x:v>
      </x:c>
      <x:c r="N126" s="12" t="n">
        <x:v>26.50192159016927</x:v>
      </x:c>
      <x:c r="O126" s="12" t="n">
        <x:v>0</x:v>
      </x:c>
      <x:c r="P126" s="12" t="n">
        <x:v>1.3269985953966776</x:v>
      </x:c>
      <x:c r="Q126" s="12" t="n">
        <x:v>1.8930904984474182</x:v>
      </x:c>
      <x:c r="R126" s="12" t="n">
        <x:v>0.5660919030507405</x:v>
      </x:c>
      <x:c r="S126" s="11" t="n">
        <x:f>'Method'!$B$7</x:f>
        <x:v>0.2</x:v>
      </x:c>
      <x:c r="T126" s="11" t="n">
        <x:f>'Method'!$B$8</x:f>
        <x:v>0.2</x:v>
      </x:c>
      <x:c r="U126" s="11" t="n">
        <x:f>'Method'!$B$9</x:f>
        <x:v>0.2</x:v>
      </x:c>
      <x:c r="V126" s="11" t="n">
        <x:f>1-D126</x:f>
        <x:v>0.16151202749140892</x:v>
      </x:c>
      <x:c r="W126" s="11" t="n">
        <x:f>1-E126</x:f>
        <x:v>0</x:v>
      </x:c>
      <x:c r="X126" s="11" t="n">
        <x:f>1-F126</x:f>
        <x:v>0.05017182130584197</x:v>
      </x:c>
    </x:row>
    <x:row r="127" ht="18" customHeight="1">
      <x:c r="A127" s="10" t="str">
        <x:v>GA</x:v>
      </x:c>
      <x:c r="B127" s="10" t="str">
        <x:v>13247</x:v>
      </x:c>
      <x:c r="C127" s="10" t="str">
        <x:v>Rockdale County</x:v>
      </x:c>
      <x:c r="D127" s="11" t="n">
        <x:f>1-'Method'!$B$7*G127</x:f>
        <x:v>0.8515463917525773</x:v>
      </x:c>
      <x:c r="E127" s="11" t="n">
        <x:f>1-'Method'!$B$8*H127</x:f>
        <x:v>1</x:v>
      </x:c>
      <x:c r="F127" s="11" t="n">
        <x:f>1-'Method'!$B$9*I127</x:f>
        <x:v>0.8591065292096219</x:v>
      </x:c>
      <x:c r="G127" s="11" t="n">
        <x:v>0.7422680412371134</x:v>
      </x:c>
      <x:c r="H127" s="11" t="n">
        <x:v>0</x:v>
      </x:c>
      <x:c r="I127" s="11" t="n">
        <x:v>0.7044673539518901</x:v>
      </x:c>
      <x:c r="J127" s="12" t="n">
        <x:v>37.28684698740641</x:v>
      </x:c>
      <x:c r="K127" s="12" t="n">
        <x:v>97.03775151570638</x:v>
      </x:c>
      <x:c r="L127" s="12" t="n">
        <x:v>59.75090452829996</x:v>
      </x:c>
      <x:c r="M127" s="12" t="n">
        <x:v>25.559626007080077</x:v>
      </x:c>
      <x:c r="N127" s="12" t="n">
        <x:v>25.44478791554769</x:v>
      </x:c>
      <x:c r="O127" s="12" t="n">
        <x:v>0</x:v>
      </x:c>
      <x:c r="P127" s="12" t="n">
        <x:v>1.7042797366778055</x:v>
      </x:c>
      <x:c r="Q127" s="12" t="n">
        <x:v>2.461471482117971</x:v>
      </x:c>
      <x:c r="R127" s="12" t="n">
        <x:v>0.7571917454401653</x:v>
      </x:c>
      <x:c r="S127" s="11" t="n">
        <x:f>'Method'!$B$7</x:f>
        <x:v>0.2</x:v>
      </x:c>
      <x:c r="T127" s="11" t="n">
        <x:f>'Method'!$B$8</x:f>
        <x:v>0.2</x:v>
      </x:c>
      <x:c r="U127" s="11" t="n">
        <x:f>'Method'!$B$9</x:f>
        <x:v>0.2</x:v>
      </x:c>
      <x:c r="V127" s="11" t="n">
        <x:f>1-D127</x:f>
        <x:v>0.1484536082474227</x:v>
      </x:c>
      <x:c r="W127" s="11" t="n">
        <x:f>1-E127</x:f>
        <x:v>0</x:v>
      </x:c>
      <x:c r="X127" s="11" t="n">
        <x:f>1-F127</x:f>
        <x:v>0.14089347079037806</x:v>
      </x:c>
    </x:row>
    <x:row r="128" ht="18" customHeight="1">
      <x:c r="A128" s="10" t="str">
        <x:v>GA</x:v>
      </x:c>
      <x:c r="B128" s="10" t="str">
        <x:v>13249</x:v>
      </x:c>
      <x:c r="C128" s="10" t="str">
        <x:v>Schley County</x:v>
      </x:c>
      <x:c r="D128" s="11" t="n">
        <x:f>1-'Method'!$B$7*G128</x:f>
        <x:v>0.8144329896907216</x:v>
      </x:c>
      <x:c r="E128" s="11" t="n">
        <x:f>1-'Method'!$B$8*H128</x:f>
        <x:v>1</x:v>
      </x:c>
      <x:c r="F128" s="11" t="n">
        <x:f>1-'Method'!$B$9*I128</x:f>
        <x:v>0.8639175257731959</x:v>
      </x:c>
      <x:c r="G128" s="11" t="n">
        <x:v>0.9278350515463918</x:v>
      </x:c>
      <x:c r="H128" s="11" t="n">
        <x:v>0</x:v>
      </x:c>
      <x:c r="I128" s="11" t="n">
        <x:v>0.6804123711340206</x:v>
      </x:c>
      <x:c r="J128" s="12" t="n">
        <x:v>56.47899602254232</x:v>
      </x:c>
      <x:c r="K128" s="12" t="n">
        <x:v>118.98113606770833</x:v>
      </x:c>
      <x:c r="L128" s="12" t="n">
        <x:v>62.502140045166016</x:v>
      </x:c>
      <x:c r="M128" s="12" t="n">
        <x:v>27.641542816162108</x:v>
      </x:c>
      <x:c r="N128" s="12" t="n">
        <x:v>27.640520286560058</x:v>
      </x:c>
      <x:c r="O128" s="12" t="n">
        <x:v>0</x:v>
      </x:c>
      <x:c r="P128" s="12" t="n">
        <x:v>2.152406024932861</x:v>
      </x:c>
      <x:c r="Q128" s="12" t="n">
        <x:v>2.8989859859148663</x:v>
      </x:c>
      <x:c r="R128" s="12" t="n">
        <x:v>0.7465799609820052</x:v>
      </x:c>
      <x:c r="S128" s="11" t="n">
        <x:f>'Method'!$B$7</x:f>
        <x:v>0.2</x:v>
      </x:c>
      <x:c r="T128" s="11" t="n">
        <x:f>'Method'!$B$8</x:f>
        <x:v>0.2</x:v>
      </x:c>
      <x:c r="U128" s="11" t="n">
        <x:f>'Method'!$B$9</x:f>
        <x:v>0.2</x:v>
      </x:c>
      <x:c r="V128" s="11" t="n">
        <x:f>1-D128</x:f>
        <x:v>0.18556701030927836</x:v>
      </x:c>
      <x:c r="W128" s="11" t="n">
        <x:f>1-E128</x:f>
        <x:v>0</x:v>
      </x:c>
      <x:c r="X128" s="11" t="n">
        <x:f>1-F128</x:f>
        <x:v>0.13608247422680408</x:v>
      </x:c>
    </x:row>
    <x:row r="129" ht="18" customHeight="1">
      <x:c r="A129" s="10" t="str">
        <x:v>GA</x:v>
      </x:c>
      <x:c r="B129" s="10" t="str">
        <x:v>13251</x:v>
      </x:c>
      <x:c r="C129" s="10" t="str">
        <x:v>Screven County</x:v>
      </x:c>
      <x:c r="D129" s="11" t="n">
        <x:f>1-'Method'!$B$7*G129</x:f>
        <x:v>0.8742268041237113</x:v>
      </x:c>
      <x:c r="E129" s="11" t="n">
        <x:f>1-'Method'!$B$8*H129</x:f>
        <x:v>1</x:v>
      </x:c>
      <x:c r="F129" s="11" t="n">
        <x:f>1-'Method'!$B$9*I129</x:f>
        <x:v>0.9360824742268041</x:v>
      </x:c>
      <x:c r="G129" s="11" t="n">
        <x:v>0.6288659793814433</x:v>
      </x:c>
      <x:c r="H129" s="11" t="n">
        <x:v>0</x:v>
      </x:c>
      <x:c r="I129" s="11" t="n">
        <x:v>0.31958762886597936</x:v>
      </x:c>
      <x:c r="J129" s="12" t="n">
        <x:v>68.15500526428222</x:v>
      </x:c>
      <x:c r="K129" s="12" t="n">
        <x:v>126.41002883911133</x:v>
      </x:c>
      <x:c r="L129" s="12" t="n">
        <x:v>58.25502357482911</x:v>
      </x:c>
      <x:c r="M129" s="12" t="n">
        <x:v>27.97741266886393</x:v>
      </x:c>
      <x:c r="N129" s="12" t="n">
        <x:v>26.824044036865235</x:v>
      </x:c>
      <x:c r="O129" s="12" t="n">
        <x:v>0</x:v>
      </x:c>
      <x:c r="P129" s="12" t="n">
        <x:v>1.5036218762397766</x:v>
      </x:c>
      <x:c r="Q129" s="12" t="n">
        <x:v>2.109031077226003</x:v>
      </x:c>
      <x:c r="R129" s="12" t="n">
        <x:v>0.6054092009862262</x:v>
      </x:c>
      <x:c r="S129" s="11" t="n">
        <x:f>'Method'!$B$7</x:f>
        <x:v>0.2</x:v>
      </x:c>
      <x:c r="T129" s="11" t="n">
        <x:f>'Method'!$B$8</x:f>
        <x:v>0.2</x:v>
      </x:c>
      <x:c r="U129" s="11" t="n">
        <x:f>'Method'!$B$9</x:f>
        <x:v>0.2</x:v>
      </x:c>
      <x:c r="V129" s="11" t="n">
        <x:f>1-D129</x:f>
        <x:v>0.12577319587628866</x:v>
      </x:c>
      <x:c r="W129" s="11" t="n">
        <x:f>1-E129</x:f>
        <x:v>0</x:v>
      </x:c>
      <x:c r="X129" s="11" t="n">
        <x:f>1-F129</x:f>
        <x:v>0.06391752577319587</x:v>
      </x:c>
    </x:row>
    <x:row r="130" ht="18" customHeight="1">
      <x:c r="A130" s="10" t="str">
        <x:v>GA</x:v>
      </x:c>
      <x:c r="B130" s="10" t="str">
        <x:v>13253</x:v>
      </x:c>
      <x:c r="C130" s="10" t="str">
        <x:v>Seminole County</x:v>
      </x:c>
      <x:c r="D130" s="11" t="n">
        <x:f>1-'Method'!$B$7*G130</x:f>
        <x:v>0.8288659793814432</x:v>
      </x:c>
      <x:c r="E130" s="11" t="n">
        <x:f>1-'Method'!$B$8*H130</x:f>
        <x:v>1</x:v>
      </x:c>
      <x:c r="F130" s="11" t="n">
        <x:f>1-'Method'!$B$9*I130</x:f>
        <x:v>0.8735395189003436</x:v>
      </x:c>
      <x:c r="G130" s="11" t="n">
        <x:v>0.8556701030927835</x:v>
      </x:c>
      <x:c r="H130" s="11" t="n">
        <x:v>0</x:v>
      </x:c>
      <x:c r="I130" s="11" t="n">
        <x:v>0.6323024054982818</x:v>
      </x:c>
      <x:c r="J130" s="12" t="n">
        <x:v>81.10312067667643</x:v>
      </x:c>
      <x:c r="K130" s="12" t="n">
        <x:v>142.32630055745443</x:v>
      </x:c>
      <x:c r="L130" s="12" t="n">
        <x:v>61.223179880778005</x:v>
      </x:c>
      <x:c r="M130" s="12" t="n">
        <x:v>28.374782880147297</x:v>
      </x:c>
      <x:c r="N130" s="12" t="n">
        <x:v>27.714395332336426</x:v>
      </x:c>
      <x:c r="O130" s="12" t="n">
        <x:v>0</x:v>
      </x:c>
      <x:c r="P130" s="12" t="n">
        <x:v>2.82499205271403</x:v>
      </x:c>
      <x:c r="Q130" s="12" t="n">
        <x:v>3.5588091135025026</x:v>
      </x:c>
      <x:c r="R130" s="12" t="n">
        <x:v>0.7338170607884726</x:v>
      </x:c>
      <x:c r="S130" s="11" t="n">
        <x:f>'Method'!$B$7</x:f>
        <x:v>0.2</x:v>
      </x:c>
      <x:c r="T130" s="11" t="n">
        <x:f>'Method'!$B$8</x:f>
        <x:v>0.2</x:v>
      </x:c>
      <x:c r="U130" s="11" t="n">
        <x:f>'Method'!$B$9</x:f>
        <x:v>0.2</x:v>
      </x:c>
      <x:c r="V130" s="11" t="n">
        <x:f>1-D130</x:f>
        <x:v>0.17113402061855676</x:v>
      </x:c>
      <x:c r="W130" s="11" t="n">
        <x:f>1-E130</x:f>
        <x:v>0</x:v>
      </x:c>
      <x:c r="X130" s="11" t="n">
        <x:f>1-F130</x:f>
        <x:v>0.12646048109965635</x:v>
      </x:c>
    </x:row>
    <x:row r="131" ht="18" customHeight="1">
      <x:c r="A131" s="10" t="str">
        <x:v>GA</x:v>
      </x:c>
      <x:c r="B131" s="10" t="str">
        <x:v>13255</x:v>
      </x:c>
      <x:c r="C131" s="10" t="str">
        <x:v>Spalding County</x:v>
      </x:c>
      <x:c r="D131" s="11" t="n">
        <x:f>1-'Method'!$B$7*G131</x:f>
        <x:v>0.8027491408934708</x:v>
      </x:c>
      <x:c r="E131" s="11" t="n">
        <x:f>1-'Method'!$B$8*H131</x:f>
        <x:v>1</x:v>
      </x:c>
      <x:c r="F131" s="11" t="n">
        <x:f>1-'Method'!$B$9*I131</x:f>
        <x:v>0.8446735395189003</x:v>
      </x:c>
      <x:c r="G131" s="11" t="n">
        <x:v>0.9862542955326461</x:v>
      </x:c>
      <x:c r="H131" s="11" t="n">
        <x:v>0</x:v>
      </x:c>
      <x:c r="I131" s="11" t="n">
        <x:v>0.7766323024054983</x:v>
      </x:c>
      <x:c r="J131" s="12" t="n">
        <x:v>35.28617534637451</x:v>
      </x:c>
      <x:c r="K131" s="12" t="n">
        <x:v>99.13297373453776</x:v>
      </x:c>
      <x:c r="L131" s="12" t="n">
        <x:v>63.84679838816324</x:v>
      </x:c>
      <x:c r="M131" s="12" t="n">
        <x:v>26.86665267944336</x:v>
      </x:c>
      <x:c r="N131" s="12" t="n">
        <x:v>26.177730814615884</x:v>
      </x:c>
      <x:c r="O131" s="12" t="n">
        <x:v>0</x:v>
      </x:c>
      <x:c r="P131" s="12" t="n">
        <x:v>2.0868997454643248</x:v>
      </x:c>
      <x:c r="Q131" s="12" t="n">
        <x:v>2.875318964322408</x:v>
      </x:c>
      <x:c r="R131" s="12" t="n">
        <x:v>0.7884192188580834</x:v>
      </x:c>
      <x:c r="S131" s="11" t="n">
        <x:f>'Method'!$B$7</x:f>
        <x:v>0.2</x:v>
      </x:c>
      <x:c r="T131" s="11" t="n">
        <x:f>'Method'!$B$8</x:f>
        <x:v>0.2</x:v>
      </x:c>
      <x:c r="U131" s="11" t="n">
        <x:f>'Method'!$B$9</x:f>
        <x:v>0.2</x:v>
      </x:c>
      <x:c r="V131" s="11" t="n">
        <x:f>1-D131</x:f>
        <x:v>0.19725085910652917</x:v>
      </x:c>
      <x:c r="W131" s="11" t="n">
        <x:f>1-E131</x:f>
        <x:v>0</x:v>
      </x:c>
      <x:c r="X131" s="11" t="n">
        <x:f>1-F131</x:f>
        <x:v>0.15532646048109966</x:v>
      </x:c>
    </x:row>
    <x:row r="132" ht="18" customHeight="1">
      <x:c r="A132" s="10" t="str">
        <x:v>GA</x:v>
      </x:c>
      <x:c r="B132" s="10" t="str">
        <x:v>13257</x:v>
      </x:c>
      <x:c r="C132" s="10" t="str">
        <x:v>Stephens County</x:v>
      </x:c>
      <x:c r="D132" s="11" t="n">
        <x:f>1-'Method'!$B$7*G132</x:f>
        <x:v>0.8405498281786942</x:v>
      </x:c>
      <x:c r="E132" s="11" t="n">
        <x:f>1-'Method'!$B$8*H132</x:f>
        <x:v>0.8398625429553265</x:v>
      </x:c>
      <x:c r="F132" s="11" t="n">
        <x:f>1-'Method'!$B$9*I132</x:f>
        <x:v>0.8096219931271478</x:v>
      </x:c>
      <x:c r="G132" s="11" t="n">
        <x:v>0.7972508591065293</x:v>
      </x:c>
      <x:c r="H132" s="11" t="n">
        <x:v>0.8006872852233677</x:v>
      </x:c>
      <x:c r="I132" s="11" t="n">
        <x:v>0.9518900343642611</x:v>
      </x:c>
      <x:c r="J132" s="12" t="n">
        <x:v>31.076625442504884</x:v>
      </x:c>
      <x:c r="K132" s="12" t="n">
        <x:v>91.50233840942383</x:v>
      </x:c>
      <x:c r="L132" s="12" t="n">
        <x:v>60.425712966918944</x:v>
      </x:c>
      <x:c r="M132" s="12" t="n">
        <x:v>24.611607170104982</x:v>
      </x:c>
      <x:c r="N132" s="12" t="n">
        <x:v>24.785134760538735</x:v>
      </x:c>
      <x:c r="O132" s="12" t="n">
        <x:v>0.17352759043375343</x:v>
      </x:c>
      <x:c r="P132" s="12" t="n">
        <x:v>2.6259079138437906</x:v>
      </x:c>
      <x:c r="Q132" s="12" t="n">
        <x:v>3.5903950532277427</x:v>
      </x:c>
      <x:c r="R132" s="12" t="n">
        <x:v>0.964487139383952</x:v>
      </x:c>
      <x:c r="S132" s="11" t="n">
        <x:f>'Method'!$B$7</x:f>
        <x:v>0.2</x:v>
      </x:c>
      <x:c r="T132" s="11" t="n">
        <x:f>'Method'!$B$8</x:f>
        <x:v>0.2</x:v>
      </x:c>
      <x:c r="U132" s="11" t="n">
        <x:f>'Method'!$B$9</x:f>
        <x:v>0.2</x:v>
      </x:c>
      <x:c r="V132" s="11" t="n">
        <x:f>1-D132</x:f>
        <x:v>0.15945017182130583</x:v>
      </x:c>
      <x:c r="W132" s="11" t="n">
        <x:f>1-E132</x:f>
        <x:v>0.16013745704467353</x:v>
      </x:c>
      <x:c r="X132" s="11" t="n">
        <x:f>1-F132</x:f>
        <x:v>0.19037800687285222</x:v>
      </x:c>
    </x:row>
    <x:row r="133" ht="18" customHeight="1">
      <x:c r="A133" s="10" t="str">
        <x:v>GA</x:v>
      </x:c>
      <x:c r="B133" s="10" t="str">
        <x:v>13259</x:v>
      </x:c>
      <x:c r="C133" s="10" t="str">
        <x:v>Stewart County</x:v>
      </x:c>
      <x:c r="D133" s="11" t="n">
        <x:f>1-'Method'!$B$7*G133</x:f>
        <x:v>0.8247422680412371</x:v>
      </x:c>
      <x:c r="E133" s="11" t="n">
        <x:f>1-'Method'!$B$8*H133</x:f>
        <x:v>1</x:v>
      </x:c>
      <x:c r="F133" s="11" t="n">
        <x:f>1-'Method'!$B$9*I133</x:f>
        <x:v>0.9134020618556701</x:v>
      </x:c>
      <x:c r="G133" s="11" t="n">
        <x:v>0.8762886597938144</x:v>
      </x:c>
      <x:c r="H133" s="11" t="n">
        <x:v>0</x:v>
      </x:c>
      <x:c r="I133" s="11" t="n">
        <x:v>0.4329896907216495</x:v>
      </x:c>
      <x:c r="J133" s="12" t="n">
        <x:v>64.24030100504557</x:v>
      </x:c>
      <x:c r="K133" s="12" t="n">
        <x:v>125.79216995239258</x:v>
      </x:c>
      <x:c r="L133" s="12" t="n">
        <x:v>61.55186894734702</x:v>
      </x:c>
      <x:c r="M133" s="12" t="n">
        <x:v>28.51026986440023</x:v>
      </x:c>
      <x:c r="N133" s="12" t="n">
        <x:v>27.689458974202473</x:v>
      </x:c>
      <x:c r="O133" s="12" t="n">
        <x:v>0</x:v>
      </x:c>
      <x:c r="P133" s="12" t="n">
        <x:v>2.1494115432103476</x:v>
      </x:c>
      <x:c r="Q133" s="12" t="n">
        <x:v>2.804232172171275</x:v>
      </x:c>
      <x:c r="R133" s="12" t="n">
        <x:v>0.6548206289609273</x:v>
      </x:c>
      <x:c r="S133" s="11" t="n">
        <x:f>'Method'!$B$7</x:f>
        <x:v>0.2</x:v>
      </x:c>
      <x:c r="T133" s="11" t="n">
        <x:f>'Method'!$B$8</x:f>
        <x:v>0.2</x:v>
      </x:c>
      <x:c r="U133" s="11" t="n">
        <x:f>'Method'!$B$9</x:f>
        <x:v>0.2</x:v>
      </x:c>
      <x:c r="V133" s="11" t="n">
        <x:f>1-D133</x:f>
        <x:v>0.17525773195876293</x:v>
      </x:c>
      <x:c r="W133" s="11" t="n">
        <x:f>1-E133</x:f>
        <x:v>0</x:v>
      </x:c>
      <x:c r="X133" s="11" t="n">
        <x:f>1-F133</x:f>
        <x:v>0.08659793814432992</x:v>
      </x:c>
    </x:row>
    <x:row r="134" ht="18" customHeight="1">
      <x:c r="A134" s="10" t="str">
        <x:v>GA</x:v>
      </x:c>
      <x:c r="B134" s="10" t="str">
        <x:v>13261</x:v>
      </x:c>
      <x:c r="C134" s="10" t="str">
        <x:v>Sumter County</x:v>
      </x:c>
      <x:c r="D134" s="11" t="n">
        <x:f>1-'Method'!$B$7*G134</x:f>
        <x:v>0.8474226804123711</x:v>
      </x:c>
      <x:c r="E134" s="11" t="n">
        <x:f>1-'Method'!$B$8*H134</x:f>
        <x:v>1</x:v>
      </x:c>
      <x:c r="F134" s="11" t="n">
        <x:f>1-'Method'!$B$9*I134</x:f>
        <x:v>0.831615120274914</x:v>
      </x:c>
      <x:c r="G134" s="11" t="n">
        <x:v>0.7628865979381443</x:v>
      </x:c>
      <x:c r="H134" s="11" t="n">
        <x:v>0</x:v>
      </x:c>
      <x:c r="I134" s="11" t="n">
        <x:v>0.8419243986254296</x:v>
      </x:c>
      <x:c r="J134" s="12" t="n">
        <x:v>64.18044522603353</x:v>
      </x:c>
      <x:c r="K134" s="12" t="n">
        <x:v>124.31194814046223</x:v>
      </x:c>
      <x:c r="L134" s="12" t="n">
        <x:v>60.13150291442871</x:v>
      </x:c>
      <x:c r="M134" s="12" t="n">
        <x:v>28.648288853963216</x:v>
      </x:c>
      <x:c r="N134" s="12" t="n">
        <x:v>28.343647956848145</x:v>
      </x:c>
      <x:c r="O134" s="12" t="n">
        <x:v>0</x:v>
      </x:c>
      <x:c r="P134" s="12" t="n">
        <x:v>2.286496559778849</x:v>
      </x:c>
      <x:c r="Q134" s="12" t="n">
        <x:v>3.1068903684616087</x:v>
      </x:c>
      <x:c r="R134" s="12" t="n">
        <x:v>0.8203938086827596</x:v>
      </x:c>
      <x:c r="S134" s="11" t="n">
        <x:f>'Method'!$B$7</x:f>
        <x:v>0.2</x:v>
      </x:c>
      <x:c r="T134" s="11" t="n">
        <x:f>'Method'!$B$8</x:f>
        <x:v>0.2</x:v>
      </x:c>
      <x:c r="U134" s="11" t="n">
        <x:f>'Method'!$B$9</x:f>
        <x:v>0.2</x:v>
      </x:c>
      <x:c r="V134" s="11" t="n">
        <x:f>1-D134</x:f>
        <x:v>0.15257731958762888</x:v>
      </x:c>
      <x:c r="W134" s="11" t="n">
        <x:f>1-E134</x:f>
        <x:v>0</x:v>
      </x:c>
      <x:c r="X134" s="11" t="n">
        <x:f>1-F134</x:f>
        <x:v>0.16838487972508598</x:v>
      </x:c>
    </x:row>
    <x:row r="135" ht="18" customHeight="1">
      <x:c r="A135" s="10" t="str">
        <x:v>GA</x:v>
      </x:c>
      <x:c r="B135" s="10" t="str">
        <x:v>13263</x:v>
      </x:c>
      <x:c r="C135" s="10" t="str">
        <x:v>Talbot County</x:v>
      </x:c>
      <x:c r="D135" s="11" t="n">
        <x:f>1-'Method'!$B$7*G135</x:f>
        <x:v>0.8123711340206186</x:v>
      </x:c>
      <x:c r="E135" s="11" t="n">
        <x:f>1-'Method'!$B$8*H135</x:f>
        <x:v>1</x:v>
      </x:c>
      <x:c r="F135" s="11" t="n">
        <x:f>1-'Method'!$B$9*I135</x:f>
        <x:v>0.8536082474226804</x:v>
      </x:c>
      <x:c r="G135" s="11" t="n">
        <x:v>0.9381443298969072</x:v>
      </x:c>
      <x:c r="H135" s="11" t="n">
        <x:v>0</x:v>
      </x:c>
      <x:c r="I135" s="11" t="n">
        <x:v>0.7319587628865979</x:v>
      </x:c>
      <x:c r="J135" s="12" t="n">
        <x:v>50.69904123942057</x:v>
      </x:c>
      <x:c r="K135" s="12" t="n">
        <x:v>113.39759928385416</x:v>
      </x:c>
      <x:c r="L135" s="12" t="n">
        <x:v>62.69855804443359</x:v>
      </x:c>
      <x:c r="M135" s="12" t="n">
        <x:v>28.063952509562174</x:v>
      </x:c>
      <x:c r="N135" s="12" t="n">
        <x:v>27.616151491800945</x:v>
      </x:c>
      <x:c r="O135" s="12" t="n">
        <x:v>0</x:v>
      </x:c>
      <x:c r="P135" s="12" t="n">
        <x:v>1.9754242698351543</x:v>
      </x:c>
      <x:c r="Q135" s="12" t="n">
        <x:v>2.7438735127449037</x:v>
      </x:c>
      <x:c r="R135" s="12" t="n">
        <x:v>0.7684492429097494</x:v>
      </x:c>
      <x:c r="S135" s="11" t="n">
        <x:f>'Method'!$B$7</x:f>
        <x:v>0.2</x:v>
      </x:c>
      <x:c r="T135" s="11" t="n">
        <x:f>'Method'!$B$8</x:f>
        <x:v>0.2</x:v>
      </x:c>
      <x:c r="U135" s="11" t="n">
        <x:f>'Method'!$B$9</x:f>
        <x:v>0.2</x:v>
      </x:c>
      <x:c r="V135" s="11" t="n">
        <x:f>1-D135</x:f>
        <x:v>0.18762886597938144</x:v>
      </x:c>
      <x:c r="W135" s="11" t="n">
        <x:f>1-E135</x:f>
        <x:v>0</x:v>
      </x:c>
      <x:c r="X135" s="11" t="n">
        <x:f>1-F135</x:f>
        <x:v>0.14639175257731962</x:v>
      </x:c>
    </x:row>
    <x:row r="136" ht="18" customHeight="1">
      <x:c r="A136" s="10" t="str">
        <x:v>GA</x:v>
      </x:c>
      <x:c r="B136" s="10" t="str">
        <x:v>13265</x:v>
      </x:c>
      <x:c r="C136" s="10" t="str">
        <x:v>Taliaferro County</x:v>
      </x:c>
      <x:c r="D136" s="11" t="n">
        <x:f>1-'Method'!$B$7*G136</x:f>
        <x:v>0.8343642611683848</x:v>
      </x:c>
      <x:c r="E136" s="11" t="n">
        <x:f>1-'Method'!$B$8*H136</x:f>
        <x:v>1</x:v>
      </x:c>
      <x:c r="F136" s="11" t="n">
        <x:f>1-'Method'!$B$9*I136</x:f>
        <x:v>0.8872852233676976</x:v>
      </x:c>
      <x:c r="G136" s="11" t="n">
        <x:v>0.8281786941580757</x:v>
      </x:c>
      <x:c r="H136" s="11" t="n">
        <x:v>0</x:v>
      </x:c>
      <x:c r="I136" s="11" t="n">
        <x:v>0.563573883161512</x:v>
      </x:c>
      <x:c r="J136" s="12" t="n">
        <x:v>48.391488265991214</x:v>
      </x:c>
      <x:c r="K136" s="12" t="n">
        <x:v>109.32112070719401</x:v>
      </x:c>
      <x:c r="L136" s="12" t="n">
        <x:v>60.9296324412028</x:v>
      </x:c>
      <x:c r="M136" s="12" t="n">
        <x:v>27.38433691660563</x:v>
      </x:c>
      <x:c r="N136" s="12" t="n">
        <x:v>26.22243162790934</x:v>
      </x:c>
      <x:c r="O136" s="12" t="n">
        <x:v>0</x:v>
      </x:c>
      <x:c r="P136" s="12" t="n">
        <x:v>1.7433827241261801</x:v>
      </x:c>
      <x:c r="Q136" s="12" t="n">
        <x:v>2.435256826877594</x:v>
      </x:c>
      <x:c r="R136" s="12" t="n">
        <x:v>0.6918741027514137</x:v>
      </x:c>
      <x:c r="S136" s="11" t="n">
        <x:f>'Method'!$B$7</x:f>
        <x:v>0.2</x:v>
      </x:c>
      <x:c r="T136" s="11" t="n">
        <x:f>'Method'!$B$8</x:f>
        <x:v>0.2</x:v>
      </x:c>
      <x:c r="U136" s="11" t="n">
        <x:f>'Method'!$B$9</x:f>
        <x:v>0.2</x:v>
      </x:c>
      <x:c r="V136" s="11" t="n">
        <x:f>1-D136</x:f>
        <x:v>0.1656357388316152</x:v>
      </x:c>
      <x:c r="W136" s="11" t="n">
        <x:f>1-E136</x:f>
        <x:v>0</x:v>
      </x:c>
      <x:c r="X136" s="11" t="n">
        <x:f>1-F136</x:f>
        <x:v>0.11271477663230245</x:v>
      </x:c>
    </x:row>
    <x:row r="137" ht="18" customHeight="1">
      <x:c r="A137" s="10" t="str">
        <x:v>GA</x:v>
      </x:c>
      <x:c r="B137" s="10" t="str">
        <x:v>13267</x:v>
      </x:c>
      <x:c r="C137" s="10" t="str">
        <x:v>Tattnall County</x:v>
      </x:c>
      <x:c r="D137" s="11" t="n">
        <x:f>1-'Method'!$B$7*G137</x:f>
        <x:v>0.8419243986254296</x:v>
      </x:c>
      <x:c r="E137" s="11" t="n">
        <x:f>1-'Method'!$B$8*H137</x:f>
        <x:v>1</x:v>
      </x:c>
      <x:c r="F137" s="11" t="n">
        <x:f>1-'Method'!$B$9*I137</x:f>
        <x:v>0.8893470790378006</x:v>
      </x:c>
      <x:c r="G137" s="11" t="n">
        <x:v>0.7903780068728522</x:v>
      </x:c>
      <x:c r="H137" s="11" t="n">
        <x:v>0</x:v>
      </x:c>
      <x:c r="I137" s="11" t="n">
        <x:v>0.5532646048109966</x:v>
      </x:c>
      <x:c r="J137" s="12" t="n">
        <x:v>73.5531494140625</x:v>
      </x:c>
      <x:c r="K137" s="12" t="n">
        <x:v>133.86470209757488</x:v>
      </x:c>
      <x:c r="L137" s="12" t="n">
        <x:v>60.311552683512375</x:v>
      </x:c>
      <x:c r="M137" s="12" t="n">
        <x:v>29.04390697479248</x:v>
      </x:c>
      <x:c r="N137" s="12" t="n">
        <x:v>27.963442611694337</x:v>
      </x:c>
      <x:c r="O137" s="12" t="n">
        <x:v>0</x:v>
      </x:c>
      <x:c r="P137" s="12" t="n">
        <x:v>1.5652764360109965</x:v>
      </x:c>
      <x:c r="Q137" s="12" t="n">
        <x:v>2.255937107404073</x:v>
      </x:c>
      <x:c r="R137" s="12" t="n">
        <x:v>0.6906606713930765</x:v>
      </x:c>
      <x:c r="S137" s="11" t="n">
        <x:f>'Method'!$B$7</x:f>
        <x:v>0.2</x:v>
      </x:c>
      <x:c r="T137" s="11" t="n">
        <x:f>'Method'!$B$8</x:f>
        <x:v>0.2</x:v>
      </x:c>
      <x:c r="U137" s="11" t="n">
        <x:f>'Method'!$B$9</x:f>
        <x:v>0.2</x:v>
      </x:c>
      <x:c r="V137" s="11" t="n">
        <x:f>1-D137</x:f>
        <x:v>0.15807560137457044</x:v>
      </x:c>
      <x:c r="W137" s="11" t="n">
        <x:f>1-E137</x:f>
        <x:v>0</x:v>
      </x:c>
      <x:c r="X137" s="11" t="n">
        <x:f>1-F137</x:f>
        <x:v>0.11065292096219936</x:v>
      </x:c>
    </x:row>
    <x:row r="138" ht="18" customHeight="1">
      <x:c r="A138" s="10" t="str">
        <x:v>GA</x:v>
      </x:c>
      <x:c r="B138" s="10" t="str">
        <x:v>13269</x:v>
      </x:c>
      <x:c r="C138" s="10" t="str">
        <x:v>Taylor County</x:v>
      </x:c>
      <x:c r="D138" s="11" t="n">
        <x:f>1-'Method'!$B$7*G138</x:f>
        <x:v>0.8089347079037801</x:v>
      </x:c>
      <x:c r="E138" s="11" t="n">
        <x:f>1-'Method'!$B$8*H138</x:f>
        <x:v>1</x:v>
      </x:c>
      <x:c r="F138" s="11" t="n">
        <x:f>1-'Method'!$B$9*I138</x:f>
        <x:v>0.9243986254295533</x:v>
      </x:c>
      <x:c r="G138" s="11" t="n">
        <x:v>0.9553264604810997</x:v>
      </x:c>
      <x:c r="H138" s="11" t="n">
        <x:v>0</x:v>
      </x:c>
      <x:c r="I138" s="11" t="n">
        <x:v>0.37800687285223367</x:v>
      </x:c>
      <x:c r="J138" s="12" t="n">
        <x:v>56.37840232849121</x:v>
      </x:c>
      <x:c r="K138" s="12" t="n">
        <x:v>119.51182047526042</x:v>
      </x:c>
      <x:c r="L138" s="12" t="n">
        <x:v>63.13341814676921</x:v>
      </x:c>
      <x:c r="M138" s="12" t="n">
        <x:v>27.7767759958903</x:v>
      </x:c>
      <x:c r="N138" s="12" t="n">
        <x:v>27.309841092427572</x:v>
      </x:c>
      <x:c r="O138" s="12" t="n">
        <x:v>0</x:v>
      </x:c>
      <x:c r="P138" s="12" t="n">
        <x:v>1.8722216645876566</x:v>
      </x:c>
      <x:c r="Q138" s="12" t="n">
        <x:v>2.506027015050252</x:v>
      </x:c>
      <x:c r="R138" s="12" t="n">
        <x:v>0.6338053504625956</x:v>
      </x:c>
      <x:c r="S138" s="11" t="n">
        <x:f>'Method'!$B$7</x:f>
        <x:v>0.2</x:v>
      </x:c>
      <x:c r="T138" s="11" t="n">
        <x:f>'Method'!$B$8</x:f>
        <x:v>0.2</x:v>
      </x:c>
      <x:c r="U138" s="11" t="n">
        <x:f>'Method'!$B$9</x:f>
        <x:v>0.2</x:v>
      </x:c>
      <x:c r="V138" s="11" t="n">
        <x:f>1-D138</x:f>
        <x:v>0.19106529209621992</x:v>
      </x:c>
      <x:c r="W138" s="11" t="n">
        <x:f>1-E138</x:f>
        <x:v>0</x:v>
      </x:c>
      <x:c r="X138" s="11" t="n">
        <x:f>1-F138</x:f>
        <x:v>0.07560137457044669</x:v>
      </x:c>
    </x:row>
    <x:row r="139" ht="18" customHeight="1">
      <x:c r="A139" s="10" t="str">
        <x:v>GA</x:v>
      </x:c>
      <x:c r="B139" s="10" t="str">
        <x:v>13271</x:v>
      </x:c>
      <x:c r="C139" s="10" t="str">
        <x:v>Telfair County</x:v>
      </x:c>
      <x:c r="D139" s="11" t="n">
        <x:f>1-'Method'!$B$7*G139</x:f>
        <x:v>0.8914089347079037</x:v>
      </x:c>
      <x:c r="E139" s="11" t="n">
        <x:f>1-'Method'!$B$8*H139</x:f>
        <x:v>1</x:v>
      </x:c>
      <x:c r="F139" s="11" t="n">
        <x:f>1-'Method'!$B$9*I139</x:f>
        <x:v>0.9333333333333333</x:v>
      </x:c>
      <x:c r="G139" s="11" t="n">
        <x:v>0.5429553264604811</x:v>
      </x:c>
      <x:c r="H139" s="11" t="n">
        <x:v>0</x:v>
      </x:c>
      <x:c r="I139" s="11" t="n">
        <x:v>0.3333333333333333</x:v>
      </x:c>
      <x:c r="J139" s="12" t="n">
        <x:v>76.7364377339681</x:v>
      </x:c>
      <x:c r="K139" s="12" t="n">
        <x:v>132.89033050537108</x:v>
      </x:c>
      <x:c r="L139" s="12" t="n">
        <x:v>56.15389277140298</x:v>
      </x:c>
      <x:c r="M139" s="12" t="n">
        <x:v>28.197668266296386</x:v>
      </x:c>
      <x:c r="N139" s="12" t="n">
        <x:v>27.740489451090493</x:v>
      </x:c>
      <x:c r="O139" s="12" t="n">
        <x:v>0</x:v>
      </x:c>
      <x:c r="P139" s="12" t="n">
        <x:v>1.7917640487353006</x:v>
      </x:c>
      <x:c r="Q139" s="12" t="n">
        <x:v>2.4132644295692445</x:v>
      </x:c>
      <x:c r="R139" s="12" t="n">
        <x:v>0.6215003808339439</x:v>
      </x:c>
      <x:c r="S139" s="11" t="n">
        <x:f>'Method'!$B$7</x:f>
        <x:v>0.2</x:v>
      </x:c>
      <x:c r="T139" s="11" t="n">
        <x:f>'Method'!$B$8</x:f>
        <x:v>0.2</x:v>
      </x:c>
      <x:c r="U139" s="11" t="n">
        <x:f>'Method'!$B$9</x:f>
        <x:v>0.2</x:v>
      </x:c>
      <x:c r="V139" s="11" t="n">
        <x:f>1-D139</x:f>
        <x:v>0.10859106529209628</x:v>
      </x:c>
      <x:c r="W139" s="11" t="n">
        <x:f>1-E139</x:f>
        <x:v>0</x:v>
      </x:c>
      <x:c r="X139" s="11" t="n">
        <x:f>1-F139</x:f>
        <x:v>0.06666666666666665</x:v>
      </x:c>
    </x:row>
    <x:row r="140" ht="18" customHeight="1">
      <x:c r="A140" s="10" t="str">
        <x:v>GA</x:v>
      </x:c>
      <x:c r="B140" s="10" t="str">
        <x:v>13273</x:v>
      </x:c>
      <x:c r="C140" s="10" t="str">
        <x:v>Terrell County</x:v>
      </x:c>
      <x:c r="D140" s="11" t="n">
        <x:f>1-'Method'!$B$7*G140</x:f>
        <x:v>0.8357388316151203</x:v>
      </x:c>
      <x:c r="E140" s="11" t="n">
        <x:f>1-'Method'!$B$8*H140</x:f>
        <x:v>1</x:v>
      </x:c>
      <x:c r="F140" s="11" t="n">
        <x:f>1-'Method'!$B$9*I140</x:f>
        <x:v>0.9374570446735395</x:v>
      </x:c>
      <x:c r="G140" s="11" t="n">
        <x:v>0.8213058419243986</x:v>
      </x:c>
      <x:c r="H140" s="11" t="n">
        <x:v>0</x:v>
      </x:c>
      <x:c r="I140" s="11" t="n">
        <x:v>0.3127147766323024</x:v>
      </x:c>
      <x:c r="J140" s="12" t="n">
        <x:v>67.89384129842122</x:v>
      </x:c>
      <x:c r="K140" s="12" t="n">
        <x:v>128.7523946126302</x:v>
      </x:c>
      <x:c r="L140" s="12" t="n">
        <x:v>60.85855331420899</x:v>
      </x:c>
      <x:c r="M140" s="12" t="n">
        <x:v>27.79474188486735</x:v>
      </x:c>
      <x:c r="N140" s="12" t="n">
        <x:v>27.141643015543618</x:v>
      </x:c>
      <x:c r="O140" s="12" t="n">
        <x:v>0</x:v>
      </x:c>
      <x:c r="P140" s="12" t="n">
        <x:v>2.122229019800822</x:v>
      </x:c>
      <x:c r="Q140" s="12" t="n">
        <x:v>2.7265424529711404</x:v>
      </x:c>
      <x:c r="R140" s="12" t="n">
        <x:v>0.6043134331703186</x:v>
      </x:c>
      <x:c r="S140" s="11" t="n">
        <x:f>'Method'!$B$7</x:f>
        <x:v>0.2</x:v>
      </x:c>
      <x:c r="T140" s="11" t="n">
        <x:f>'Method'!$B$8</x:f>
        <x:v>0.2</x:v>
      </x:c>
      <x:c r="U140" s="11" t="n">
        <x:f>'Method'!$B$9</x:f>
        <x:v>0.2</x:v>
      </x:c>
      <x:c r="V140" s="11" t="n">
        <x:f>1-D140</x:f>
        <x:v>0.1642611683848797</x:v>
      </x:c>
      <x:c r="W140" s="11" t="n">
        <x:f>1-E140</x:f>
        <x:v>0</x:v>
      </x:c>
      <x:c r="X140" s="11" t="n">
        <x:f>1-F140</x:f>
        <x:v>0.06254295532646048</x:v>
      </x:c>
    </x:row>
    <x:row r="141" ht="18" customHeight="1">
      <x:c r="A141" s="10" t="str">
        <x:v>GA</x:v>
      </x:c>
      <x:c r="B141" s="10" t="str">
        <x:v>13275</x:v>
      </x:c>
      <x:c r="C141" s="10" t="str">
        <x:v>Thomas County</x:v>
      </x:c>
      <x:c r="D141" s="11" t="n">
        <x:f>1-'Method'!$B$7*G141</x:f>
        <x:v>0.8103092783505155</x:v>
      </x:c>
      <x:c r="E141" s="11" t="n">
        <x:f>1-'Method'!$B$8*H141</x:f>
        <x:v>1</x:v>
      </x:c>
      <x:c r="F141" s="11" t="n">
        <x:f>1-'Method'!$B$9*I141</x:f>
        <x:v>0.8529209621993127</x:v>
      </x:c>
      <x:c r="G141" s="11" t="n">
        <x:v>0.9484536082474226</x:v>
      </x:c>
      <x:c r="H141" s="11" t="n">
        <x:v>0</x:v>
      </x:c>
      <x:c r="I141" s="11" t="n">
        <x:v>0.7353951890034365</x:v>
      </x:c>
      <x:c r="J141" s="12" t="n">
        <x:v>74.32741470336914</x:v>
      </x:c>
      <x:c r="K141" s="12" t="n">
        <x:v>137.256502532959</x:v>
      </x:c>
      <x:c r="L141" s="12" t="n">
        <x:v>62.92908782958985</x:v>
      </x:c>
      <x:c r="M141" s="12" t="n">
        <x:v>28.498097928365073</x:v>
      </x:c>
      <x:c r="N141" s="12" t="n">
        <x:v>28.11528803507487</x:v>
      </x:c>
      <x:c r="O141" s="12" t="n">
        <x:v>0</x:v>
      </x:c>
      <x:c r="P141" s="12" t="n">
        <x:v>2.296939222017924</x:v>
      </x:c>
      <x:c r="Q141" s="12" t="n">
        <x:v>3.0662513335545856</x:v>
      </x:c>
      <x:c r="R141" s="12" t="n">
        <x:v>0.7693121115366615</x:v>
      </x:c>
      <x:c r="S141" s="11" t="n">
        <x:f>'Method'!$B$7</x:f>
        <x:v>0.2</x:v>
      </x:c>
      <x:c r="T141" s="11" t="n">
        <x:f>'Method'!$B$8</x:f>
        <x:v>0.2</x:v>
      </x:c>
      <x:c r="U141" s="11" t="n">
        <x:f>'Method'!$B$9</x:f>
        <x:v>0.2</x:v>
      </x:c>
      <x:c r="V141" s="11" t="n">
        <x:f>1-D141</x:f>
        <x:v>0.18969072164948453</x:v>
      </x:c>
      <x:c r="W141" s="11" t="n">
        <x:f>1-E141</x:f>
        <x:v>0</x:v>
      </x:c>
      <x:c r="X141" s="11" t="n">
        <x:f>1-F141</x:f>
        <x:v>0.14707903780068732</x:v>
      </x:c>
    </x:row>
    <x:row r="142" ht="18" customHeight="1">
      <x:c r="A142" s="10" t="str">
        <x:v>GA</x:v>
      </x:c>
      <x:c r="B142" s="10" t="str">
        <x:v>13277</x:v>
      </x:c>
      <x:c r="C142" s="10" t="str">
        <x:v>Tift County</x:v>
      </x:c>
      <x:c r="D142" s="11" t="n">
        <x:f>1-'Method'!$B$7*G142</x:f>
        <x:v>0.8268041237113402</x:v>
      </x:c>
      <x:c r="E142" s="11" t="n">
        <x:f>1-'Method'!$B$8*H142</x:f>
        <x:v>0.8618556701030928</x:v>
      </x:c>
      <x:c r="F142" s="11" t="n">
        <x:f>1-'Method'!$B$9*I142</x:f>
        <x:v>0.9065292096219931</x:v>
      </x:c>
      <x:c r="G142" s="11" t="n">
        <x:v>0.865979381443299</x:v>
      </x:c>
      <x:c r="H142" s="11" t="n">
        <x:v>0.6907216494845361</x:v>
      </x:c>
      <x:c r="I142" s="11" t="n">
        <x:v>0.46735395189003437</x:v>
      </x:c>
      <x:c r="J142" s="12" t="n">
        <x:v>66.05258814493816</x:v>
      </x:c>
      <x:c r="K142" s="12" t="n">
        <x:v>127.40158615112304</x:v>
      </x:c>
      <x:c r="L142" s="12" t="n">
        <x:v>61.348998006184885</x:v>
      </x:c>
      <x:c r="M142" s="12" t="n">
        <x:v>29.345726267496744</x:v>
      </x:c>
      <x:c r="N142" s="12" t="n">
        <x:v>29.34587516784668</x:v>
      </x:c>
      <x:c r="O142" s="12" t="n">
        <x:v>0.00014890034993442214</x:v>
      </x:c>
      <x:c r="P142" s="12" t="n">
        <x:v>2.2212016105651857</x:v>
      </x:c>
      <x:c r="Q142" s="12" t="n">
        <x:v>2.8911412000656127</x:v>
      </x:c>
      <x:c r="R142" s="12" t="n">
        <x:v>0.669939589500427</x:v>
      </x:c>
      <x:c r="S142" s="11" t="n">
        <x:f>'Method'!$B$7</x:f>
        <x:v>0.2</x:v>
      </x:c>
      <x:c r="T142" s="11" t="n">
        <x:f>'Method'!$B$8</x:f>
        <x:v>0.2</x:v>
      </x:c>
      <x:c r="U142" s="11" t="n">
        <x:f>'Method'!$B$9</x:f>
        <x:v>0.2</x:v>
      </x:c>
      <x:c r="V142" s="11" t="n">
        <x:f>1-D142</x:f>
        <x:v>0.17319587628865984</x:v>
      </x:c>
      <x:c r="W142" s="11" t="n">
        <x:f>1-E142</x:f>
        <x:v>0.13814432989690717</x:v>
      </x:c>
      <x:c r="X142" s="11" t="n">
        <x:f>1-F142</x:f>
        <x:v>0.09347079037800687</x:v>
      </x:c>
    </x:row>
    <x:row r="143" ht="18" customHeight="1">
      <x:c r="A143" s="10" t="str">
        <x:v>GA</x:v>
      </x:c>
      <x:c r="B143" s="10" t="str">
        <x:v>13279</x:v>
      </x:c>
      <x:c r="C143" s="10" t="str">
        <x:v>Toombs County</x:v>
      </x:c>
      <x:c r="D143" s="11" t="n">
        <x:f>1-'Method'!$B$7*G143</x:f>
        <x:v>0.8714776632302406</x:v>
      </x:c>
      <x:c r="E143" s="11" t="n">
        <x:f>1-'Method'!$B$8*H143</x:f>
        <x:v>1</x:v>
      </x:c>
      <x:c r="F143" s="11" t="n">
        <x:f>1-'Method'!$B$9*I143</x:f>
        <x:v>0.9525773195876288</x:v>
      </x:c>
      <x:c r="G143" s="11" t="n">
        <x:v>0.6426116838487973</x:v>
      </x:c>
      <x:c r="H143" s="11" t="n">
        <x:v>0</x:v>
      </x:c>
      <x:c r="I143" s="11" t="n">
        <x:v>0.23711340206185566</x:v>
      </x:c>
      <x:c r="J143" s="12" t="n">
        <x:v>74.87873916625976</x:v>
      </x:c>
      <x:c r="K143" s="12" t="n">
        <x:v>133.45251134236653</x:v>
      </x:c>
      <x:c r="L143" s="12" t="n">
        <x:v>58.57377217610677</x:v>
      </x:c>
      <x:c r="M143" s="12" t="n">
        <x:v>27.64607753753662</x:v>
      </x:c>
      <x:c r="N143" s="12" t="n">
        <x:v>26.75392500559489</x:v>
      </x:c>
      <x:c r="O143" s="12" t="n">
        <x:v>0</x:v>
      </x:c>
      <x:c r="P143" s="12" t="n">
        <x:v>1.4861380875110626</x:v>
      </x:c>
      <x:c r="Q143" s="12" t="n">
        <x:v>2.0496142148971557</x:v>
      </x:c>
      <x:c r="R143" s="12" t="n">
        <x:v>0.5634761273860931</x:v>
      </x:c>
      <x:c r="S143" s="11" t="n">
        <x:f>'Method'!$B$7</x:f>
        <x:v>0.2</x:v>
      </x:c>
      <x:c r="T143" s="11" t="n">
        <x:f>'Method'!$B$8</x:f>
        <x:v>0.2</x:v>
      </x:c>
      <x:c r="U143" s="11" t="n">
        <x:f>'Method'!$B$9</x:f>
        <x:v>0.2</x:v>
      </x:c>
      <x:c r="V143" s="11" t="n">
        <x:f>1-D143</x:f>
        <x:v>0.12852233676975944</x:v>
      </x:c>
      <x:c r="W143" s="11" t="n">
        <x:f>1-E143</x:f>
        <x:v>0</x:v>
      </x:c>
      <x:c r="X143" s="11" t="n">
        <x:f>1-F143</x:f>
        <x:v>0.04742268041237119</x:v>
      </x:c>
    </x:row>
    <x:row r="144" ht="18" customHeight="1">
      <x:c r="A144" s="10" t="str">
        <x:v>GA</x:v>
      </x:c>
      <x:c r="B144" s="10" t="str">
        <x:v>13281</x:v>
      </x:c>
      <x:c r="C144" s="10" t="str">
        <x:v>Towns County</x:v>
      </x:c>
      <x:c r="D144" s="11" t="n">
        <x:f>1-'Method'!$B$7*G144</x:f>
        <x:v>0.99106529209622</x:v>
      </x:c>
      <x:c r="E144" s="11" t="n">
        <x:f>1-'Method'!$B$8*H144</x:f>
        <x:v>0.8164948453608247</x:v>
      </x:c>
      <x:c r="F144" s="11" t="n">
        <x:f>1-'Method'!$B$9*I144</x:f>
        <x:v>0.8109965635738832</x:v>
      </x:c>
      <x:c r="G144" s="11" t="n">
        <x:v>0.044673539518900345</x:v>
      </x:c>
      <x:c r="H144" s="11" t="n">
        <x:v>0.9175257731958762</x:v>
      </x:c>
      <x:c r="I144" s="11" t="n">
        <x:v>0.9450171821305842</x:v>
      </x:c>
      <x:c r="J144" s="12" t="n">
        <x:v>1.7771230638027191</x:v>
      </x:c>
      <x:c r="K144" s="12" t="n">
        <x:v>31.55223134358724</x:v>
      </x:c>
      <x:c r="L144" s="12" t="n">
        <x:v>29.775108279784522</x:v>
      </x:c>
      <x:c r="M144" s="12" t="n">
        <x:v>21.19491049448649</x:v>
      </x:c>
      <x:c r="N144" s="12" t="n">
        <x:v>21.602873357137046</x:v>
      </x:c>
      <x:c r="O144" s="12" t="n">
        <x:v>0.4079628626505567</x:v>
      </x:c>
      <x:c r="P144" s="12" t="n">
        <x:v>3.0192052523295083</x:v>
      </x:c>
      <x:c r="Q144" s="12" t="n">
        <x:v>3.9698999643325807</x:v>
      </x:c>
      <x:c r="R144" s="12" t="n">
        <x:v>0.9506947120030724</x:v>
      </x:c>
      <x:c r="S144" s="11" t="n">
        <x:f>'Method'!$B$7</x:f>
        <x:v>0.2</x:v>
      </x:c>
      <x:c r="T144" s="11" t="n">
        <x:f>'Method'!$B$8</x:f>
        <x:v>0.2</x:v>
      </x:c>
      <x:c r="U144" s="11" t="n">
        <x:f>'Method'!$B$9</x:f>
        <x:v>0.2</x:v>
      </x:c>
      <x:c r="V144" s="11" t="n">
        <x:f>1-D144</x:f>
        <x:v>0.008934707903780037</x:v>
      </x:c>
      <x:c r="W144" s="11" t="n">
        <x:f>1-E144</x:f>
        <x:v>0.18350515463917527</x:v>
      </x:c>
      <x:c r="X144" s="11" t="n">
        <x:f>1-F144</x:f>
        <x:v>0.18900343642611683</x:v>
      </x:c>
    </x:row>
    <x:row r="145" ht="18" customHeight="1">
      <x:c r="A145" s="10" t="str">
        <x:v>GA</x:v>
      </x:c>
      <x:c r="B145" s="10" t="str">
        <x:v>13283</x:v>
      </x:c>
      <x:c r="C145" s="10" t="str">
        <x:v>Treutlen County</x:v>
      </x:c>
      <x:c r="D145" s="11" t="n">
        <x:f>1-'Method'!$B$7*G145</x:f>
        <x:v>0.9058419243986254</x:v>
      </x:c>
      <x:c r="E145" s="11" t="n">
        <x:f>1-'Method'!$B$8*H145</x:f>
        <x:v>1</x:v>
      </x:c>
      <x:c r="F145" s="11" t="n">
        <x:f>1-'Method'!$B$9*I145</x:f>
        <x:v>0.9848797250859107</x:v>
      </x:c>
      <x:c r="G145" s="11" t="n">
        <x:v>0.47079037800687284</x:v>
      </x:c>
      <x:c r="H145" s="11" t="n">
        <x:v>0</x:v>
      </x:c>
      <x:c r="I145" s="11" t="n">
        <x:v>0.07560137457044673</x:v>
      </x:c>
      <x:c r="J145" s="12" t="n">
        <x:v>74.48205693562825</x:v>
      </x:c>
      <x:c r="K145" s="12" t="n">
        <x:v>129.17413711547852</x:v>
      </x:c>
      <x:c r="L145" s="12" t="n">
        <x:v>54.692080179850265</x:v>
      </x:c>
      <x:c r="M145" s="12" t="n">
        <x:v>27.333989588419595</x:v>
      </x:c>
      <x:c r="N145" s="12" t="n">
        <x:v>26.53339214324951</x:v>
      </x:c>
      <x:c r="O145" s="12" t="n">
        <x:v>0</x:v>
      </x:c>
      <x:c r="P145" s="12" t="n">
        <x:v>1.378200989961624</x:v>
      </x:c>
      <x:c r="Q145" s="12" t="n">
        <x:v>1.8251256267229716</x:v>
      </x:c>
      <x:c r="R145" s="12" t="n">
        <x:v>0.4469246367613475</x:v>
      </x:c>
      <x:c r="S145" s="11" t="n">
        <x:f>'Method'!$B$7</x:f>
        <x:v>0.2</x:v>
      </x:c>
      <x:c r="T145" s="11" t="n">
        <x:f>'Method'!$B$8</x:f>
        <x:v>0.2</x:v>
      </x:c>
      <x:c r="U145" s="11" t="n">
        <x:f>'Method'!$B$9</x:f>
        <x:v>0.2</x:v>
      </x:c>
      <x:c r="V145" s="11" t="n">
        <x:f>1-D145</x:f>
        <x:v>0.09415807560137457</x:v>
      </x:c>
      <x:c r="W145" s="11" t="n">
        <x:f>1-E145</x:f>
        <x:v>0</x:v>
      </x:c>
      <x:c r="X145" s="11" t="n">
        <x:f>1-F145</x:f>
        <x:v>0.015120274914089293</x:v>
      </x:c>
    </x:row>
    <x:row r="146" ht="18" customHeight="1">
      <x:c r="A146" s="10" t="str">
        <x:v>GA</x:v>
      </x:c>
      <x:c r="B146" s="10" t="str">
        <x:v>13285</x:v>
      </x:c>
      <x:c r="C146" s="10" t="str">
        <x:v>Troup County</x:v>
      </x:c>
      <x:c r="D146" s="11" t="n">
        <x:f>1-'Method'!$B$7*G146</x:f>
        <x:v>0.813745704467354</x:v>
      </x:c>
      <x:c r="E146" s="11" t="n">
        <x:f>1-'Method'!$B$8*H146</x:f>
        <x:v>1</x:v>
      </x:c>
      <x:c r="F146" s="11" t="n">
        <x:f>1-'Method'!$B$9*I146</x:f>
        <x:v>0.874914089347079</x:v>
      </x:c>
      <x:c r="G146" s="11" t="n">
        <x:v>0.9312714776632303</x:v>
      </x:c>
      <x:c r="H146" s="11" t="n">
        <x:v>0</x:v>
      </x:c>
      <x:c r="I146" s="11" t="n">
        <x:v>0.6254295532646048</x:v>
      </x:c>
      <x:c r="J146" s="12" t="n">
        <x:v>45.706186548868814</x:v>
      </x:c>
      <x:c r="K146" s="12" t="n">
        <x:v>108.2716786702474</x:v>
      </x:c>
      <x:c r="L146" s="12" t="n">
        <x:v>62.56549212137858</x:v>
      </x:c>
      <x:c r="M146" s="12" t="n">
        <x:v>26.68970317840576</x:v>
      </x:c>
      <x:c r="N146" s="12" t="n">
        <x:v>26.471763547261556</x:v>
      </x:c>
      <x:c r="O146" s="12" t="n">
        <x:v>0</x:v>
      </x:c>
      <x:c r="P146" s="12" t="n">
        <x:v>2.2755976716677346</x:v>
      </x:c>
      <x:c r="Q146" s="12" t="n">
        <x:v>3.004683804512024</x:v>
      </x:c>
      <x:c r="R146" s="12" t="n">
        <x:v>0.7290861328442895</x:v>
      </x:c>
      <x:c r="S146" s="11" t="n">
        <x:f>'Method'!$B$7</x:f>
        <x:v>0.2</x:v>
      </x:c>
      <x:c r="T146" s="11" t="n">
        <x:f>'Method'!$B$8</x:f>
        <x:v>0.2</x:v>
      </x:c>
      <x:c r="U146" s="11" t="n">
        <x:f>'Method'!$B$9</x:f>
        <x:v>0.2</x:v>
      </x:c>
      <x:c r="V146" s="11" t="n">
        <x:f>1-D146</x:f>
        <x:v>0.18625429553264605</x:v>
      </x:c>
      <x:c r="W146" s="11" t="n">
        <x:f>1-E146</x:f>
        <x:v>0</x:v>
      </x:c>
      <x:c r="X146" s="11" t="n">
        <x:f>1-F146</x:f>
        <x:v>0.12508591065292096</x:v>
      </x:c>
    </x:row>
    <x:row r="147" ht="18" customHeight="1">
      <x:c r="A147" s="10" t="str">
        <x:v>GA</x:v>
      </x:c>
      <x:c r="B147" s="10" t="str">
        <x:v>13287</x:v>
      </x:c>
      <x:c r="C147" s="10" t="str">
        <x:v>Turner County</x:v>
      </x:c>
      <x:c r="D147" s="11" t="n">
        <x:f>1-'Method'!$B$7*G147</x:f>
        <x:v>0.8687285223367698</x:v>
      </x:c>
      <x:c r="E147" s="11" t="n">
        <x:f>1-'Method'!$B$8*H147</x:f>
        <x:v>1</x:v>
      </x:c>
      <x:c r="F147" s="11" t="n">
        <x:f>1-'Method'!$B$9*I147</x:f>
        <x:v>0.8886597938144329</x:v>
      </x:c>
      <x:c r="G147" s="11" t="n">
        <x:v>0.6563573883161512</x:v>
      </x:c>
      <x:c r="H147" s="11" t="n">
        <x:v>0</x:v>
      </x:c>
      <x:c r="I147" s="11" t="n">
        <x:v>0.5567010309278351</x:v>
      </x:c>
      <x:c r="J147" s="12" t="n">
        <x:v>68.76929168701172</x:v>
      </x:c>
      <x:c r="K147" s="12" t="n">
        <x:v>127.52060546875</x:v>
      </x:c>
      <x:c r="L147" s="12" t="n">
        <x:v>58.75131378173829</x:v>
      </x:c>
      <x:c r="M147" s="12" t="n">
        <x:v>28.961977259318033</x:v>
      </x:c>
      <x:c r="N147" s="12" t="n">
        <x:v>28.76152820587158</x:v>
      </x:c>
      <x:c r="O147" s="12" t="n">
        <x:v>0</x:v>
      </x:c>
      <x:c r="P147" s="12" t="n">
        <x:v>1.7913323799769083</x:v>
      </x:c>
      <x:c r="Q147" s="12" t="n">
        <x:v>2.482073958714803</x:v>
      </x:c>
      <x:c r="R147" s="12" t="n">
        <x:v>0.6907415787378945</x:v>
      </x:c>
      <x:c r="S147" s="11" t="n">
        <x:f>'Method'!$B$7</x:f>
        <x:v>0.2</x:v>
      </x:c>
      <x:c r="T147" s="11" t="n">
        <x:f>'Method'!$B$8</x:f>
        <x:v>0.2</x:v>
      </x:c>
      <x:c r="U147" s="11" t="n">
        <x:f>'Method'!$B$9</x:f>
        <x:v>0.2</x:v>
      </x:c>
      <x:c r="V147" s="11" t="n">
        <x:f>1-D147</x:f>
        <x:v>0.13127147766323022</x:v>
      </x:c>
      <x:c r="W147" s="11" t="n">
        <x:f>1-E147</x:f>
        <x:v>0</x:v>
      </x:c>
      <x:c r="X147" s="11" t="n">
        <x:f>1-F147</x:f>
        <x:v>0.11134020618556706</x:v>
      </x:c>
    </x:row>
    <x:row r="148" ht="18" customHeight="1">
      <x:c r="A148" s="10" t="str">
        <x:v>GA</x:v>
      </x:c>
      <x:c r="B148" s="10" t="str">
        <x:v>13289</x:v>
      </x:c>
      <x:c r="C148" s="10" t="str">
        <x:v>Twiggs County</x:v>
      </x:c>
      <x:c r="D148" s="11" t="n">
        <x:f>1-'Method'!$B$7*G148</x:f>
        <x:v>0.8391752577319588</x:v>
      </x:c>
      <x:c r="E148" s="11" t="n">
        <x:f>1-'Method'!$B$8*H148</x:f>
        <x:v>1</x:v>
      </x:c>
      <x:c r="F148" s="11" t="n">
        <x:f>1-'Method'!$B$9*I148</x:f>
        <x:v>0.9690721649484536</x:v>
      </x:c>
      <x:c r="G148" s="11" t="n">
        <x:v>0.8041237113402062</x:v>
      </x:c>
      <x:c r="H148" s="11" t="n">
        <x:v>0</x:v>
      </x:c>
      <x:c r="I148" s="11" t="n">
        <x:v>0.15463917525773196</x:v>
      </x:c>
      <x:c r="J148" s="12" t="n">
        <x:v>67.5504758199056</x:v>
      </x:c>
      <x:c r="K148" s="12" t="n">
        <x:v>128.06075007120768</x:v>
      </x:c>
      <x:c r="L148" s="12" t="n">
        <x:v>60.51027425130208</x:v>
      </x:c>
      <x:c r="M148" s="12" t="n">
        <x:v>27.938473892211913</x:v>
      </x:c>
      <x:c r="N148" s="12" t="n">
        <x:v>27.033069356282553</x:v>
      </x:c>
      <x:c r="O148" s="12" t="n">
        <x:v>0</x:v>
      </x:c>
      <x:c r="P148" s="12" t="n">
        <x:v>1.4886635522047678</x:v>
      </x:c>
      <x:c r="Q148" s="12" t="n">
        <x:v>1.9967746218045552</x:v>
      </x:c>
      <x:c r="R148" s="12" t="n">
        <x:v>0.5081110695997875</x:v>
      </x:c>
      <x:c r="S148" s="11" t="n">
        <x:f>'Method'!$B$7</x:f>
        <x:v>0.2</x:v>
      </x:c>
      <x:c r="T148" s="11" t="n">
        <x:f>'Method'!$B$8</x:f>
        <x:v>0.2</x:v>
      </x:c>
      <x:c r="U148" s="11" t="n">
        <x:f>'Method'!$B$9</x:f>
        <x:v>0.2</x:v>
      </x:c>
      <x:c r="V148" s="11" t="n">
        <x:f>1-D148</x:f>
        <x:v>0.16082474226804122</x:v>
      </x:c>
      <x:c r="W148" s="11" t="n">
        <x:f>1-E148</x:f>
        <x:v>0</x:v>
      </x:c>
      <x:c r="X148" s="11" t="n">
        <x:f>1-F148</x:f>
        <x:v>0.030927835051546393</x:v>
      </x:c>
    </x:row>
    <x:row r="149" ht="18" customHeight="1">
      <x:c r="A149" s="10" t="str">
        <x:v>GA</x:v>
      </x:c>
      <x:c r="B149" s="10" t="str">
        <x:v>13291</x:v>
      </x:c>
      <x:c r="C149" s="10" t="str">
        <x:v>Union County</x:v>
      </x:c>
      <x:c r="D149" s="11" t="n">
        <x:f>1-'Method'!$B$7*G149</x:f>
        <x:v>0.9835051546391752</x:v>
      </x:c>
      <x:c r="E149" s="11" t="n">
        <x:f>1-'Method'!$B$8*H149</x:f>
        <x:v>0.8151202749140893</x:v>
      </x:c>
      <x:c r="F149" s="11" t="n">
        <x:f>1-'Method'!$B$9*I149</x:f>
        <x:v>0.806872852233677</x:v>
      </x:c>
      <x:c r="G149" s="11" t="n">
        <x:v>0.08247422680412371</x:v>
      </x:c>
      <x:c r="H149" s="11" t="n">
        <x:v>0.9243986254295533</x:v>
      </x:c>
      <x:c r="I149" s="11" t="n">
        <x:v>0.9656357388316151</x:v>
      </x:c>
      <x:c r="J149" s="12" t="n">
        <x:v>3.1640610218048097</x:v>
      </x:c>
      <x:c r="K149" s="12" t="n">
        <x:v>40.30722993214925</x:v>
      </x:c>
      <x:c r="L149" s="12" t="n">
        <x:v>37.143168910344436</x:v>
      </x:c>
      <x:c r="M149" s="12" t="n">
        <x:v>22.08650957743327</x:v>
      </x:c>
      <x:c r="N149" s="12" t="n">
        <x:v>22.50179926554362</x:v>
      </x:c>
      <x:c r="O149" s="12" t="n">
        <x:v>0.4152896881103523</x:v>
      </x:c>
      <x:c r="P149" s="12" t="n">
        <x:v>3.1275012572606404</x:v>
      </x:c>
      <x:c r="Q149" s="12" t="n">
        <x:v>4.148446067174276</x:v>
      </x:c>
      <x:c r="R149" s="12" t="n">
        <x:v>1.0209448099136353</x:v>
      </x:c>
      <x:c r="S149" s="11" t="n">
        <x:f>'Method'!$B$7</x:f>
        <x:v>0.2</x:v>
      </x:c>
      <x:c r="T149" s="11" t="n">
        <x:f>'Method'!$B$8</x:f>
        <x:v>0.2</x:v>
      </x:c>
      <x:c r="U149" s="11" t="n">
        <x:f>'Method'!$B$9</x:f>
        <x:v>0.2</x:v>
      </x:c>
      <x:c r="V149" s="11" t="n">
        <x:f>1-D149</x:f>
        <x:v>0.016494845360824795</x:v>
      </x:c>
      <x:c r="W149" s="11" t="n">
        <x:f>1-E149</x:f>
        <x:v>0.18487972508591066</x:v>
      </x:c>
      <x:c r="X149" s="11" t="n">
        <x:f>1-F149</x:f>
        <x:v>0.193127147766323</x:v>
      </x:c>
    </x:row>
    <x:row r="150" ht="18" customHeight="1">
      <x:c r="A150" s="10" t="str">
        <x:v>GA</x:v>
      </x:c>
      <x:c r="B150" s="10" t="str">
        <x:v>13293</x:v>
      </x:c>
      <x:c r="C150" s="10" t="str">
        <x:v>Upson County</x:v>
      </x:c>
      <x:c r="D150" s="11" t="n">
        <x:f>1-'Method'!$B$7*G150</x:f>
        <x:v>0.815807560137457</x:v>
      </x:c>
      <x:c r="E150" s="11" t="n">
        <x:f>1-'Method'!$B$8*H150</x:f>
        <x:v>1</x:v>
      </x:c>
      <x:c r="F150" s="11" t="n">
        <x:f>1-'Method'!$B$9*I150</x:f>
        <x:v>0.9195876288659793</x:v>
      </x:c>
      <x:c r="G150" s="11" t="n">
        <x:v>0.9209621993127147</x:v>
      </x:c>
      <x:c r="H150" s="11" t="n">
        <x:v>0</x:v>
      </x:c>
      <x:c r="I150" s="11" t="n">
        <x:v>0.4020618556701031</x:v>
      </x:c>
      <x:c r="J150" s="12" t="n">
        <x:v>54.86914215087891</x:v>
      </x:c>
      <x:c r="K150" s="12" t="n">
        <x:v>117.3053207397461</x:v>
      </x:c>
      <x:c r="L150" s="12" t="n">
        <x:v>62.436178588867186</x:v>
      </x:c>
      <x:c r="M150" s="12" t="n">
        <x:v>28.069476636250815</x:v>
      </x:c>
      <x:c r="N150" s="12" t="n">
        <x:v>27.27963180541992</x:v>
      </x:c>
      <x:c r="O150" s="12" t="n">
        <x:v>0</x:v>
      </x:c>
      <x:c r="P150" s="12" t="n">
        <x:v>1.842723556359609</x:v>
      </x:c>
      <x:c r="Q150" s="12" t="n">
        <x:v>2.485179336865743</x:v>
      </x:c>
      <x:c r="R150" s="12" t="n">
        <x:v>0.6424557805061339</x:v>
      </x:c>
      <x:c r="S150" s="11" t="n">
        <x:f>'Method'!$B$7</x:f>
        <x:v>0.2</x:v>
      </x:c>
      <x:c r="T150" s="11" t="n">
        <x:f>'Method'!$B$8</x:f>
        <x:v>0.2</x:v>
      </x:c>
      <x:c r="U150" s="11" t="n">
        <x:f>'Method'!$B$9</x:f>
        <x:v>0.2</x:v>
      </x:c>
      <x:c r="V150" s="11" t="n">
        <x:f>1-D150</x:f>
        <x:v>0.18419243986254297</x:v>
      </x:c>
      <x:c r="W150" s="11" t="n">
        <x:f>1-E150</x:f>
        <x:v>0</x:v>
      </x:c>
      <x:c r="X150" s="11" t="n">
        <x:f>1-F150</x:f>
        <x:v>0.08041237113402067</x:v>
      </x:c>
    </x:row>
    <x:row r="151" ht="18" customHeight="1">
      <x:c r="A151" s="10" t="str">
        <x:v>GA</x:v>
      </x:c>
      <x:c r="B151" s="10" t="str">
        <x:v>13295</x:v>
      </x:c>
      <x:c r="C151" s="10" t="str">
        <x:v>Walker County</x:v>
      </x:c>
      <x:c r="D151" s="11" t="n">
        <x:f>1-'Method'!$B$7*G151</x:f>
        <x:v>0.9065292096219931</x:v>
      </x:c>
      <x:c r="E151" s="11" t="n">
        <x:f>1-'Method'!$B$8*H151</x:f>
        <x:v>0.8309278350515463</x:v>
      </x:c>
      <x:c r="F151" s="11" t="n">
        <x:f>1-'Method'!$B$9*I151</x:f>
        <x:v>0.8061855670103093</x:v>
      </x:c>
      <x:c r="G151" s="11" t="n">
        <x:v>0.46735395189003437</x:v>
      </x:c>
      <x:c r="H151" s="11" t="n">
        <x:v>0.845360824742268</x:v>
      </x:c>
      <x:c r="I151" s="11" t="n">
        <x:v>0.9690721649484536</x:v>
      </x:c>
      <x:c r="J151" s="12" t="n">
        <x:v>26.62314427693685</x:v>
      </x:c>
      <x:c r="K151" s="12" t="n">
        <x:v>81.3103141784668</x:v>
      </x:c>
      <x:c r="L151" s="12" t="n">
        <x:v>54.68716990152995</x:v>
      </x:c>
      <x:c r="M151" s="12" t="n">
        <x:v>24.468902333577475</x:v>
      </x:c>
      <x:c r="N151" s="12" t="n">
        <x:v>24.697728220621745</x:v>
      </x:c>
      <x:c r="O151" s="12" t="n">
        <x:v>0.22882588704426965</x:v>
      </x:c>
      <x:c r="P151" s="12" t="n">
        <x:v>3.0868300437927245</x:v>
      </x:c>
      <x:c r="Q151" s="12" t="n">
        <x:v>4.1468390305837</x:v>
      </x:c>
      <x:c r="R151" s="12" t="n">
        <x:v>1.0600089867909754</x:v>
      </x:c>
      <x:c r="S151" s="11" t="n">
        <x:f>'Method'!$B$7</x:f>
        <x:v>0.2</x:v>
      </x:c>
      <x:c r="T151" s="11" t="n">
        <x:f>'Method'!$B$8</x:f>
        <x:v>0.2</x:v>
      </x:c>
      <x:c r="U151" s="11" t="n">
        <x:f>'Method'!$B$9</x:f>
        <x:v>0.2</x:v>
      </x:c>
      <x:c r="V151" s="11" t="n">
        <x:f>1-D151</x:f>
        <x:v>0.09347079037800687</x:v>
      </x:c>
      <x:c r="W151" s="11" t="n">
        <x:f>1-E151</x:f>
        <x:v>0.16907216494845367</x:v>
      </x:c>
      <x:c r="X151" s="11" t="n">
        <x:f>1-F151</x:f>
        <x:v>0.1938144329896907</x:v>
      </x:c>
    </x:row>
    <x:row r="152" ht="18" customHeight="1">
      <x:c r="A152" s="10" t="str">
        <x:v>GA</x:v>
      </x:c>
      <x:c r="B152" s="10" t="str">
        <x:v>13297</x:v>
      </x:c>
      <x:c r="C152" s="10" t="str">
        <x:v>Walton County</x:v>
      </x:c>
      <x:c r="D152" s="11" t="n">
        <x:f>1-'Method'!$B$7*G152</x:f>
        <x:v>0.8859106529209622</x:v>
      </x:c>
      <x:c r="E152" s="11" t="n">
        <x:f>1-'Method'!$B$8*H152</x:f>
        <x:v>1</x:v>
      </x:c>
      <x:c r="F152" s="11" t="n">
        <x:f>1-'Method'!$B$9*I152</x:f>
        <x:v>0.8323024054982817</x:v>
      </x:c>
      <x:c r="G152" s="11" t="n">
        <x:v>0.570446735395189</x:v>
      </x:c>
      <x:c r="H152" s="11" t="n">
        <x:v>0</x:v>
      </x:c>
      <x:c r="I152" s="11" t="n">
        <x:v>0.8384879725085911</x:v>
      </x:c>
      <x:c r="J152" s="12" t="n">
        <x:v>40.05561771392822</x:v>
      </x:c>
      <x:c r="K152" s="12" t="n">
        <x:v>96.77397130330404</x:v>
      </x:c>
      <x:c r="L152" s="12" t="n">
        <x:v>56.718353589375816</x:v>
      </x:c>
      <x:c r="M152" s="12" t="n">
        <x:v>25.613179651896157</x:v>
      </x:c>
      <x:c r="N152" s="12" t="n">
        <x:v>25.143416531880696</x:v>
      </x:c>
      <x:c r="O152" s="12" t="n">
        <x:v>0</x:v>
      </x:c>
      <x:c r="P152" s="12" t="n">
        <x:v>2.042114806175232</x:v>
      </x:c>
      <x:c r="Q152" s="12" t="n">
        <x:v>2.861273471514384</x:v>
      </x:c>
      <x:c r="R152" s="12" t="n">
        <x:v>0.819158665339152</x:v>
      </x:c>
      <x:c r="S152" s="11" t="n">
        <x:f>'Method'!$B$7</x:f>
        <x:v>0.2</x:v>
      </x:c>
      <x:c r="T152" s="11" t="n">
        <x:f>'Method'!$B$8</x:f>
        <x:v>0.2</x:v>
      </x:c>
      <x:c r="U152" s="11" t="n">
        <x:f>'Method'!$B$9</x:f>
        <x:v>0.2</x:v>
      </x:c>
      <x:c r="V152" s="11" t="n">
        <x:f>1-D152</x:f>
        <x:v>0.11408934707903784</x:v>
      </x:c>
      <x:c r="W152" s="11" t="n">
        <x:f>1-E152</x:f>
        <x:v>0</x:v>
      </x:c>
      <x:c r="X152" s="11" t="n">
        <x:f>1-F152</x:f>
        <x:v>0.16769759450171828</x:v>
      </x:c>
    </x:row>
    <x:row r="153" ht="18" customHeight="1">
      <x:c r="A153" s="10" t="str">
        <x:v>GA</x:v>
      </x:c>
      <x:c r="B153" s="10" t="str">
        <x:v>13299</x:v>
      </x:c>
      <x:c r="C153" s="10" t="str">
        <x:v>Ware County</x:v>
      </x:c>
      <x:c r="D153" s="11" t="n">
        <x:f>1-'Method'!$B$7*G153</x:f>
        <x:v>0.874914089347079</x:v>
      </x:c>
      <x:c r="E153" s="11" t="n">
        <x:f>1-'Method'!$B$8*H153</x:f>
        <x:v>1</x:v>
      </x:c>
      <x:c r="F153" s="11" t="n">
        <x:f>1-'Method'!$B$9*I153</x:f>
        <x:v>0.9237113402061856</x:v>
      </x:c>
      <x:c r="G153" s="11" t="n">
        <x:v>0.6254295532646048</x:v>
      </x:c>
      <x:c r="H153" s="11" t="n">
        <x:v>0</x:v>
      </x:c>
      <x:c r="I153" s="11" t="n">
        <x:v>0.38144329896907214</x:v>
      </x:c>
      <x:c r="J153" s="12" t="n">
        <x:v>84.32351582845052</x:v>
      </x:c>
      <x:c r="K153" s="12" t="n">
        <x:v>142.54698155721027</x:v>
      </x:c>
      <x:c r="L153" s="12" t="n">
        <x:v>58.22346572875975</x:v>
      </x:c>
      <x:c r="M153" s="12" t="n">
        <x:v>28.534211095174154</x:v>
      </x:c>
      <x:c r="N153" s="12" t="n">
        <x:v>27.505240122477215</x:v>
      </x:c>
      <x:c r="O153" s="12" t="n">
        <x:v>0</x:v>
      </x:c>
      <x:c r="P153" s="12" t="n">
        <x:v>1.9526702841122945</x:v>
      </x:c>
      <x:c r="Q153" s="12" t="n">
        <x:v>2.5899661978085837</x:v>
      </x:c>
      <x:c r="R153" s="12" t="n">
        <x:v>0.6372959136962892</x:v>
      </x:c>
      <x:c r="S153" s="11" t="n">
        <x:f>'Method'!$B$7</x:f>
        <x:v>0.2</x:v>
      </x:c>
      <x:c r="T153" s="11" t="n">
        <x:f>'Method'!$B$8</x:f>
        <x:v>0.2</x:v>
      </x:c>
      <x:c r="U153" s="11" t="n">
        <x:f>'Method'!$B$9</x:f>
        <x:v>0.2</x:v>
      </x:c>
      <x:c r="V153" s="11" t="n">
        <x:f>1-D153</x:f>
        <x:v>0.12508591065292096</x:v>
      </x:c>
      <x:c r="W153" s="11" t="n">
        <x:f>1-E153</x:f>
        <x:v>0</x:v>
      </x:c>
      <x:c r="X153" s="11" t="n">
        <x:f>1-F153</x:f>
        <x:v>0.07628865979381438</x:v>
      </x:c>
    </x:row>
    <x:row r="154" ht="18" customHeight="1">
      <x:c r="A154" s="10" t="str">
        <x:v>GA</x:v>
      </x:c>
      <x:c r="B154" s="10" t="str">
        <x:v>13301</x:v>
      </x:c>
      <x:c r="C154" s="10" t="str">
        <x:v>Warren County</x:v>
      </x:c>
      <x:c r="D154" s="11" t="n">
        <x:f>1-'Method'!$B$7*G154</x:f>
        <x:v>0.8756013745704467</x:v>
      </x:c>
      <x:c r="E154" s="11" t="n">
        <x:f>1-'Method'!$B$8*H154</x:f>
        <x:v>1</x:v>
      </x:c>
      <x:c r="F154" s="11" t="n">
        <x:f>1-'Method'!$B$9*I154</x:f>
        <x:v>0.9079037800687285</x:v>
      </x:c>
      <x:c r="G154" s="11" t="n">
        <x:v>0.6219931271477663</x:v>
      </x:c>
      <x:c r="H154" s="11" t="n">
        <x:v>0</x:v>
      </x:c>
      <x:c r="I154" s="11" t="n">
        <x:v>0.46048109965635736</x:v>
      </x:c>
      <x:c r="J154" s="12" t="n">
        <x:v>49.92932256062826</x:v>
      </x:c>
      <x:c r="K154" s="12" t="n">
        <x:v>107.98535868326823</x:v>
      </x:c>
      <x:c r="L154" s="12" t="n">
        <x:v>58.05603612263997</x:v>
      </x:c>
      <x:c r="M154" s="12" t="n">
        <x:v>28.243161582946776</x:v>
      </x:c>
      <x:c r="N154" s="12" t="n">
        <x:v>27.147031593322755</x:v>
      </x:c>
      <x:c r="O154" s="12" t="n">
        <x:v>0</x:v>
      </x:c>
      <x:c r="P154" s="12" t="n">
        <x:v>2.0927561561266583</x:v>
      </x:c>
      <x:c r="Q154" s="12" t="n">
        <x:v>2.7614244778951007</x:v>
      </x:c>
      <x:c r="R154" s="12" t="n">
        <x:v>0.6686683217684424</x:v>
      </x:c>
      <x:c r="S154" s="11" t="n">
        <x:f>'Method'!$B$7</x:f>
        <x:v>0.2</x:v>
      </x:c>
      <x:c r="T154" s="11" t="n">
        <x:f>'Method'!$B$8</x:f>
        <x:v>0.2</x:v>
      </x:c>
      <x:c r="U154" s="11" t="n">
        <x:f>'Method'!$B$9</x:f>
        <x:v>0.2</x:v>
      </x:c>
      <x:c r="V154" s="11" t="n">
        <x:f>1-D154</x:f>
        <x:v>0.12439862542955327</x:v>
      </x:c>
      <x:c r="W154" s="11" t="n">
        <x:f>1-E154</x:f>
        <x:v>0</x:v>
      </x:c>
      <x:c r="X154" s="11" t="n">
        <x:f>1-F154</x:f>
        <x:v>0.09209621993127148</x:v>
      </x:c>
    </x:row>
    <x:row r="155" ht="18" customHeight="1">
      <x:c r="A155" s="10" t="str">
        <x:v>GA</x:v>
      </x:c>
      <x:c r="B155" s="10" t="str">
        <x:v>13303</x:v>
      </x:c>
      <x:c r="C155" s="10" t="str">
        <x:v>Washington County</x:v>
      </x:c>
      <x:c r="D155" s="11" t="n">
        <x:f>1-'Method'!$B$7*G155</x:f>
        <x:v>0.8570446735395189</x:v>
      </x:c>
      <x:c r="E155" s="11" t="n">
        <x:f>1-'Method'!$B$8*H155</x:f>
        <x:v>1</x:v>
      </x:c>
      <x:c r="F155" s="11" t="n">
        <x:f>1-'Method'!$B$9*I155</x:f>
        <x:v>0.8914089347079037</x:v>
      </x:c>
      <x:c r="G155" s="11" t="n">
        <x:v>0.7147766323024055</x:v>
      </x:c>
      <x:c r="H155" s="11" t="n">
        <x:v>0</x:v>
      </x:c>
      <x:c r="I155" s="11" t="n">
        <x:v>0.5429553264604811</x:v>
      </x:c>
      <x:c r="J155" s="12" t="n">
        <x:v>56.21041043599447</x:v>
      </x:c>
      <x:c r="K155" s="12" t="n">
        <x:v>115.59320526123047</x:v>
      </x:c>
      <x:c r="L155" s="12" t="n">
        <x:v>59.382794825236</x:v>
      </x:c>
      <x:c r="M155" s="12" t="n">
        <x:v>28.21731497446696</x:v>
      </x:c>
      <x:c r="N155" s="12" t="n">
        <x:v>27.441296005249022</x:v>
      </x:c>
      <x:c r="O155" s="12" t="n">
        <x:v>0</x:v>
      </x:c>
      <x:c r="P155" s="12" t="n">
        <x:v>1.672487978140513</x:v>
      </x:c>
      <x:c r="Q155" s="12" t="n">
        <x:v>2.3599660913149516</x:v>
      </x:c>
      <x:c r="R155" s="12" t="n">
        <x:v>0.6874781131744385</x:v>
      </x:c>
      <x:c r="S155" s="11" t="n">
        <x:f>'Method'!$B$7</x:f>
        <x:v>0.2</x:v>
      </x:c>
      <x:c r="T155" s="11" t="n">
        <x:f>'Method'!$B$8</x:f>
        <x:v>0.2</x:v>
      </x:c>
      <x:c r="U155" s="11" t="n">
        <x:f>'Method'!$B$9</x:f>
        <x:v>0.2</x:v>
      </x:c>
      <x:c r="V155" s="11" t="n">
        <x:f>1-D155</x:f>
        <x:v>0.14295532646048115</x:v>
      </x:c>
      <x:c r="W155" s="11" t="n">
        <x:f>1-E155</x:f>
        <x:v>0</x:v>
      </x:c>
      <x:c r="X155" s="11" t="n">
        <x:f>1-F155</x:f>
        <x:v>0.10859106529209628</x:v>
      </x:c>
    </x:row>
    <x:row r="156" ht="18" customHeight="1">
      <x:c r="A156" s="10" t="str">
        <x:v>GA</x:v>
      </x:c>
      <x:c r="B156" s="10" t="str">
        <x:v>13305</x:v>
      </x:c>
      <x:c r="C156" s="10" t="str">
        <x:v>Wayne County</x:v>
      </x:c>
      <x:c r="D156" s="11" t="n">
        <x:f>1-'Method'!$B$7*G156</x:f>
        <x:v>0.8529209621993127</x:v>
      </x:c>
      <x:c r="E156" s="11" t="n">
        <x:f>1-'Method'!$B$8*H156</x:f>
        <x:v>1</x:v>
      </x:c>
      <x:c r="F156" s="11" t="n">
        <x:f>1-'Method'!$B$9*I156</x:f>
        <x:v>0.9326460481099657</x:v>
      </x:c>
      <x:c r="G156" s="11" t="n">
        <x:v>0.7353951890034365</x:v>
      </x:c>
      <x:c r="H156" s="11" t="n">
        <x:v>0</x:v>
      </x:c>
      <x:c r="I156" s="11" t="n">
        <x:v>0.33676975945017185</x:v>
      </x:c>
      <x:c r="J156" s="12" t="n">
        <x:v>72.18536516825358</x:v>
      </x:c>
      <x:c r="K156" s="12" t="n">
        <x:v>131.82645797729492</x:v>
      </x:c>
      <x:c r="L156" s="12" t="n">
        <x:v>59.64109280904134</x:v>
      </x:c>
      <x:c r="M156" s="12" t="n">
        <x:v>27.708629989624022</x:v>
      </x:c>
      <x:c r="N156" s="12" t="n">
        <x:v>27.017122586568195</x:v>
      </x:c>
      <x:c r="O156" s="12" t="n">
        <x:v>0</x:v>
      </x:c>
      <x:c r="P156" s="12" t="n">
        <x:v>1.712132704257965</x:v>
      </x:c>
      <x:c r="Q156" s="12" t="n">
        <x:v>2.3347596089045206</x:v>
      </x:c>
      <x:c r="R156" s="12" t="n">
        <x:v>0.6226269046465556</x:v>
      </x:c>
      <x:c r="S156" s="11" t="n">
        <x:f>'Method'!$B$7</x:f>
        <x:v>0.2</x:v>
      </x:c>
      <x:c r="T156" s="11" t="n">
        <x:f>'Method'!$B$8</x:f>
        <x:v>0.2</x:v>
      </x:c>
      <x:c r="U156" s="11" t="n">
        <x:f>'Method'!$B$9</x:f>
        <x:v>0.2</x:v>
      </x:c>
      <x:c r="V156" s="11" t="n">
        <x:f>1-D156</x:f>
        <x:v>0.14707903780068732</x:v>
      </x:c>
      <x:c r="W156" s="11" t="n">
        <x:f>1-E156</x:f>
        <x:v>0</x:v>
      </x:c>
      <x:c r="X156" s="11" t="n">
        <x:f>1-F156</x:f>
        <x:v>0.06735395189003435</x:v>
      </x:c>
    </x:row>
    <x:row r="157" ht="18" customHeight="1">
      <x:c r="A157" s="10" t="str">
        <x:v>GA</x:v>
      </x:c>
      <x:c r="B157" s="10" t="str">
        <x:v>13307</x:v>
      </x:c>
      <x:c r="C157" s="10" t="str">
        <x:v>Webster County</x:v>
      </x:c>
      <x:c r="D157" s="11" t="n">
        <x:f>1-'Method'!$B$7*G157</x:f>
        <x:v>0.8309278350515463</x:v>
      </x:c>
      <x:c r="E157" s="11" t="n">
        <x:f>1-'Method'!$B$8*H157</x:f>
        <x:v>1</x:v>
      </x:c>
      <x:c r="F157" s="11" t="n">
        <x:f>1-'Method'!$B$9*I157</x:f>
        <x:v>0.8412371134020619</x:v>
      </x:c>
      <x:c r="G157" s="11" t="n">
        <x:v>0.845360824742268</x:v>
      </x:c>
      <x:c r="H157" s="11" t="n">
        <x:v>0</x:v>
      </x:c>
      <x:c r="I157" s="11" t="n">
        <x:v>0.7938144329896907</x:v>
      </x:c>
      <x:c r="J157" s="12" t="n">
        <x:v>62.01697057088216</x:v>
      </x:c>
      <x:c r="K157" s="12" t="n">
        <x:v>123.1387720743815</x:v>
      </x:c>
      <x:c r="L157" s="12" t="n">
        <x:v>61.12180150349935</x:v>
      </x:c>
      <x:c r="M157" s="12" t="n">
        <x:v>28.727504920959472</x:v>
      </x:c>
      <x:c r="N157" s="12" t="n">
        <x:v>28.17008851369222</x:v>
      </x:c>
      <x:c r="O157" s="12" t="n">
        <x:v>0</x:v>
      </x:c>
      <x:c r="P157" s="12" t="n">
        <x:v>2.3300065477689107</x:v>
      </x:c>
      <x:c r="Q157" s="12" t="n">
        <x:v>3.1317024072011312</x:v>
      </x:c>
      <x:c r="R157" s="12" t="n">
        <x:v>0.8016958594322205</x:v>
      </x:c>
      <x:c r="S157" s="11" t="n">
        <x:f>'Method'!$B$7</x:f>
        <x:v>0.2</x:v>
      </x:c>
      <x:c r="T157" s="11" t="n">
        <x:f>'Method'!$B$8</x:f>
        <x:v>0.2</x:v>
      </x:c>
      <x:c r="U157" s="11" t="n">
        <x:f>'Method'!$B$9</x:f>
        <x:v>0.2</x:v>
      </x:c>
      <x:c r="V157" s="11" t="n">
        <x:f>1-D157</x:f>
        <x:v>0.16907216494845367</x:v>
      </x:c>
      <x:c r="W157" s="11" t="n">
        <x:f>1-E157</x:f>
        <x:v>0</x:v>
      </x:c>
      <x:c r="X157" s="11" t="n">
        <x:f>1-F157</x:f>
        <x:v>0.15876288659793814</x:v>
      </x:c>
    </x:row>
    <x:row r="158" ht="18" customHeight="1">
      <x:c r="A158" s="10" t="str">
        <x:v>GA</x:v>
      </x:c>
      <x:c r="B158" s="10" t="str">
        <x:v>13309</x:v>
      </x:c>
      <x:c r="C158" s="10" t="str">
        <x:v>Wheeler County</x:v>
      </x:c>
      <x:c r="D158" s="11" t="n">
        <x:f>1-'Method'!$B$7*G158</x:f>
        <x:v>0.890721649484536</x:v>
      </x:c>
      <x:c r="E158" s="11" t="n">
        <x:f>1-'Method'!$B$8*H158</x:f>
        <x:v>1</x:v>
      </x:c>
      <x:c r="F158" s="11" t="n">
        <x:f>1-'Method'!$B$9*I158</x:f>
        <x:v>0.961512027491409</x:v>
      </x:c>
      <x:c r="G158" s="11" t="n">
        <x:v>0.5463917525773195</x:v>
      </x:c>
      <x:c r="H158" s="11" t="n">
        <x:v>0</x:v>
      </x:c>
      <x:c r="I158" s="11" t="n">
        <x:v>0.19243986254295534</x:v>
      </x:c>
      <x:c r="J158" s="12" t="n">
        <x:v>76.11628774007161</x:v>
      </x:c>
      <x:c r="K158" s="12" t="n">
        <x:v>132.3044105529785</x:v>
      </x:c>
      <x:c r="L158" s="12" t="n">
        <x:v>56.1881228129069</x:v>
      </x:c>
      <x:c r="M158" s="12" t="n">
        <x:v>29.3054713567098</x:v>
      </x:c>
      <x:c r="N158" s="12" t="n">
        <x:v>28.792758623758953</x:v>
      </x:c>
      <x:c r="O158" s="12" t="n">
        <x:v>0</x:v>
      </x:c>
      <x:c r="P158" s="12" t="n">
        <x:v>2.0511749188105264</x:v>
      </x:c>
      <x:c r="Q158" s="12" t="n">
        <x:v>2.590018117427826</x:v>
      </x:c>
      <x:c r="R158" s="12" t="n">
        <x:v>0.5388431986172995</x:v>
      </x:c>
      <x:c r="S158" s="11" t="n">
        <x:f>'Method'!$B$7</x:f>
        <x:v>0.2</x:v>
      </x:c>
      <x:c r="T158" s="11" t="n">
        <x:f>'Method'!$B$8</x:f>
        <x:v>0.2</x:v>
      </x:c>
      <x:c r="U158" s="11" t="n">
        <x:f>'Method'!$B$9</x:f>
        <x:v>0.2</x:v>
      </x:c>
      <x:c r="V158" s="11" t="n">
        <x:f>1-D158</x:f>
        <x:v>0.10927835051546397</x:v>
      </x:c>
      <x:c r="W158" s="11" t="n">
        <x:f>1-E158</x:f>
        <x:v>0</x:v>
      </x:c>
      <x:c r="X158" s="11" t="n">
        <x:f>1-F158</x:f>
        <x:v>0.03848797250859104</x:v>
      </x:c>
    </x:row>
    <x:row r="159" ht="18" customHeight="1">
      <x:c r="A159" s="10" t="str">
        <x:v>GA</x:v>
      </x:c>
      <x:c r="B159" s="10" t="str">
        <x:v>13311</x:v>
      </x:c>
      <x:c r="C159" s="10" t="str">
        <x:v>White County</x:v>
      </x:c>
      <x:c r="D159" s="11" t="n">
        <x:f>1-'Method'!$B$7*G159</x:f>
        <x:v>0.9690721649484536</x:v>
      </x:c>
      <x:c r="E159" s="11" t="n">
        <x:f>1-'Method'!$B$8*H159</x:f>
        <x:v>0.8185567010309278</x:v>
      </x:c>
      <x:c r="F159" s="11" t="n">
        <x:f>1-'Method'!$B$9*I159</x:f>
        <x:v>0.8006872852233677</x:v>
      </x:c>
      <x:c r="G159" s="11" t="n">
        <x:v>0.15463917525773196</x:v>
      </x:c>
      <x:c r="H159" s="11" t="n">
        <x:v>0.9072164948453608</x:v>
      </x:c>
      <x:c r="I159" s="11" t="n">
        <x:v>0.9965635738831615</x:v>
      </x:c>
      <x:c r="J159" s="12" t="n">
        <x:v>10.039321025212606</x:v>
      </x:c>
      <x:c r="K159" s="12" t="n">
        <x:v>54.18955268859863</x:v>
      </x:c>
      <x:c r="L159" s="12" t="n">
        <x:v>44.15023166338602</x:v>
      </x:c>
      <x:c r="M159" s="12" t="n">
        <x:v>22.570046933492026</x:v>
      </x:c>
      <x:c r="N159" s="12" t="n">
        <x:v>22.933032671610516</x:v>
      </x:c>
      <x:c r="O159" s="12" t="n">
        <x:v>0.3629857381184891</x:v>
      </x:c>
      <x:c r="P159" s="12" t="n">
        <x:v>4.323508485158285</x:v>
      </x:c>
      <x:c r="Q159" s="12" t="n">
        <x:v>5.629540475209554</x:v>
      </x:c>
      <x:c r="R159" s="12" t="n">
        <x:v>1.3060319900512694</x:v>
      </x:c>
      <x:c r="S159" s="11" t="n">
        <x:f>'Method'!$B$7</x:f>
        <x:v>0.2</x:v>
      </x:c>
      <x:c r="T159" s="11" t="n">
        <x:f>'Method'!$B$8</x:f>
        <x:v>0.2</x:v>
      </x:c>
      <x:c r="U159" s="11" t="n">
        <x:f>'Method'!$B$9</x:f>
        <x:v>0.2</x:v>
      </x:c>
      <x:c r="V159" s="11" t="n">
        <x:f>1-D159</x:f>
        <x:v>0.030927835051546393</x:v>
      </x:c>
      <x:c r="W159" s="11" t="n">
        <x:f>1-E159</x:f>
        <x:v>0.1814432989690722</x:v>
      </x:c>
      <x:c r="X159" s="11" t="n">
        <x:f>1-F159</x:f>
        <x:v>0.19931271477663226</x:v>
      </x:c>
    </x:row>
    <x:row r="160" ht="18" customHeight="1">
      <x:c r="A160" s="10" t="str">
        <x:v>GA</x:v>
      </x:c>
      <x:c r="B160" s="10" t="str">
        <x:v>13313</x:v>
      </x:c>
      <x:c r="C160" s="10" t="str">
        <x:v>Whitfield County</x:v>
      </x:c>
      <x:c r="D160" s="11" t="n">
        <x:f>1-'Method'!$B$7*G160</x:f>
        <x:v>0.865979381443299</x:v>
      </x:c>
      <x:c r="E160" s="11" t="n">
        <x:f>1-'Method'!$B$8*H160</x:f>
        <x:v>0.8206185567010309</x:v>
      </x:c>
      <x:c r="F160" s="11" t="n">
        <x:f>1-'Method'!$B$9*I160</x:f>
        <x:v>0.8164948453608247</x:v>
      </x:c>
      <x:c r="G160" s="11" t="n">
        <x:v>0.6701030927835051</x:v>
      </x:c>
      <x:c r="H160" s="11" t="n">
        <x:v>0.8969072164948454</x:v>
      </x:c>
      <x:c r="I160" s="11" t="n">
        <x:v>0.9175257731958762</x:v>
      </x:c>
      <x:c r="J160" s="12" t="n">
        <x:v>32.00167439778646</x:v>
      </x:c>
      <x:c r="K160" s="12" t="n">
        <x:v>90.85627822875976</x:v>
      </x:c>
      <x:c r="L160" s="12" t="n">
        <x:v>58.8546038309733</x:v>
      </x:c>
      <x:c r="M160" s="12" t="n">
        <x:v>24.22706527709961</x:v>
      </x:c>
      <x:c r="N160" s="12" t="n">
        <x:v>24.573420906066893</x:v>
      </x:c>
      <x:c r="O160" s="12" t="n">
        <x:v>0.34635562896728445</x:v>
      </x:c>
      <x:c r="P160" s="12" t="n">
        <x:v>2.805856386820475</x:v>
      </x:c>
      <x:c r="Q160" s="12" t="n">
        <x:v>3.7274442116419473</x:v>
      </x:c>
      <x:c r="R160" s="12" t="n">
        <x:v>0.9215878248214722</x:v>
      </x:c>
      <x:c r="S160" s="11" t="n">
        <x:f>'Method'!$B$7</x:f>
        <x:v>0.2</x:v>
      </x:c>
      <x:c r="T160" s="11" t="n">
        <x:f>'Method'!$B$8</x:f>
        <x:v>0.2</x:v>
      </x:c>
      <x:c r="U160" s="11" t="n">
        <x:f>'Method'!$B$9</x:f>
        <x:v>0.2</x:v>
      </x:c>
      <x:c r="V160" s="11" t="n">
        <x:f>1-D160</x:f>
        <x:v>0.134020618556701</x:v>
      </x:c>
      <x:c r="W160" s="11" t="n">
        <x:f>1-E160</x:f>
        <x:v>0.1793814432989691</x:v>
      </x:c>
      <x:c r="X160" s="11" t="n">
        <x:f>1-F160</x:f>
        <x:v>0.18350515463917527</x:v>
      </x:c>
    </x:row>
    <x:row r="161" ht="18" customHeight="1">
      <x:c r="A161" s="10" t="str">
        <x:v>GA</x:v>
      </x:c>
      <x:c r="B161" s="10" t="str">
        <x:v>13315</x:v>
      </x:c>
      <x:c r="C161" s="10" t="str">
        <x:v>Wilcox County</x:v>
      </x:c>
      <x:c r="D161" s="11" t="n">
        <x:f>1-'Method'!$B$7*G161</x:f>
        <x:v>0.9003436426116839</x:v>
      </x:c>
      <x:c r="E161" s="11" t="n">
        <x:f>1-'Method'!$B$8*H161</x:f>
        <x:v>1</x:v>
      </x:c>
      <x:c r="F161" s="11" t="n">
        <x:f>1-'Method'!$B$9*I161</x:f>
        <x:v>0.8570446735395189</x:v>
      </x:c>
      <x:c r="G161" s="11" t="n">
        <x:v>0.49828178694158076</x:v>
      </x:c>
      <x:c r="H161" s="11" t="n">
        <x:v>0</x:v>
      </x:c>
      <x:c r="I161" s="11" t="n">
        <x:v>0.7147766323024055</x:v>
      </x:c>
      <x:c r="J161" s="12" t="n">
        <x:v>77.22322463989258</x:v>
      </x:c>
      <x:c r="K161" s="12" t="n">
        <x:v>132.42861887613932</x:v>
      </x:c>
      <x:c r="L161" s="12" t="n">
        <x:v>55.20539423624675</x:v>
      </x:c>
      <x:c r="M161" s="12" t="n">
        <x:v>28.37120704650879</x:v>
      </x:c>
      <x:c r="N161" s="12" t="n">
        <x:v>28.328033383687337</x:v>
      </x:c>
      <x:c r="O161" s="12" t="n">
        <x:v>0</x:v>
      </x:c>
      <x:c r="P161" s="12" t="n">
        <x:v>1.9614332914352417</x:v>
      </x:c>
      <x:c r="Q161" s="12" t="n">
        <x:v>2.7200195948282877</x:v>
      </x:c>
      <x:c r="R161" s="12" t="n">
        <x:v>0.758586303393046</x:v>
      </x:c>
      <x:c r="S161" s="11" t="n">
        <x:f>'Method'!$B$7</x:f>
        <x:v>0.2</x:v>
      </x:c>
      <x:c r="T161" s="11" t="n">
        <x:f>'Method'!$B$8</x:f>
        <x:v>0.2</x:v>
      </x:c>
      <x:c r="U161" s="11" t="n">
        <x:f>'Method'!$B$9</x:f>
        <x:v>0.2</x:v>
      </x:c>
      <x:c r="V161" s="11" t="n">
        <x:f>1-D161</x:f>
        <x:v>0.09965635738831613</x:v>
      </x:c>
      <x:c r="W161" s="11" t="n">
        <x:f>1-E161</x:f>
        <x:v>0</x:v>
      </x:c>
      <x:c r="X161" s="11" t="n">
        <x:f>1-F161</x:f>
        <x:v>0.14295532646048115</x:v>
      </x:c>
    </x:row>
    <x:row r="162" ht="18" customHeight="1">
      <x:c r="A162" s="10" t="str">
        <x:v>GA</x:v>
      </x:c>
      <x:c r="B162" s="10" t="str">
        <x:v>13317</x:v>
      </x:c>
      <x:c r="C162" s="10" t="str">
        <x:v>Wilkes County</x:v>
      </x:c>
      <x:c r="D162" s="11" t="n">
        <x:f>1-'Method'!$B$7*G162</x:f>
        <x:v>0.8508591065292096</x:v>
      </x:c>
      <x:c r="E162" s="11" t="n">
        <x:f>1-'Method'!$B$8*H162</x:f>
        <x:v>1</x:v>
      </x:c>
      <x:c r="F162" s="11" t="n">
        <x:f>1-'Method'!$B$9*I162</x:f>
        <x:v>0.8398625429553265</x:v>
      </x:c>
      <x:c r="G162" s="11" t="n">
        <x:v>0.7457044673539519</x:v>
      </x:c>
      <x:c r="H162" s="11" t="n">
        <x:v>0</x:v>
      </x:c>
      <x:c r="I162" s="11" t="n">
        <x:v>0.8006872852233677</x:v>
      </x:c>
      <x:c r="J162" s="12" t="n">
        <x:v>46.95509045918782</x:v>
      </x:c>
      <x:c r="K162" s="12" t="n">
        <x:v>106.72600021362305</x:v>
      </x:c>
      <x:c r="L162" s="12" t="n">
        <x:v>59.77090975443523</x:v>
      </x:c>
      <x:c r="M162" s="12" t="n">
        <x:v>27.878216171264647</x:v>
      </x:c>
      <x:c r="N162" s="12" t="n">
        <x:v>26.95828692118327</x:v>
      </x:c>
      <x:c r="O162" s="12" t="n">
        <x:v>0</x:v>
      </x:c>
      <x:c r="P162" s="12" t="n">
        <x:v>1.9460947871208192</x:v>
      </x:c>
      <x:c r="Q162" s="12" t="n">
        <x:v>2.752494144439697</x:v>
      </x:c>
      <x:c r="R162" s="12" t="n">
        <x:v>0.8063993573188779</x:v>
      </x:c>
      <x:c r="S162" s="11" t="n">
        <x:f>'Method'!$B$7</x:f>
        <x:v>0.2</x:v>
      </x:c>
      <x:c r="T162" s="11" t="n">
        <x:f>'Method'!$B$8</x:f>
        <x:v>0.2</x:v>
      </x:c>
      <x:c r="U162" s="11" t="n">
        <x:f>'Method'!$B$9</x:f>
        <x:v>0.2</x:v>
      </x:c>
      <x:c r="V162" s="11" t="n">
        <x:f>1-D162</x:f>
        <x:v>0.1491408934707904</x:v>
      </x:c>
      <x:c r="W162" s="11" t="n">
        <x:f>1-E162</x:f>
        <x:v>0</x:v>
      </x:c>
      <x:c r="X162" s="11" t="n">
        <x:f>1-F162</x:f>
        <x:v>0.16013745704467353</x:v>
      </x:c>
    </x:row>
    <x:row r="163" ht="18" customHeight="1">
      <x:c r="A163" s="10" t="str">
        <x:v>GA</x:v>
      </x:c>
      <x:c r="B163" s="10" t="str">
        <x:v>13319</x:v>
      </x:c>
      <x:c r="C163" s="10" t="str">
        <x:v>Wilkinson County</x:v>
      </x:c>
      <x:c r="D163" s="11" t="n">
        <x:f>1-'Method'!$B$7*G163</x:f>
        <x:v>0.8549828178694158</x:v>
      </x:c>
      <x:c r="E163" s="11" t="n">
        <x:f>1-'Method'!$B$8*H163</x:f>
        <x:v>1</x:v>
      </x:c>
      <x:c r="F163" s="11" t="n">
        <x:f>1-'Method'!$B$9*I163</x:f>
        <x:v>0.9553264604810996</x:v>
      </x:c>
      <x:c r="G163" s="11" t="n">
        <x:v>0.7250859106529209</x:v>
      </x:c>
      <x:c r="H163" s="11" t="n">
        <x:v>0</x:v>
      </x:c>
      <x:c r="I163" s="11" t="n">
        <x:v>0.22336769759450173</x:v>
      </x:c>
      <x:c r="J163" s="12" t="n">
        <x:v>69.33763262430827</x:v>
      </x:c>
      <x:c r="K163" s="12" t="n">
        <x:v>128.8444346110026</x:v>
      </x:c>
      <x:c r="L163" s="12" t="n">
        <x:v>59.50680198669434</x:v>
      </x:c>
      <x:c r="M163" s="12" t="n">
        <x:v>28.37452596028646</x:v>
      </x:c>
      <x:c r="N163" s="12" t="n">
        <x:v>27.2013796488444</x:v>
      </x:c>
      <x:c r="O163" s="12" t="n">
        <x:v>0</x:v>
      </x:c>
      <x:c r="P163" s="12" t="n">
        <x:v>1.569358132282893</x:v>
      </x:c>
      <x:c r="Q163" s="12" t="n">
        <x:v>2.127467926343282</x:v>
      </x:c>
      <x:c r="R163" s="12" t="n">
        <x:v>0.558109794060389</x:v>
      </x:c>
      <x:c r="S163" s="11" t="n">
        <x:f>'Method'!$B$7</x:f>
        <x:v>0.2</x:v>
      </x:c>
      <x:c r="T163" s="11" t="n">
        <x:f>'Method'!$B$8</x:f>
        <x:v>0.2</x:v>
      </x:c>
      <x:c r="U163" s="11" t="n">
        <x:f>'Method'!$B$9</x:f>
        <x:v>0.2</x:v>
      </x:c>
      <x:c r="V163" s="11" t="n">
        <x:f>1-D163</x:f>
        <x:v>0.14501718213058423</x:v>
      </x:c>
      <x:c r="W163" s="11" t="n">
        <x:f>1-E163</x:f>
        <x:v>0</x:v>
      </x:c>
      <x:c r="X163" s="11" t="n">
        <x:f>1-F163</x:f>
        <x:v>0.04467353951890041</x:v>
      </x:c>
    </x:row>
    <x:row r="164" ht="18" customHeight="1">
      <x:c r="A164" s="10" t="str">
        <x:v>GA</x:v>
      </x:c>
      <x:c r="B164" s="10" t="str">
        <x:v>13321</x:v>
      </x:c>
      <x:c r="C164" s="10" t="str">
        <x:v>Worth County</x:v>
      </x:c>
      <x:c r="D164" s="11" t="n">
        <x:f>1-'Method'!$B$7*G164</x:f>
        <x:v>0.8350515463917526</x:v>
      </x:c>
      <x:c r="E164" s="11" t="n">
        <x:f>1-'Method'!$B$8*H164</x:f>
        <x:v>1</x:v>
      </x:c>
      <x:c r="F164" s="11" t="n">
        <x:f>1-'Method'!$B$9*I164</x:f>
        <x:v>0.9072164948453608</x:v>
      </x:c>
      <x:c r="G164" s="11" t="n">
        <x:v>0.8247422680412371</x:v>
      </x:c>
      <x:c r="H164" s="11" t="n">
        <x:v>0</x:v>
      </x:c>
      <x:c r="I164" s="11" t="n">
        <x:v>0.4639175257731959</x:v>
      </x:c>
      <x:c r="J164" s="12" t="n">
        <x:v>69.28530082702636</x:v>
      </x:c>
      <x:c r="K164" s="12" t="n">
        <x:v>130.18042551676433</x:v>
      </x:c>
      <x:c r="L164" s="12" t="n">
        <x:v>60.89512468973797</x:v>
      </x:c>
      <x:c r="M164" s="12" t="n">
        <x:v>27.191545168558758</x:v>
      </x:c>
      <x:c r="N164" s="12" t="n">
        <x:v>26.918232472737632</x:v>
      </x:c>
      <x:c r="O164" s="12" t="n">
        <x:v>0</x:v>
      </x:c>
      <x:c r="P164" s="12" t="n">
        <x:v>1.5457342286904654</x:v>
      </x:c>
      <x:c r="Q164" s="12" t="n">
        <x:v>2.214964572588603</x:v>
      </x:c>
      <x:c r="R164" s="12" t="n">
        <x:v>0.6692303438981375</x:v>
      </x:c>
      <x:c r="S164" s="11" t="n">
        <x:f>'Method'!$B$7</x:f>
        <x:v>0.2</x:v>
      </x:c>
      <x:c r="T164" s="11" t="n">
        <x:f>'Method'!$B$8</x:f>
        <x:v>0.2</x:v>
      </x:c>
      <x:c r="U164" s="11" t="n">
        <x:f>'Method'!$B$9</x:f>
        <x:v>0.2</x:v>
      </x:c>
      <x:c r="V164" s="11" t="n">
        <x:f>1-D164</x:f>
        <x:v>0.1649484536082474</x:v>
      </x:c>
      <x:c r="W164" s="11" t="n">
        <x:f>1-E164</x:f>
        <x:v>0</x:v>
      </x:c>
      <x:c r="X164" s="11" t="n">
        <x:f>1-F164</x:f>
        <x:v>0.09278350515463918</x:v>
      </x:c>
    </x:row>
    <x:row r="165" ht="18" customHeight="1">
      <x:c r="A165" s="10" t="str">
        <x:v>VA</x:v>
      </x:c>
      <x:c r="B165" s="10" t="str">
        <x:v>51001</x:v>
      </x:c>
      <x:c r="C165" s="10" t="str">
        <x:v>Accomack County</x:v>
      </x:c>
      <x:c r="D165" s="11" t="n">
        <x:f>1-'Method'!$B$7*G165</x:f>
        <x:v>0.9766323024054983</x:v>
      </x:c>
      <x:c r="E165" s="11" t="n">
        <x:f>1-'Method'!$B$8*H165</x:f>
        <x:v>1</x:v>
      </x:c>
      <x:c r="F165" s="11" t="n">
        <x:f>1-'Method'!$B$9*I165</x:f>
        <x:v>0.9312714776632303</x:v>
      </x:c>
      <x:c r="G165" s="11" t="n">
        <x:v>0.11683848797250859</x:v>
      </x:c>
      <x:c r="H165" s="11" t="n">
        <x:v>0</x:v>
      </x:c>
      <x:c r="I165" s="11" t="n">
        <x:v>0.3436426116838488</x:v>
      </x:c>
      <x:c r="J165" s="12" t="n">
        <x:v>13.578713099161783</x:v>
      </x:c>
      <x:c r="K165" s="12" t="n">
        <x:v>56.07723401387533</x:v>
      </x:c>
      <x:c r="L165" s="12" t="n">
        <x:v>42.498520914713545</x:v>
      </x:c>
      <x:c r="M165" s="12" t="n">
        <x:v>23.22175261179606</x:v>
      </x:c>
      <x:c r="N165" s="12" t="n">
        <x:v>23.156231753031413</x:v>
      </x:c>
      <x:c r="O165" s="12" t="n">
        <x:v>0</x:v>
      </x:c>
      <x:c r="P165" s="12" t="n">
        <x:v>1.3003524502118429</x:v>
      </x:c>
      <x:c r="Q165" s="12" t="n">
        <x:v>1.925892420609792</x:v>
      </x:c>
      <x:c r="R165" s="12" t="n">
        <x:v>0.6255399703979492</x:v>
      </x:c>
      <x:c r="S165" s="11" t="n">
        <x:f>'Method'!$B$7</x:f>
        <x:v>0.2</x:v>
      </x:c>
      <x:c r="T165" s="11" t="n">
        <x:f>'Method'!$B$8</x:f>
        <x:v>0.2</x:v>
      </x:c>
      <x:c r="U165" s="11" t="n">
        <x:f>'Method'!$B$9</x:f>
        <x:v>0.2</x:v>
      </x:c>
      <x:c r="V165" s="11" t="n">
        <x:f>1-D165</x:f>
        <x:v>0.023367697594501746</x:v>
      </x:c>
      <x:c r="W165" s="11" t="n">
        <x:f>1-E165</x:f>
        <x:v>0</x:v>
      </x:c>
      <x:c r="X165" s="11" t="n">
        <x:f>1-F165</x:f>
        <x:v>0.06872852233676974</x:v>
      </x:c>
    </x:row>
    <x:row r="166" ht="18" customHeight="1">
      <x:c r="A166" s="10" t="str">
        <x:v>VA</x:v>
      </x:c>
      <x:c r="B166" s="10" t="str">
        <x:v>51003</x:v>
      </x:c>
      <x:c r="C166" s="10" t="str">
        <x:v>Albemarle County</x:v>
      </x:c>
      <x:c r="D166" s="11" t="n">
        <x:f>1-'Method'!$B$7*G166</x:f>
        <x:v>0.9429553264604811</x:v>
      </x:c>
      <x:c r="E166" s="11" t="n">
        <x:f>1-'Method'!$B$8*H166</x:f>
        <x:v>1</x:v>
      </x:c>
      <x:c r="F166" s="11" t="n">
        <x:f>1-'Method'!$B$9*I166</x:f>
        <x:v>0.8879725085910652</x:v>
      </x:c>
      <x:c r="G166" s="11" t="n">
        <x:v>0.2852233676975945</x:v>
      </x:c>
      <x:c r="H166" s="11" t="n">
        <x:v>0</x:v>
      </x:c>
      <x:c r="I166" s="11" t="n">
        <x:v>0.5601374570446735</x:v>
      </x:c>
      <x:c r="J166" s="12" t="n">
        <x:v>20.640704727172853</x:v>
      </x:c>
      <x:c r="K166" s="12" t="n">
        <x:v>72.3390661875407</x:v>
      </x:c>
      <x:c r="L166" s="12" t="n">
        <x:v>51.69836146036784</x:v>
      </x:c>
      <x:c r="M166" s="12" t="n">
        <x:v>23.81089356740316</x:v>
      </x:c>
      <x:c r="N166" s="12" t="n">
        <x:v>23.499118359883628</x:v>
      </x:c>
      <x:c r="O166" s="12" t="n">
        <x:v>0</x:v>
      </x:c>
      <x:c r="P166" s="12" t="n">
        <x:v>1.4159934123357136</x:v>
      </x:c>
      <x:c r="Q166" s="12" t="n">
        <x:v>2.107428280512492</x:v>
      </x:c>
      <x:c r="R166" s="12" t="n">
        <x:v>0.6914348681767783</x:v>
      </x:c>
      <x:c r="S166" s="11" t="n">
        <x:f>'Method'!$B$7</x:f>
        <x:v>0.2</x:v>
      </x:c>
      <x:c r="T166" s="11" t="n">
        <x:f>'Method'!$B$8</x:f>
        <x:v>0.2</x:v>
      </x:c>
      <x:c r="U166" s="11" t="n">
        <x:f>'Method'!$B$9</x:f>
        <x:v>0.2</x:v>
      </x:c>
      <x:c r="V166" s="11" t="n">
        <x:f>1-D166</x:f>
        <x:v>0.05704467353951892</x:v>
      </x:c>
      <x:c r="W166" s="11" t="n">
        <x:f>1-E166</x:f>
        <x:v>0</x:v>
      </x:c>
      <x:c r="X166" s="11" t="n">
        <x:f>1-F166</x:f>
        <x:v>0.11202749140893475</x:v>
      </x:c>
    </x:row>
    <x:row r="167" ht="18" customHeight="1">
      <x:c r="A167" s="10" t="str">
        <x:v>VA</x:v>
      </x:c>
      <x:c r="B167" s="10" t="str">
        <x:v>51005</x:v>
      </x:c>
      <x:c r="C167" s="10" t="str">
        <x:v>Alleghany County</x:v>
      </x:c>
      <x:c r="D167" s="11" t="n">
        <x:f>1-'Method'!$B$7*G167</x:f>
        <x:v>0.9814432989690721</x:v>
      </x:c>
      <x:c r="E167" s="11" t="n">
        <x:f>1-'Method'!$B$8*H167</x:f>
        <x:v>0.8171821305841924</x:v>
      </x:c>
      <x:c r="F167" s="11" t="n">
        <x:f>1-'Method'!$B$9*I167</x:f>
        <x:v>0.9718213058419244</x:v>
      </x:c>
      <x:c r="G167" s="11" t="n">
        <x:v>0.09278350515463918</x:v>
      </x:c>
      <x:c r="H167" s="11" t="n">
        <x:v>0.9140893470790378</x:v>
      </x:c>
      <x:c r="I167" s="11" t="n">
        <x:v>0.140893470790378</x:v>
      </x:c>
      <x:c r="J167" s="12" t="n">
        <x:v>6.005999803543091</x:v>
      </x:c>
      <x:c r="K167" s="12" t="n">
        <x:v>44.99147402445475</x:v>
      </x:c>
      <x:c r="L167" s="12" t="n">
        <x:v>38.98547422091166</x:v>
      </x:c>
      <x:c r="M167" s="12" t="n">
        <x:v>23.24229844411214</x:v>
      </x:c>
      <x:c r="N167" s="12" t="n">
        <x:v>23.6423547744751</x:v>
      </x:c>
      <x:c r="O167" s="12" t="n">
        <x:v>0.4000563303629576</x:v>
      </x:c>
      <x:c r="P167" s="12" t="n">
        <x:v>0.9150940775871277</x:v>
      </x:c>
      <x:c r="Q167" s="12" t="n">
        <x:v>1.4204516768455506</x:v>
      </x:c>
      <x:c r="R167" s="12" t="n">
        <x:v>0.5053575992584229</x:v>
      </x:c>
      <x:c r="S167" s="11" t="n">
        <x:f>'Method'!$B$7</x:f>
        <x:v>0.2</x:v>
      </x:c>
      <x:c r="T167" s="11" t="n">
        <x:f>'Method'!$B$8</x:f>
        <x:v>0.2</x:v>
      </x:c>
      <x:c r="U167" s="11" t="n">
        <x:f>'Method'!$B$9</x:f>
        <x:v>0.2</x:v>
      </x:c>
      <x:c r="V167" s="11" t="n">
        <x:f>1-D167</x:f>
        <x:v>0.01855670103092788</x:v>
      </x:c>
      <x:c r="W167" s="11" t="n">
        <x:f>1-E167</x:f>
        <x:v>0.18281786941580758</x:v>
      </x:c>
      <x:c r="X167" s="11" t="n">
        <x:f>1-F167</x:f>
        <x:v>0.028178694158075612</x:v>
      </x:c>
    </x:row>
    <x:row r="168" ht="18" customHeight="1">
      <x:c r="A168" s="10" t="str">
        <x:v>VA</x:v>
      </x:c>
      <x:c r="B168" s="10" t="str">
        <x:v>51007</x:v>
      </x:c>
      <x:c r="C168" s="10" t="str">
        <x:v>Amelia County</x:v>
      </x:c>
      <x:c r="D168" s="11" t="n">
        <x:f>1-'Method'!$B$7*G168</x:f>
        <x:v>0.9333333333333333</x:v>
      </x:c>
      <x:c r="E168" s="11" t="n">
        <x:f>1-'Method'!$B$8*H168</x:f>
        <x:v>1</x:v>
      </x:c>
      <x:c r="F168" s="11" t="n">
        <x:f>1-'Method'!$B$9*I168</x:f>
        <x:v>0.9085910652920962</x:v>
      </x:c>
      <x:c r="G168" s="11" t="n">
        <x:v>0.3333333333333333</x:v>
      </x:c>
      <x:c r="H168" s="11" t="n">
        <x:v>0</x:v>
      </x:c>
      <x:c r="I168" s="11" t="n">
        <x:v>0.4570446735395189</x:v>
      </x:c>
      <x:c r="J168" s="12" t="n">
        <x:v>29.05944913228353</x:v>
      </x:c>
      <x:c r="K168" s="12" t="n">
        <x:v>81.52317072550456</x:v>
      </x:c>
      <x:c r="L168" s="12" t="n">
        <x:v>52.463721593221024</x:v>
      </x:c>
      <x:c r="M168" s="12" t="n">
        <x:v>23.916184870402017</x:v>
      </x:c>
      <x:c r="N168" s="12" t="n">
        <x:v>23.831818262736004</x:v>
      </x:c>
      <x:c r="O168" s="12" t="n">
        <x:v>0</x:v>
      </x:c>
      <x:c r="P168" s="12" t="n">
        <x:v>1.4320134858290354</x:v>
      </x:c>
      <x:c r="Q168" s="12" t="n">
        <x:v>2.0983993808428445</x:v>
      </x:c>
      <x:c r="R168" s="12" t="n">
        <x:v>0.6663858950138091</x:v>
      </x:c>
      <x:c r="S168" s="11" t="n">
        <x:f>'Method'!$B$7</x:f>
        <x:v>0.2</x:v>
      </x:c>
      <x:c r="T168" s="11" t="n">
        <x:f>'Method'!$B$8</x:f>
        <x:v>0.2</x:v>
      </x:c>
      <x:c r="U168" s="11" t="n">
        <x:f>'Method'!$B$9</x:f>
        <x:v>0.2</x:v>
      </x:c>
      <x:c r="V168" s="11" t="n">
        <x:f>1-D168</x:f>
        <x:v>0.06666666666666665</x:v>
      </x:c>
      <x:c r="W168" s="11" t="n">
        <x:f>1-E168</x:f>
        <x:v>0</x:v>
      </x:c>
      <x:c r="X168" s="11" t="n">
        <x:f>1-F168</x:f>
        <x:v>0.09140893470790379</x:v>
      </x:c>
    </x:row>
    <x:row r="169" ht="18" customHeight="1">
      <x:c r="A169" s="10" t="str">
        <x:v>VA</x:v>
      </x:c>
      <x:c r="B169" s="10" t="str">
        <x:v>51009</x:v>
      </x:c>
      <x:c r="C169" s="10" t="str">
        <x:v>Amherst County</x:v>
      </x:c>
      <x:c r="D169" s="11" t="n">
        <x:f>1-'Method'!$B$7*G169</x:f>
        <x:v>0.9642611683848797</x:v>
      </x:c>
      <x:c r="E169" s="11" t="n">
        <x:f>1-'Method'!$B$8*H169</x:f>
        <x:v>1</x:v>
      </x:c>
      <x:c r="F169" s="11" t="n">
        <x:f>1-'Method'!$B$9*I169</x:f>
        <x:v>0.843298969072165</x:v>
      </x:c>
      <x:c r="G169" s="11" t="n">
        <x:v>0.17869415807560138</x:v>
      </x:c>
      <x:c r="H169" s="11" t="n">
        <x:v>0</x:v>
      </x:c>
      <x:c r="I169" s="11" t="n">
        <x:v>0.7835051546391752</x:v>
      </x:c>
      <x:c r="J169" s="12" t="n">
        <x:v>16.576550674438476</x:v>
      </x:c>
      <x:c r="K169" s="12" t="n">
        <x:v>62.109958521525066</x:v>
      </x:c>
      <x:c r="L169" s="12" t="n">
        <x:v>45.53340784708659</x:v>
      </x:c>
      <x:c r="M169" s="12" t="n">
        <x:v>24.003495979309083</x:v>
      </x:c>
      <x:c r="N169" s="12" t="n">
        <x:v>23.622415097554526</x:v>
      </x:c>
      <x:c r="O169" s="12" t="n">
        <x:v>0</x:v>
      </x:c>
      <x:c r="P169" s="12" t="n">
        <x:v>1.4616166790326437</x:v>
      </x:c>
      <x:c r="Q169" s="12" t="n">
        <x:v>2.2511778672536216</x:v>
      </x:c>
      <x:c r="R169" s="12" t="n">
        <x:v>0.7895611882209779</x:v>
      </x:c>
      <x:c r="S169" s="11" t="n">
        <x:f>'Method'!$B$7</x:f>
        <x:v>0.2</x:v>
      </x:c>
      <x:c r="T169" s="11" t="n">
        <x:f>'Method'!$B$8</x:f>
        <x:v>0.2</x:v>
      </x:c>
      <x:c r="U169" s="11" t="n">
        <x:f>'Method'!$B$9</x:f>
        <x:v>0.2</x:v>
      </x:c>
      <x:c r="V169" s="11" t="n">
        <x:f>1-D169</x:f>
        <x:v>0.03573883161512026</x:v>
      </x:c>
      <x:c r="W169" s="11" t="n">
        <x:f>1-E169</x:f>
        <x:v>0</x:v>
      </x:c>
      <x:c r="X169" s="11" t="n">
        <x:f>1-F169</x:f>
        <x:v>0.15670103092783505</x:v>
      </x:c>
    </x:row>
    <x:row r="170" ht="18" customHeight="1">
      <x:c r="A170" s="10" t="str">
        <x:v>VA</x:v>
      </x:c>
      <x:c r="B170" s="10" t="str">
        <x:v>51011</x:v>
      </x:c>
      <x:c r="C170" s="10" t="str">
        <x:v>Appomattox County</x:v>
      </x:c>
      <x:c r="D170" s="11" t="n">
        <x:f>1-'Method'!$B$7*G170</x:f>
        <x:v>0.9298969072164949</x:v>
      </x:c>
      <x:c r="E170" s="11" t="n">
        <x:f>1-'Method'!$B$8*H170</x:f>
        <x:v>1</x:v>
      </x:c>
      <x:c r="F170" s="11" t="n">
        <x:f>1-'Method'!$B$9*I170</x:f>
        <x:v>0.9457044673539519</x:v>
      </x:c>
      <x:c r="G170" s="11" t="n">
        <x:v>0.35051546391752575</x:v>
      </x:c>
      <x:c r="H170" s="11" t="n">
        <x:v>0</x:v>
      </x:c>
      <x:c r="I170" s="11" t="n">
        <x:v>0.27147766323024053</x:v>
      </x:c>
      <x:c r="J170" s="12" t="n">
        <x:v>22.787036768595378</x:v>
      </x:c>
      <x:c r="K170" s="12" t="n">
        <x:v>75.34893633524577</x:v>
      </x:c>
      <x:c r="L170" s="12" t="n">
        <x:v>52.56189956665039</x:v>
      </x:c>
      <x:c r="M170" s="12" t="n">
        <x:v>24.313427861531576</x:v>
      </x:c>
      <x:c r="N170" s="12" t="n">
        <x:v>24.198719469706216</x:v>
      </x:c>
      <x:c r="O170" s="12" t="n">
        <x:v>0</x:v>
      </x:c>
      <x:c r="P170" s="12" t="n">
        <x:v>1.1992613077163696</x:v>
      </x:c>
      <x:c r="Q170" s="12" t="n">
        <x:v>1.7792085429032645</x:v>
      </x:c>
      <x:c r="R170" s="12" t="n">
        <x:v>0.5799472351868948</x:v>
      </x:c>
      <x:c r="S170" s="11" t="n">
        <x:f>'Method'!$B$7</x:f>
        <x:v>0.2</x:v>
      </x:c>
      <x:c r="T170" s="11" t="n">
        <x:f>'Method'!$B$8</x:f>
        <x:v>0.2</x:v>
      </x:c>
      <x:c r="U170" s="11" t="n">
        <x:f>'Method'!$B$9</x:f>
        <x:v>0.2</x:v>
      </x:c>
      <x:c r="V170" s="11" t="n">
        <x:f>1-D170</x:f>
        <x:v>0.07010309278350513</x:v>
      </x:c>
      <x:c r="W170" s="11" t="n">
        <x:f>1-E170</x:f>
        <x:v>0</x:v>
      </x:c>
      <x:c r="X170" s="11" t="n">
        <x:f>1-F170</x:f>
        <x:v>0.05429553264604814</x:v>
      </x:c>
    </x:row>
    <x:row r="171" ht="18" customHeight="1">
      <x:c r="A171" s="10" t="str">
        <x:v>VA</x:v>
      </x:c>
      <x:c r="B171" s="10" t="str">
        <x:v>51013</x:v>
      </x:c>
      <x:c r="C171" s="10" t="str">
        <x:v>Arlington County</x:v>
      </x:c>
      <x:c r="D171" s="11" t="n">
        <x:f>1-'Method'!$B$7*G171</x:f>
        <x:v>0.9137457044673539</x:v>
      </x:c>
      <x:c r="E171" s="11" t="n">
        <x:f>1-'Method'!$B$8*H171</x:f>
        <x:v>0.8178694158075601</x:v>
      </x:c>
      <x:c r="F171" s="11" t="n">
        <x:f>1-'Method'!$B$9*I171</x:f>
        <x:v>0.9828178694158075</x:v>
      </x:c>
      <x:c r="G171" s="11" t="n">
        <x:v>0.43127147766323026</x:v>
      </x:c>
      <x:c r="H171" s="11" t="n">
        <x:v>0.9106529209621993</x:v>
      </x:c>
      <x:c r="I171" s="11" t="n">
        <x:v>0.0859106529209622</x:v>
      </x:c>
      <x:c r="J171" s="12" t="n">
        <x:v>23.291953341166177</x:v>
      </x:c>
      <x:c r="K171" s="12" t="n">
        <x:v>77.12321968078614</x:v>
      </x:c>
      <x:c r="L171" s="12" t="n">
        <x:v>53.83126633961996</x:v>
      </x:c>
      <x:c r="M171" s="12" t="n">
        <x:v>24.227220408121745</x:v>
      </x:c>
      <x:c r="N171" s="12" t="n">
        <x:v>24.60863469441732</x:v>
      </x:c>
      <x:c r="O171" s="12" t="n">
        <x:v>0.3814142862955734</x:v>
      </x:c>
      <x:c r="P171" s="12" t="n">
        <x:v>1.3036635220050812</x:v>
      </x:c>
      <x:c r="Q171" s="12" t="n">
        <x:v>1.7660320897897084</x:v>
      </x:c>
      <x:c r="R171" s="12" t="n">
        <x:v>0.4623685677846272</x:v>
      </x:c>
      <x:c r="S171" s="11" t="n">
        <x:f>'Method'!$B$7</x:f>
        <x:v>0.2</x:v>
      </x:c>
      <x:c r="T171" s="11" t="n">
        <x:f>'Method'!$B$8</x:f>
        <x:v>0.2</x:v>
      </x:c>
      <x:c r="U171" s="11" t="n">
        <x:f>'Method'!$B$9</x:f>
        <x:v>0.2</x:v>
      </x:c>
      <x:c r="V171" s="11" t="n">
        <x:f>1-D171</x:f>
        <x:v>0.08625429553264607</x:v>
      </x:c>
      <x:c r="W171" s="11" t="n">
        <x:f>1-E171</x:f>
        <x:v>0.18213058419243988</x:v>
      </x:c>
      <x:c r="X171" s="11" t="n">
        <x:f>1-F171</x:f>
        <x:v>0.01718213058419249</x:v>
      </x:c>
    </x:row>
    <x:row r="172" ht="18" customHeight="1">
      <x:c r="A172" s="10" t="str">
        <x:v>VA</x:v>
      </x:c>
      <x:c r="B172" s="10" t="str">
        <x:v>51015</x:v>
      </x:c>
      <x:c r="C172" s="10" t="str">
        <x:v>Augusta County</x:v>
      </x:c>
      <x:c r="D172" s="11" t="n">
        <x:f>1-'Method'!$B$7*G172</x:f>
        <x:v>0.9862542955326461</x:v>
      </x:c>
      <x:c r="E172" s="11" t="n">
        <x:f>1-'Method'!$B$8*H172</x:f>
        <x:v>0.8474226804123711</x:v>
      </x:c>
      <x:c r="F172" s="11" t="n">
        <x:f>1-'Method'!$B$9*I172</x:f>
        <x:v>0.9594501718213059</x:v>
      </x:c>
      <x:c r="G172" s="11" t="n">
        <x:v>0.06872852233676977</x:v>
      </x:c>
      <x:c r="H172" s="11" t="n">
        <x:v>0.7628865979381443</x:v>
      </x:c>
      <x:c r="I172" s="11" t="n">
        <x:v>0.2027491408934708</x:v>
      </x:c>
      <x:c r="J172" s="12" t="n">
        <x:v>6.38779649734497</x:v>
      </x:c>
      <x:c r="K172" s="12" t="n">
        <x:v>40.20545775095622</x:v>
      </x:c>
      <x:c r="L172" s="12" t="n">
        <x:v>33.81766125361125</x:v>
      </x:c>
      <x:c r="M172" s="12" t="n">
        <x:v>24.41856638590495</x:v>
      </x:c>
      <x:c r="N172" s="12" t="n">
        <x:v>24.516323471069335</x:v>
      </x:c>
      <x:c r="O172" s="12" t="n">
        <x:v>0.09775708516438542</x:v>
      </x:c>
      <x:c r="P172" s="12" t="n">
        <x:v>1.076323433717092</x:v>
      </x:c>
      <x:c r="Q172" s="12" t="n">
        <x:v>1.6250772833824159</x:v>
      </x:c>
      <x:c r="R172" s="12" t="n">
        <x:v>0.5487538496653239</x:v>
      </x:c>
      <x:c r="S172" s="11" t="n">
        <x:f>'Method'!$B$7</x:f>
        <x:v>0.2</x:v>
      </x:c>
      <x:c r="T172" s="11" t="n">
        <x:f>'Method'!$B$8</x:f>
        <x:v>0.2</x:v>
      </x:c>
      <x:c r="U172" s="11" t="n">
        <x:f>'Method'!$B$9</x:f>
        <x:v>0.2</x:v>
      </x:c>
      <x:c r="V172" s="11" t="n">
        <x:f>1-D172</x:f>
        <x:v>0.013745704467353903</x:v>
      </x:c>
      <x:c r="W172" s="11" t="n">
        <x:f>1-E172</x:f>
        <x:v>0.15257731958762888</x:v>
      </x:c>
      <x:c r="X172" s="11" t="n">
        <x:f>1-F172</x:f>
        <x:v>0.040549828178694125</x:v>
      </x:c>
    </x:row>
    <x:row r="173" ht="18" customHeight="1">
      <x:c r="A173" s="10" t="str">
        <x:v>VA</x:v>
      </x:c>
      <x:c r="B173" s="10" t="str">
        <x:v>51017</x:v>
      </x:c>
      <x:c r="C173" s="10" t="str">
        <x:v>Bath County</x:v>
      </x:c>
      <x:c r="D173" s="11" t="n">
        <x:f>1-'Method'!$B$7*G173</x:f>
        <x:v>0.9903780068728523</x:v>
      </x:c>
      <x:c r="E173" s="11" t="n">
        <x:f>1-'Method'!$B$8*H173</x:f>
        <x:v>0.8281786941580755</x:v>
      </x:c>
      <x:c r="F173" s="11" t="n">
        <x:f>1-'Method'!$B$9*I173</x:f>
        <x:v>0.9738831615120275</x:v>
      </x:c>
      <x:c r="G173" s="11" t="n">
        <x:v>0.048109965635738834</x:v>
      </x:c>
      <x:c r="H173" s="11" t="n">
        <x:v>0.8591065292096219</x:v>
      </x:c>
      <x:c r="I173" s="11" t="n">
        <x:v>0.13058419243986255</x:v>
      </x:c>
      <x:c r="J173" s="12" t="n">
        <x:v>3.2645129919052125</x:v>
      </x:c>
      <x:c r="K173" s="12" t="n">
        <x:v>34.085093879699706</x:v>
      </x:c>
      <x:c r="L173" s="12" t="n">
        <x:v>30.820580887794492</x:v>
      </x:c>
      <x:c r="M173" s="12" t="n">
        <x:v>22.95923391977946</x:v>
      </x:c>
      <x:c r="N173" s="12" t="n">
        <x:v>23.207059160868326</x:v>
      </x:c>
      <x:c r="O173" s="12" t="n">
        <x:v>0.24782524108886506</x:v>
      </x:c>
      <x:c r="P173" s="12" t="n">
        <x:v>0.8036174287398656</x:v>
      </x:c>
      <x:c r="Q173" s="12" t="n">
        <x:v>1.2982738077640534</x:v>
      </x:c>
      <x:c r="R173" s="12" t="n">
        <x:v>0.4946563790241878</x:v>
      </x:c>
      <x:c r="S173" s="11" t="n">
        <x:f>'Method'!$B$7</x:f>
        <x:v>0.2</x:v>
      </x:c>
      <x:c r="T173" s="11" t="n">
        <x:f>'Method'!$B$8</x:f>
        <x:v>0.2</x:v>
      </x:c>
      <x:c r="U173" s="11" t="n">
        <x:f>'Method'!$B$9</x:f>
        <x:v>0.2</x:v>
      </x:c>
      <x:c r="V173" s="11" t="n">
        <x:f>1-D173</x:f>
        <x:v>0.009621993127147732</x:v>
      </x:c>
      <x:c r="W173" s="11" t="n">
        <x:f>1-E173</x:f>
        <x:v>0.17182130584192445</x:v>
      </x:c>
      <x:c r="X173" s="11" t="n">
        <x:f>1-F173</x:f>
        <x:v>0.026116838487972527</x:v>
      </x:c>
    </x:row>
    <x:row r="174" ht="18" customHeight="1">
      <x:c r="A174" s="10" t="str">
        <x:v>VA</x:v>
      </x:c>
      <x:c r="B174" s="10" t="str">
        <x:v>51019</x:v>
      </x:c>
      <x:c r="C174" s="10" t="str">
        <x:v>Bedford County</x:v>
      </x:c>
      <x:c r="D174" s="11" t="n">
        <x:f>1-'Method'!$B$7*G174</x:f>
        <x:v>0.9518900343642611</x:v>
      </x:c>
      <x:c r="E174" s="11" t="n">
        <x:f>1-'Method'!$B$8*H174</x:f>
        <x:v>1</x:v>
      </x:c>
      <x:c r="F174" s="11" t="n">
        <x:f>1-'Method'!$B$9*I174</x:f>
        <x:v>0.8975945017182131</x:v>
      </x:c>
      <x:c r="G174" s="11" t="n">
        <x:v>0.24054982817869416</x:v>
      </x:c>
      <x:c r="H174" s="11" t="n">
        <x:v>0</x:v>
      </x:c>
      <x:c r="I174" s="11" t="n">
        <x:v>0.5120274914089347</x:v>
      </x:c>
      <x:c r="J174" s="12" t="n">
        <x:v>16.741791756947837</x:v>
      </x:c>
      <x:c r="K174" s="12" t="n">
        <x:v>66.76916872660318</x:v>
      </x:c>
      <x:c r="L174" s="12" t="n">
        <x:v>50.02737696965535</x:v>
      </x:c>
      <x:c r="M174" s="12" t="n">
        <x:v>24.379665756225585</x:v>
      </x:c>
      <x:c r="N174" s="12" t="n">
        <x:v>24.1627316792806</x:v>
      </x:c>
      <x:c r="O174" s="12" t="n">
        <x:v>0</x:v>
      </x:c>
      <x:c r="P174" s="12" t="n">
        <x:v>1.2054849882920584</x:v>
      </x:c>
      <x:c r="Q174" s="12" t="n">
        <x:v>1.887412393093109</x:v>
      </x:c>
      <x:c r="R174" s="12" t="n">
        <x:v>0.6819274048010506</x:v>
      </x:c>
      <x:c r="S174" s="11" t="n">
        <x:f>'Method'!$B$7</x:f>
        <x:v>0.2</x:v>
      </x:c>
      <x:c r="T174" s="11" t="n">
        <x:f>'Method'!$B$8</x:f>
        <x:v>0.2</x:v>
      </x:c>
      <x:c r="U174" s="11" t="n">
        <x:f>'Method'!$B$9</x:f>
        <x:v>0.2</x:v>
      </x:c>
      <x:c r="V174" s="11" t="n">
        <x:f>1-D174</x:f>
        <x:v>0.04810996563573888</x:v>
      </x:c>
      <x:c r="W174" s="11" t="n">
        <x:f>1-E174</x:f>
        <x:v>0</x:v>
      </x:c>
      <x:c r="X174" s="11" t="n">
        <x:f>1-F174</x:f>
        <x:v>0.10240549828178691</x:v>
      </x:c>
    </x:row>
    <x:row r="175" ht="18" customHeight="1">
      <x:c r="A175" s="10" t="str">
        <x:v>VA</x:v>
      </x:c>
      <x:c r="B175" s="10" t="str">
        <x:v>51021</x:v>
      </x:c>
      <x:c r="C175" s="10" t="str">
        <x:v>Bland County</x:v>
      </x:c>
      <x:c r="D175" s="11" t="n">
        <x:f>1-'Method'!$B$7*G175</x:f>
        <x:v>0.9972508591065292</x:v>
      </x:c>
      <x:c r="E175" s="11" t="n">
        <x:f>1-'Method'!$B$8*H175</x:f>
        <x:v>0.8219931271477663</x:v>
      </x:c>
      <x:c r="F175" s="11" t="n">
        <x:f>1-'Method'!$B$9*I175</x:f>
        <x:v>0.9972508591065292</x:v>
      </x:c>
      <x:c r="G175" s="11" t="n">
        <x:v>0.013745704467353952</x:v>
      </x:c>
      <x:c r="H175" s="11" t="n">
        <x:v>0.8900343642611683</x:v>
      </x:c>
      <x:c r="I175" s="11" t="n">
        <x:v>0.013745704467353952</x:v>
      </x:c>
      <x:c r="J175" s="12" t="n">
        <x:v>0.5354177872339885</x:v>
      </x:c>
      <x:c r="K175" s="12" t="n">
        <x:v>17.516697486241657</x:v>
      </x:c>
      <x:c r="L175" s="12" t="n">
        <x:v>16.98127969900767</x:v>
      </x:c>
      <x:c r="M175" s="12" t="n">
        <x:v>21.79965419769287</x:v>
      </x:c>
      <x:c r="N175" s="12" t="n">
        <x:v>22.138767814636232</x:v>
      </x:c>
      <x:c r="O175" s="12" t="n">
        <x:v>0.3391136169433615</x:v>
      </x:c>
      <x:c r="P175" s="12" t="n">
        <x:v>0.4485987226168315</x:v>
      </x:c>
      <x:c r="Q175" s="12" t="n">
        <x:v>0.760187390446663</x:v>
      </x:c>
      <x:c r="R175" s="12" t="n">
        <x:v>0.31158866782983147</x:v>
      </x:c>
      <x:c r="S175" s="11" t="n">
        <x:f>'Method'!$B$7</x:f>
        <x:v>0.2</x:v>
      </x:c>
      <x:c r="T175" s="11" t="n">
        <x:f>'Method'!$B$8</x:f>
        <x:v>0.2</x:v>
      </x:c>
      <x:c r="U175" s="11" t="n">
        <x:f>'Method'!$B$9</x:f>
        <x:v>0.2</x:v>
      </x:c>
      <x:c r="V175" s="11" t="n">
        <x:f>1-D175</x:f>
        <x:v>0.0027491408934707806</x:v>
      </x:c>
      <x:c r="W175" s="11" t="n">
        <x:f>1-E175</x:f>
        <x:v>0.1780068728522337</x:v>
      </x:c>
      <x:c r="X175" s="11" t="n">
        <x:f>1-F175</x:f>
        <x:v>0.0027491408934707806</x:v>
      </x:c>
    </x:row>
    <x:row r="176" ht="18" customHeight="1">
      <x:c r="A176" s="10" t="str">
        <x:v>VA</x:v>
      </x:c>
      <x:c r="B176" s="10" t="str">
        <x:v>51023</x:v>
      </x:c>
      <x:c r="C176" s="10" t="str">
        <x:v>Botetourt County</x:v>
      </x:c>
      <x:c r="D176" s="11" t="n">
        <x:f>1-'Method'!$B$7*G176</x:f>
        <x:v>0.9601374570446736</x:v>
      </x:c>
      <x:c r="E176" s="11" t="n">
        <x:f>1-'Method'!$B$8*H176</x:f>
        <x:v>0.8501718213058419</x:v>
      </x:c>
      <x:c r="F176" s="11" t="n">
        <x:f>1-'Method'!$B$9*I176</x:f>
        <x:v>0.947766323024055</x:v>
      </x:c>
      <x:c r="G176" s="11" t="n">
        <x:v>0.19931271477663232</x:v>
      </x:c>
      <x:c r="H176" s="11" t="n">
        <x:v>0.7491408934707904</x:v>
      </x:c>
      <x:c r="I176" s="11" t="n">
        <x:v>0.2611683848797251</x:v>
      </x:c>
      <x:c r="J176" s="12" t="n">
        <x:v>12.352752590179444</x:v>
      </x:c>
      <x:c r="K176" s="12" t="n">
        <x:v>59.422614669799806</x:v>
      </x:c>
      <x:c r="L176" s="12" t="n">
        <x:v>47.069862079620364</x:v>
      </x:c>
      <x:c r="M176" s="12" t="n">
        <x:v>23.80813840230306</x:v>
      </x:c>
      <x:c r="N176" s="12" t="n">
        <x:v>23.89881051381429</x:v>
      </x:c>
      <x:c r="O176" s="12" t="n">
        <x:v>0.09067211151122834</x:v>
      </x:c>
      <x:c r="P176" s="12" t="n">
        <x:v>1.173503675063451</x:v>
      </x:c>
      <x:c r="Q176" s="12" t="n">
        <x:v>1.745452348391215</x:v>
      </x:c>
      <x:c r="R176" s="12" t="n">
        <x:v>0.5719486733277639</x:v>
      </x:c>
      <x:c r="S176" s="11" t="n">
        <x:f>'Method'!$B$7</x:f>
        <x:v>0.2</x:v>
      </x:c>
      <x:c r="T176" s="11" t="n">
        <x:f>'Method'!$B$8</x:f>
        <x:v>0.2</x:v>
      </x:c>
      <x:c r="U176" s="11" t="n">
        <x:f>'Method'!$B$9</x:f>
        <x:v>0.2</x:v>
      </x:c>
      <x:c r="V176" s="11" t="n">
        <x:f>1-D176</x:f>
        <x:v>0.03986254295532643</x:v>
      </x:c>
      <x:c r="W176" s="11" t="n">
        <x:f>1-E176</x:f>
        <x:v>0.1498281786941581</x:v>
      </x:c>
      <x:c r="X176" s="11" t="n">
        <x:f>1-F176</x:f>
        <x:v>0.052233676975945054</x:v>
      </x:c>
    </x:row>
    <x:row r="177" ht="18" customHeight="1">
      <x:c r="A177" s="10" t="str">
        <x:v>VA</x:v>
      </x:c>
      <x:c r="B177" s="10" t="str">
        <x:v>51025</x:v>
      </x:c>
      <x:c r="C177" s="10" t="str">
        <x:v>Brunswick County</x:v>
      </x:c>
      <x:c r="D177" s="11" t="n">
        <x:f>1-'Method'!$B$7*G177</x:f>
        <x:v>0.9237113402061856</x:v>
      </x:c>
      <x:c r="E177" s="11" t="n">
        <x:f>1-'Method'!$B$8*H177</x:f>
        <x:v>1</x:v>
      </x:c>
      <x:c r="F177" s="11" t="n">
        <x:f>1-'Method'!$B$9*I177</x:f>
        <x:v>0.970446735395189</x:v>
      </x:c>
      <x:c r="G177" s="11" t="n">
        <x:v>0.38144329896907214</x:v>
      </x:c>
      <x:c r="H177" s="11" t="n">
        <x:v>0</x:v>
      </x:c>
      <x:c r="I177" s="11" t="n">
        <x:v>0.14776632302405499</x:v>
      </x:c>
      <x:c r="J177" s="12" t="n">
        <x:v>31.19815813700358</x:v>
      </x:c>
      <x:c r="K177" s="12" t="n">
        <x:v>84.12480189005534</x:v>
      </x:c>
      <x:c r="L177" s="12" t="n">
        <x:v>52.926643753051756</x:v>
      </x:c>
      <x:c r="M177" s="12" t="n">
        <x:v>22.94653434753418</x:v>
      </x:c>
      <x:c r="N177" s="12" t="n">
        <x:v>22.87617327372233</x:v>
      </x:c>
      <x:c r="O177" s="12" t="n">
        <x:v>0</x:v>
      </x:c>
      <x:c r="P177" s="12" t="n">
        <x:v>0.9483350177605947</x:v>
      </x:c>
      <x:c r="Q177" s="12" t="n">
        <x:v>1.454628833134969</x:v>
      </x:c>
      <x:c r="R177" s="12" t="n">
        <x:v>0.5062938153743743</x:v>
      </x:c>
      <x:c r="S177" s="11" t="n">
        <x:f>'Method'!$B$7</x:f>
        <x:v>0.2</x:v>
      </x:c>
      <x:c r="T177" s="11" t="n">
        <x:f>'Method'!$B$8</x:f>
        <x:v>0.2</x:v>
      </x:c>
      <x:c r="U177" s="11" t="n">
        <x:f>'Method'!$B$9</x:f>
        <x:v>0.2</x:v>
      </x:c>
      <x:c r="V177" s="11" t="n">
        <x:f>1-D177</x:f>
        <x:v>0.07628865979381438</x:v>
      </x:c>
      <x:c r="W177" s="11" t="n">
        <x:f>1-E177</x:f>
        <x:v>0</x:v>
      </x:c>
      <x:c r="X177" s="11" t="n">
        <x:f>1-F177</x:f>
        <x:v>0.029553264604811003</x:v>
      </x:c>
    </x:row>
    <x:row r="178" ht="18" customHeight="1">
      <x:c r="A178" s="10" t="str">
        <x:v>VA</x:v>
      </x:c>
      <x:c r="B178" s="10" t="str">
        <x:v>51027</x:v>
      </x:c>
      <x:c r="C178" s="10" t="str">
        <x:v>Buchanan County</x:v>
      </x:c>
      <x:c r="D178" s="11" t="n">
        <x:f>1-'Method'!$B$7*G178</x:f>
        <x:v>0.9848797250859107</x:v>
      </x:c>
      <x:c r="E178" s="11" t="n">
        <x:f>1-'Method'!$B$8*H178</x:f>
        <x:v>0.8075601374570447</x:v>
      </x:c>
      <x:c r="F178" s="11" t="n">
        <x:f>1-'Method'!$B$9*I178</x:f>
        <x:v>0.9951890034364261</x:v>
      </x:c>
      <x:c r="G178" s="11" t="n">
        <x:v>0.07560137457044673</x:v>
      </x:c>
      <x:c r="H178" s="11" t="n">
        <x:v>0.9621993127147767</x:v>
      </x:c>
      <x:c r="I178" s="11" t="n">
        <x:v>0.024054982817869417</x:v>
      </x:c>
      <x:c r="J178" s="12" t="n">
        <x:v>5.61251794497172</x:v>
      </x:c>
      <x:c r="K178" s="12" t="n">
        <x:v>40.74095528920491</x:v>
      </x:c>
      <x:c r="L178" s="12" t="n">
        <x:v>35.12843734423319</x:v>
      </x:c>
      <x:c r="M178" s="12" t="n">
        <x:v>20.35869115193685</x:v>
      </x:c>
      <x:c r="N178" s="12" t="n">
        <x:v>20.875366592407225</x:v>
      </x:c>
      <x:c r="O178" s="12" t="n">
        <x:v>0.516675440470376</x:v>
      </x:c>
      <x:c r="P178" s="12" t="n">
        <x:v>0.5576128800710042</x:v>
      </x:c>
      <x:c r="Q178" s="12" t="n">
        <x:v>0.8922156592210134</x:v>
      </x:c>
      <x:c r="R178" s="12" t="n">
        <x:v>0.33460277915000924</x:v>
      </x:c>
      <x:c r="S178" s="11" t="n">
        <x:f>'Method'!$B$7</x:f>
        <x:v>0.2</x:v>
      </x:c>
      <x:c r="T178" s="11" t="n">
        <x:f>'Method'!$B$8</x:f>
        <x:v>0.2</x:v>
      </x:c>
      <x:c r="U178" s="11" t="n">
        <x:f>'Method'!$B$9</x:f>
        <x:v>0.2</x:v>
      </x:c>
      <x:c r="V178" s="11" t="n">
        <x:f>1-D178</x:f>
        <x:v>0.015120274914089293</x:v>
      </x:c>
      <x:c r="W178" s="11" t="n">
        <x:f>1-E178</x:f>
        <x:v>0.1924398625429553</x:v>
      </x:c>
      <x:c r="X178" s="11" t="n">
        <x:f>1-F178</x:f>
        <x:v>0.004810996563573866</x:v>
      </x:c>
    </x:row>
    <x:row r="179" ht="18" customHeight="1">
      <x:c r="A179" s="10" t="str">
        <x:v>VA</x:v>
      </x:c>
      <x:c r="B179" s="10" t="str">
        <x:v>51029</x:v>
      </x:c>
      <x:c r="C179" s="10" t="str">
        <x:v>Buckingham County</x:v>
      </x:c>
      <x:c r="D179" s="11" t="n">
        <x:f>1-'Method'!$B$7*G179</x:f>
        <x:v>0.8872852233676976</x:v>
      </x:c>
      <x:c r="E179" s="11" t="n">
        <x:f>1-'Method'!$B$8*H179</x:f>
        <x:v>1</x:v>
      </x:c>
      <x:c r="F179" s="11" t="n">
        <x:f>1-'Method'!$B$9*I179</x:f>
        <x:v>0.8824742268041237</x:v>
      </x:c>
      <x:c r="G179" s="11" t="n">
        <x:v>0.563573883161512</x:v>
      </x:c>
      <x:c r="H179" s="11" t="n">
        <x:v>0</x:v>
      </x:c>
      <x:c r="I179" s="11" t="n">
        <x:v>0.5876288659793815</x:v>
      </x:c>
      <x:c r="J179" s="12" t="n">
        <x:v>25.56041202545166</x:v>
      </x:c>
      <x:c r="K179" s="12" t="n">
        <x:v>82.15688603719076</x:v>
      </x:c>
      <x:c r="L179" s="12" t="n">
        <x:v>56.5964740117391</x:v>
      </x:c>
      <x:c r="M179" s="12" t="n">
        <x:v>23.892499669392905</x:v>
      </x:c>
      <x:c r="N179" s="12" t="n">
        <x:v>23.707913462320963</x:v>
      </x:c>
      <x:c r="O179" s="12" t="n">
        <x:v>0</x:v>
      </x:c>
      <x:c r="P179" s="12" t="n">
        <x:v>1.2769801398118337</x:v>
      </x:c>
      <x:c r="Q179" s="12" t="n">
        <x:v>1.9797614932060241</x:v>
      </x:c>
      <x:c r="R179" s="12" t="n">
        <x:v>0.7027813533941905</x:v>
      </x:c>
      <x:c r="S179" s="11" t="n">
        <x:f>'Method'!$B$7</x:f>
        <x:v>0.2</x:v>
      </x:c>
      <x:c r="T179" s="11" t="n">
        <x:f>'Method'!$B$8</x:f>
        <x:v>0.2</x:v>
      </x:c>
      <x:c r="U179" s="11" t="n">
        <x:f>'Method'!$B$9</x:f>
        <x:v>0.2</x:v>
      </x:c>
      <x:c r="V179" s="11" t="n">
        <x:f>1-D179</x:f>
        <x:v>0.11271477663230245</x:v>
      </x:c>
      <x:c r="W179" s="11" t="n">
        <x:f>1-E179</x:f>
        <x:v>0</x:v>
      </x:c>
      <x:c r="X179" s="11" t="n">
        <x:f>1-F179</x:f>
        <x:v>0.11752577319587632</x:v>
      </x:c>
    </x:row>
    <x:row r="180" ht="18" customHeight="1">
      <x:c r="A180" s="10" t="str">
        <x:v>VA</x:v>
      </x:c>
      <x:c r="B180" s="10" t="str">
        <x:v>51031</x:v>
      </x:c>
      <x:c r="C180" s="10" t="str">
        <x:v>Campbell County</x:v>
      </x:c>
      <x:c r="D180" s="11" t="n">
        <x:f>1-'Method'!$B$7*G180</x:f>
        <x:v>0.9285223367697595</x:v>
      </x:c>
      <x:c r="E180" s="11" t="n">
        <x:f>1-'Method'!$B$8*H180</x:f>
        <x:v>1</x:v>
      </x:c>
      <x:c r="F180" s="11" t="n">
        <x:f>1-'Method'!$B$9*I180</x:f>
        <x:v>0.9450171821305842</x:v>
      </x:c>
      <x:c r="G180" s="11" t="n">
        <x:v>0.35738831615120276</x:v>
      </x:c>
      <x:c r="H180" s="11" t="n">
        <x:v>0</x:v>
      </x:c>
      <x:c r="I180" s="11" t="n">
        <x:v>0.27491408934707906</x:v>
      </x:c>
      <x:c r="J180" s="12" t="n">
        <x:v>20.535024642944336</x:v>
      </x:c>
      <x:c r="K180" s="12" t="n">
        <x:v>73.12610181172688</x:v>
      </x:c>
      <x:c r="L180" s="12" t="n">
        <x:v>52.59107716878255</x:v>
      </x:c>
      <x:c r="M180" s="12" t="n">
        <x:v>24.563660176595054</x:v>
      </x:c>
      <x:c r="N180" s="12" t="n">
        <x:v>24.389146614074708</x:v>
      </x:c>
      <x:c r="O180" s="12" t="n">
        <x:v>0</x:v>
      </x:c>
      <x:c r="P180" s="12" t="n">
        <x:v>1.0684313297271728</x:v>
      </x:c>
      <x:c r="Q180" s="12" t="n">
        <x:v>1.6518580118815105</x:v>
      </x:c>
      <x:c r="R180" s="12" t="n">
        <x:v>0.5834266821543377</x:v>
      </x:c>
      <x:c r="S180" s="11" t="n">
        <x:f>'Method'!$B$7</x:f>
        <x:v>0.2</x:v>
      </x:c>
      <x:c r="T180" s="11" t="n">
        <x:f>'Method'!$B$8</x:f>
        <x:v>0.2</x:v>
      </x:c>
      <x:c r="U180" s="11" t="n">
        <x:f>'Method'!$B$9</x:f>
        <x:v>0.2</x:v>
      </x:c>
      <x:c r="V180" s="11" t="n">
        <x:f>1-D180</x:f>
        <x:v>0.07147766323024052</x:v>
      </x:c>
      <x:c r="W180" s="11" t="n">
        <x:f>1-E180</x:f>
        <x:v>0</x:v>
      </x:c>
      <x:c r="X180" s="11" t="n">
        <x:f>1-F180</x:f>
        <x:v>0.054982817869415834</x:v>
      </x:c>
    </x:row>
    <x:row r="181" ht="18" customHeight="1">
      <x:c r="A181" s="10" t="str">
        <x:v>VA</x:v>
      </x:c>
      <x:c r="B181" s="10" t="str">
        <x:v>51033</x:v>
      </x:c>
      <x:c r="C181" s="10" t="str">
        <x:v>Caroline County</x:v>
      </x:c>
      <x:c r="D181" s="11" t="n">
        <x:f>1-'Method'!$B$7*G181</x:f>
        <x:v>0.911340206185567</x:v>
      </x:c>
      <x:c r="E181" s="11" t="n">
        <x:f>1-'Method'!$B$8*H181</x:f>
        <x:v>1</x:v>
      </x:c>
      <x:c r="F181" s="11" t="n">
        <x:f>1-'Method'!$B$9*I181</x:f>
        <x:v>0.9175257731958762</x:v>
      </x:c>
      <x:c r="G181" s="11" t="n">
        <x:v>0.44329896907216493</x:v>
      </x:c>
      <x:c r="H181" s="11" t="n">
        <x:v>0</x:v>
      </x:c>
      <x:c r="I181" s="11" t="n">
        <x:v>0.41237113402061853</x:v>
      </x:c>
      <x:c r="J181" s="12" t="n">
        <x:v>25.231641896565755</x:v>
      </x:c>
      <x:c r="K181" s="12" t="n">
        <x:v>79.23353970845541</x:v>
      </x:c>
      <x:c r="L181" s="12" t="n">
        <x:v>54.001897811889656</x:v>
      </x:c>
      <x:c r="M181" s="12" t="n">
        <x:v>23.417647743225096</x:v>
      </x:c>
      <x:c r="N181" s="12" t="n">
        <x:v>23.369526227315266</x:v>
      </x:c>
      <x:c r="O181" s="12" t="n">
        <x:v>0</x:v>
      </x:c>
      <x:c r="P181" s="12" t="n">
        <x:v>0.9976842840512593</x:v>
      </x:c>
      <x:c r="Q181" s="12" t="n">
        <x:v>1.6444597482681274</x:v>
      </x:c>
      <x:c r="R181" s="12" t="n">
        <x:v>0.646775464216868</x:v>
      </x:c>
      <x:c r="S181" s="11" t="n">
        <x:f>'Method'!$B$7</x:f>
        <x:v>0.2</x:v>
      </x:c>
      <x:c r="T181" s="11" t="n">
        <x:f>'Method'!$B$8</x:f>
        <x:v>0.2</x:v>
      </x:c>
      <x:c r="U181" s="11" t="n">
        <x:f>'Method'!$B$9</x:f>
        <x:v>0.2</x:v>
      </x:c>
      <x:c r="V181" s="11" t="n">
        <x:f>1-D181</x:f>
        <x:v>0.08865979381443301</x:v>
      </x:c>
      <x:c r="W181" s="11" t="n">
        <x:f>1-E181</x:f>
        <x:v>0</x:v>
      </x:c>
      <x:c r="X181" s="11" t="n">
        <x:f>1-F181</x:f>
        <x:v>0.08247422680412375</x:v>
      </x:c>
    </x:row>
    <x:row r="182" ht="18" customHeight="1">
      <x:c r="A182" s="10" t="str">
        <x:v>VA</x:v>
      </x:c>
      <x:c r="B182" s="10" t="str">
        <x:v>51035</x:v>
      </x:c>
      <x:c r="C182" s="10" t="str">
        <x:v>Carroll County</x:v>
      </x:c>
      <x:c r="D182" s="11" t="n">
        <x:f>1-'Method'!$B$7*G182</x:f>
        <x:v>0.993127147766323</x:v>
      </x:c>
      <x:c r="E182" s="11" t="n">
        <x:f>1-'Method'!$B$8*H182</x:f>
        <x:v>0.8288659793814432</x:v>
      </x:c>
      <x:c r="F182" s="11" t="n">
        <x:f>1-'Method'!$B$9*I182</x:f>
        <x:v>0.822680412371134</x:v>
      </x:c>
      <x:c r="G182" s="11" t="n">
        <x:v>0.03436426116838488</x:v>
      </x:c>
      <x:c r="H182" s="11" t="n">
        <x:v>0.8556701030927835</x:v>
      </x:c>
      <x:c r="I182" s="11" t="n">
        <x:v>0.8865979381443299</x:v>
      </x:c>
      <x:c r="J182" s="12" t="n">
        <x:v>2.0751580874125164</x:v>
      </x:c>
      <x:c r="K182" s="12" t="n">
        <x:v>26.004488627115887</x:v>
      </x:c>
      <x:c r="L182" s="12" t="n">
        <x:v>23.929330539703372</x:v>
      </x:c>
      <x:c r="M182" s="12" t="n">
        <x:v>23.540275001525877</x:v>
      </x:c>
      <x:c r="N182" s="12" t="n">
        <x:v>23.786143175760905</x:v>
      </x:c>
      <x:c r="O182" s="12" t="n">
        <x:v>0.24586817423502794</x:v>
      </x:c>
      <x:c r="P182" s="12" t="n">
        <x:v>1.66882666349411</x:v>
      </x:c>
      <x:c r="Q182" s="12" t="n">
        <x:v>2.54852987130483</x:v>
      </x:c>
      <x:c r="R182" s="12" t="n">
        <x:v>0.8797032078107199</x:v>
      </x:c>
      <x:c r="S182" s="11" t="n">
        <x:f>'Method'!$B$7</x:f>
        <x:v>0.2</x:v>
      </x:c>
      <x:c r="T182" s="11" t="n">
        <x:f>'Method'!$B$8</x:f>
        <x:v>0.2</x:v>
      </x:c>
      <x:c r="U182" s="11" t="n">
        <x:f>'Method'!$B$9</x:f>
        <x:v>0.2</x:v>
      </x:c>
      <x:c r="V182" s="11" t="n">
        <x:f>1-D182</x:f>
        <x:v>0.0068728522336769515</x:v>
      </x:c>
      <x:c r="W182" s="11" t="n">
        <x:f>1-E182</x:f>
        <x:v>0.17113402061855676</x:v>
      </x:c>
      <x:c r="X182" s="11" t="n">
        <x:f>1-F182</x:f>
        <x:v>0.17731958762886602</x:v>
      </x:c>
    </x:row>
    <x:row r="183" ht="18" customHeight="1">
      <x:c r="A183" s="10" t="str">
        <x:v>VA</x:v>
      </x:c>
      <x:c r="B183" s="10" t="str">
        <x:v>51036</x:v>
      </x:c>
      <x:c r="C183" s="10" t="str">
        <x:v>Charles City County</x:v>
      </x:c>
      <x:c r="D183" s="11" t="n">
        <x:f>1-'Method'!$B$7*G183</x:f>
        <x:v>0.9017182130584193</x:v>
      </x:c>
      <x:c r="E183" s="11" t="n">
        <x:f>1-'Method'!$B$8*H183</x:f>
        <x:v>1</x:v>
      </x:c>
      <x:c r="F183" s="11" t="n">
        <x:f>1-'Method'!$B$9*I183</x:f>
        <x:v>0.902405498281787</x:v>
      </x:c>
      <x:c r="G183" s="11" t="n">
        <x:v>0.49140893470790376</x:v>
      </x:c>
      <x:c r="H183" s="11" t="n">
        <x:v>0</x:v>
      </x:c>
      <x:c r="I183" s="11" t="n">
        <x:v>0.4879725085910653</x:v>
      </x:c>
      <x:c r="J183" s="12" t="n">
        <x:v>35.7952392578125</x:v>
      </x:c>
      <x:c r="K183" s="12" t="n">
        <x:v>90.87605056762695</x:v>
      </x:c>
      <x:c r="L183" s="12" t="n">
        <x:v>55.08081130981445</x:v>
      </x:c>
      <x:c r="M183" s="12" t="n">
        <x:v>22.671169662475585</x:v>
      </x:c>
      <x:c r="N183" s="12" t="n">
        <x:v>22.668373807271323</x:v>
      </x:c>
      <x:c r="O183" s="12" t="n">
        <x:v>0</x:v>
      </x:c>
      <x:c r="P183" s="12" t="n">
        <x:v>1.2626364946365356</x:v>
      </x:c>
      <x:c r="Q183" s="12" t="n">
        <x:v>1.9386464953422546</x:v>
      </x:c>
      <x:c r="R183" s="12" t="n">
        <x:v>0.676010000705719</x:v>
      </x:c>
      <x:c r="S183" s="11" t="n">
        <x:f>'Method'!$B$7</x:f>
        <x:v>0.2</x:v>
      </x:c>
      <x:c r="T183" s="11" t="n">
        <x:f>'Method'!$B$8</x:f>
        <x:v>0.2</x:v>
      </x:c>
      <x:c r="U183" s="11" t="n">
        <x:f>'Method'!$B$9</x:f>
        <x:v>0.2</x:v>
      </x:c>
      <x:c r="V183" s="11" t="n">
        <x:f>1-D183</x:f>
        <x:v>0.09828178694158074</x:v>
      </x:c>
      <x:c r="W183" s="11" t="n">
        <x:f>1-E183</x:f>
        <x:v>0</x:v>
      </x:c>
      <x:c r="X183" s="11" t="n">
        <x:f>1-F183</x:f>
        <x:v>0.09759450171821304</x:v>
      </x:c>
    </x:row>
    <x:row r="184" ht="18" customHeight="1">
      <x:c r="A184" s="10" t="str">
        <x:v>VA</x:v>
      </x:c>
      <x:c r="B184" s="10" t="str">
        <x:v>51037</x:v>
      </x:c>
      <x:c r="C184" s="10" t="str">
        <x:v>Charlotte County</x:v>
      </x:c>
      <x:c r="D184" s="11" t="n">
        <x:f>1-'Method'!$B$7*G184</x:f>
        <x:v>0.9388316151202749</x:v>
      </x:c>
      <x:c r="E184" s="11" t="n">
        <x:f>1-'Method'!$B$8*H184</x:f>
        <x:v>1</x:v>
      </x:c>
      <x:c r="F184" s="11" t="n">
        <x:f>1-'Method'!$B$9*I184</x:f>
        <x:v>0.8378006872852234</x:v>
      </x:c>
      <x:c r="G184" s="11" t="n">
        <x:v>0.30584192439862545</x:v>
      </x:c>
      <x:c r="H184" s="11" t="n">
        <x:v>0</x:v>
      </x:c>
      <x:c r="I184" s="11" t="n">
        <x:v>0.8109965635738832</x:v>
      </x:c>
      <x:c r="J184" s="12" t="n">
        <x:v>28.169246101379393</x:v>
      </x:c>
      <x:c r="K184" s="12" t="n">
        <x:v>80.14289525349935</x:v>
      </x:c>
      <x:c r="L184" s="12" t="n">
        <x:v>51.973649152119954</x:v>
      </x:c>
      <x:c r="M184" s="12" t="n">
        <x:v>23.992742602030436</x:v>
      </x:c>
      <x:c r="N184" s="12" t="n">
        <x:v>23.662604395548502</x:v>
      </x:c>
      <x:c r="O184" s="12" t="n">
        <x:v>0</x:v>
      </x:c>
      <x:c r="P184" s="12" t="n">
        <x:v>1.2726201017697651</x:v>
      </x:c>
      <x:c r="Q184" s="12" t="n">
        <x:v>2.084096435705821</x:v>
      </x:c>
      <x:c r="R184" s="12" t="n">
        <x:v>0.8114763339360558</x:v>
      </x:c>
      <x:c r="S184" s="11" t="n">
        <x:f>'Method'!$B$7</x:f>
        <x:v>0.2</x:v>
      </x:c>
      <x:c r="T184" s="11" t="n">
        <x:f>'Method'!$B$8</x:f>
        <x:v>0.2</x:v>
      </x:c>
      <x:c r="U184" s="11" t="n">
        <x:f>'Method'!$B$9</x:f>
        <x:v>0.2</x:v>
      </x:c>
      <x:c r="V184" s="11" t="n">
        <x:f>1-D184</x:f>
        <x:v>0.06116838487972509</x:v>
      </x:c>
      <x:c r="W184" s="11" t="n">
        <x:f>1-E184</x:f>
        <x:v>0</x:v>
      </x:c>
      <x:c r="X184" s="11" t="n">
        <x:f>1-F184</x:f>
        <x:v>0.1621993127147766</x:v>
      </x:c>
    </x:row>
    <x:row r="185" ht="18" customHeight="1">
      <x:c r="A185" s="10" t="str">
        <x:v>VA</x:v>
      </x:c>
      <x:c r="B185" s="10" t="str">
        <x:v>51041</x:v>
      </x:c>
      <x:c r="C185" s="10" t="str">
        <x:v>Chesterfield County</x:v>
      </x:c>
      <x:c r="D185" s="11" t="n">
        <x:f>1-'Method'!$B$7*G185</x:f>
        <x:v>0.9147766323024055</x:v>
      </x:c>
      <x:c r="E185" s="11" t="n">
        <x:f>1-'Method'!$B$8*H185</x:f>
        <x:v>1</x:v>
      </x:c>
      <x:c r="F185" s="11" t="n">
        <x:f>1-'Method'!$B$9*I185</x:f>
        <x:v>0.9147766323024055</x:v>
      </x:c>
      <x:c r="G185" s="11" t="n">
        <x:v>0.4261168384879725</x:v>
      </x:c>
      <x:c r="H185" s="11" t="n">
        <x:v>0</x:v>
      </x:c>
      <x:c r="I185" s="11" t="n">
        <x:v>0.4261168384879725</x:v>
      </x:c>
      <x:c r="J185" s="12" t="n">
        <x:v>30.659940719604492</x:v>
      </x:c>
      <x:c r="K185" s="12" t="n">
        <x:v>84.48398818969727</x:v>
      </x:c>
      <x:c r="L185" s="12" t="n">
        <x:v>53.82404747009278</x:v>
      </x:c>
      <x:c r="M185" s="12" t="n">
        <x:v>22.805259132385252</x:v>
      </x:c>
      <x:c r="N185" s="12" t="n">
        <x:v>22.69276631673177</x:v>
      </x:c>
      <x:c r="O185" s="12" t="n">
        <x:v>0</x:v>
      </x:c>
      <x:c r="P185" s="12" t="n">
        <x:v>1.2121943672498068</x:v>
      </x:c>
      <x:c r="Q185" s="12" t="n">
        <x:v>1.8669456402460733</x:v>
      </x:c>
      <x:c r="R185" s="12" t="n">
        <x:v>0.6547512729962666</x:v>
      </x:c>
      <x:c r="S185" s="11" t="n">
        <x:f>'Method'!$B$7</x:f>
        <x:v>0.2</x:v>
      </x:c>
      <x:c r="T185" s="11" t="n">
        <x:f>'Method'!$B$8</x:f>
        <x:v>0.2</x:v>
      </x:c>
      <x:c r="U185" s="11" t="n">
        <x:f>'Method'!$B$9</x:f>
        <x:v>0.2</x:v>
      </x:c>
      <x:c r="V185" s="11" t="n">
        <x:f>1-D185</x:f>
        <x:v>0.08522336769759453</x:v>
      </x:c>
      <x:c r="W185" s="11" t="n">
        <x:f>1-E185</x:f>
        <x:v>0</x:v>
      </x:c>
      <x:c r="X185" s="11" t="n">
        <x:f>1-F185</x:f>
        <x:v>0.08522336769759453</x:v>
      </x:c>
    </x:row>
    <x:row r="186" ht="18" customHeight="1">
      <x:c r="A186" s="10" t="str">
        <x:v>VA</x:v>
      </x:c>
      <x:c r="B186" s="10" t="str">
        <x:v>51043</x:v>
      </x:c>
      <x:c r="C186" s="10" t="str">
        <x:v>Clarke County</x:v>
      </x:c>
      <x:c r="D186" s="11" t="n">
        <x:f>1-'Method'!$B$7*G186</x:f>
        <x:v>0.9580756013745705</x:v>
      </x:c>
      <x:c r="E186" s="11" t="n">
        <x:f>1-'Method'!$B$8*H186</x:f>
        <x:v>1</x:v>
      </x:c>
      <x:c r="F186" s="11" t="n">
        <x:f>1-'Method'!$B$9*I186</x:f>
        <x:v>0.9766323024054983</x:v>
      </x:c>
      <x:c r="G186" s="11" t="n">
        <x:v>0.20962199312714777</x:v>
      </x:c>
      <x:c r="H186" s="11" t="n">
        <x:v>0</x:v>
      </x:c>
      <x:c r="I186" s="11" t="n">
        <x:v>0.11683848797250859</x:v>
      </x:c>
      <x:c r="J186" s="12" t="n">
        <x:v>15.71135196685791</x:v>
      </x:c>
      <x:c r="K186" s="12" t="n">
        <x:v>63.42054761250814</x:v>
      </x:c>
      <x:c r="L186" s="12" t="n">
        <x:v>47.709195645650226</x:v>
      </x:c>
      <x:c r="M186" s="12" t="n">
        <x:v>24.356344350179036</x:v>
      </x:c>
      <x:c r="N186" s="12" t="n">
        <x:v>24.2080197652181</x:v>
      </x:c>
      <x:c r="O186" s="12" t="n">
        <x:v>0</x:v>
      </x:c>
      <x:c r="P186" s="12" t="n">
        <x:v>0.9780177623033524</x:v>
      </x:c>
      <x:c r="Q186" s="12" t="n">
        <x:v>1.460064129034678</x:v>
      </x:c>
      <x:c r="R186" s="12" t="n">
        <x:v>0.4820463667313257</x:v>
      </x:c>
      <x:c r="S186" s="11" t="n">
        <x:f>'Method'!$B$7</x:f>
        <x:v>0.2</x:v>
      </x:c>
      <x:c r="T186" s="11" t="n">
        <x:f>'Method'!$B$8</x:f>
        <x:v>0.2</x:v>
      </x:c>
      <x:c r="U186" s="11" t="n">
        <x:f>'Method'!$B$9</x:f>
        <x:v>0.2</x:v>
      </x:c>
      <x:c r="V186" s="11" t="n">
        <x:f>1-D186</x:f>
        <x:v>0.041924398625429515</x:v>
      </x:c>
      <x:c r="W186" s="11" t="n">
        <x:f>1-E186</x:f>
        <x:v>0</x:v>
      </x:c>
      <x:c r="X186" s="11" t="n">
        <x:f>1-F186</x:f>
        <x:v>0.023367697594501746</x:v>
      </x:c>
    </x:row>
    <x:row r="187" ht="18" customHeight="1">
      <x:c r="A187" s="10" t="str">
        <x:v>VA</x:v>
      </x:c>
      <x:c r="B187" s="10" t="str">
        <x:v>51045</x:v>
      </x:c>
      <x:c r="C187" s="10" t="str">
        <x:v>Craig County</x:v>
      </x:c>
      <x:c r="D187" s="11" t="n">
        <x:f>1-'Method'!$B$7*G187</x:f>
        <x:v>0.9896907216494846</x:v>
      </x:c>
      <x:c r="E187" s="11" t="n">
        <x:f>1-'Method'!$B$8*H187</x:f>
        <x:v>0.8261168384879725</x:v>
      </x:c>
      <x:c r="F187" s="11" t="n">
        <x:f>1-'Method'!$B$9*I187</x:f>
        <x:v>0.9484536082474226</x:v>
      </x:c>
      <x:c r="G187" s="11" t="n">
        <x:v>0.05154639175257732</x:v>
      </x:c>
      <x:c r="H187" s="11" t="n">
        <x:v>0.8694158075601375</x:v>
      </x:c>
      <x:c r="I187" s="11" t="n">
        <x:v>0.25773195876288657</x:v>
      </x:c>
      <x:c r="J187" s="12" t="n">
        <x:v>3.3997844378153483</x:v>
      </x:c>
      <x:c r="K187" s="12" t="n">
        <x:v>34.45156707763672</x:v>
      </x:c>
      <x:c r="L187" s="12" t="n">
        <x:v>31.05178263982137</x:v>
      </x:c>
      <x:c r="M187" s="12" t="n">
        <x:v>23.10528055826823</x:v>
      </x:c>
      <x:c r="N187" s="12" t="n">
        <x:v>23.399422899881998</x:v>
      </x:c>
      <x:c r="O187" s="12" t="n">
        <x:v>0.2941423416137674</x:v>
      </x:c>
      <x:c r="P187" s="12" t="n">
        <x:v>0.9575297156969707</x:v>
      </x:c>
      <x:c r="Q187" s="12" t="n">
        <x:v>1.5264628728230794</x:v>
      </x:c>
      <x:c r="R187" s="12" t="n">
        <x:v>0.5689331571261087</x:v>
      </x:c>
      <x:c r="S187" s="11" t="n">
        <x:f>'Method'!$B$7</x:f>
        <x:v>0.2</x:v>
      </x:c>
      <x:c r="T187" s="11" t="n">
        <x:f>'Method'!$B$8</x:f>
        <x:v>0.2</x:v>
      </x:c>
      <x:c r="U187" s="11" t="n">
        <x:f>'Method'!$B$9</x:f>
        <x:v>0.2</x:v>
      </x:c>
      <x:c r="V187" s="11" t="n">
        <x:f>1-D187</x:f>
        <x:v>0.010309278350515427</x:v>
      </x:c>
      <x:c r="W187" s="11" t="n">
        <x:f>1-E187</x:f>
        <x:v>0.17388316151202754</x:v>
      </x:c>
      <x:c r="X187" s="11" t="n">
        <x:f>1-F187</x:f>
        <x:v>0.05154639175257736</x:v>
      </x:c>
    </x:row>
    <x:row r="188" ht="18" customHeight="1">
      <x:c r="A188" s="10" t="str">
        <x:v>VA</x:v>
      </x:c>
      <x:c r="B188" s="10" t="str">
        <x:v>51047</x:v>
      </x:c>
      <x:c r="C188" s="10" t="str">
        <x:v>Culpeper County</x:v>
      </x:c>
      <x:c r="D188" s="11" t="n">
        <x:f>1-'Method'!$B$7*G188</x:f>
        <x:v>0.9243986254295533</x:v>
      </x:c>
      <x:c r="E188" s="11" t="n">
        <x:f>1-'Method'!$B$8*H188</x:f>
        <x:v>1</x:v>
      </x:c>
      <x:c r="F188" s="11" t="n">
        <x:f>1-'Method'!$B$9*I188</x:f>
        <x:v>0.9298969072164949</x:v>
      </x:c>
      <x:c r="G188" s="11" t="n">
        <x:v>0.37800687285223367</x:v>
      </x:c>
      <x:c r="H188" s="11" t="n">
        <x:v>0</x:v>
      </x:c>
      <x:c r="I188" s="11" t="n">
        <x:v>0.35051546391752575</x:v>
      </x:c>
      <x:c r="J188" s="12" t="n">
        <x:v>22.50271841684977</x:v>
      </x:c>
      <x:c r="K188" s="12" t="n">
        <x:v>75.30711682637532</x:v>
      </x:c>
      <x:c r="L188" s="12" t="n">
        <x:v>52.80439840952555</x:v>
      </x:c>
      <x:c r="M188" s="12" t="n">
        <x:v>24.529931831359864</x:v>
      </x:c>
      <x:c r="N188" s="12" t="n">
        <x:v>23.94360408782959</x:v>
      </x:c>
      <x:c r="O188" s="12" t="n">
        <x:v>0</x:v>
      </x:c>
      <x:c r="P188" s="12" t="n">
        <x:v>1.1410972515741984</x:v>
      </x:c>
      <x:c r="Q188" s="12" t="n">
        <x:v>1.7691594362258911</x:v>
      </x:c>
      <x:c r="R188" s="12" t="n">
        <x:v>0.6280621846516927</x:v>
      </x:c>
      <x:c r="S188" s="11" t="n">
        <x:f>'Method'!$B$7</x:f>
        <x:v>0.2</x:v>
      </x:c>
      <x:c r="T188" s="11" t="n">
        <x:f>'Method'!$B$8</x:f>
        <x:v>0.2</x:v>
      </x:c>
      <x:c r="U188" s="11" t="n">
        <x:f>'Method'!$B$9</x:f>
        <x:v>0.2</x:v>
      </x:c>
      <x:c r="V188" s="11" t="n">
        <x:f>1-D188</x:f>
        <x:v>0.07560137457044669</x:v>
      </x:c>
      <x:c r="W188" s="11" t="n">
        <x:f>1-E188</x:f>
        <x:v>0</x:v>
      </x:c>
      <x:c r="X188" s="11" t="n">
        <x:f>1-F188</x:f>
        <x:v>0.07010309278350513</x:v>
      </x:c>
    </x:row>
    <x:row r="189" ht="18" customHeight="1">
      <x:c r="A189" s="10" t="str">
        <x:v>VA</x:v>
      </x:c>
      <x:c r="B189" s="10" t="str">
        <x:v>51049</x:v>
      </x:c>
      <x:c r="C189" s="10" t="str">
        <x:v>Cumberland County</x:v>
      </x:c>
      <x:c r="D189" s="11" t="n">
        <x:f>1-'Method'!$B$7*G189</x:f>
        <x:v>0.8879725085910652</x:v>
      </x:c>
      <x:c r="E189" s="11" t="n">
        <x:f>1-'Method'!$B$8*H189</x:f>
        <x:v>1</x:v>
      </x:c>
      <x:c r="F189" s="11" t="n">
        <x:f>1-'Method'!$B$9*I189</x:f>
        <x:v>0.9003436426116839</x:v>
      </x:c>
      <x:c r="G189" s="11" t="n">
        <x:v>0.5601374570446735</x:v>
      </x:c>
      <x:c r="H189" s="11" t="n">
        <x:v>0</x:v>
      </x:c>
      <x:c r="I189" s="11" t="n">
        <x:v>0.49828178694158076</x:v>
      </x:c>
      <x:c r="J189" s="12" t="n">
        <x:v>29.52299912770589</x:v>
      </x:c>
      <x:c r="K189" s="12" t="n">
        <x:v>86.10165379842122</x:v>
      </x:c>
      <x:c r="L189" s="12" t="n">
        <x:v>56.57865467071534</x:v>
      </x:c>
      <x:c r="M189" s="12" t="n">
        <x:v>23.632941182454427</x:v>
      </x:c>
      <x:c r="N189" s="12" t="n">
        <x:v>23.452857081095377</x:v>
      </x:c>
      <x:c r="O189" s="12" t="n">
        <x:v>0</x:v>
      </x:c>
      <x:c r="P189" s="12" t="n">
        <x:v>1.2624291042486826</x:v>
      </x:c>
      <x:c r="Q189" s="12" t="n">
        <x:v>1.9414435982704163</x:v>
      </x:c>
      <x:c r="R189" s="12" t="n">
        <x:v>0.6790144940217337</x:v>
      </x:c>
      <x:c r="S189" s="11" t="n">
        <x:f>'Method'!$B$7</x:f>
        <x:v>0.2</x:v>
      </x:c>
      <x:c r="T189" s="11" t="n">
        <x:f>'Method'!$B$8</x:f>
        <x:v>0.2</x:v>
      </x:c>
      <x:c r="U189" s="11" t="n">
        <x:f>'Method'!$B$9</x:f>
        <x:v>0.2</x:v>
      </x:c>
      <x:c r="V189" s="11" t="n">
        <x:f>1-D189</x:f>
        <x:v>0.11202749140893475</x:v>
      </x:c>
      <x:c r="W189" s="11" t="n">
        <x:f>1-E189</x:f>
        <x:v>0</x:v>
      </x:c>
      <x:c r="X189" s="11" t="n">
        <x:f>1-F189</x:f>
        <x:v>0.09965635738831613</x:v>
      </x:c>
    </x:row>
    <x:row r="190" ht="18" customHeight="1">
      <x:c r="A190" s="10" t="str">
        <x:v>VA</x:v>
      </x:c>
      <x:c r="B190" s="10" t="str">
        <x:v>51051</x:v>
      </x:c>
      <x:c r="C190" s="10" t="str">
        <x:v>Dickenson County</x:v>
      </x:c>
      <x:c r="D190" s="11" t="n">
        <x:f>1-'Method'!$B$7*G190</x:f>
        <x:v>0.9876288659793815</x:v>
      </x:c>
      <x:c r="E190" s="11" t="n">
        <x:f>1-'Method'!$B$8*H190</x:f>
        <x:v>0.8020618556701031</x:v>
      </x:c>
      <x:c r="F190" s="11" t="n">
        <x:f>1-'Method'!$B$9*I190</x:f>
        <x:v>0.9965635738831615</x:v>
      </x:c>
      <x:c r="G190" s="11" t="n">
        <x:v>0.061855670103092786</x:v>
      </x:c>
      <x:c r="H190" s="11" t="n">
        <x:v>0.9896907216494846</x:v>
      </x:c>
      <x:c r="I190" s="11" t="n">
        <x:v>0.01718213058419244</x:v>
      </x:c>
      <x:c r="J190" s="12" t="n">
        <x:v>3.1390092611312865</x:v>
      </x:c>
      <x:c r="K190" s="12" t="n">
        <x:v>35.493557612101235</x:v>
      </x:c>
      <x:c r="L190" s="12" t="n">
        <x:v>32.35454835096995</x:v>
      </x:c>
      <x:c r="M190" s="12" t="n">
        <x:v>20.19626089731852</x:v>
      </x:c>
      <x:c r="N190" s="12" t="n">
        <x:v>20.83032169342041</x:v>
      </x:c>
      <x:c r="O190" s="12" t="n">
        <x:v>0.6340607961018883</x:v>
      </x:c>
      <x:c r="P190" s="12" t="n">
        <x:v>0.5706324944893519</x:v>
      </x:c>
      <x:c r="Q190" s="12" t="n">
        <x:v>0.8856158037980397</x:v>
      </x:c>
      <x:c r="R190" s="12" t="n">
        <x:v>0.3149833093086878</x:v>
      </x:c>
      <x:c r="S190" s="11" t="n">
        <x:f>'Method'!$B$7</x:f>
        <x:v>0.2</x:v>
      </x:c>
      <x:c r="T190" s="11" t="n">
        <x:f>'Method'!$B$8</x:f>
        <x:v>0.2</x:v>
      </x:c>
      <x:c r="U190" s="11" t="n">
        <x:f>'Method'!$B$9</x:f>
        <x:v>0.2</x:v>
      </x:c>
      <x:c r="V190" s="11" t="n">
        <x:f>1-D190</x:f>
        <x:v>0.012371134020618513</x:v>
      </x:c>
      <x:c r="W190" s="11" t="n">
        <x:f>1-E190</x:f>
        <x:v>0.19793814432989687</x:v>
      </x:c>
      <x:c r="X190" s="11" t="n">
        <x:f>1-F190</x:f>
        <x:v>0.0034364261168384758</x:v>
      </x:c>
    </x:row>
    <x:row r="191" ht="18" customHeight="1">
      <x:c r="A191" s="10" t="str">
        <x:v>VA</x:v>
      </x:c>
      <x:c r="B191" s="10" t="str">
        <x:v>51053</x:v>
      </x:c>
      <x:c r="C191" s="10" t="str">
        <x:v>Dinwiddie County</x:v>
      </x:c>
      <x:c r="D191" s="11" t="n">
        <x:f>1-'Method'!$B$7*G191</x:f>
        <x:v>0.9367697594501718</x:v>
      </x:c>
      <x:c r="E191" s="11" t="n">
        <x:f>1-'Method'!$B$8*H191</x:f>
        <x:v>1</x:v>
      </x:c>
      <x:c r="F191" s="11" t="n">
        <x:f>1-'Method'!$B$9*I191</x:f>
        <x:v>0.9505154639175257</x:v>
      </x:c>
      <x:c r="G191" s="11" t="n">
        <x:v>0.3161512027491409</x:v>
      </x:c>
      <x:c r="H191" s="11" t="n">
        <x:v>0</x:v>
      </x:c>
      <x:c r="I191" s="11" t="n">
        <x:v>0.24742268041237114</x:v>
      </x:c>
      <x:c r="J191" s="12" t="n">
        <x:v>31.794620196024578</x:v>
      </x:c>
      <x:c r="K191" s="12" t="n">
        <x:v>83.81228383382161</x:v>
      </x:c>
      <x:c r="L191" s="12" t="n">
        <x:v>52.01766363779703</x:v>
      </x:c>
      <x:c r="M191" s="12" t="n">
        <x:v>23.376568539937338</x:v>
      </x:c>
      <x:c r="N191" s="12" t="n">
        <x:v>23.13995272318522</x:v>
      </x:c>
      <x:c r="O191" s="12" t="n">
        <x:v>0</x:v>
      </x:c>
      <x:c r="P191" s="12" t="n">
        <x:v>1.1964626073837281</x:v>
      </x:c>
      <x:c r="Q191" s="12" t="n">
        <x:v>1.7621406157811483</x:v>
      </x:c>
      <x:c r="R191" s="12" t="n">
        <x:v>0.5656780083974202</x:v>
      </x:c>
      <x:c r="S191" s="11" t="n">
        <x:f>'Method'!$B$7</x:f>
        <x:v>0.2</x:v>
      </x:c>
      <x:c r="T191" s="11" t="n">
        <x:f>'Method'!$B$8</x:f>
        <x:v>0.2</x:v>
      </x:c>
      <x:c r="U191" s="11" t="n">
        <x:f>'Method'!$B$9</x:f>
        <x:v>0.2</x:v>
      </x:c>
      <x:c r="V191" s="11" t="n">
        <x:f>1-D191</x:f>
        <x:v>0.06323024054982818</x:v>
      </x:c>
      <x:c r="W191" s="11" t="n">
        <x:f>1-E191</x:f>
        <x:v>0</x:v>
      </x:c>
      <x:c r="X191" s="11" t="n">
        <x:f>1-F191</x:f>
        <x:v>0.04948453608247427</x:v>
      </x:c>
    </x:row>
    <x:row r="192" ht="18" customHeight="1">
      <x:c r="A192" s="10" t="str">
        <x:v>VA</x:v>
      </x:c>
      <x:c r="B192" s="10" t="str">
        <x:v>51057</x:v>
      </x:c>
      <x:c r="C192" s="10" t="str">
        <x:v>Essex County</x:v>
      </x:c>
      <x:c r="D192" s="11" t="n">
        <x:f>1-'Method'!$B$7*G192</x:f>
        <x:v>0.8989690721649485</x:v>
      </x:c>
      <x:c r="E192" s="11" t="n">
        <x:f>1-'Method'!$B$8*H192</x:f>
        <x:v>0.822680412371134</x:v>
      </x:c>
      <x:c r="F192" s="11" t="n">
        <x:f>1-'Method'!$B$9*I192</x:f>
        <x:v>0.8969072164948454</x:v>
      </x:c>
      <x:c r="G192" s="11" t="n">
        <x:v>0.5051546391752577</x:v>
      </x:c>
      <x:c r="H192" s="11" t="n">
        <x:v>0.8865979381443299</x:v>
      </x:c>
      <x:c r="I192" s="11" t="n">
        <x:v>0.5154639175257731</x:v>
      </x:c>
      <x:c r="J192" s="12" t="n">
        <x:v>31.04402364095052</x:v>
      </x:c>
      <x:c r="K192" s="12" t="n">
        <x:v>86.29223454793295</x:v>
      </x:c>
      <x:c r="L192" s="12" t="n">
        <x:v>55.24821090698243</x:v>
      </x:c>
      <x:c r="M192" s="12" t="n">
        <x:v>23.283687273661297</x:v>
      </x:c>
      <x:c r="N192" s="12" t="n">
        <x:v>23.605619621276855</x:v>
      </x:c>
      <x:c r="O192" s="12" t="n">
        <x:v>0.321932347615558</x:v>
      </x:c>
      <x:c r="P192" s="12" t="n">
        <x:v>1.1646561940511069</x:v>
      </x:c>
      <x:c r="Q192" s="12" t="n">
        <x:v>1.8484030842781067</x:v>
      </x:c>
      <x:c r="R192" s="12" t="n">
        <x:v>0.6837468902269999</x:v>
      </x:c>
      <x:c r="S192" s="11" t="n">
        <x:f>'Method'!$B$7</x:f>
        <x:v>0.2</x:v>
      </x:c>
      <x:c r="T192" s="11" t="n">
        <x:f>'Method'!$B$8</x:f>
        <x:v>0.2</x:v>
      </x:c>
      <x:c r="U192" s="11" t="n">
        <x:f>'Method'!$B$9</x:f>
        <x:v>0.2</x:v>
      </x:c>
      <x:c r="V192" s="11" t="n">
        <x:f>1-D192</x:f>
        <x:v>0.10103092783505152</x:v>
      </x:c>
      <x:c r="W192" s="11" t="n">
        <x:f>1-E192</x:f>
        <x:v>0.17731958762886602</x:v>
      </x:c>
      <x:c r="X192" s="11" t="n">
        <x:f>1-F192</x:f>
        <x:v>0.1030927835051546</x:v>
      </x:c>
    </x:row>
    <x:row r="193" ht="18" customHeight="1">
      <x:c r="A193" s="10" t="str">
        <x:v>VA</x:v>
      </x:c>
      <x:c r="B193" s="10" t="str">
        <x:v>51059</x:v>
      </x:c>
      <x:c r="C193" s="10" t="str">
        <x:v>Fairfax County</x:v>
      </x:c>
      <x:c r="D193" s="11" t="n">
        <x:f>1-'Method'!$B$7*G193</x:f>
        <x:v>0.9120274914089347</x:v>
      </x:c>
      <x:c r="E193" s="11" t="n">
        <x:f>1-'Method'!$B$8*H193</x:f>
        <x:v>0.8419243986254296</x:v>
      </x:c>
      <x:c r="F193" s="11" t="n">
        <x:f>1-'Method'!$B$9*I193</x:f>
        <x:v>0.9800687285223367</x:v>
      </x:c>
      <x:c r="G193" s="11" t="n">
        <x:v>0.43986254295532645</x:v>
      </x:c>
      <x:c r="H193" s="11" t="n">
        <x:v>0.7903780068728522</x:v>
      </x:c>
      <x:c r="I193" s="11" t="n">
        <x:v>0.09965635738831616</x:v>
      </x:c>
      <x:c r="J193" s="12" t="n">
        <x:v>22.107075691223145</x:v>
      </x:c>
      <x:c r="K193" s="12" t="n">
        <x:v>76.07676569620769</x:v>
      </x:c>
      <x:c r="L193" s="12" t="n">
        <x:v>53.96969000498454</x:v>
      </x:c>
      <x:c r="M193" s="12" t="n">
        <x:v>24.04370549519857</x:v>
      </x:c>
      <x:c r="N193" s="12" t="n">
        <x:v>24.211007372538248</x:v>
      </x:c>
      <x:c r="O193" s="12" t="n">
        <x:v>0.16730187733967838</x:v>
      </x:c>
      <x:c r="P193" s="12" t="n">
        <x:v>1.1334091504414876</x:v>
      </x:c>
      <x:c r="Q193" s="12" t="n">
        <x:v>1.5994866728782653</x:v>
      </x:c>
      <x:c r="R193" s="12" t="n">
        <x:v>0.4660775224367777</x:v>
      </x:c>
      <x:c r="S193" s="11" t="n">
        <x:f>'Method'!$B$7</x:f>
        <x:v>0.2</x:v>
      </x:c>
      <x:c r="T193" s="11" t="n">
        <x:f>'Method'!$B$8</x:f>
        <x:v>0.2</x:v>
      </x:c>
      <x:c r="U193" s="11" t="n">
        <x:f>'Method'!$B$9</x:f>
        <x:v>0.2</x:v>
      </x:c>
      <x:c r="V193" s="11" t="n">
        <x:f>1-D193</x:f>
        <x:v>0.08797250859106531</x:v>
      </x:c>
      <x:c r="W193" s="11" t="n">
        <x:f>1-E193</x:f>
        <x:v>0.15807560137457044</x:v>
      </x:c>
      <x:c r="X193" s="11" t="n">
        <x:f>1-F193</x:f>
        <x:v>0.01993127147766327</x:v>
      </x:c>
    </x:row>
    <x:row r="194" ht="18" customHeight="1">
      <x:c r="A194" s="10" t="str">
        <x:v>VA</x:v>
      </x:c>
      <x:c r="B194" s="10" t="str">
        <x:v>51061</x:v>
      </x:c>
      <x:c r="C194" s="10" t="str">
        <x:v>Fauquier County</x:v>
      </x:c>
      <x:c r="D194" s="11" t="n">
        <x:f>1-'Method'!$B$7*G194</x:f>
        <x:v>0.9587628865979382</x:v>
      </x:c>
      <x:c r="E194" s="11" t="n">
        <x:f>1-'Method'!$B$8*H194</x:f>
        <x:v>1</x:v>
      </x:c>
      <x:c r="F194" s="11" t="n">
        <x:f>1-'Method'!$B$9*I194</x:f>
        <x:v>0.9676975945017182</x:v>
      </x:c>
      <x:c r="G194" s="11" t="n">
        <x:v>0.20618556701030927</x:v>
      </x:c>
      <x:c r="H194" s="11" t="n">
        <x:v>0</x:v>
      </x:c>
      <x:c r="I194" s="11" t="n">
        <x:v>0.16151202749140894</x:v>
      </x:c>
      <x:c r="J194" s="12" t="n">
        <x:v>16.178626537322998</x:v>
      </x:c>
      <x:c r="K194" s="12" t="n">
        <x:v>63.56539344787598</x:v>
      </x:c>
      <x:c r="L194" s="12" t="n">
        <x:v>47.38676691055298</x:v>
      </x:c>
      <x:c r="M194" s="12" t="n">
        <x:v>24.147593116760255</x:v>
      </x:c>
      <x:c r="N194" s="12" t="n">
        <x:v>23.84323933919271</x:v>
      </x:c>
      <x:c r="O194" s="12" t="n">
        <x:v>0</x:v>
      </x:c>
      <x:c r="P194" s="12" t="n">
        <x:v>1.0460960586865744</x:v>
      </x:c>
      <x:c r="Q194" s="12" t="n">
        <x:v>1.557842501004537</x:v>
      </x:c>
      <x:c r="R194" s="12" t="n">
        <x:v>0.5117464423179625</x:v>
      </x:c>
      <x:c r="S194" s="11" t="n">
        <x:f>'Method'!$B$7</x:f>
        <x:v>0.2</x:v>
      </x:c>
      <x:c r="T194" s="11" t="n">
        <x:f>'Method'!$B$8</x:f>
        <x:v>0.2</x:v>
      </x:c>
      <x:c r="U194" s="11" t="n">
        <x:f>'Method'!$B$9</x:f>
        <x:v>0.2</x:v>
      </x:c>
      <x:c r="V194" s="11" t="n">
        <x:f>1-D194</x:f>
        <x:v>0.04123711340206182</x:v>
      </x:c>
      <x:c r="W194" s="11" t="n">
        <x:f>1-E194</x:f>
        <x:v>0</x:v>
      </x:c>
      <x:c r="X194" s="11" t="n">
        <x:f>1-F194</x:f>
        <x:v>0.03230240549828178</x:v>
      </x:c>
    </x:row>
    <x:row r="195" ht="18" customHeight="1">
      <x:c r="A195" s="10" t="str">
        <x:v>VA</x:v>
      </x:c>
      <x:c r="B195" s="10" t="str">
        <x:v>51063</x:v>
      </x:c>
      <x:c r="C195" s="10" t="str">
        <x:v>Floyd County</x:v>
      </x:c>
      <x:c r="D195" s="11" t="n">
        <x:f>1-'Method'!$B$7*G195</x:f>
        <x:v>0.9951890034364261</x:v>
      </x:c>
      <x:c r="E195" s="11" t="n">
        <x:f>1-'Method'!$B$8*H195</x:f>
        <x:v>0.8584192439862542</x:v>
      </x:c>
      <x:c r="F195" s="11" t="n">
        <x:f>1-'Method'!$B$9*I195</x:f>
        <x:v>0.8247422680412371</x:v>
      </x:c>
      <x:c r="G195" s="11" t="n">
        <x:v>0.024054982817869417</x:v>
      </x:c>
      <x:c r="H195" s="11" t="n">
        <x:v>0.7079037800687286</x:v>
      </x:c>
      <x:c r="I195" s="11" t="n">
        <x:v>0.8762886597938144</x:v>
      </x:c>
      <x:c r="J195" s="12" t="n">
        <x:v>1.4712213079134624</x:v>
      </x:c>
      <x:c r="K195" s="12" t="n">
        <x:v>23.299879455566405</x:v>
      </x:c>
      <x:c r="L195" s="12" t="n">
        <x:v>21.82865814765294</x:v>
      </x:c>
      <x:c r="M195" s="12" t="n">
        <x:v>23.666292826334637</x:v>
      </x:c>
      <x:c r="N195" s="12" t="n">
        <x:v>23.690884590148926</x:v>
      </x:c>
      <x:c r="O195" s="12" t="n">
        <x:v>0.02459176381428918</x:v>
      </x:c>
      <x:c r="P195" s="12" t="n">
        <x:v>1.6956099669138591</x:v>
      </x:c>
      <x:c r="Q195" s="12" t="n">
        <x:v>2.5426495631535846</x:v>
      </x:c>
      <x:c r="R195" s="12" t="n">
        <x:v>0.8470395962397255</x:v>
      </x:c>
      <x:c r="S195" s="11" t="n">
        <x:f>'Method'!$B$7</x:f>
        <x:v>0.2</x:v>
      </x:c>
      <x:c r="T195" s="11" t="n">
        <x:f>'Method'!$B$8</x:f>
        <x:v>0.2</x:v>
      </x:c>
      <x:c r="U195" s="11" t="n">
        <x:f>'Method'!$B$9</x:f>
        <x:v>0.2</x:v>
      </x:c>
      <x:c r="V195" s="11" t="n">
        <x:f>1-D195</x:f>
        <x:v>0.004810996563573866</x:v>
      </x:c>
      <x:c r="W195" s="11" t="n">
        <x:f>1-E195</x:f>
        <x:v>0.14158075601374576</x:v>
      </x:c>
      <x:c r="X195" s="11" t="n">
        <x:f>1-F195</x:f>
        <x:v>0.17525773195876293</x:v>
      </x:c>
    </x:row>
    <x:row r="196" ht="18" customHeight="1">
      <x:c r="A196" s="10" t="str">
        <x:v>VA</x:v>
      </x:c>
      <x:c r="B196" s="10" t="str">
        <x:v>51065</x:v>
      </x:c>
      <x:c r="C196" s="10" t="str">
        <x:v>Fluvanna County</x:v>
      </x:c>
      <x:c r="D196" s="11" t="n">
        <x:f>1-'Method'!$B$7*G196</x:f>
        <x:v>0.8666666666666667</x:v>
      </x:c>
      <x:c r="E196" s="11" t="n">
        <x:f>1-'Method'!$B$8*H196</x:f>
        <x:v>1</x:v>
      </x:c>
      <x:c r="F196" s="11" t="n">
        <x:f>1-'Method'!$B$9*I196</x:f>
        <x:v>0.9381443298969072</x:v>
      </x:c>
      <x:c r="G196" s="11" t="n">
        <x:v>0.6666666666666666</x:v>
      </x:c>
      <x:c r="H196" s="11" t="n">
        <x:v>0</x:v>
      </x:c>
      <x:c r="I196" s="11" t="n">
        <x:v>0.30927835051546393</x:v>
      </x:c>
      <x:c r="J196" s="12" t="n">
        <x:v>25.22671095530192</x:v>
      </x:c>
      <x:c r="K196" s="12" t="n">
        <x:v>84.06014099121094</x:v>
      </x:c>
      <x:c r="L196" s="12" t="n">
        <x:v>58.83343003590902</x:v>
      </x:c>
      <x:c r="M196" s="12" t="n">
        <x:v>24.40947259267171</x:v>
      </x:c>
      <x:c r="N196" s="12" t="n">
        <x:v>23.996364466349284</x:v>
      </x:c>
      <x:c r="O196" s="12" t="n">
        <x:v>0</x:v>
      </x:c>
      <x:c r="P196" s="12" t="n">
        <x:v>1.1819786608219147</x:v>
      </x:c>
      <x:c r="Q196" s="12" t="n">
        <x:v>1.784529980023702</x:v>
      </x:c>
      <x:c r="R196" s="12" t="n">
        <x:v>0.6025513192017873</x:v>
      </x:c>
      <x:c r="S196" s="11" t="n">
        <x:f>'Method'!$B$7</x:f>
        <x:v>0.2</x:v>
      </x:c>
      <x:c r="T196" s="11" t="n">
        <x:f>'Method'!$B$8</x:f>
        <x:v>0.2</x:v>
      </x:c>
      <x:c r="U196" s="11" t="n">
        <x:f>'Method'!$B$9</x:f>
        <x:v>0.2</x:v>
      </x:c>
      <x:c r="V196" s="11" t="n">
        <x:f>1-D196</x:f>
        <x:v>0.1333333333333333</x:v>
      </x:c>
      <x:c r="W196" s="11" t="n">
        <x:f>1-E196</x:f>
        <x:v>0</x:v>
      </x:c>
      <x:c r="X196" s="11" t="n">
        <x:f>1-F196</x:f>
        <x:v>0.061855670103092786</x:v>
      </x:c>
    </x:row>
    <x:row r="197" ht="18" customHeight="1">
      <x:c r="A197" s="10" t="str">
        <x:v>VA</x:v>
      </x:c>
      <x:c r="B197" s="10" t="str">
        <x:v>51067</x:v>
      </x:c>
      <x:c r="C197" s="10" t="str">
        <x:v>Franklin County</x:v>
      </x:c>
      <x:c r="D197" s="11" t="n">
        <x:f>1-'Method'!$B$7*G197</x:f>
        <x:v>0.9264604810996564</x:v>
      </x:c>
      <x:c r="E197" s="11" t="n">
        <x:f>1-'Method'!$B$8*H197</x:f>
        <x:v>1</x:v>
      </x:c>
      <x:c r="F197" s="11" t="n">
        <x:f>1-'Method'!$B$9*I197</x:f>
        <x:v>0.8501718213058419</x:v>
      </x:c>
      <x:c r="G197" s="11" t="n">
        <x:v>0.36769759450171824</x:v>
      </x:c>
      <x:c r="H197" s="11" t="n">
        <x:v>0</x:v>
      </x:c>
      <x:c r="I197" s="11" t="n">
        <x:v>0.7491408934707904</x:v>
      </x:c>
      <x:c r="J197" s="12" t="n">
        <x:v>16.051398022969565</x:v>
      </x:c>
      <x:c r="K197" s="12" t="n">
        <x:v>68.73467432657877</x:v>
      </x:c>
      <x:c r="L197" s="12" t="n">
        <x:v>52.683276303609205</x:v>
      </x:c>
      <x:c r="M197" s="12" t="n">
        <x:v>23.788029543558757</x:v>
      </x:c>
      <x:c r="N197" s="12" t="n">
        <x:v>23.398994127909344</x:v>
      </x:c>
      <x:c r="O197" s="12" t="n">
        <x:v>0</x:v>
      </x:c>
      <x:c r="P197" s="12" t="n">
        <x:v>1.2784237225850423</x:v>
      </x:c>
      <x:c r="Q197" s="12" t="n">
        <x:v>2.0530996799468992</x:v>
      </x:c>
      <x:c r="R197" s="12" t="n">
        <x:v>0.7746759573618569</x:v>
      </x:c>
      <x:c r="S197" s="11" t="n">
        <x:f>'Method'!$B$7</x:f>
        <x:v>0.2</x:v>
      </x:c>
      <x:c r="T197" s="11" t="n">
        <x:f>'Method'!$B$8</x:f>
        <x:v>0.2</x:v>
      </x:c>
      <x:c r="U197" s="11" t="n">
        <x:f>'Method'!$B$9</x:f>
        <x:v>0.2</x:v>
      </x:c>
      <x:c r="V197" s="11" t="n">
        <x:f>1-D197</x:f>
        <x:v>0.0735395189003436</x:v>
      </x:c>
      <x:c r="W197" s="11" t="n">
        <x:f>1-E197</x:f>
        <x:v>0</x:v>
      </x:c>
      <x:c r="X197" s="11" t="n">
        <x:f>1-F197</x:f>
        <x:v>0.1498281786941581</x:v>
      </x:c>
    </x:row>
    <x:row r="198" ht="18" customHeight="1">
      <x:c r="A198" s="10" t="str">
        <x:v>VA</x:v>
      </x:c>
      <x:c r="B198" s="10" t="str">
        <x:v>51069</x:v>
      </x:c>
      <x:c r="C198" s="10" t="str">
        <x:v>Frederick County</x:v>
      </x:c>
      <x:c r="D198" s="11" t="n">
        <x:f>1-'Method'!$B$7*G198</x:f>
        <x:v>0.9649484536082474</x:v>
      </x:c>
      <x:c r="E198" s="11" t="n">
        <x:f>1-'Method'!$B$8*H198</x:f>
        <x:v>1</x:v>
      </x:c>
      <x:c r="F198" s="11" t="n">
        <x:f>1-'Method'!$B$9*I198</x:f>
        <x:v>0.9903780068728523</x:v>
      </x:c>
      <x:c r="G198" s="11" t="n">
        <x:v>0.17525773195876287</x:v>
      </x:c>
      <x:c r="H198" s="11" t="n">
        <x:v>0</x:v>
      </x:c>
      <x:c r="I198" s="11" t="n">
        <x:v>0.048109965635738834</x:v>
      </x:c>
      <x:c r="J198" s="12" t="n">
        <x:v>13.499966144561768</x:v>
      </x:c>
      <x:c r="K198" s="12" t="n">
        <x:v>58.87457097371419</x:v>
      </x:c>
      <x:c r="L198" s="12" t="n">
        <x:v>45.374604829152425</x:v>
      </x:c>
      <x:c r="M198" s="12" t="n">
        <x:v>23.760017776489256</x:v>
      </x:c>
      <x:c r="N198" s="12" t="n">
        <x:v>23.527946535746256</x:v>
      </x:c>
      <x:c r="O198" s="12" t="n">
        <x:v>0</x:v>
      </x:c>
      <x:c r="P198" s="12" t="n">
        <x:v>0.8509262661139171</x:v>
      </x:c>
      <x:c r="Q198" s="12" t="n">
        <x:v>1.268440274397532</x:v>
      </x:c>
      <x:c r="R198" s="12" t="n">
        <x:v>0.41751400828361496</x:v>
      </x:c>
      <x:c r="S198" s="11" t="n">
        <x:f>'Method'!$B$7</x:f>
        <x:v>0.2</x:v>
      </x:c>
      <x:c r="T198" s="11" t="n">
        <x:f>'Method'!$B$8</x:f>
        <x:v>0.2</x:v>
      </x:c>
      <x:c r="U198" s="11" t="n">
        <x:f>'Method'!$B$9</x:f>
        <x:v>0.2</x:v>
      </x:c>
      <x:c r="V198" s="11" t="n">
        <x:f>1-D198</x:f>
        <x:v>0.035051546391752564</x:v>
      </x:c>
      <x:c r="W198" s="11" t="n">
        <x:f>1-E198</x:f>
        <x:v>0</x:v>
      </x:c>
      <x:c r="X198" s="11" t="n">
        <x:f>1-F198</x:f>
        <x:v>0.009621993127147732</x:v>
      </x:c>
    </x:row>
    <x:row r="199" ht="18" customHeight="1">
      <x:c r="A199" s="10" t="str">
        <x:v>VA</x:v>
      </x:c>
      <x:c r="B199" s="10" t="str">
        <x:v>51071</x:v>
      </x:c>
      <x:c r="C199" s="10" t="str">
        <x:v>Giles County</x:v>
      </x:c>
      <x:c r="D199" s="11" t="n">
        <x:f>1-'Method'!$B$7*G199</x:f>
        <x:v>0.9958762886597938</x:v>
      </x:c>
      <x:c r="E199" s="11" t="n">
        <x:f>1-'Method'!$B$8*H199</x:f>
        <x:v>0.8096219931271478</x:v>
      </x:c>
      <x:c r="F199" s="11" t="n">
        <x:f>1-'Method'!$B$9*I199</x:f>
        <x:v>0.99106529209622</x:v>
      </x:c>
      <x:c r="G199" s="11" t="n">
        <x:v>0.020618556701030927</x:v>
      </x:c>
      <x:c r="H199" s="11" t="n">
        <x:v>0.9518900343642611</x:v>
      </x:c>
      <x:c r="I199" s="11" t="n">
        <x:v>0.044673539518900345</x:v>
      </x:c>
      <x:c r="J199" s="12" t="n">
        <x:v>1.806439503033956</x:v>
      </x:c>
      <x:c r="K199" s="12" t="n">
        <x:v>23.149230893452962</x:v>
      </x:c>
      <x:c r="L199" s="12" t="n">
        <x:v>21.342791390419006</x:v>
      </x:c>
      <x:c r="M199" s="12" t="n">
        <x:v>23.070109430948893</x:v>
      </x:c>
      <x:c r="N199" s="12" t="n">
        <x:v>23.548139762878417</x:v>
      </x:c>
      <x:c r="O199" s="12" t="n">
        <x:v>0.47803033192952427</x:v>
      </x:c>
      <x:c r="P199" s="12" t="n">
        <x:v>0.6504803508520126</x:v>
      </x:c>
      <x:c r="Q199" s="12" t="n">
        <x:v>1.0645539065202076</x:v>
      </x:c>
      <x:c r="R199" s="12" t="n">
        <x:v>0.41407355566819504</x:v>
      </x:c>
      <x:c r="S199" s="11" t="n">
        <x:f>'Method'!$B$7</x:f>
        <x:v>0.2</x:v>
      </x:c>
      <x:c r="T199" s="11" t="n">
        <x:f>'Method'!$B$8</x:f>
        <x:v>0.2</x:v>
      </x:c>
      <x:c r="U199" s="11" t="n">
        <x:f>'Method'!$B$9</x:f>
        <x:v>0.2</x:v>
      </x:c>
      <x:c r="V199" s="11" t="n">
        <x:f>1-D199</x:f>
        <x:v>0.004123711340206171</x:v>
      </x:c>
      <x:c r="W199" s="11" t="n">
        <x:f>1-E199</x:f>
        <x:v>0.19037800687285222</x:v>
      </x:c>
      <x:c r="X199" s="11" t="n">
        <x:f>1-F199</x:f>
        <x:v>0.008934707903780037</x:v>
      </x:c>
    </x:row>
    <x:row r="200" ht="18" customHeight="1">
      <x:c r="A200" s="10" t="str">
        <x:v>VA</x:v>
      </x:c>
      <x:c r="B200" s="10" t="str">
        <x:v>51073</x:v>
      </x:c>
      <x:c r="C200" s="10" t="str">
        <x:v>Gloucester County</x:v>
      </x:c>
      <x:c r="D200" s="11" t="n">
        <x:f>1-'Method'!$B$7*G200</x:f>
        <x:v>0.9512027491408934</x:v>
      </x:c>
      <x:c r="E200" s="11" t="n">
        <x:f>1-'Method'!$B$8*H200</x:f>
        <x:v>1</x:v>
      </x:c>
      <x:c r="F200" s="11" t="n">
        <x:f>1-'Method'!$B$9*I200</x:f>
        <x:v>0.8419243986254296</x:v>
      </x:c>
      <x:c r="G200" s="11" t="n">
        <x:v>0.24398625429553264</x:v>
      </x:c>
      <x:c r="H200" s="11" t="n">
        <x:v>0</x:v>
      </x:c>
      <x:c r="I200" s="11" t="n">
        <x:v>0.7903780068728522</x:v>
      </x:c>
      <x:c r="J200" s="12" t="n">
        <x:v>25.37721125284831</x:v>
      </x:c>
      <x:c r="K200" s="12" t="n">
        <x:v>75.76689834594727</x:v>
      </x:c>
      <x:c r="L200" s="12" t="n">
        <x:v>50.389687093098956</x:v>
      </x:c>
      <x:c r="M200" s="12" t="n">
        <x:v>22.78568312327067</x:v>
      </x:c>
      <x:c r="N200" s="12" t="n">
        <x:v>22.53492825826009</x:v>
      </x:c>
      <x:c r="O200" s="12" t="n">
        <x:v>0</x:v>
      </x:c>
      <x:c r="P200" s="12" t="n">
        <x:v>1.29750208457311</x:v>
      </x:c>
      <x:c r="Q200" s="12" t="n">
        <x:v>2.091418178876241</x:v>
      </x:c>
      <x:c r="R200" s="12" t="n">
        <x:v>0.7939160943031309</x:v>
      </x:c>
      <x:c r="S200" s="11" t="n">
        <x:f>'Method'!$B$7</x:f>
        <x:v>0.2</x:v>
      </x:c>
      <x:c r="T200" s="11" t="n">
        <x:f>'Method'!$B$8</x:f>
        <x:v>0.2</x:v>
      </x:c>
      <x:c r="U200" s="11" t="n">
        <x:f>'Method'!$B$9</x:f>
        <x:v>0.2</x:v>
      </x:c>
      <x:c r="V200" s="11" t="n">
        <x:f>1-D200</x:f>
        <x:v>0.04879725085910658</x:v>
      </x:c>
      <x:c r="W200" s="11" t="n">
        <x:f>1-E200</x:f>
        <x:v>0</x:v>
      </x:c>
      <x:c r="X200" s="11" t="n">
        <x:f>1-F200</x:f>
        <x:v>0.15807560137457044</x:v>
      </x:c>
    </x:row>
    <x:row r="201" ht="18" customHeight="1">
      <x:c r="A201" s="10" t="str">
        <x:v>VA</x:v>
      </x:c>
      <x:c r="B201" s="10" t="str">
        <x:v>51075</x:v>
      </x:c>
      <x:c r="C201" s="10" t="str">
        <x:v>Goochland County</x:v>
      </x:c>
      <x:c r="D201" s="11" t="n">
        <x:f>1-'Method'!$B$7*G201</x:f>
        <x:v>0.9175257731958762</x:v>
      </x:c>
      <x:c r="E201" s="11" t="n">
        <x:f>1-'Method'!$B$8*H201</x:f>
        <x:v>1</x:v>
      </x:c>
      <x:c r="F201" s="11" t="n">
        <x:f>1-'Method'!$B$9*I201</x:f>
        <x:v>0.940893470790378</x:v>
      </x:c>
      <x:c r="G201" s="11" t="n">
        <x:v>0.41237113402061853</x:v>
      </x:c>
      <x:c r="H201" s="11" t="n">
        <x:v>0</x:v>
      </x:c>
      <x:c r="I201" s="11" t="n">
        <x:v>0.29553264604810997</x:v>
      </x:c>
      <x:c r="J201" s="12" t="n">
        <x:v>27.101297696431477</x:v>
      </x:c>
      <x:c r="K201" s="12" t="n">
        <x:v>80.61216201782227</x:v>
      </x:c>
      <x:c r="L201" s="12" t="n">
        <x:v>53.5108643213908</x:v>
      </x:c>
      <x:c r="M201" s="12" t="n">
        <x:v>23.90867544809977</x:v>
      </x:c>
      <x:c r="N201" s="12" t="n">
        <x:v>23.677797508239745</x:v>
      </x:c>
      <x:c r="O201" s="12" t="n">
        <x:v>0</x:v>
      </x:c>
      <x:c r="P201" s="12" t="n">
        <x:v>1.173793582121531</x:v>
      </x:c>
      <x:c r="Q201" s="12" t="n">
        <x:v>1.7712770064671834</x:v>
      </x:c>
      <x:c r="R201" s="12" t="n">
        <x:v>0.5974834243456524</x:v>
      </x:c>
      <x:c r="S201" s="11" t="n">
        <x:f>'Method'!$B$7</x:f>
        <x:v>0.2</x:v>
      </x:c>
      <x:c r="T201" s="11" t="n">
        <x:f>'Method'!$B$8</x:f>
        <x:v>0.2</x:v>
      </x:c>
      <x:c r="U201" s="11" t="n">
        <x:f>'Method'!$B$9</x:f>
        <x:v>0.2</x:v>
      </x:c>
      <x:c r="V201" s="11" t="n">
        <x:f>1-D201</x:f>
        <x:v>0.08247422680412375</x:v>
      </x:c>
      <x:c r="W201" s="11" t="n">
        <x:f>1-E201</x:f>
        <x:v>0</x:v>
      </x:c>
      <x:c r="X201" s="11" t="n">
        <x:f>1-F201</x:f>
        <x:v>0.059106529209622005</x:v>
      </x:c>
    </x:row>
    <x:row r="202" ht="18" customHeight="1">
      <x:c r="A202" s="10" t="str">
        <x:v>VA</x:v>
      </x:c>
      <x:c r="B202" s="10" t="str">
        <x:v>51077</x:v>
      </x:c>
      <x:c r="C202" s="10" t="str">
        <x:v>Grayson County</x:v>
      </x:c>
      <x:c r="D202" s="11" t="n">
        <x:f>1-'Method'!$B$7*G202</x:f>
        <x:v>0.9993127147766323</x:v>
      </x:c>
      <x:c r="E202" s="11" t="n">
        <x:f>1-'Method'!$B$8*H202</x:f>
        <x:v>0.8323024054982817</x:v>
      </x:c>
      <x:c r="F202" s="11" t="n">
        <x:f>1-'Method'!$B$9*I202</x:f>
        <x:v>0.8810996563573883</x:v>
      </x:c>
      <x:c r="G202" s="11" t="n">
        <x:v>0.003436426116838488</x:v>
      </x:c>
      <x:c r="H202" s="11" t="n">
        <x:v>0.8384879725085911</x:v>
      </x:c>
      <x:c r="I202" s="11" t="n">
        <x:v>0.5945017182130584</x:v>
      </x:c>
      <x:c r="J202" s="12" t="n">
        <x:v>0.572783546646436</x:v>
      </x:c>
      <x:c r="K202" s="12" t="n">
        <x:v>13.810328102111816</x:v>
      </x:c>
      <x:c r="L202" s="12" t="n">
        <x:v>13.23754455546538</x:v>
      </x:c>
      <x:c r="M202" s="12" t="n">
        <x:v>22.39278621673584</x:v>
      </x:c>
      <x:c r="N202" s="12" t="n">
        <x:v>22.60942726135254</x:v>
      </x:c>
      <x:c r="O202" s="12" t="n">
        <x:v>0.21664104461670064</x:v>
      </x:c>
      <x:c r="P202" s="12" t="n">
        <x:v>1.4183674951394398</x:v>
      </x:c>
      <x:c r="Q202" s="12" t="n">
        <x:v>2.12394034465154</x:v>
      </x:c>
      <x:c r="R202" s="12" t="n">
        <x:v>0.7055728495121001</x:v>
      </x:c>
      <x:c r="S202" s="11" t="n">
        <x:f>'Method'!$B$7</x:f>
        <x:v>0.2</x:v>
      </x:c>
      <x:c r="T202" s="11" t="n">
        <x:f>'Method'!$B$8</x:f>
        <x:v>0.2</x:v>
      </x:c>
      <x:c r="U202" s="11" t="n">
        <x:f>'Method'!$B$9</x:f>
        <x:v>0.2</x:v>
      </x:c>
      <x:c r="V202" s="11" t="n">
        <x:f>1-D202</x:f>
        <x:v>0.0006872852233676952</x:v>
      </x:c>
      <x:c r="W202" s="11" t="n">
        <x:f>1-E202</x:f>
        <x:v>0.16769759450171828</x:v>
      </x:c>
      <x:c r="X202" s="11" t="n">
        <x:f>1-F202</x:f>
        <x:v>0.1189003436426117</x:v>
      </x:c>
    </x:row>
    <x:row r="203" ht="18" customHeight="1">
      <x:c r="A203" s="10" t="str">
        <x:v>VA</x:v>
      </x:c>
      <x:c r="B203" s="10" t="str">
        <x:v>51079</x:v>
      </x:c>
      <x:c r="C203" s="10" t="str">
        <x:v>Greene County</x:v>
      </x:c>
      <x:c r="D203" s="11" t="n">
        <x:f>1-'Method'!$B$7*G203</x:f>
        <x:v>0.9780068728522336</x:v>
      </x:c>
      <x:c r="E203" s="11" t="n">
        <x:f>1-'Method'!$B$8*H203</x:f>
        <x:v>1</x:v>
      </x:c>
      <x:c r="F203" s="11" t="n">
        <x:f>1-'Method'!$B$9*I203</x:f>
        <x:v>0.8762886597938144</x:v>
      </x:c>
      <x:c r="G203" s="11" t="n">
        <x:v>0.10996563573883161</x:v>
      </x:c>
      <x:c r="H203" s="11" t="n">
        <x:v>0</x:v>
      </x:c>
      <x:c r="I203" s="11" t="n">
        <x:v>0.6185567010309279</x:v>
      </x:c>
      <x:c r="J203" s="12" t="n">
        <x:v>11.744675795237223</x:v>
      </x:c>
      <x:c r="K203" s="12" t="n">
        <x:v>53.81016120910645</x:v>
      </x:c>
      <x:c r="L203" s="12" t="n">
        <x:v>42.065485413869226</x:v>
      </x:c>
      <x:c r="M203" s="12" t="n">
        <x:v>23.64035924275716</x:v>
      </x:c>
      <x:c r="N203" s="12" t="n">
        <x:v>23.060369046529136</x:v>
      </x:c>
      <x:c r="O203" s="12" t="n">
        <x:v>0</x:v>
      </x:c>
      <x:c r="P203" s="12" t="n">
        <x:v>1.5925720850626628</x:v>
      </x:c>
      <x:c r="Q203" s="12" t="n">
        <x:v>2.316193183263143</x:v>
      </x:c>
      <x:c r="R203" s="12" t="n">
        <x:v>0.7236210982004803</x:v>
      </x:c>
      <x:c r="S203" s="11" t="n">
        <x:f>'Method'!$B$7</x:f>
        <x:v>0.2</x:v>
      </x:c>
      <x:c r="T203" s="11" t="n">
        <x:f>'Method'!$B$8</x:f>
        <x:v>0.2</x:v>
      </x:c>
      <x:c r="U203" s="11" t="n">
        <x:f>'Method'!$B$9</x:f>
        <x:v>0.2</x:v>
      </x:c>
      <x:c r="V203" s="11" t="n">
        <x:f>1-D203</x:f>
        <x:v>0.021993127147766356</x:v>
      </x:c>
      <x:c r="W203" s="11" t="n">
        <x:f>1-E203</x:f>
        <x:v>0</x:v>
      </x:c>
      <x:c r="X203" s="11" t="n">
        <x:f>1-F203</x:f>
        <x:v>0.12371134020618557</x:v>
      </x:c>
    </x:row>
    <x:row r="204" ht="18" customHeight="1">
      <x:c r="A204" s="10" t="str">
        <x:v>VA</x:v>
      </x:c>
      <x:c r="B204" s="10" t="str">
        <x:v>51081</x:v>
      </x:c>
      <x:c r="C204" s="10" t="str">
        <x:v>Greensville County</x:v>
      </x:c>
      <x:c r="D204" s="11" t="n">
        <x:f>1-'Method'!$B$7*G204</x:f>
        <x:v>0.9415807560137457</x:v>
      </x:c>
      <x:c r="E204" s="11" t="n">
        <x:f>1-'Method'!$B$8*H204</x:f>
        <x:v>1</x:v>
      </x:c>
      <x:c r="F204" s="11" t="n">
        <x:f>1-'Method'!$B$9*I204</x:f>
        <x:v>0.9402061855670103</x:v>
      </x:c>
      <x:c r="G204" s="11" t="n">
        <x:v>0.2920962199312715</x:v>
      </x:c>
      <x:c r="H204" s="11" t="n">
        <x:v>0</x:v>
      </x:c>
      <x:c r="I204" s="11" t="n">
        <x:v>0.29896907216494845</x:v>
      </x:c>
      <x:c r="J204" s="12" t="n">
        <x:v>34.5699120203654</x:v>
      </x:c>
      <x:c r="K204" s="12" t="n">
        <x:v>86.41828180948893</x:v>
      </x:c>
      <x:c r="L204" s="12" t="n">
        <x:v>51.84836978912353</x:v>
      </x:c>
      <x:c r="M204" s="12" t="n">
        <x:v>23.794148445129395</x:v>
      </x:c>
      <x:c r="N204" s="12" t="n">
        <x:v>23.491932678222657</x:v>
      </x:c>
      <x:c r="O204" s="12" t="n">
        <x:v>0</x:v>
      </x:c>
      <x:c r="P204" s="12" t="n">
        <x:v>1.2568580428759257</x:v>
      </x:c>
      <x:c r="Q204" s="12" t="n">
        <x:v>1.8555972695350647</x:v>
      </x:c>
      <x:c r="R204" s="12" t="n">
        <x:v>0.5987392266591389</x:v>
      </x:c>
      <x:c r="S204" s="11" t="n">
        <x:f>'Method'!$B$7</x:f>
        <x:v>0.2</x:v>
      </x:c>
      <x:c r="T204" s="11" t="n">
        <x:f>'Method'!$B$8</x:f>
        <x:v>0.2</x:v>
      </x:c>
      <x:c r="U204" s="11" t="n">
        <x:f>'Method'!$B$9</x:f>
        <x:v>0.2</x:v>
      </x:c>
      <x:c r="V204" s="11" t="n">
        <x:f>1-D204</x:f>
        <x:v>0.05841924398625431</x:v>
      </x:c>
      <x:c r="W204" s="11" t="n">
        <x:f>1-E204</x:f>
        <x:v>0</x:v>
      </x:c>
      <x:c r="X204" s="11" t="n">
        <x:f>1-F204</x:f>
        <x:v>0.0597938144329897</x:v>
      </x:c>
    </x:row>
    <x:row r="205" ht="18" customHeight="1">
      <x:c r="A205" s="10" t="str">
        <x:v>VA</x:v>
      </x:c>
      <x:c r="B205" s="10" t="str">
        <x:v>51083</x:v>
      </x:c>
      <x:c r="C205" s="10" t="str">
        <x:v>Halifax County</x:v>
      </x:c>
      <x:c r="D205" s="11" t="n">
        <x:f>1-'Method'!$B$7*G205</x:f>
        <x:v>0.9353951890034364</x:v>
      </x:c>
      <x:c r="E205" s="11" t="n">
        <x:f>1-'Method'!$B$8*H205</x:f>
        <x:v>1</x:v>
      </x:c>
      <x:c r="F205" s="11" t="n">
        <x:f>1-'Method'!$B$9*I205</x:f>
        <x:v>0.8274914089347079</x:v>
      </x:c>
      <x:c r="G205" s="11" t="n">
        <x:v>0.3230240549828179</x:v>
      </x:c>
      <x:c r="H205" s="11" t="n">
        <x:v>0</x:v>
      </x:c>
      <x:c r="I205" s="11" t="n">
        <x:v>0.8625429553264605</x:v>
      </x:c>
      <x:c r="J205" s="12" t="n">
        <x:v>29.13109563191732</x:v>
      </x:c>
      <x:c r="K205" s="12" t="n">
        <x:v>81.46931228637695</x:v>
      </x:c>
      <x:c r="L205" s="12" t="n">
        <x:v>52.33821665445963</x:v>
      </x:c>
      <x:c r="M205" s="12" t="n">
        <x:v>24.347496032714844</x:v>
      </x:c>
      <x:c r="N205" s="12" t="n">
        <x:v>24.03504753112793</x:v>
      </x:c>
      <x:c r="O205" s="12" t="n">
        <x:v>0</x:v>
      </x:c>
      <x:c r="P205" s="12" t="n">
        <x:v>1.3569509903589885</x:v>
      </x:c>
      <x:c r="Q205" s="12" t="n">
        <x:v>2.1981619636217755</x:v>
      </x:c>
      <x:c r="R205" s="12" t="n">
        <x:v>0.841210973262787</x:v>
      </x:c>
      <x:c r="S205" s="11" t="n">
        <x:f>'Method'!$B$7</x:f>
        <x:v>0.2</x:v>
      </x:c>
      <x:c r="T205" s="11" t="n">
        <x:f>'Method'!$B$8</x:f>
        <x:v>0.2</x:v>
      </x:c>
      <x:c r="U205" s="11" t="n">
        <x:f>'Method'!$B$9</x:f>
        <x:v>0.2</x:v>
      </x:c>
      <x:c r="V205" s="11" t="n">
        <x:f>1-D205</x:f>
        <x:v>0.06460481099656357</x:v>
      </x:c>
      <x:c r="W205" s="11" t="n">
        <x:f>1-E205</x:f>
        <x:v>0</x:v>
      </x:c>
      <x:c r="X205" s="11" t="n">
        <x:f>1-F205</x:f>
        <x:v>0.17250859106529215</x:v>
      </x:c>
    </x:row>
    <x:row r="206" ht="18" customHeight="1">
      <x:c r="A206" s="10" t="str">
        <x:v>VA</x:v>
      </x:c>
      <x:c r="B206" s="10" t="str">
        <x:v>51085</x:v>
      </x:c>
      <x:c r="C206" s="10" t="str">
        <x:v>Hanover County</x:v>
      </x:c>
      <x:c r="D206" s="11" t="n">
        <x:f>1-'Method'!$B$7*G206</x:f>
        <x:v>0.940893470790378</x:v>
      </x:c>
      <x:c r="E206" s="11" t="n">
        <x:f>1-'Method'!$B$8*H206</x:f>
        <x:v>1</x:v>
      </x:c>
      <x:c r="F206" s="11" t="n">
        <x:f>1-'Method'!$B$9*I206</x:f>
        <x:v>0.911340206185567</x:v>
      </x:c>
      <x:c r="G206" s="11" t="n">
        <x:v>0.29553264604810997</x:v>
      </x:c>
      <x:c r="H206" s="11" t="n">
        <x:v>0</x:v>
      </x:c>
      <x:c r="I206" s="11" t="n">
        <x:v>0.44329896907216493</x:v>
      </x:c>
      <x:c r="J206" s="12" t="n">
        <x:v>25.60501340230306</x:v>
      </x:c>
      <x:c r="K206" s="12" t="n">
        <x:v>77.49483388264974</x:v>
      </x:c>
      <x:c r="L206" s="12" t="n">
        <x:v>51.889820480346685</x:v>
      </x:c>
      <x:c r="M206" s="12" t="n">
        <x:v>23.71460183461507</x:v>
      </x:c>
      <x:c r="N206" s="12" t="n">
        <x:v>23.450628916422527</x:v>
      </x:c>
      <x:c r="O206" s="12" t="n">
        <x:v>0</x:v>
      </x:c>
      <x:c r="P206" s="12" t="n">
        <x:v>1.2764793753623962</x:v>
      </x:c>
      <x:c r="Q206" s="12" t="n">
        <x:v>1.9403066595395406</x:v>
      </x:c>
      <x:c r="R206" s="12" t="n">
        <x:v>0.6638272841771444</x:v>
      </x:c>
      <x:c r="S206" s="11" t="n">
        <x:f>'Method'!$B$7</x:f>
        <x:v>0.2</x:v>
      </x:c>
      <x:c r="T206" s="11" t="n">
        <x:f>'Method'!$B$8</x:f>
        <x:v>0.2</x:v>
      </x:c>
      <x:c r="U206" s="11" t="n">
        <x:f>'Method'!$B$9</x:f>
        <x:v>0.2</x:v>
      </x:c>
      <x:c r="V206" s="11" t="n">
        <x:f>1-D206</x:f>
        <x:v>0.059106529209622005</x:v>
      </x:c>
      <x:c r="W206" s="11" t="n">
        <x:f>1-E206</x:f>
        <x:v>0</x:v>
      </x:c>
      <x:c r="X206" s="11" t="n">
        <x:f>1-F206</x:f>
        <x:v>0.08865979381443301</x:v>
      </x:c>
    </x:row>
    <x:row r="207" ht="18" customHeight="1">
      <x:c r="A207" s="10" t="str">
        <x:v>VA</x:v>
      </x:c>
      <x:c r="B207" s="10" t="str">
        <x:v>51087</x:v>
      </x:c>
      <x:c r="C207" s="10" t="str">
        <x:v>Henrico County</x:v>
      </x:c>
      <x:c r="D207" s="11" t="n">
        <x:f>1-'Method'!$B$7*G207</x:f>
        <x:v>0.9195876288659793</x:v>
      </x:c>
      <x:c r="E207" s="11" t="n">
        <x:f>1-'Method'!$B$8*H207</x:f>
        <x:v>1</x:v>
      </x:c>
      <x:c r="F207" s="11" t="n">
        <x:f>1-'Method'!$B$9*I207</x:f>
        <x:v>0.8982817869415808</x:v>
      </x:c>
      <x:c r="G207" s="11" t="n">
        <x:v>0.4020618556701031</x:v>
      </x:c>
      <x:c r="H207" s="11" t="n">
        <x:v>0</x:v>
      </x:c>
      <x:c r="I207" s="11" t="n">
        <x:v>0.5085910652920962</x:v>
      </x:c>
      <x:c r="J207" s="12" t="n">
        <x:v>30.182514699300132</x:v>
      </x:c>
      <x:c r="K207" s="12" t="n">
        <x:v>83.44907251993816</x:v>
      </x:c>
      <x:c r="L207" s="12" t="n">
        <x:v>53.26655782063803</x:v>
      </x:c>
      <x:c r="M207" s="12" t="n">
        <x:v>23.527548789978027</x:v>
      </x:c>
      <x:c r="N207" s="12" t="n">
        <x:v>23.455344835917156</x:v>
      </x:c>
      <x:c r="O207" s="12" t="n">
        <x:v>0</x:v>
      </x:c>
      <x:c r="P207" s="12" t="n">
        <x:v>1.3975526134173075</x:v>
      </x:c>
      <x:c r="Q207" s="12" t="n">
        <x:v>2.0789374232292177</x:v>
      </x:c>
      <x:c r="R207" s="12" t="n">
        <x:v>0.6813848098119102</x:v>
      </x:c>
      <x:c r="S207" s="11" t="n">
        <x:f>'Method'!$B$7</x:f>
        <x:v>0.2</x:v>
      </x:c>
      <x:c r="T207" s="11" t="n">
        <x:f>'Method'!$B$8</x:f>
        <x:v>0.2</x:v>
      </x:c>
      <x:c r="U207" s="11" t="n">
        <x:f>'Method'!$B$9</x:f>
        <x:v>0.2</x:v>
      </x:c>
      <x:c r="V207" s="11" t="n">
        <x:f>1-D207</x:f>
        <x:v>0.08041237113402067</x:v>
      </x:c>
      <x:c r="W207" s="11" t="n">
        <x:f>1-E207</x:f>
        <x:v>0</x:v>
      </x:c>
      <x:c r="X207" s="11" t="n">
        <x:f>1-F207</x:f>
        <x:v>0.10171821305841922</x:v>
      </x:c>
    </x:row>
    <x:row r="208" ht="18" customHeight="1">
      <x:c r="A208" s="10" t="str">
        <x:v>VA</x:v>
      </x:c>
      <x:c r="B208" s="10" t="str">
        <x:v>51089</x:v>
      </x:c>
      <x:c r="C208" s="10" t="str">
        <x:v>Henry County</x:v>
      </x:c>
      <x:c r="D208" s="11" t="n">
        <x:f>1-'Method'!$B$7*G208</x:f>
        <x:v>0.8948453608247422</x:v>
      </x:c>
      <x:c r="E208" s="11" t="n">
        <x:f>1-'Method'!$B$8*H208</x:f>
        <x:v>1</x:v>
      </x:c>
      <x:c r="F208" s="11" t="n">
        <x:f>1-'Method'!$B$9*I208</x:f>
        <x:v>0.8261168384879725</x:v>
      </x:c>
      <x:c r="G208" s="11" t="n">
        <x:v>0.5257731958762887</x:v>
      </x:c>
      <x:c r="H208" s="11" t="n">
        <x:v>0</x:v>
      </x:c>
      <x:c r="I208" s="11" t="n">
        <x:v>0.8694158075601375</x:v>
      </x:c>
      <x:c r="J208" s="12" t="n">
        <x:v>19.6994348526001</x:v>
      </x:c>
      <x:c r="K208" s="12" t="n">
        <x:v>75.19530448913574</x:v>
      </x:c>
      <x:c r="L208" s="12" t="n">
        <x:v>55.49586963653564</x:v>
      </x:c>
      <x:c r="M208" s="12" t="n">
        <x:v>23.794565773010255</x:v>
      </x:c>
      <x:c r="N208" s="12" t="n">
        <x:v>23.738807741800944</x:v>
      </x:c>
      <x:c r="O208" s="12" t="n">
        <x:v>0</x:v>
      </x:c>
      <x:c r="P208" s="12" t="n">
        <x:v>1.3663178126017252</x:v>
      </x:c>
      <x:c r="Q208" s="12" t="n">
        <x:v>2.2127524495124815</x:v>
      </x:c>
      <x:c r="R208" s="12" t="n">
        <x:v>0.8464346369107563</x:v>
      </x:c>
      <x:c r="S208" s="11" t="n">
        <x:f>'Method'!$B$7</x:f>
        <x:v>0.2</x:v>
      </x:c>
      <x:c r="T208" s="11" t="n">
        <x:f>'Method'!$B$8</x:f>
        <x:v>0.2</x:v>
      </x:c>
      <x:c r="U208" s="11" t="n">
        <x:f>'Method'!$B$9</x:f>
        <x:v>0.2</x:v>
      </x:c>
      <x:c r="V208" s="11" t="n">
        <x:f>1-D208</x:f>
        <x:v>0.1051546391752578</x:v>
      </x:c>
      <x:c r="W208" s="11" t="n">
        <x:f>1-E208</x:f>
        <x:v>0</x:v>
      </x:c>
      <x:c r="X208" s="11" t="n">
        <x:f>1-F208</x:f>
        <x:v>0.17388316151202754</x:v>
      </x:c>
    </x:row>
    <x:row r="209" ht="18" customHeight="1">
      <x:c r="A209" s="10" t="str">
        <x:v>VA</x:v>
      </x:c>
      <x:c r="B209" s="10" t="str">
        <x:v>51091</x:v>
      </x:c>
      <x:c r="C209" s="10" t="str">
        <x:v>Highland County</x:v>
      </x:c>
      <x:c r="D209" s="11" t="n">
        <x:f>1-'Method'!$B$7*G209</x:f>
        <x:v>1</x:v>
      </x:c>
      <x:c r="E209" s="11" t="n">
        <x:f>1-'Method'!$B$8*H209</x:f>
        <x:v>0.8247422680412371</x:v>
      </x:c>
      <x:c r="F209" s="11" t="n">
        <x:f>1-'Method'!$B$9*I209</x:f>
        <x:v>0.9697594501718213</x:v>
      </x:c>
      <x:c r="G209" s="11" t="n">
        <x:v>0</x:v>
      </x:c>
      <x:c r="H209" s="11" t="n">
        <x:v>0.8762886597938144</x:v>
      </x:c>
      <x:c r="I209" s="11" t="n">
        <x:v>0.15120274914089346</x:v>
      </x:c>
      <x:c r="J209" s="12" t="n">
        <x:v>0.624642726778984</x:v>
      </x:c>
      <x:c r="K209" s="12" t="n">
        <x:v>13.445589303970337</x:v>
      </x:c>
      <x:c r="L209" s="12" t="n">
        <x:v>12.820946577191354</x:v>
      </x:c>
      <x:c r="M209" s="12" t="n">
        <x:v>21.415055402119954</x:v>
      </x:c>
      <x:c r="N209" s="12" t="n">
        <x:v>21.72401580810547</x:v>
      </x:c>
      <x:c r="O209" s="12" t="n">
        <x:v>0.3089604059855162</x:v>
      </x:c>
      <x:c r="P209" s="12" t="n">
        <x:v>0.6520563463370005</x:v>
      </x:c>
      <x:c r="Q209" s="12" t="n">
        <x:v>1.1588378727436066</x:v>
      </x:c>
      <x:c r="R209" s="12" t="n">
        <x:v>0.5067815264066061</x:v>
      </x:c>
      <x:c r="S209" s="11" t="n">
        <x:f>'Method'!$B$7</x:f>
        <x:v>0.2</x:v>
      </x:c>
      <x:c r="T209" s="11" t="n">
        <x:f>'Method'!$B$8</x:f>
        <x:v>0.2</x:v>
      </x:c>
      <x:c r="U209" s="11" t="n">
        <x:f>'Method'!$B$9</x:f>
        <x:v>0.2</x:v>
      </x:c>
      <x:c r="V209" s="11" t="n">
        <x:f>1-D209</x:f>
        <x:v>0</x:v>
      </x:c>
      <x:c r="W209" s="11" t="n">
        <x:f>1-E209</x:f>
        <x:v>0.17525773195876293</x:v>
      </x:c>
      <x:c r="X209" s="11" t="n">
        <x:f>1-F209</x:f>
        <x:v>0.030240549828178698</x:v>
      </x:c>
    </x:row>
    <x:row r="210" ht="18" customHeight="1">
      <x:c r="A210" s="10" t="str">
        <x:v>VA</x:v>
      </x:c>
      <x:c r="B210" s="10" t="str">
        <x:v>51093</x:v>
      </x:c>
      <x:c r="C210" s="10" t="str">
        <x:v>Isle of Wight County</x:v>
      </x:c>
      <x:c r="D210" s="11" t="n">
        <x:f>1-'Method'!$B$7*G210</x:f>
        <x:v>0.9402061855670103</x:v>
      </x:c>
      <x:c r="E210" s="11" t="n">
        <x:f>1-'Method'!$B$8*H210</x:f>
        <x:v>1</x:v>
      </x:c>
      <x:c r="F210" s="11" t="n">
        <x:f>1-'Method'!$B$9*I210</x:f>
        <x:v>0.9051546391752577</x:v>
      </x:c>
      <x:c r="G210" s="11" t="n">
        <x:v>0.29896907216494845</x:v>
      </x:c>
      <x:c r="H210" s="11" t="n">
        <x:v>0</x:v>
      </x:c>
      <x:c r="I210" s="11" t="n">
        <x:v>0.4742268041237113</x:v>
      </x:c>
      <x:c r="J210" s="12" t="n">
        <x:v>25.0467347462972</x:v>
      </x:c>
      <x:c r="K210" s="12" t="n">
        <x:v>76.94505653381347</x:v>
      </x:c>
      <x:c r="L210" s="12" t="n">
        <x:v>51.89832178751627</x:v>
      </x:c>
      <x:c r="M210" s="12" t="n">
        <x:v>22.675242296854655</x:v>
      </x:c>
      <x:c r="N210" s="12" t="n">
        <x:v>22.173900922139484</x:v>
      </x:c>
      <x:c r="O210" s="12" t="n">
        <x:v>0</x:v>
      </x:c>
      <x:c r="P210" s="12" t="n">
        <x:v>1.4340668082237245</x:v>
      </x:c>
      <x:c r="Q210" s="12" t="n">
        <x:v>2.1083465496699016</x:v>
      </x:c>
      <x:c r="R210" s="12" t="n">
        <x:v>0.6742797414461772</x:v>
      </x:c>
      <x:c r="S210" s="11" t="n">
        <x:f>'Method'!$B$7</x:f>
        <x:v>0.2</x:v>
      </x:c>
      <x:c r="T210" s="11" t="n">
        <x:f>'Method'!$B$8</x:f>
        <x:v>0.2</x:v>
      </x:c>
      <x:c r="U210" s="11" t="n">
        <x:f>'Method'!$B$9</x:f>
        <x:v>0.2</x:v>
      </x:c>
      <x:c r="V210" s="11" t="n">
        <x:f>1-D210</x:f>
        <x:v>0.0597938144329897</x:v>
      </x:c>
      <x:c r="W210" s="11" t="n">
        <x:f>1-E210</x:f>
        <x:v>0</x:v>
      </x:c>
      <x:c r="X210" s="11" t="n">
        <x:f>1-F210</x:f>
        <x:v>0.09484536082474226</x:v>
      </x:c>
    </x:row>
    <x:row r="211" ht="18" customHeight="1">
      <x:c r="A211" s="10" t="str">
        <x:v>VA</x:v>
      </x:c>
      <x:c r="B211" s="10" t="str">
        <x:v>51095</x:v>
      </x:c>
      <x:c r="C211" s="10" t="str">
        <x:v>James City County</x:v>
      </x:c>
      <x:c r="D211" s="11" t="n">
        <x:f>1-'Method'!$B$7*G211</x:f>
        <x:v>0.920274914089347</x:v>
      </x:c>
      <x:c r="E211" s="11" t="n">
        <x:f>1-'Method'!$B$8*H211</x:f>
        <x:v>1</x:v>
      </x:c>
      <x:c r="F211" s="11" t="n">
        <x:f>1-'Method'!$B$9*I211</x:f>
        <x:v>0.8233676975945017</x:v>
      </x:c>
      <x:c r="G211" s="11" t="n">
        <x:v>0.39862542955326463</x:v>
      </x:c>
      <x:c r="H211" s="11" t="n">
        <x:v>0</x:v>
      </x:c>
      <x:c r="I211" s="11" t="n">
        <x:v>0.8831615120274914</x:v>
      </x:c>
      <x:c r="J211" s="12" t="n">
        <x:v>29.156037712097167</x:v>
      </x:c>
      <x:c r="K211" s="12" t="n">
        <x:v>82.4002119700114</x:v>
      </x:c>
      <x:c r="L211" s="12" t="n">
        <x:v>53.24417425791423</x:v>
      </x:c>
      <x:c r="M211" s="12" t="n">
        <x:v>23.560513242085776</x:v>
      </x:c>
      <x:c r="N211" s="12" t="n">
        <x:v>23.147095998128254</x:v>
      </x:c>
      <x:c r="O211" s="12" t="n">
        <x:v>0</x:v>
      </x:c>
      <x:c r="P211" s="12" t="n">
        <x:v>1.5458276430765787</x:v>
      </x:c>
      <x:c r="Q211" s="12" t="n">
        <x:v>2.416311192512512</x:v>
      </x:c>
      <x:c r="R211" s="12" t="n">
        <x:v>0.8704835494359333</x:v>
      </x:c>
      <x:c r="S211" s="11" t="n">
        <x:f>'Method'!$B$7</x:f>
        <x:v>0.2</x:v>
      </x:c>
      <x:c r="T211" s="11" t="n">
        <x:f>'Method'!$B$8</x:f>
        <x:v>0.2</x:v>
      </x:c>
      <x:c r="U211" s="11" t="n">
        <x:f>'Method'!$B$9</x:f>
        <x:v>0.2</x:v>
      </x:c>
      <x:c r="V211" s="11" t="n">
        <x:f>1-D211</x:f>
        <x:v>0.07972508591065297</x:v>
      </x:c>
      <x:c r="W211" s="11" t="n">
        <x:f>1-E211</x:f>
        <x:v>0</x:v>
      </x:c>
      <x:c r="X211" s="11" t="n">
        <x:f>1-F211</x:f>
        <x:v>0.17663230240549832</x:v>
      </x:c>
    </x:row>
    <x:row r="212" ht="18" customHeight="1">
      <x:c r="A212" s="10" t="str">
        <x:v>VA</x:v>
      </x:c>
      <x:c r="B212" s="10" t="str">
        <x:v>51097</x:v>
      </x:c>
      <x:c r="C212" s="10" t="str">
        <x:v>King and Queen County</x:v>
      </x:c>
      <x:c r="D212" s="11" t="n">
        <x:f>1-'Method'!$B$7*G212</x:f>
        <x:v>0.8838487972508591</x:v>
      </x:c>
      <x:c r="E212" s="11" t="n">
        <x:f>1-'Method'!$B$8*H212</x:f>
        <x:v>0.8515463917525773</x:v>
      </x:c>
      <x:c r="F212" s="11" t="n">
        <x:f>1-'Method'!$B$9*I212</x:f>
        <x:v>0.8343642611683848</x:v>
      </x:c>
      <x:c r="G212" s="11" t="n">
        <x:v>0.5807560137457045</x:v>
      </x:c>
      <x:c r="H212" s="11" t="n">
        <x:v>0.7422680412371134</x:v>
      </x:c>
      <x:c r="I212" s="11" t="n">
        <x:v>0.8281786941580757</x:v>
      </x:c>
      <x:c r="J212" s="12" t="n">
        <x:v>30.585072390238444</x:v>
      </x:c>
      <x:c r="K212" s="12" t="n">
        <x:v>87.34698435465495</x:v>
      </x:c>
      <x:c r="L212" s="12" t="n">
        <x:v>56.761911964416505</x:v>
      </x:c>
      <x:c r="M212" s="12" t="n">
        <x:v>23.6517053604126</x:v>
      </x:c>
      <x:c r="N212" s="12" t="n">
        <x:v>23.73491071065267</x:v>
      </x:c>
      <x:c r="O212" s="12" t="n">
        <x:v>0.08320535024007114</x:v>
      </x:c>
      <x:c r="P212" s="12" t="n">
        <x:v>1.4637947758038838</x:v>
      </x:c>
      <x:c r="Q212" s="12" t="n">
        <x:v>2.2801838318506875</x:v>
      </x:c>
      <x:c r="R212" s="12" t="n">
        <x:v>0.8163890560468037</x:v>
      </x:c>
      <x:c r="S212" s="11" t="n">
        <x:f>'Method'!$B$7</x:f>
        <x:v>0.2</x:v>
      </x:c>
      <x:c r="T212" s="11" t="n">
        <x:f>'Method'!$B$8</x:f>
        <x:v>0.2</x:v>
      </x:c>
      <x:c r="U212" s="11" t="n">
        <x:f>'Method'!$B$9</x:f>
        <x:v>0.2</x:v>
      </x:c>
      <x:c r="V212" s="11" t="n">
        <x:f>1-D212</x:f>
        <x:v>0.11615120274914092</x:v>
      </x:c>
      <x:c r="W212" s="11" t="n">
        <x:f>1-E212</x:f>
        <x:v>0.1484536082474227</x:v>
      </x:c>
      <x:c r="X212" s="11" t="n">
        <x:f>1-F212</x:f>
        <x:v>0.1656357388316152</x:v>
      </x:c>
    </x:row>
    <x:row r="213" ht="18" customHeight="1">
      <x:c r="A213" s="10" t="str">
        <x:v>VA</x:v>
      </x:c>
      <x:c r="B213" s="10" t="str">
        <x:v>51099</x:v>
      </x:c>
      <x:c r="C213" s="10" t="str">
        <x:v>King George County</x:v>
      </x:c>
      <x:c r="D213" s="11" t="n">
        <x:f>1-'Method'!$B$7*G213</x:f>
        <x:v>0.925085910652921</x:v>
      </x:c>
      <x:c r="E213" s="11" t="n">
        <x:f>1-'Method'!$B$8*H213</x:f>
        <x:v>0.8213058419243986</x:v>
      </x:c>
      <x:c r="F213" s="11" t="n">
        <x:f>1-'Method'!$B$9*I213</x:f>
        <x:v>0.9731958762886598</x:v>
      </x:c>
      <x:c r="G213" s="11" t="n">
        <x:v>0.3745704467353952</x:v>
      </x:c>
      <x:c r="H213" s="11" t="n">
        <x:v>0.8934707903780069</x:v>
      </x:c>
      <x:c r="I213" s="11" t="n">
        <x:v>0.13402061855670103</x:v>
      </x:c>
      <x:c r="J213" s="12" t="n">
        <x:v>25.848881975809732</x:v>
      </x:c>
      <x:c r="K213" s="12" t="n">
        <x:v>78.5770487467448</x:v>
      </x:c>
      <x:c r="L213" s="12" t="n">
        <x:v>52.72816677093506</x:v>
      </x:c>
      <x:c r="M213" s="12" t="n">
        <x:v>23.731401634216308</x:v>
      </x:c>
      <x:c r="N213" s="12" t="n">
        <x:v>24.075401242574056</x:v>
      </x:c>
      <x:c r="O213" s="12" t="n">
        <x:v>0.34399960835774834</x:v>
      </x:c>
      <x:c r="P213" s="12" t="n">
        <x:v>0.7393507450819016</x:v>
      </x:c>
      <x:c r="Q213" s="12" t="n">
        <x:v>1.238521546125412</x:v>
      </x:c>
      <x:c r="R213" s="12" t="n">
        <x:v>0.4991708010435104</x:v>
      </x:c>
      <x:c r="S213" s="11" t="n">
        <x:f>'Method'!$B$7</x:f>
        <x:v>0.2</x:v>
      </x:c>
      <x:c r="T213" s="11" t="n">
        <x:f>'Method'!$B$8</x:f>
        <x:v>0.2</x:v>
      </x:c>
      <x:c r="U213" s="11" t="n">
        <x:f>'Method'!$B$9</x:f>
        <x:v>0.2</x:v>
      </x:c>
      <x:c r="V213" s="11" t="n">
        <x:f>1-D213</x:f>
        <x:v>0.074914089347079</x:v>
      </x:c>
      <x:c r="W213" s="11" t="n">
        <x:f>1-E213</x:f>
        <x:v>0.1786941580756014</x:v>
      </x:c>
      <x:c r="X213" s="11" t="n">
        <x:f>1-F213</x:f>
        <x:v>0.026804123711340222</x:v>
      </x:c>
    </x:row>
    <x:row r="214" ht="18" customHeight="1">
      <x:c r="A214" s="10" t="str">
        <x:v>VA</x:v>
      </x:c>
      <x:c r="B214" s="10" t="str">
        <x:v>51101</x:v>
      </x:c>
      <x:c r="C214" s="10" t="str">
        <x:v>King William County</x:v>
      </x:c>
      <x:c r="D214" s="11" t="n">
        <x:f>1-'Method'!$B$7*G214</x:f>
        <x:v>0.8790378006872852</x:v>
      </x:c>
      <x:c r="E214" s="11" t="n">
        <x:f>1-'Method'!$B$8*H214</x:f>
        <x:v>0.8391752577319588</x:v>
      </x:c>
      <x:c r="F214" s="11" t="n">
        <x:f>1-'Method'!$B$9*I214</x:f>
        <x:v>0.8742268041237113</x:v>
      </x:c>
      <x:c r="G214" s="11" t="n">
        <x:v>0.6048109965635738</x:v>
      </x:c>
      <x:c r="H214" s="11" t="n">
        <x:v>0.8041237113402062</x:v>
      </x:c>
      <x:c r="I214" s="11" t="n">
        <x:v>0.6288659793814433</x:v>
      </x:c>
      <x:c r="J214" s="12" t="n">
        <x:v>30.434492556254067</x:v>
      </x:c>
      <x:c r="K214" s="12" t="n">
        <x:v>87.84878514607747</x:v>
      </x:c>
      <x:c r="L214" s="12" t="n">
        <x:v>57.414292589823404</x:v>
      </x:c>
      <x:c r="M214" s="12" t="n">
        <x:v>23.547973696390788</x:v>
      </x:c>
      <x:c r="N214" s="12" t="n">
        <x:v>23.723035685221355</x:v>
      </x:c>
      <x:c r="O214" s="12" t="n">
        <x:v>0.17506198883056712</x:v>
      </x:c>
      <x:c r="P214" s="12" t="n">
        <x:v>1.396874455610911</x:v>
      </x:c>
      <x:c r="Q214" s="12" t="n">
        <x:v>2.126634657382965</x:v>
      </x:c>
      <x:c r="R214" s="12" t="n">
        <x:v>0.7297602017720541</x:v>
      </x:c>
      <x:c r="S214" s="11" t="n">
        <x:f>'Method'!$B$7</x:f>
        <x:v>0.2</x:v>
      </x:c>
      <x:c r="T214" s="11" t="n">
        <x:f>'Method'!$B$8</x:f>
        <x:v>0.2</x:v>
      </x:c>
      <x:c r="U214" s="11" t="n">
        <x:f>'Method'!$B$9</x:f>
        <x:v>0.2</x:v>
      </x:c>
      <x:c r="V214" s="11" t="n">
        <x:f>1-D214</x:f>
        <x:v>0.12096219931271479</x:v>
      </x:c>
      <x:c r="W214" s="11" t="n">
        <x:f>1-E214</x:f>
        <x:v>0.16082474226804122</x:v>
      </x:c>
      <x:c r="X214" s="11" t="n">
        <x:f>1-F214</x:f>
        <x:v>0.12577319587628866</x:v>
      </x:c>
    </x:row>
    <x:row r="215" ht="18" customHeight="1">
      <x:c r="A215" s="10" t="str">
        <x:v>VA</x:v>
      </x:c>
      <x:c r="B215" s="10" t="str">
        <x:v>51103</x:v>
      </x:c>
      <x:c r="C215" s="10" t="str">
        <x:v>Lancaster County</x:v>
      </x:c>
      <x:c r="D215" s="11" t="n">
        <x:f>1-'Method'!$B$7*G215</x:f>
        <x:v>0.9271477663230241</x:v>
      </x:c>
      <x:c r="E215" s="11" t="n">
        <x:f>1-'Method'!$B$8*H215</x:f>
        <x:v>1</x:v>
      </x:c>
      <x:c r="F215" s="11" t="n">
        <x:f>1-'Method'!$B$9*I215</x:f>
        <x:v>0.8714776632302406</x:v>
      </x:c>
      <x:c r="G215" s="11" t="n">
        <x:v>0.3642611683848797</x:v>
      </x:c>
      <x:c r="H215" s="11" t="n">
        <x:v>0</x:v>
      </x:c>
      <x:c r="I215" s="11" t="n">
        <x:v>0.6426116838487973</x:v>
      </x:c>
      <x:c r="J215" s="12" t="n">
        <x:v>24.8767946879069</x:v>
      </x:c>
      <x:c r="K215" s="12" t="n">
        <x:v>77.51829045613607</x:v>
      </x:c>
      <x:c r="L215" s="12" t="n">
        <x:v>52.64149576822917</x:v>
      </x:c>
      <x:c r="M215" s="12" t="n">
        <x:v>22.657779502868653</x:v>
      </x:c>
      <x:c r="N215" s="12" t="n">
        <x:v>22.585310808817546</x:v>
      </x:c>
      <x:c r="O215" s="12" t="n">
        <x:v>0</x:v>
      </x:c>
      <x:c r="P215" s="12" t="n">
        <x:v>1.1335255304972331</x:v>
      </x:c>
      <x:c r="Q215" s="12" t="n">
        <x:v>1.870272409915924</x:v>
      </x:c>
      <x:c r="R215" s="12" t="n">
        <x:v>0.7367468794186909</x:v>
      </x:c>
      <x:c r="S215" s="11" t="n">
        <x:f>'Method'!$B$7</x:f>
        <x:v>0.2</x:v>
      </x:c>
      <x:c r="T215" s="11" t="n">
        <x:f>'Method'!$B$8</x:f>
        <x:v>0.2</x:v>
      </x:c>
      <x:c r="U215" s="11" t="n">
        <x:f>'Method'!$B$9</x:f>
        <x:v>0.2</x:v>
      </x:c>
      <x:c r="V215" s="11" t="n">
        <x:f>1-D215</x:f>
        <x:v>0.07285223367697591</x:v>
      </x:c>
      <x:c r="W215" s="11" t="n">
        <x:f>1-E215</x:f>
        <x:v>0</x:v>
      </x:c>
      <x:c r="X215" s="11" t="n">
        <x:f>1-F215</x:f>
        <x:v>0.12852233676975944</x:v>
      </x:c>
    </x:row>
    <x:row r="216" ht="18" customHeight="1">
      <x:c r="A216" s="10" t="str">
        <x:v>VA</x:v>
      </x:c>
      <x:c r="B216" s="10" t="str">
        <x:v>51105</x:v>
      </x:c>
      <x:c r="C216" s="10" t="str">
        <x:v>Lee County</x:v>
      </x:c>
      <x:c r="D216" s="11" t="n">
        <x:f>1-'Method'!$B$7*G216</x:f>
        <x:v>0.9800687285223367</x:v>
      </x:c>
      <x:c r="E216" s="11" t="n">
        <x:f>1-'Method'!$B$8*H216</x:f>
        <x:v>0.8054982817869416</x:v>
      </x:c>
      <x:c r="F216" s="11" t="n">
        <x:f>1-'Method'!$B$9*I216</x:f>
        <x:v>0.8790378006872852</x:v>
      </x:c>
      <x:c r="G216" s="11" t="n">
        <x:v>0.09965635738831616</x:v>
      </x:c>
      <x:c r="H216" s="11" t="n">
        <x:v>0.9725085910652921</x:v>
      </x:c>
      <x:c r="I216" s="11" t="n">
        <x:v>0.6048109965635738</x:v>
      </x:c>
      <x:c r="J216" s="12" t="n">
        <x:v>4.332698305447896</x:v>
      </x:c>
      <x:c r="K216" s="12" t="n">
        <x:v>45.3418472290039</x:v>
      </x:c>
      <x:c r="L216" s="12" t="n">
        <x:v>41.009148923556005</x:v>
      </x:c>
      <x:c r="M216" s="12" t="n">
        <x:v>20.262936083475747</x:v>
      </x:c>
      <x:c r="N216" s="12" t="n">
        <x:v>20.834075291951496</x:v>
      </x:c>
      <x:c r="O216" s="12" t="n">
        <x:v>0.5711392084757492</x:v>
      </x:c>
      <x:c r="P216" s="12" t="n">
        <x:v>1.2355104307333629</x:v>
      </x:c>
      <x:c r="Q216" s="12" t="n">
        <x:v>1.9487652977307637</x:v>
      </x:c>
      <x:c r="R216" s="12" t="n">
        <x:v>0.7132548669974008</x:v>
      </x:c>
      <x:c r="S216" s="11" t="n">
        <x:f>'Method'!$B$7</x:f>
        <x:v>0.2</x:v>
      </x:c>
      <x:c r="T216" s="11" t="n">
        <x:f>'Method'!$B$8</x:f>
        <x:v>0.2</x:v>
      </x:c>
      <x:c r="U216" s="11" t="n">
        <x:f>'Method'!$B$9</x:f>
        <x:v>0.2</x:v>
      </x:c>
      <x:c r="V216" s="11" t="n">
        <x:f>1-D216</x:f>
        <x:v>0.01993127147766327</x:v>
      </x:c>
      <x:c r="W216" s="11" t="n">
        <x:f>1-E216</x:f>
        <x:v>0.1945017182130584</x:v>
      </x:c>
      <x:c r="X216" s="11" t="n">
        <x:f>1-F216</x:f>
        <x:v>0.12096219931271479</x:v>
      </x:c>
    </x:row>
    <x:row r="217" ht="18" customHeight="1">
      <x:c r="A217" s="10" t="str">
        <x:v>VA</x:v>
      </x:c>
      <x:c r="B217" s="10" t="str">
        <x:v>51107</x:v>
      </x:c>
      <x:c r="C217" s="10" t="str">
        <x:v>Loudoun County</x:v>
      </x:c>
      <x:c r="D217" s="11" t="n">
        <x:f>1-'Method'!$B$7*G217</x:f>
        <x:v>0.9532646048109965</x:v>
      </x:c>
      <x:c r="E217" s="11" t="n">
        <x:f>1-'Method'!$B$8*H217</x:f>
        <x:v>0.8549828178694158</x:v>
      </x:c>
      <x:c r="F217" s="11" t="n">
        <x:f>1-'Method'!$B$9*I217</x:f>
        <x:v>0.963573883161512</x:v>
      </x:c>
      <x:c r="G217" s="11" t="n">
        <x:v>0.23367697594501718</x:v>
      </x:c>
      <x:c r="H217" s="11" t="n">
        <x:v>0.7250859106529209</x:v>
      </x:c>
      <x:c r="I217" s="11" t="n">
        <x:v>0.18213058419243985</x:v>
      </x:c>
      <x:c r="J217" s="12" t="n">
        <x:v>19.235980987548828</x:v>
      </x:c>
      <x:c r="K217" s="12" t="n">
        <x:v>68.66144205729167</x:v>
      </x:c>
      <x:c r="L217" s="12" t="n">
        <x:v>49.42546106974284</x:v>
      </x:c>
      <x:c r="M217" s="12" t="n">
        <x:v>23.600376319885253</x:v>
      </x:c>
      <x:c r="N217" s="12" t="n">
        <x:v>23.648267237345376</x:v>
      </x:c>
      <x:c r="O217" s="12" t="n">
        <x:v>0.04789091746012275</x:v>
      </x:c>
      <x:c r="P217" s="12" t="n">
        <x:v>0.9735388338565827</x:v>
      </x:c>
      <x:c r="Q217" s="12" t="n">
        <x:v>1.5037840088208516</x:v>
      </x:c>
      <x:c r="R217" s="12" t="n">
        <x:v>0.5302451749642689</x:v>
      </x:c>
      <x:c r="S217" s="11" t="n">
        <x:f>'Method'!$B$7</x:f>
        <x:v>0.2</x:v>
      </x:c>
      <x:c r="T217" s="11" t="n">
        <x:f>'Method'!$B$8</x:f>
        <x:v>0.2</x:v>
      </x:c>
      <x:c r="U217" s="11" t="n">
        <x:f>'Method'!$B$9</x:f>
        <x:v>0.2</x:v>
      </x:c>
      <x:c r="V217" s="11" t="n">
        <x:f>1-D217</x:f>
        <x:v>0.04673539518900349</x:v>
      </x:c>
      <x:c r="W217" s="11" t="n">
        <x:f>1-E217</x:f>
        <x:v>0.14501718213058423</x:v>
      </x:c>
      <x:c r="X217" s="11" t="n">
        <x:f>1-F217</x:f>
        <x:v>0.036426116838487954</x:v>
      </x:c>
    </x:row>
    <x:row r="218" ht="18" customHeight="1">
      <x:c r="A218" s="10" t="str">
        <x:v>VA</x:v>
      </x:c>
      <x:c r="B218" s="10" t="str">
        <x:v>51109</x:v>
      </x:c>
      <x:c r="C218" s="10" t="str">
        <x:v>Louisa County</x:v>
      </x:c>
      <x:c r="D218" s="11" t="n">
        <x:f>1-'Method'!$B$7*G218</x:f>
        <x:v>0.9209621993127148</x:v>
      </x:c>
      <x:c r="E218" s="11" t="n">
        <x:f>1-'Method'!$B$8*H218</x:f>
        <x:v>1</x:v>
      </x:c>
      <x:c r="F218" s="11" t="n">
        <x:f>1-'Method'!$B$9*I218</x:f>
        <x:v>0.8920962199312714</x:v>
      </x:c>
      <x:c r="G218" s="11" t="n">
        <x:v>0.3951890034364261</x:v>
      </x:c>
      <x:c r="H218" s="11" t="n">
        <x:v>0</x:v>
      </x:c>
      <x:c r="I218" s="11" t="n">
        <x:v>0.5395189003436426</x:v>
      </x:c>
      <x:c r="J218" s="12" t="n">
        <x:v>24.22855428059896</x:v>
      </x:c>
      <x:c r="K218" s="12" t="n">
        <x:v>77.47052230834962</x:v>
      </x:c>
      <x:c r="L218" s="12" t="n">
        <x:v>53.24196802775066</x:v>
      </x:c>
      <x:c r="M218" s="12" t="n">
        <x:v>23.931840578715008</x:v>
      </x:c>
      <x:c r="N218" s="12" t="n">
        <x:v>23.490276590983072</x:v>
      </x:c>
      <x:c r="O218" s="12" t="n">
        <x:v>0</x:v>
      </x:c>
      <x:c r="P218" s="12" t="n">
        <x:v>1.2299682875474294</x:v>
      </x:c>
      <x:c r="Q218" s="12" t="n">
        <x:v>1.917114226023356</x:v>
      </x:c>
      <x:c r="R218" s="12" t="n">
        <x:v>0.6871459384759266</x:v>
      </x:c>
      <x:c r="S218" s="11" t="n">
        <x:f>'Method'!$B$7</x:f>
        <x:v>0.2</x:v>
      </x:c>
      <x:c r="T218" s="11" t="n">
        <x:f>'Method'!$B$8</x:f>
        <x:v>0.2</x:v>
      </x:c>
      <x:c r="U218" s="11" t="n">
        <x:f>'Method'!$B$9</x:f>
        <x:v>0.2</x:v>
      </x:c>
      <x:c r="V218" s="11" t="n">
        <x:f>1-D218</x:f>
        <x:v>0.07903780068728516</x:v>
      </x:c>
      <x:c r="W218" s="11" t="n">
        <x:f>1-E218</x:f>
        <x:v>0</x:v>
      </x:c>
      <x:c r="X218" s="11" t="n">
        <x:f>1-F218</x:f>
        <x:v>0.10790378006872858</x:v>
      </x:c>
    </x:row>
    <x:row r="219" ht="18" customHeight="1">
      <x:c r="A219" s="10" t="str">
        <x:v>VA</x:v>
      </x:c>
      <x:c r="B219" s="10" t="str">
        <x:v>51111</x:v>
      </x:c>
      <x:c r="C219" s="10" t="str">
        <x:v>Lunenburg County</x:v>
      </x:c>
      <x:c r="D219" s="11" t="n">
        <x:f>1-'Method'!$B$7*G219</x:f>
        <x:v>0.9381443298969072</x:v>
      </x:c>
      <x:c r="E219" s="11" t="n">
        <x:f>1-'Method'!$B$8*H219</x:f>
        <x:v>1</x:v>
      </x:c>
      <x:c r="F219" s="11" t="n">
        <x:f>1-'Method'!$B$9*I219</x:f>
        <x:v>0.9058419243986254</x:v>
      </x:c>
      <x:c r="G219" s="11" t="n">
        <x:v>0.30927835051546393</x:v>
      </x:c>
      <x:c r="H219" s="11" t="n">
        <x:v>0</x:v>
      </x:c>
      <x:c r="I219" s="11" t="n">
        <x:v>0.47079037800687284</x:v>
      </x:c>
      <x:c r="J219" s="12" t="n">
        <x:v>27.000377655029297</x:v>
      </x:c>
      <x:c r="K219" s="12" t="n">
        <x:v>78.98241831461588</x:v>
      </x:c>
      <x:c r="L219" s="12" t="n">
        <x:v>51.98204065958659</x:v>
      </x:c>
      <x:c r="M219" s="12" t="n">
        <x:v>23.258137448628744</x:v>
      </x:c>
      <x:c r="N219" s="12" t="n">
        <x:v>23.112313524881998</x:v>
      </x:c>
      <x:c r="O219" s="12" t="n">
        <x:v>0</x:v>
      </x:c>
      <x:c r="P219" s="12" t="n">
        <x:v>1.0393804331620535</x:v>
      </x:c>
      <x:c r="Q219" s="12" t="n">
        <x:v>1.7111374616622925</x:v>
      </x:c>
      <x:c r="R219" s="12" t="n">
        <x:v>0.671757028500239</x:v>
      </x:c>
      <x:c r="S219" s="11" t="n">
        <x:f>'Method'!$B$7</x:f>
        <x:v>0.2</x:v>
      </x:c>
      <x:c r="T219" s="11" t="n">
        <x:f>'Method'!$B$8</x:f>
        <x:v>0.2</x:v>
      </x:c>
      <x:c r="U219" s="11" t="n">
        <x:f>'Method'!$B$9</x:f>
        <x:v>0.2</x:v>
      </x:c>
      <x:c r="V219" s="11" t="n">
        <x:f>1-D219</x:f>
        <x:v>0.061855670103092786</x:v>
      </x:c>
      <x:c r="W219" s="11" t="n">
        <x:f>1-E219</x:f>
        <x:v>0</x:v>
      </x:c>
      <x:c r="X219" s="11" t="n">
        <x:f>1-F219</x:f>
        <x:v>0.09415807560137457</x:v>
      </x:c>
    </x:row>
    <x:row r="220" ht="18" customHeight="1">
      <x:c r="A220" s="10" t="str">
        <x:v>VA</x:v>
      </x:c>
      <x:c r="B220" s="10" t="str">
        <x:v>51113</x:v>
      </x:c>
      <x:c r="C220" s="10" t="str">
        <x:v>Madison County</x:v>
      </x:c>
      <x:c r="D220" s="11" t="n">
        <x:f>1-'Method'!$B$7*G220</x:f>
        <x:v>0.9621993127147767</x:v>
      </x:c>
      <x:c r="E220" s="11" t="n">
        <x:f>1-'Method'!$B$8*H220</x:f>
        <x:v>1</x:v>
      </x:c>
      <x:c r="F220" s="11" t="n">
        <x:f>1-'Method'!$B$9*I220</x:f>
        <x:v>0.8680412371134021</x:v>
      </x:c>
      <x:c r="G220" s="11" t="n">
        <x:v>0.18900343642611683</x:v>
      </x:c>
      <x:c r="H220" s="11" t="n">
        <x:v>0</x:v>
      </x:c>
      <x:c r="I220" s="11" t="n">
        <x:v>0.6597938144329897</x:v>
      </x:c>
      <x:c r="J220" s="12" t="n">
        <x:v>14.455788707733154</x:v>
      </x:c>
      <x:c r="K220" s="12" t="n">
        <x:v>60.623649215698244</x:v>
      </x:c>
      <x:c r="L220" s="12" t="n">
        <x:v>46.16786050796509</x:v>
      </x:c>
      <x:c r="M220" s="12" t="n">
        <x:v>24.282599385579427</x:v>
      </x:c>
      <x:c r="N220" s="12" t="n">
        <x:v>23.647257868448893</x:v>
      </x:c>
      <x:c r="O220" s="12" t="n">
        <x:v>0</x:v>
      </x:c>
      <x:c r="P220" s="12" t="n">
        <x:v>1.5888780971368155</x:v>
      </x:c>
      <x:c r="Q220" s="12" t="n">
        <x:v>2.3309587200482684</x:v>
      </x:c>
      <x:c r="R220" s="12" t="n">
        <x:v>0.7420806229114529</x:v>
      </x:c>
      <x:c r="S220" s="11" t="n">
        <x:f>'Method'!$B$7</x:f>
        <x:v>0.2</x:v>
      </x:c>
      <x:c r="T220" s="11" t="n">
        <x:f>'Method'!$B$8</x:f>
        <x:v>0.2</x:v>
      </x:c>
      <x:c r="U220" s="11" t="n">
        <x:f>'Method'!$B$9</x:f>
        <x:v>0.2</x:v>
      </x:c>
      <x:c r="V220" s="11" t="n">
        <x:f>1-D220</x:f>
        <x:v>0.037800687285223344</x:v>
      </x:c>
      <x:c r="W220" s="11" t="n">
        <x:f>1-E220</x:f>
        <x:v>0</x:v>
      </x:c>
      <x:c r="X220" s="11" t="n">
        <x:f>1-F220</x:f>
        <x:v>0.1319587628865979</x:v>
      </x:c>
    </x:row>
    <x:row r="221" ht="18" customHeight="1">
      <x:c r="A221" s="10" t="str">
        <x:v>VA</x:v>
      </x:c>
      <x:c r="B221" s="10" t="str">
        <x:v>51115</x:v>
      </x:c>
      <x:c r="C221" s="10" t="str">
        <x:v>Mathews County</x:v>
      </x:c>
      <x:c r="D221" s="11" t="n">
        <x:f>1-'Method'!$B$7*G221</x:f>
        <x:v>0.961512027491409</x:v>
      </x:c>
      <x:c r="E221" s="11" t="n">
        <x:f>1-'Method'!$B$8*H221</x:f>
        <x:v>1</x:v>
      </x:c>
      <x:c r="F221" s="11" t="n">
        <x:f>1-'Method'!$B$9*I221</x:f>
        <x:v>0.8426116838487973</x:v>
      </x:c>
      <x:c r="G221" s="11" t="n">
        <x:v>0.19243986254295534</x:v>
      </x:c>
      <x:c r="H221" s="11" t="n">
        <x:v>0</x:v>
      </x:c>
      <x:c r="I221" s="11" t="n">
        <x:v>0.7869415807560137</x:v>
      </x:c>
      <x:c r="J221" s="12" t="n">
        <x:v>21.17136262257894</x:v>
      </x:c>
      <x:c r="K221" s="12" t="n">
        <x:v>67.55349871317546</x:v>
      </x:c>
      <x:c r="L221" s="12" t="n">
        <x:v>46.38213609059652</x:v>
      </x:c>
      <x:c r="M221" s="12" t="n">
        <x:v>22.679014841715496</x:v>
      </x:c>
      <x:c r="N221" s="12" t="n">
        <x:v>22.602449162801108</x:v>
      </x:c>
      <x:c r="O221" s="12" t="n">
        <x:v>0</x:v>
      </x:c>
      <x:c r="P221" s="12" t="n">
        <x:v>1.3185296078523001</x:v>
      </x:c>
      <x:c r="Q221" s="12" t="n">
        <x:v>2.1089258511861164</x:v>
      </x:c>
      <x:c r="R221" s="12" t="n">
        <x:v>0.7903962433338163</x:v>
      </x:c>
      <x:c r="S221" s="11" t="n">
        <x:f>'Method'!$B$7</x:f>
        <x:v>0.2</x:v>
      </x:c>
      <x:c r="T221" s="11" t="n">
        <x:f>'Method'!$B$8</x:f>
        <x:v>0.2</x:v>
      </x:c>
      <x:c r="U221" s="11" t="n">
        <x:f>'Method'!$B$9</x:f>
        <x:v>0.2</x:v>
      </x:c>
      <x:c r="V221" s="11" t="n">
        <x:f>1-D221</x:f>
        <x:v>0.03848797250859104</x:v>
      </x:c>
      <x:c r="W221" s="11" t="n">
        <x:f>1-E221</x:f>
        <x:v>0</x:v>
      </x:c>
      <x:c r="X221" s="11" t="n">
        <x:f>1-F221</x:f>
        <x:v>0.15738831615120275</x:v>
      </x:c>
    </x:row>
    <x:row r="222" ht="18" customHeight="1">
      <x:c r="A222" s="10" t="str">
        <x:v>VA</x:v>
      </x:c>
      <x:c r="B222" s="10" t="str">
        <x:v>51117</x:v>
      </x:c>
      <x:c r="C222" s="10" t="str">
        <x:v>Mecklenburg County</x:v>
      </x:c>
      <x:c r="D222" s="11" t="n">
        <x:f>1-'Method'!$B$7*G222</x:f>
        <x:v>0.9305841924398626</x:v>
      </x:c>
      <x:c r="E222" s="11" t="n">
        <x:f>1-'Method'!$B$8*H222</x:f>
        <x:v>1</x:v>
      </x:c>
      <x:c r="F222" s="11" t="n">
        <x:f>1-'Method'!$B$9*I222</x:f>
        <x:v>0.8831615120274914</x:v>
      </x:c>
      <x:c r="G222" s="11" t="n">
        <x:v>0.3470790378006873</x:v>
      </x:c>
      <x:c r="H222" s="11" t="n">
        <x:v>0</x:v>
      </x:c>
      <x:c r="I222" s="11" t="n">
        <x:v>0.584192439862543</x:v>
      </x:c>
      <x:c r="J222" s="12" t="n">
        <x:v>34.30938320159912</x:v>
      </x:c>
      <x:c r="K222" s="12" t="n">
        <x:v>86.8676747639974</x:v>
      </x:c>
      <x:c r="L222" s="12" t="n">
        <x:v>52.55829156239828</x:v>
      </x:c>
      <x:c r="M222" s="12" t="n">
        <x:v>24.587924194335937</x:v>
      </x:c>
      <x:c r="N222" s="12" t="n">
        <x:v>24.123801040649415</x:v>
      </x:c>
      <x:c r="O222" s="12" t="n">
        <x:v>0</x:v>
      </x:c>
      <x:c r="P222" s="12" t="n">
        <x:v>1.100234979391098</x:v>
      </x:c>
      <x:c r="Q222" s="12" t="n">
        <x:v>1.8009211421012878</x:v>
      </x:c>
      <x:c r="R222" s="12" t="n">
        <x:v>0.7006861627101899</x:v>
      </x:c>
      <x:c r="S222" s="11" t="n">
        <x:f>'Method'!$B$7</x:f>
        <x:v>0.2</x:v>
      </x:c>
      <x:c r="T222" s="11" t="n">
        <x:f>'Method'!$B$8</x:f>
        <x:v>0.2</x:v>
      </x:c>
      <x:c r="U222" s="11" t="n">
        <x:f>'Method'!$B$9</x:f>
        <x:v>0.2</x:v>
      </x:c>
      <x:c r="V222" s="11" t="n">
        <x:f>1-D222</x:f>
        <x:v>0.06941580756013743</x:v>
      </x:c>
      <x:c r="W222" s="11" t="n">
        <x:f>1-E222</x:f>
        <x:v>0</x:v>
      </x:c>
      <x:c r="X222" s="11" t="n">
        <x:f>1-F222</x:f>
        <x:v>0.11683848797250862</x:v>
      </x:c>
    </x:row>
    <x:row r="223" ht="18" customHeight="1">
      <x:c r="A223" s="10" t="str">
        <x:v>VA</x:v>
      </x:c>
      <x:c r="B223" s="10" t="str">
        <x:v>51119</x:v>
      </x:c>
      <x:c r="C223" s="10" t="str">
        <x:v>Middlesex County</x:v>
      </x:c>
      <x:c r="D223" s="11" t="n">
        <x:f>1-'Method'!$B$7*G223</x:f>
        <x:v>0.9189003436426116</x:v>
      </x:c>
      <x:c r="E223" s="11" t="n">
        <x:f>1-'Method'!$B$8*H223</x:f>
        <x:v>1</x:v>
      </x:c>
      <x:c r="F223" s="11" t="n">
        <x:f>1-'Method'!$B$9*I223</x:f>
        <x:v>0.8329896907216494</x:v>
      </x:c>
      <x:c r="G223" s="11" t="n">
        <x:v>0.4054982817869416</x:v>
      </x:c>
      <x:c r="H223" s="11" t="n">
        <x:v>0</x:v>
      </x:c>
      <x:c r="I223" s="11" t="n">
        <x:v>0.8350515463917526</x:v>
      </x:c>
      <x:c r="J223" s="12" t="n">
        <x:v>27.102623875935873</x:v>
      </x:c>
      <x:c r="K223" s="12" t="n">
        <x:v>80.39721946716308</x:v>
      </x:c>
      <x:c r="L223" s="12" t="n">
        <x:v>53.29459559122721</x:v>
      </x:c>
      <x:c r="M223" s="12" t="n">
        <x:v>22.956577491760253</x:v>
      </x:c>
      <x:c r="N223" s="12" t="n">
        <x:v>22.850971094767253</x:v>
      </x:c>
      <x:c r="O223" s="12" t="n">
        <x:v>0</x:v>
      </x:c>
      <x:c r="P223" s="12" t="n">
        <x:v>1.2193575044473013</x:v>
      </x:c>
      <x:c r="Q223" s="12" t="n">
        <x:v>2.037638779481252</x:v>
      </x:c>
      <x:c r="R223" s="12" t="n">
        <x:v>0.8182812750339505</x:v>
      </x:c>
      <x:c r="S223" s="11" t="n">
        <x:f>'Method'!$B$7</x:f>
        <x:v>0.2</x:v>
      </x:c>
      <x:c r="T223" s="11" t="n">
        <x:f>'Method'!$B$8</x:f>
        <x:v>0.2</x:v>
      </x:c>
      <x:c r="U223" s="11" t="n">
        <x:f>'Method'!$B$9</x:f>
        <x:v>0.2</x:v>
      </x:c>
      <x:c r="V223" s="11" t="n">
        <x:f>1-D223</x:f>
        <x:v>0.08109965635738836</x:v>
      </x:c>
      <x:c r="W223" s="11" t="n">
        <x:f>1-E223</x:f>
        <x:v>0</x:v>
      </x:c>
      <x:c r="X223" s="11" t="n">
        <x:f>1-F223</x:f>
        <x:v>0.1670103092783506</x:v>
      </x:c>
    </x:row>
    <x:row r="224" ht="18" customHeight="1">
      <x:c r="A224" s="10" t="str">
        <x:v>VA</x:v>
      </x:c>
      <x:c r="B224" s="10" t="str">
        <x:v>51121</x:v>
      </x:c>
      <x:c r="C224" s="10" t="str">
        <x:v>Montgomery County</x:v>
      </x:c>
      <x:c r="D224" s="11" t="n">
        <x:f>1-'Method'!$B$7*G224</x:f>
        <x:v>0.9883161512027492</x:v>
      </x:c>
      <x:c r="E224" s="11" t="n">
        <x:f>1-'Method'!$B$8*H224</x:f>
        <x:v>0.8295532646048109</x:v>
      </x:c>
      <x:c r="F224" s="11" t="n">
        <x:f>1-'Method'!$B$9*I224</x:f>
        <x:v>0.9821305841924398</x:v>
      </x:c>
      <x:c r="G224" s="11" t="n">
        <x:v>0.058419243986254296</x:v>
      </x:c>
      <x:c r="H224" s="11" t="n">
        <x:v>0.852233676975945</x:v>
      </x:c>
      <x:c r="I224" s="11" t="n">
        <x:v>0.08934707903780069</x:v>
      </x:c>
      <x:c r="J224" s="12" t="n">
        <x:v>3.36243360042572</x:v>
      </x:c>
      <x:c r="K224" s="12" t="n">
        <x:v>35.51154270172119</x:v>
      </x:c>
      <x:c r="L224" s="12" t="n">
        <x:v>32.14910910129547</x:v>
      </x:c>
      <x:c r="M224" s="12" t="n">
        <x:v>24.29873752593994</x:v>
      </x:c>
      <x:c r="N224" s="12" t="n">
        <x:v>24.534299405415855</x:v>
      </x:c>
      <x:c r="O224" s="12" t="n">
        <x:v>0.23556187947591312</x:v>
      </x:c>
      <x:c r="P224" s="12" t="n">
        <x:v>0.8280067433913548</x:v>
      </x:c>
      <x:c r="Q224" s="12" t="n">
        <x:v>1.2906149725119274</x:v>
      </x:c>
      <x:c r="R224" s="12" t="n">
        <x:v>0.46260822912057253</x:v>
      </x:c>
      <x:c r="S224" s="11" t="n">
        <x:f>'Method'!$B$7</x:f>
        <x:v>0.2</x:v>
      </x:c>
      <x:c r="T224" s="11" t="n">
        <x:f>'Method'!$B$8</x:f>
        <x:v>0.2</x:v>
      </x:c>
      <x:c r="U224" s="11" t="n">
        <x:f>'Method'!$B$9</x:f>
        <x:v>0.2</x:v>
      </x:c>
      <x:c r="V224" s="11" t="n">
        <x:f>1-D224</x:f>
        <x:v>0.011683848797250818</x:v>
      </x:c>
      <x:c r="W224" s="11" t="n">
        <x:f>1-E224</x:f>
        <x:v>0.17044673539518906</x:v>
      </x:c>
      <x:c r="X224" s="11" t="n">
        <x:f>1-F224</x:f>
        <x:v>0.017869415807560185</x:v>
      </x:c>
    </x:row>
    <x:row r="225" ht="18" customHeight="1">
      <x:c r="A225" s="10" t="str">
        <x:v>VA</x:v>
      </x:c>
      <x:c r="B225" s="10" t="str">
        <x:v>51125</x:v>
      </x:c>
      <x:c r="C225" s="10" t="str">
        <x:v>Nelson County</x:v>
      </x:c>
      <x:c r="D225" s="11" t="n">
        <x:f>1-'Method'!$B$7*G225</x:f>
        <x:v>0.963573883161512</x:v>
      </x:c>
      <x:c r="E225" s="11" t="n">
        <x:f>1-'Method'!$B$8*H225</x:f>
        <x:v>1</x:v>
      </x:c>
      <x:c r="F225" s="11" t="n">
        <x:f>1-'Method'!$B$9*I225</x:f>
        <x:v>0.8268041237113402</x:v>
      </x:c>
      <x:c r="G225" s="11" t="n">
        <x:v>0.18213058419243985</x:v>
      </x:c>
      <x:c r="H225" s="11" t="n">
        <x:v>0</x:v>
      </x:c>
      <x:c r="I225" s="11" t="n">
        <x:v>0.865979381443299</x:v>
      </x:c>
      <x:c r="J225" s="12" t="n">
        <x:v>17.61748676300049</x:v>
      </x:c>
      <x:c r="K225" s="12" t="n">
        <x:v>63.34384218851725</x:v>
      </x:c>
      <x:c r="L225" s="12" t="n">
        <x:v>45.72635542551676</x:v>
      </x:c>
      <x:c r="M225" s="12" t="n">
        <x:v>23.859932136535644</x:v>
      </x:c>
      <x:c r="N225" s="12" t="n">
        <x:v>23.59298458099365</x:v>
      </x:c>
      <x:c r="O225" s="12" t="n">
        <x:v>0</x:v>
      </x:c>
      <x:c r="P225" s="12" t="n">
        <x:v>1.786448073387146</x:v>
      </x:c>
      <x:c r="Q225" s="12" t="n">
        <x:v>2.6310007055600484</x:v>
      </x:c>
      <x:c r="R225" s="12" t="n">
        <x:v>0.8445526321729024</x:v>
      </x:c>
      <x:c r="S225" s="11" t="n">
        <x:f>'Method'!$B$7</x:f>
        <x:v>0.2</x:v>
      </x:c>
      <x:c r="T225" s="11" t="n">
        <x:f>'Method'!$B$8</x:f>
        <x:v>0.2</x:v>
      </x:c>
      <x:c r="U225" s="11" t="n">
        <x:f>'Method'!$B$9</x:f>
        <x:v>0.2</x:v>
      </x:c>
      <x:c r="V225" s="11" t="n">
        <x:f>1-D225</x:f>
        <x:v>0.036426116838487954</x:v>
      </x:c>
      <x:c r="W225" s="11" t="n">
        <x:f>1-E225</x:f>
        <x:v>0</x:v>
      </x:c>
      <x:c r="X225" s="11" t="n">
        <x:f>1-F225</x:f>
        <x:v>0.17319587628865984</x:v>
      </x:c>
    </x:row>
    <x:row r="226" ht="18" customHeight="1">
      <x:c r="A226" s="10" t="str">
        <x:v>VA</x:v>
      </x:c>
      <x:c r="B226" s="10" t="str">
        <x:v>51127</x:v>
      </x:c>
      <x:c r="C226" s="10" t="str">
        <x:v>New Kent County</x:v>
      </x:c>
      <x:c r="D226" s="11" t="n">
        <x:f>1-'Method'!$B$7*G226</x:f>
        <x:v>0.8927835051546391</x:v>
      </x:c>
      <x:c r="E226" s="11" t="n">
        <x:f>1-'Method'!$B$8*H226</x:f>
        <x:v>0.8563573883161512</x:v>
      </x:c>
      <x:c r="F226" s="11" t="n">
        <x:f>1-'Method'!$B$9*I226</x:f>
        <x:v>0.8618556701030928</x:v>
      </x:c>
      <x:c r="G226" s="11" t="n">
        <x:v>0.5360824742268041</x:v>
      </x:c>
      <x:c r="H226" s="11" t="n">
        <x:v>0.718213058419244</x:v>
      </x:c>
      <x:c r="I226" s="11" t="n">
        <x:v>0.6907216494845361</x:v>
      </x:c>
      <x:c r="J226" s="12" t="n">
        <x:v>32.908193270365395</x:v>
      </x:c>
      <x:c r="K226" s="12" t="n">
        <x:v>88.8684481302897</x:v>
      </x:c>
      <x:c r="L226" s="12" t="n">
        <x:v>55.96025485992431</x:v>
      </x:c>
      <x:c r="M226" s="12" t="n">
        <x:v>22.920804723103842</x:v>
      </x:c>
      <x:c r="N226" s="12" t="n">
        <x:v>22.963663864135743</x:v>
      </x:c>
      <x:c r="O226" s="12" t="n">
        <x:v>0.042859141031900805</x:v>
      </x:c>
      <x:c r="P226" s="12" t="n">
        <x:v>1.3123117744922639</x:v>
      </x:c>
      <x:c r="Q226" s="12" t="n">
        <x:v>2.064558128515879</x:v>
      </x:c>
      <x:c r="R226" s="12" t="n">
        <x:v>0.7522463540236153</x:v>
      </x:c>
      <x:c r="S226" s="11" t="n">
        <x:f>'Method'!$B$7</x:f>
        <x:v>0.2</x:v>
      </x:c>
      <x:c r="T226" s="11" t="n">
        <x:f>'Method'!$B$8</x:f>
        <x:v>0.2</x:v>
      </x:c>
      <x:c r="U226" s="11" t="n">
        <x:f>'Method'!$B$9</x:f>
        <x:v>0.2</x:v>
      </x:c>
      <x:c r="V226" s="11" t="n">
        <x:f>1-D226</x:f>
        <x:v>0.10721649484536089</x:v>
      </x:c>
      <x:c r="W226" s="11" t="n">
        <x:f>1-E226</x:f>
        <x:v>0.14364261168384884</x:v>
      </x:c>
      <x:c r="X226" s="11" t="n">
        <x:f>1-F226</x:f>
        <x:v>0.13814432989690717</x:v>
      </x:c>
    </x:row>
    <x:row r="227" ht="18" customHeight="1">
      <x:c r="A227" s="10" t="str">
        <x:v>VA</x:v>
      </x:c>
      <x:c r="B227" s="10" t="str">
        <x:v>51131</x:v>
      </x:c>
      <x:c r="C227" s="10" t="str">
        <x:v>Northampton County</x:v>
      </x:c>
      <x:c r="D227" s="11" t="n">
        <x:f>1-'Method'!$B$7*G227</x:f>
        <x:v>0.977319587628866</x:v>
      </x:c>
      <x:c r="E227" s="11" t="n">
        <x:f>1-'Method'!$B$8*H227</x:f>
        <x:v>1</x:v>
      </x:c>
      <x:c r="F227" s="11" t="n">
        <x:f>1-'Method'!$B$9*I227</x:f>
        <x:v>0.8673539518900344</x:v>
      </x:c>
      <x:c r="G227" s="11" t="n">
        <x:v>0.1134020618556701</x:v>
      </x:c>
      <x:c r="H227" s="11" t="n">
        <x:v>0</x:v>
      </x:c>
      <x:c r="I227" s="11" t="n">
        <x:v>0.6632302405498282</x:v>
      </x:c>
      <x:c r="J227" s="12" t="n">
        <x:v>18.178815937042238</x:v>
      </x:c>
      <x:c r="K227" s="12" t="n">
        <x:v>60.279502868652344</x:v>
      </x:c>
      <x:c r="L227" s="12" t="n">
        <x:v>42.100686931610106</x:v>
      </x:c>
      <x:c r="M227" s="12" t="n">
        <x:v>23.326779556274413</x:v>
      </x:c>
      <x:c r="N227" s="12" t="n">
        <x:v>23.078558095296223</x:v>
      </x:c>
      <x:c r="O227" s="12" t="n">
        <x:v>0</x:v>
      </x:c>
      <x:c r="P227" s="12" t="n">
        <x:v>1.2105112512906393</x:v>
      </x:c>
      <x:c r="Q227" s="12" t="n">
        <x:v>1.9535349925359091</x:v>
      </x:c>
      <x:c r="R227" s="12" t="n">
        <x:v>0.7430237412452698</x:v>
      </x:c>
      <x:c r="S227" s="11" t="n">
        <x:f>'Method'!$B$7</x:f>
        <x:v>0.2</x:v>
      </x:c>
      <x:c r="T227" s="11" t="n">
        <x:f>'Method'!$B$8</x:f>
        <x:v>0.2</x:v>
      </x:c>
      <x:c r="U227" s="11" t="n">
        <x:f>'Method'!$B$9</x:f>
        <x:v>0.2</x:v>
      </x:c>
      <x:c r="V227" s="11" t="n">
        <x:f>1-D227</x:f>
        <x:v>0.02268041237113405</x:v>
      </x:c>
      <x:c r="W227" s="11" t="n">
        <x:f>1-E227</x:f>
        <x:v>0</x:v>
      </x:c>
      <x:c r="X227" s="11" t="n">
        <x:f>1-F227</x:f>
        <x:v>0.1326460481099656</x:v>
      </x:c>
    </x:row>
    <x:row r="228" ht="18" customHeight="1">
      <x:c r="A228" s="10" t="str">
        <x:v>VA</x:v>
      </x:c>
      <x:c r="B228" s="10" t="str">
        <x:v>51133</x:v>
      </x:c>
      <x:c r="C228" s="10" t="str">
        <x:v>Northumberland County</x:v>
      </x:c>
      <x:c r="D228" s="11" t="n">
        <x:f>1-'Method'!$B$7*G228</x:f>
        <x:v>0.9457044673539519</x:v>
      </x:c>
      <x:c r="E228" s="11" t="n">
        <x:f>1-'Method'!$B$8*H228</x:f>
        <x:v>1</x:v>
      </x:c>
      <x:c r="F228" s="11" t="n">
        <x:f>1-'Method'!$B$9*I228</x:f>
        <x:v>0.9518900343642611</x:v>
      </x:c>
      <x:c r="G228" s="11" t="n">
        <x:v>0.27147766323024053</x:v>
      </x:c>
      <x:c r="H228" s="11" t="n">
        <x:v>0</x:v>
      </x:c>
      <x:c r="I228" s="11" t="n">
        <x:v>0.24054982817869416</x:v>
      </x:c>
      <x:c r="J228" s="12" t="n">
        <x:v>22.711178016662597</x:v>
      </x:c>
      <x:c r="K228" s="12" t="n">
        <x:v>74.22323036193848</x:v>
      </x:c>
      <x:c r="L228" s="12" t="n">
        <x:v>51.512052345275876</x:v>
      </x:c>
      <x:c r="M228" s="12" t="n">
        <x:v>22.652687899271648</x:v>
      </x:c>
      <x:c r="N228" s="12" t="n">
        <x:v>22.52592042287191</x:v>
      </x:c>
      <x:c r="O228" s="12" t="n">
        <x:v>0</x:v>
      </x:c>
      <x:c r="P228" s="12" t="n">
        <x:v>1.1137279570102692</x:v>
      </x:c>
      <x:c r="Q228" s="12" t="n">
        <x:v>1.6783042351404827</x:v>
      </x:c>
      <x:c r="R228" s="12" t="n">
        <x:v>0.5645762781302135</x:v>
      </x:c>
      <x:c r="S228" s="11" t="n">
        <x:f>'Method'!$B$7</x:f>
        <x:v>0.2</x:v>
      </x:c>
      <x:c r="T228" s="11" t="n">
        <x:f>'Method'!$B$8</x:f>
        <x:v>0.2</x:v>
      </x:c>
      <x:c r="U228" s="11" t="n">
        <x:f>'Method'!$B$9</x:f>
        <x:v>0.2</x:v>
      </x:c>
      <x:c r="V228" s="11" t="n">
        <x:f>1-D228</x:f>
        <x:v>0.05429553264604814</x:v>
      </x:c>
      <x:c r="W228" s="11" t="n">
        <x:f>1-E228</x:f>
        <x:v>0</x:v>
      </x:c>
      <x:c r="X228" s="11" t="n">
        <x:f>1-F228</x:f>
        <x:v>0.04810996563573888</x:v>
      </x:c>
    </x:row>
    <x:row r="229" ht="18" customHeight="1">
      <x:c r="A229" s="10" t="str">
        <x:v>VA</x:v>
      </x:c>
      <x:c r="B229" s="10" t="str">
        <x:v>51135</x:v>
      </x:c>
      <x:c r="C229" s="10" t="str">
        <x:v>Nottoway County</x:v>
      </x:c>
      <x:c r="D229" s="11" t="n">
        <x:f>1-'Method'!$B$7*G229</x:f>
        <x:v>0.9505154639175257</x:v>
      </x:c>
      <x:c r="E229" s="11" t="n">
        <x:f>1-'Method'!$B$8*H229</x:f>
        <x:v>1</x:v>
      </x:c>
      <x:c r="F229" s="11" t="n">
        <x:f>1-'Method'!$B$9*I229</x:f>
        <x:v>0.8865979381443299</x:v>
      </x:c>
      <x:c r="G229" s="11" t="n">
        <x:v>0.24742268041237114</x:v>
      </x:c>
      <x:c r="H229" s="11" t="n">
        <x:v>0</x:v>
      </x:c>
      <x:c r="I229" s="11" t="n">
        <x:v>0.5670103092783505</x:v>
      </x:c>
      <x:c r="J229" s="12" t="n">
        <x:v>25.9905091603597</x:v>
      </x:c>
      <x:c r="K229" s="12" t="n">
        <x:v>76.54679260253906</x:v>
      </x:c>
      <x:c r="L229" s="12" t="n">
        <x:v>50.55628344217936</x:v>
      </x:c>
      <x:c r="M229" s="12" t="n">
        <x:v>24.204018592834473</x:v>
      </x:c>
      <x:c r="N229" s="12" t="n">
        <x:v>23.967284965515137</x:v>
      </x:c>
      <x:c r="O229" s="12" t="n">
        <x:v>0</x:v>
      </x:c>
      <x:c r="P229" s="12" t="n">
        <x:v>1.4005805154641469</x:v>
      </x:c>
      <x:c r="Q229" s="12" t="n">
        <x:v>2.092846123377482</x:v>
      </x:c>
      <x:c r="R229" s="12" t="n">
        <x:v>0.6922656079133354</x:v>
      </x:c>
      <x:c r="S229" s="11" t="n">
        <x:f>'Method'!$B$7</x:f>
        <x:v>0.2</x:v>
      </x:c>
      <x:c r="T229" s="11" t="n">
        <x:f>'Method'!$B$8</x:f>
        <x:v>0.2</x:v>
      </x:c>
      <x:c r="U229" s="11" t="n">
        <x:f>'Method'!$B$9</x:f>
        <x:v>0.2</x:v>
      </x:c>
      <x:c r="V229" s="11" t="n">
        <x:f>1-D229</x:f>
        <x:v>0.04948453608247427</x:v>
      </x:c>
      <x:c r="W229" s="11" t="n">
        <x:f>1-E229</x:f>
        <x:v>0</x:v>
      </x:c>
      <x:c r="X229" s="11" t="n">
        <x:f>1-F229</x:f>
        <x:v>0.11340206185567014</x:v>
      </x:c>
    </x:row>
    <x:row r="230" ht="18" customHeight="1">
      <x:c r="A230" s="10" t="str">
        <x:v>VA</x:v>
      </x:c>
      <x:c r="B230" s="10" t="str">
        <x:v>51137</x:v>
      </x:c>
      <x:c r="C230" s="10" t="str">
        <x:v>Orange County</x:v>
      </x:c>
      <x:c r="D230" s="11" t="n">
        <x:f>1-'Method'!$B$7*G230</x:f>
        <x:v>0.9491408934707903</x:v>
      </x:c>
      <x:c r="E230" s="11" t="n">
        <x:f>1-'Method'!$B$8*H230</x:f>
        <x:v>1</x:v>
      </x:c>
      <x:c r="F230" s="11" t="n">
        <x:f>1-'Method'!$B$9*I230</x:f>
        <x:v>0.9030927835051547</x:v>
      </x:c>
      <x:c r="G230" s="11" t="n">
        <x:v>0.2542955326460481</x:v>
      </x:c>
      <x:c r="H230" s="11" t="n">
        <x:v>0</x:v>
      </x:c>
      <x:c r="I230" s="11" t="n">
        <x:v>0.4845360824742268</x:v>
      </x:c>
      <x:c r="J230" s="12" t="n">
        <x:v>21.632643445332846</x:v>
      </x:c>
      <x:c r="K230" s="12" t="n">
        <x:v>72.43715629577636</x:v>
      </x:c>
      <x:c r="L230" s="12" t="n">
        <x:v>50.804512850443516</x:v>
      </x:c>
      <x:c r="M230" s="12" t="n">
        <x:v>24.353676414489748</x:v>
      </x:c>
      <x:c r="N230" s="12" t="n">
        <x:v>23.96917470296224</x:v>
      </x:c>
      <x:c r="O230" s="12" t="n">
        <x:v>0</x:v>
      </x:c>
      <x:c r="P230" s="12" t="n">
        <x:v>1.2531708498795828</x:v>
      </x:c>
      <x:c r="Q230" s="12" t="n">
        <x:v>1.9285548766454061</x:v>
      </x:c>
      <x:c r="R230" s="12" t="n">
        <x:v>0.6753840267658233</x:v>
      </x:c>
      <x:c r="S230" s="11" t="n">
        <x:f>'Method'!$B$7</x:f>
        <x:v>0.2</x:v>
      </x:c>
      <x:c r="T230" s="11" t="n">
        <x:f>'Method'!$B$8</x:f>
        <x:v>0.2</x:v>
      </x:c>
      <x:c r="U230" s="11" t="n">
        <x:f>'Method'!$B$9</x:f>
        <x:v>0.2</x:v>
      </x:c>
      <x:c r="V230" s="11" t="n">
        <x:f>1-D230</x:f>
        <x:v>0.05085910652920966</x:v>
      </x:c>
      <x:c r="W230" s="11" t="n">
        <x:f>1-E230</x:f>
        <x:v>0</x:v>
      </x:c>
      <x:c r="X230" s="11" t="n">
        <x:f>1-F230</x:f>
        <x:v>0.09690721649484535</x:v>
      </x:c>
    </x:row>
    <x:row r="231" ht="18" customHeight="1">
      <x:c r="A231" s="10" t="str">
        <x:v>VA</x:v>
      </x:c>
      <x:c r="B231" s="10" t="str">
        <x:v>51139</x:v>
      </x:c>
      <x:c r="C231" s="10" t="str">
        <x:v>Page County</x:v>
      </x:c>
      <x:c r="D231" s="11" t="n">
        <x:f>1-'Method'!$B$7*G231</x:f>
        <x:v>0.970446735395189</x:v>
      </x:c>
      <x:c r="E231" s="11" t="n">
        <x:f>1-'Method'!$B$8*H231</x:f>
        <x:v>1</x:v>
      </x:c>
      <x:c r="F231" s="11" t="n">
        <x:f>1-'Method'!$B$9*I231</x:f>
        <x:v>0.9264604810996564</x:v>
      </x:c>
      <x:c r="G231" s="11" t="n">
        <x:v>0.14776632302405499</x:v>
      </x:c>
      <x:c r="H231" s="11" t="n">
        <x:v>0</x:v>
      </x:c>
      <x:c r="I231" s="11" t="n">
        <x:v>0.36769759450171824</x:v>
      </x:c>
      <x:c r="J231" s="12" t="n">
        <x:v>10.950007820129395</x:v>
      </x:c>
      <x:c r="K231" s="12" t="n">
        <x:v>54.70469932556152</x:v>
      </x:c>
      <x:c r="L231" s="12" t="n">
        <x:v>43.75469150543213</x:v>
      </x:c>
      <x:c r="M231" s="12" t="n">
        <x:v>24.334190622965494</x:v>
      </x:c>
      <x:c r="N231" s="12" t="n">
        <x:v>24.02473691304525</x:v>
      </x:c>
      <x:c r="O231" s="12" t="n">
        <x:v>0</x:v>
      </x:c>
      <x:c r="P231" s="12" t="n">
        <x:v>1.3531015157699584</x:v>
      </x:c>
      <x:c r="Q231" s="12" t="n">
        <x:v>1.9859678109486898</x:v>
      </x:c>
      <x:c r="R231" s="12" t="n">
        <x:v>0.6328662951787314</x:v>
      </x:c>
      <x:c r="S231" s="11" t="n">
        <x:f>'Method'!$B$7</x:f>
        <x:v>0.2</x:v>
      </x:c>
      <x:c r="T231" s="11" t="n">
        <x:f>'Method'!$B$8</x:f>
        <x:v>0.2</x:v>
      </x:c>
      <x:c r="U231" s="11" t="n">
        <x:f>'Method'!$B$9</x:f>
        <x:v>0.2</x:v>
      </x:c>
      <x:c r="V231" s="11" t="n">
        <x:f>1-D231</x:f>
        <x:v>0.029553264604811003</x:v>
      </x:c>
      <x:c r="W231" s="11" t="n">
        <x:f>1-E231</x:f>
        <x:v>0</x:v>
      </x:c>
      <x:c r="X231" s="11" t="n">
        <x:f>1-F231</x:f>
        <x:v>0.0735395189003436</x:v>
      </x:c>
    </x:row>
    <x:row r="232" ht="18" customHeight="1">
      <x:c r="A232" s="10" t="str">
        <x:v>VA</x:v>
      </x:c>
      <x:c r="B232" s="10" t="str">
        <x:v>51141</x:v>
      </x:c>
      <x:c r="C232" s="10" t="str">
        <x:v>Patrick County</x:v>
      </x:c>
      <x:c r="D232" s="11" t="n">
        <x:f>1-'Method'!$B$7*G232</x:f>
        <x:v>0.9656357388316151</x:v>
      </x:c>
      <x:c r="E232" s="11" t="n">
        <x:f>1-'Method'!$B$8*H232</x:f>
        <x:v>0.836426116838488</x:v>
      </x:c>
      <x:c r="F232" s="11" t="n">
        <x:f>1-'Method'!$B$9*I232</x:f>
        <x:v>0.8020618556701031</x:v>
      </x:c>
      <x:c r="G232" s="11" t="n">
        <x:v>0.1718213058419244</x:v>
      </x:c>
      <x:c r="H232" s="11" t="n">
        <x:v>0.8178694158075601</x:v>
      </x:c>
      <x:c r="I232" s="11" t="n">
        <x:v>0.9896907216494846</x:v>
      </x:c>
      <x:c r="J232" s="12" t="n">
        <x:v>10.169632895787556</x:v>
      </x:c>
      <x:c r="K232" s="12" t="n">
        <x:v>55.30712763468424</x:v>
      </x:c>
      <x:c r="L232" s="12" t="n">
        <x:v>45.137494738896685</x:v>
      </x:c>
      <x:c r="M232" s="12" t="n">
        <x:v>23.263739840189615</x:v>
      </x:c>
      <x:c r="N232" s="12" t="n">
        <x:v>23.45090243021647</x:v>
      </x:c>
      <x:c r="O232" s="12" t="n">
        <x:v>0.18716259002685476</x:v>
      </x:c>
      <x:c r="P232" s="12" t="n">
        <x:v>2.3493262767791747</x:v>
      </x:c>
      <x:c r="Q232" s="12" t="n">
        <x:v>3.5507408618927</x:v>
      </x:c>
      <x:c r="R232" s="12" t="n">
        <x:v>1.2014145851135254</x:v>
      </x:c>
      <x:c r="S232" s="11" t="n">
        <x:f>'Method'!$B$7</x:f>
        <x:v>0.2</x:v>
      </x:c>
      <x:c r="T232" s="11" t="n">
        <x:f>'Method'!$B$8</x:f>
        <x:v>0.2</x:v>
      </x:c>
      <x:c r="U232" s="11" t="n">
        <x:f>'Method'!$B$9</x:f>
        <x:v>0.2</x:v>
      </x:c>
      <x:c r="V232" s="11" t="n">
        <x:f>1-D232</x:f>
        <x:v>0.03436426116838487</x:v>
      </x:c>
      <x:c r="W232" s="11" t="n">
        <x:f>1-E232</x:f>
        <x:v>0.163573883161512</x:v>
      </x:c>
      <x:c r="X232" s="11" t="n">
        <x:f>1-F232</x:f>
        <x:v>0.19793814432989687</x:v>
      </x:c>
    </x:row>
    <x:row r="233" ht="18" customHeight="1">
      <x:c r="A233" s="10" t="str">
        <x:v>VA</x:v>
      </x:c>
      <x:c r="B233" s="10" t="str">
        <x:v>51143</x:v>
      </x:c>
      <x:c r="C233" s="10" t="str">
        <x:v>Pittsylvania County</x:v>
      </x:c>
      <x:c r="D233" s="11" t="n">
        <x:f>1-'Method'!$B$7*G233</x:f>
        <x:v>0.947766323024055</x:v>
      </x:c>
      <x:c r="E233" s="11" t="n">
        <x:f>1-'Method'!$B$8*H233</x:f>
        <x:v>0.8446735395189003</x:v>
      </x:c>
      <x:c r="F233" s="11" t="n">
        <x:f>1-'Method'!$B$9*I233</x:f>
        <x:v>0.8625429553264605</x:v>
      </x:c>
      <x:c r="G233" s="11" t="n">
        <x:v>0.2611683848797251</x:v>
      </x:c>
      <x:c r="H233" s="11" t="n">
        <x:v>0.7766323024054983</x:v>
      </x:c>
      <x:c r="I233" s="11" t="n">
        <x:v>0.6872852233676976</x:v>
      </x:c>
      <x:c r="J233" s="12" t="n">
        <x:v>22.19630781809489</x:v>
      </x:c>
      <x:c r="K233" s="12" t="n">
        <x:v>73.15803972880046</x:v>
      </x:c>
      <x:c r="L233" s="12" t="n">
        <x:v>50.961731910705566</x:v>
      </x:c>
      <x:c r="M233" s="12" t="n">
        <x:v>24.165464210510255</x:v>
      </x:c>
      <x:c r="N233" s="12" t="n">
        <x:v>24.322756385803224</x:v>
      </x:c>
      <x:c r="O233" s="12" t="n">
        <x:v>0.15729217529296946</x:v>
      </x:c>
      <x:c r="P233" s="12" t="n">
        <x:v>1.2165785054365794</x:v>
      </x:c>
      <x:c r="Q233" s="12" t="n">
        <x:v>1.967336400349935</x:v>
      </x:c>
      <x:c r="R233" s="12" t="n">
        <x:v>0.7507578949133555</x:v>
      </x:c>
      <x:c r="S233" s="11" t="n">
        <x:f>'Method'!$B$7</x:f>
        <x:v>0.2</x:v>
      </x:c>
      <x:c r="T233" s="11" t="n">
        <x:f>'Method'!$B$8</x:f>
        <x:v>0.2</x:v>
      </x:c>
      <x:c r="U233" s="11" t="n">
        <x:f>'Method'!$B$9</x:f>
        <x:v>0.2</x:v>
      </x:c>
      <x:c r="V233" s="11" t="n">
        <x:f>1-D233</x:f>
        <x:v>0.052233676975945054</x:v>
      </x:c>
      <x:c r="W233" s="11" t="n">
        <x:f>1-E233</x:f>
        <x:v>0.15532646048109966</x:v>
      </x:c>
      <x:c r="X233" s="11" t="n">
        <x:f>1-F233</x:f>
        <x:v>0.13745704467353947</x:v>
      </x:c>
    </x:row>
    <x:row r="234" ht="18" customHeight="1">
      <x:c r="A234" s="10" t="str">
        <x:v>VA</x:v>
      </x:c>
      <x:c r="B234" s="10" t="str">
        <x:v>51145</x:v>
      </x:c>
      <x:c r="C234" s="10" t="str">
        <x:v>Powhatan County</x:v>
      </x:c>
      <x:c r="D234" s="11" t="n">
        <x:f>1-'Method'!$B$7*G234</x:f>
        <x:v>0.9326460481099657</x:v>
      </x:c>
      <x:c r="E234" s="11" t="n">
        <x:f>1-'Method'!$B$8*H234</x:f>
        <x:v>1</x:v>
      </x:c>
      <x:c r="F234" s="11" t="n">
        <x:f>1-'Method'!$B$9*I234</x:f>
        <x:v>0.9305841924398626</x:v>
      </x:c>
      <x:c r="G234" s="11" t="n">
        <x:v>0.33676975945017185</x:v>
      </x:c>
      <x:c r="H234" s="11" t="n">
        <x:v>0</x:v>
      </x:c>
      <x:c r="I234" s="11" t="n">
        <x:v>0.3470790378006873</x:v>
      </x:c>
      <x:c r="J234" s="12" t="n">
        <x:v>27.51483771006266</x:v>
      </x:c>
      <x:c r="K234" s="12" t="n">
        <x:v>79.9795316060384</x:v>
      </x:c>
      <x:c r="L234" s="12" t="n">
        <x:v>52.46469389597574</x:v>
      </x:c>
      <x:c r="M234" s="12" t="n">
        <x:v>24.110717328389487</x:v>
      </x:c>
      <x:c r="N234" s="12" t="n">
        <x:v>24.00317440032959</x:v>
      </x:c>
      <x:c r="O234" s="12" t="n">
        <x:v>0</x:v>
      </x:c>
      <x:c r="P234" s="12" t="n">
        <x:v>1.3186479310194652</x:v>
      </x:c>
      <x:c r="Q234" s="12" t="n">
        <x:v>1.9463815331459045</x:v>
      </x:c>
      <x:c r="R234" s="12" t="n">
        <x:v>0.6277336021264392</x:v>
      </x:c>
      <x:c r="S234" s="11" t="n">
        <x:f>'Method'!$B$7</x:f>
        <x:v>0.2</x:v>
      </x:c>
      <x:c r="T234" s="11" t="n">
        <x:f>'Method'!$B$8</x:f>
        <x:v>0.2</x:v>
      </x:c>
      <x:c r="U234" s="11" t="n">
        <x:f>'Method'!$B$9</x:f>
        <x:v>0.2</x:v>
      </x:c>
      <x:c r="V234" s="11" t="n">
        <x:f>1-D234</x:f>
        <x:v>0.06735395189003435</x:v>
      </x:c>
      <x:c r="W234" s="11" t="n">
        <x:f>1-E234</x:f>
        <x:v>0</x:v>
      </x:c>
      <x:c r="X234" s="11" t="n">
        <x:f>1-F234</x:f>
        <x:v>0.06941580756013743</x:v>
      </x:c>
    </x:row>
    <x:row r="235" ht="18" customHeight="1">
      <x:c r="A235" s="10" t="str">
        <x:v>VA</x:v>
      </x:c>
      <x:c r="B235" s="10" t="str">
        <x:v>51147</x:v>
      </x:c>
      <x:c r="C235" s="10" t="str">
        <x:v>Prince Edward County</x:v>
      </x:c>
      <x:c r="D235" s="11" t="n">
        <x:f>1-'Method'!$B$7*G235</x:f>
        <x:v>0.9374570446735395</x:v>
      </x:c>
      <x:c r="E235" s="11" t="n">
        <x:f>1-'Method'!$B$8*H235</x:f>
        <x:v>1</x:v>
      </x:c>
      <x:c r="F235" s="11" t="n">
        <x:f>1-'Method'!$B$9*I235</x:f>
        <x:v>0.8941580756013745</x:v>
      </x:c>
      <x:c r="G235" s="11" t="n">
        <x:v>0.3127147766323024</x:v>
      </x:c>
      <x:c r="H235" s="11" t="n">
        <x:v>0</x:v>
      </x:c>
      <x:c r="I235" s="11" t="n">
        <x:v>0.5292096219931272</x:v>
      </x:c>
      <x:c r="J235" s="12" t="n">
        <x:v>27.54825496673584</x:v>
      </x:c>
      <x:c r="K235" s="12" t="n">
        <x:v>79.53261655171713</x:v>
      </x:c>
      <x:c r="L235" s="12" t="n">
        <x:v>51.984361584981286</x:v>
      </x:c>
      <x:c r="M235" s="12" t="n">
        <x:v>23.566656176249186</x:v>
      </x:c>
      <x:c r="N235" s="12" t="n">
        <x:v>23.332621320088705</x:v>
      </x:c>
      <x:c r="O235" s="12" t="n">
        <x:v>0</x:v>
      </x:c>
      <x:c r="P235" s="12" t="n">
        <x:v>1.1887710253397623</x:v>
      </x:c>
      <x:c r="Q235" s="12" t="n">
        <x:v>1.873218592007955</x:v>
      </x:c>
      <x:c r="R235" s="12" t="n">
        <x:v>0.6844475666681926</x:v>
      </x:c>
      <x:c r="S235" s="11" t="n">
        <x:f>'Method'!$B$7</x:f>
        <x:v>0.2</x:v>
      </x:c>
      <x:c r="T235" s="11" t="n">
        <x:f>'Method'!$B$8</x:f>
        <x:v>0.2</x:v>
      </x:c>
      <x:c r="U235" s="11" t="n">
        <x:f>'Method'!$B$9</x:f>
        <x:v>0.2</x:v>
      </x:c>
      <x:c r="V235" s="11" t="n">
        <x:f>1-D235</x:f>
        <x:v>0.06254295532646048</x:v>
      </x:c>
      <x:c r="W235" s="11" t="n">
        <x:f>1-E235</x:f>
        <x:v>0</x:v>
      </x:c>
      <x:c r="X235" s="11" t="n">
        <x:f>1-F235</x:f>
        <x:v>0.1058419243986255</x:v>
      </x:c>
    </x:row>
    <x:row r="236" ht="18" customHeight="1">
      <x:c r="A236" s="10" t="str">
        <x:v>VA</x:v>
      </x:c>
      <x:c r="B236" s="10" t="str">
        <x:v>51149</x:v>
      </x:c>
      <x:c r="C236" s="10" t="str">
        <x:v>Prince George County</x:v>
      </x:c>
      <x:c r="D236" s="11" t="n">
        <x:f>1-'Method'!$B$7*G236</x:f>
        <x:v>0.9072164948453608</x:v>
      </x:c>
      <x:c r="E236" s="11" t="n">
        <x:f>1-'Method'!$B$8*H236</x:f>
        <x:v>1</x:v>
      </x:c>
      <x:c r="F236" s="11" t="n">
        <x:f>1-'Method'!$B$9*I236</x:f>
        <x:v>0.9182130584192439</x:v>
      </x:c>
      <x:c r="G236" s="11" t="n">
        <x:v>0.4639175257731959</x:v>
      </x:c>
      <x:c r="H236" s="11" t="n">
        <x:v>0</x:v>
      </x:c>
      <x:c r="I236" s="11" t="n">
        <x:v>0.40893470790378006</x:v>
      </x:c>
      <x:c r="J236" s="12" t="n">
        <x:v>37.66997350056966</x:v>
      </x:c>
      <x:c r="K236" s="12" t="n">
        <x:v>92.26550649007162</x:v>
      </x:c>
      <x:c r="L236" s="12" t="n">
        <x:v>54.595532989501955</x:v>
      </x:c>
      <x:c r="M236" s="12" t="n">
        <x:v>23.07729695638021</x:v>
      </x:c>
      <x:c r="N236" s="12" t="n">
        <x:v>22.946150143941242</x:v>
      </x:c>
      <x:c r="O236" s="12" t="n">
        <x:v>0</x:v>
      </x:c>
      <x:c r="P236" s="12" t="n">
        <x:v>1.3576223035653432</x:v>
      </x:c>
      <x:c r="Q236" s="12" t="n">
        <x:v>2.0027166604995728</x:v>
      </x:c>
      <x:c r="R236" s="12" t="n">
        <x:v>0.6450943569342296</x:v>
      </x:c>
      <x:c r="S236" s="11" t="n">
        <x:f>'Method'!$B$7</x:f>
        <x:v>0.2</x:v>
      </x:c>
      <x:c r="T236" s="11" t="n">
        <x:f>'Method'!$B$8</x:f>
        <x:v>0.2</x:v>
      </x:c>
      <x:c r="U236" s="11" t="n">
        <x:f>'Method'!$B$9</x:f>
        <x:v>0.2</x:v>
      </x:c>
      <x:c r="V236" s="11" t="n">
        <x:f>1-D236</x:f>
        <x:v>0.09278350515463918</x:v>
      </x:c>
      <x:c r="W236" s="11" t="n">
        <x:f>1-E236</x:f>
        <x:v>0</x:v>
      </x:c>
      <x:c r="X236" s="11" t="n">
        <x:f>1-F236</x:f>
        <x:v>0.08178694158075606</x:v>
      </x:c>
    </x:row>
    <x:row r="237" ht="18" customHeight="1">
      <x:c r="A237" s="10" t="str">
        <x:v>VA</x:v>
      </x:c>
      <x:c r="B237" s="10" t="str">
        <x:v>51153</x:v>
      </x:c>
      <x:c r="C237" s="10" t="str">
        <x:v>Prince William County</x:v>
      </x:c>
      <x:c r="D237" s="11" t="n">
        <x:f>1-'Method'!$B$7*G237</x:f>
        <x:v>0.9312714776632303</x:v>
      </x:c>
      <x:c r="E237" s="11" t="n">
        <x:f>1-'Method'!$B$8*H237</x:f>
        <x:v>1</x:v>
      </x:c>
      <x:c r="F237" s="11" t="n">
        <x:f>1-'Method'!$B$9*I237</x:f>
        <x:v>0.9862542955326461</x:v>
      </x:c>
      <x:c r="G237" s="11" t="n">
        <x:v>0.3436426116838488</x:v>
      </x:c>
      <x:c r="H237" s="11" t="n">
        <x:v>0</x:v>
      </x:c>
      <x:c r="I237" s="11" t="n">
        <x:v>0.06872852233676977</x:v>
      </x:c>
      <x:c r="J237" s="12" t="n">
        <x:v>21.502473704020183</x:v>
      </x:c>
      <x:c r="K237" s="12" t="n">
        <x:v>74.05757560729981</x:v>
      </x:c>
      <x:c r="L237" s="12" t="n">
        <x:v>52.55510190327963</x:v>
      </x:c>
      <x:c r="M237" s="12" t="n">
        <x:v>23.90636437733968</x:v>
      </x:c>
      <x:c r="N237" s="12" t="n">
        <x:v>23.878133138020832</x:v>
      </x:c>
      <x:c r="O237" s="12" t="n">
        <x:v>0</x:v>
      </x:c>
      <x:c r="P237" s="12" t="n">
        <x:v>0.913196345170339</x:v>
      </x:c>
      <x:c r="Q237" s="12" t="n">
        <x:v>1.3552311619122823</x:v>
      </x:c>
      <x:c r="R237" s="12" t="n">
        <x:v>0.44203481674194334</x:v>
      </x:c>
      <x:c r="S237" s="11" t="n">
        <x:f>'Method'!$B$7</x:f>
        <x:v>0.2</x:v>
      </x:c>
      <x:c r="T237" s="11" t="n">
        <x:f>'Method'!$B$8</x:f>
        <x:v>0.2</x:v>
      </x:c>
      <x:c r="U237" s="11" t="n">
        <x:f>'Method'!$B$9</x:f>
        <x:v>0.2</x:v>
      </x:c>
      <x:c r="V237" s="11" t="n">
        <x:f>1-D237</x:f>
        <x:v>0.06872852233676974</x:v>
      </x:c>
      <x:c r="W237" s="11" t="n">
        <x:f>1-E237</x:f>
        <x:v>0</x:v>
      </x:c>
      <x:c r="X237" s="11" t="n">
        <x:f>1-F237</x:f>
        <x:v>0.013745704467353903</x:v>
      </x:c>
    </x:row>
    <x:row r="238" ht="18" customHeight="1">
      <x:c r="A238" s="10" t="str">
        <x:v>VA</x:v>
      </x:c>
      <x:c r="B238" s="10" t="str">
        <x:v>51155</x:v>
      </x:c>
      <x:c r="C238" s="10" t="str">
        <x:v>Pulaski County</x:v>
      </x:c>
      <x:c r="D238" s="11" t="n">
        <x:f>1-'Method'!$B$7*G238</x:f>
        <x:v>0.9917525773195877</x:v>
      </x:c>
      <x:c r="E238" s="11" t="n">
        <x:f>1-'Method'!$B$8*H238</x:f>
        <x:v>0.8144329896907216</x:v>
      </x:c>
      <x:c r="F238" s="11" t="n">
        <x:f>1-'Method'!$B$9*I238</x:f>
        <x:v>0.9896907216494846</x:v>
      </x:c>
      <x:c r="G238" s="11" t="n">
        <x:v>0.041237113402061855</x:v>
      </x:c>
      <x:c r="H238" s="11" t="n">
        <x:v>0.9278350515463918</x:v>
      </x:c>
      <x:c r="I238" s="11" t="n">
        <x:v>0.05154639175257732</x:v>
      </x:c>
      <x:c r="J238" s="12" t="n">
        <x:v>2.560109543800354</x:v>
      </x:c>
      <x:c r="K238" s="12" t="n">
        <x:v>30.911180686950683</x:v>
      </x:c>
      <x:c r="L238" s="12" t="n">
        <x:v>28.351071143150328</x:v>
      </x:c>
      <x:c r="M238" s="12" t="n">
        <x:v>24.55028069814046</x:v>
      </x:c>
      <x:c r="N238" s="12" t="n">
        <x:v>24.972930653889975</x:v>
      </x:c>
      <x:c r="O238" s="12" t="n">
        <x:v>0.42264995574951314</x:v>
      </x:c>
      <x:c r="P238" s="12" t="n">
        <x:v>0.809164450565974</x:v>
      </x:c>
      <x:c r="Q238" s="12" t="n">
        <x:v>1.230901155869166</x:v>
      </x:c>
      <x:c r="R238" s="12" t="n">
        <x:v>0.42173670530319207</x:v>
      </x:c>
      <x:c r="S238" s="11" t="n">
        <x:f>'Method'!$B$7</x:f>
        <x:v>0.2</x:v>
      </x:c>
      <x:c r="T238" s="11" t="n">
        <x:f>'Method'!$B$8</x:f>
        <x:v>0.2</x:v>
      </x:c>
      <x:c r="U238" s="11" t="n">
        <x:f>'Method'!$B$9</x:f>
        <x:v>0.2</x:v>
      </x:c>
      <x:c r="V238" s="11" t="n">
        <x:f>1-D238</x:f>
        <x:v>0.008247422680412342</x:v>
      </x:c>
      <x:c r="W238" s="11" t="n">
        <x:f>1-E238</x:f>
        <x:v>0.18556701030927836</x:v>
      </x:c>
      <x:c r="X238" s="11" t="n">
        <x:f>1-F238</x:f>
        <x:v>0.010309278350515427</x:v>
      </x:c>
    </x:row>
    <x:row r="239" ht="18" customHeight="1">
      <x:c r="A239" s="10" t="str">
        <x:v>VA</x:v>
      </x:c>
      <x:c r="B239" s="10" t="str">
        <x:v>51157</x:v>
      </x:c>
      <x:c r="C239" s="10" t="str">
        <x:v>Rappahannock County</x:v>
      </x:c>
      <x:c r="D239" s="11" t="n">
        <x:f>1-'Method'!$B$7*G239</x:f>
        <x:v>0.9525773195876288</x:v>
      </x:c>
      <x:c r="E239" s="11" t="n">
        <x:f>1-'Method'!$B$8*H239</x:f>
        <x:v>1</x:v>
      </x:c>
      <x:c r="F239" s="11" t="n">
        <x:f>1-'Method'!$B$9*I239</x:f>
        <x:v>0.8584192439862542</x:v>
      </x:c>
      <x:c r="G239" s="11" t="n">
        <x:v>0.23711340206185566</x:v>
      </x:c>
      <x:c r="H239" s="11" t="n">
        <x:v>0</x:v>
      </x:c>
      <x:c r="I239" s="11" t="n">
        <x:v>0.7079037800687286</x:v>
      </x:c>
      <x:c r="J239" s="12" t="n">
        <x:v>15.693673801422118</x:v>
      </x:c>
      <x:c r="K239" s="12" t="n">
        <x:v>65.65872319539388</x:v>
      </x:c>
      <x:c r="L239" s="12" t="n">
        <x:v>49.96504939397175</x:v>
      </x:c>
      <x:c r="M239" s="12" t="n">
        <x:v>24.0440850575765</x:v>
      </x:c>
      <x:c r="N239" s="12" t="n">
        <x:v>23.514689763387043</x:v>
      </x:c>
      <x:c r="O239" s="12" t="n">
        <x:v>0</x:v>
      </x:c>
      <x:c r="P239" s="12" t="n">
        <x:v>1.4779979248841604</x:v>
      </x:c>
      <x:c r="Q239" s="12" t="n">
        <x:v>2.235924510161082</x:v>
      </x:c>
      <x:c r="R239" s="12" t="n">
        <x:v>0.7579265852769217</x:v>
      </x:c>
      <x:c r="S239" s="11" t="n">
        <x:f>'Method'!$B$7</x:f>
        <x:v>0.2</x:v>
      </x:c>
      <x:c r="T239" s="11" t="n">
        <x:f>'Method'!$B$8</x:f>
        <x:v>0.2</x:v>
      </x:c>
      <x:c r="U239" s="11" t="n">
        <x:f>'Method'!$B$9</x:f>
        <x:v>0.2</x:v>
      </x:c>
      <x:c r="V239" s="11" t="n">
        <x:f>1-D239</x:f>
        <x:v>0.04742268041237119</x:v>
      </x:c>
      <x:c r="W239" s="11" t="n">
        <x:f>1-E239</x:f>
        <x:v>0</x:v>
      </x:c>
      <x:c r="X239" s="11" t="n">
        <x:f>1-F239</x:f>
        <x:v>0.14158075601374576</x:v>
      </x:c>
    </x:row>
    <x:row r="240" ht="18" customHeight="1">
      <x:c r="A240" s="10" t="str">
        <x:v>VA</x:v>
      </x:c>
      <x:c r="B240" s="10" t="str">
        <x:v>51159</x:v>
      </x:c>
      <x:c r="C240" s="10" t="str">
        <x:v>Richmond County</x:v>
      </x:c>
      <x:c r="D240" s="11" t="n">
        <x:f>1-'Method'!$B$7*G240</x:f>
        <x:v>0.9127147766323024</x:v>
      </x:c>
      <x:c r="E240" s="11" t="n">
        <x:f>1-'Method'!$B$8*H240</x:f>
        <x:v>0.8604810996563574</x:v>
      </x:c>
      <x:c r="F240" s="11" t="n">
        <x:f>1-'Method'!$B$9*I240</x:f>
        <x:v>0.8852233676975945</x:v>
      </x:c>
      <x:c r="G240" s="11" t="n">
        <x:v>0.436426116838488</x:v>
      </x:c>
      <x:c r="H240" s="11" t="n">
        <x:v>0.697594501718213</x:v>
      </x:c>
      <x:c r="I240" s="11" t="n">
        <x:v>0.5738831615120275</x:v>
      </x:c>
      <x:c r="J240" s="12" t="n">
        <x:v>31.273823483784994</x:v>
      </x:c>
      <x:c r="K240" s="12" t="n">
        <x:v>85.14449996948242</x:v>
      </x:c>
      <x:c r="L240" s="12" t="n">
        <x:v>53.87067648569743</x:v>
      </x:c>
      <x:c r="M240" s="12" t="n">
        <x:v>24.088761202494304</x:v>
      </x:c>
      <x:c r="N240" s="12" t="n">
        <x:v>24.096191533406575</x:v>
      </x:c>
      <x:c r="O240" s="12" t="n">
        <x:v>0.007430330912271188</x:v>
      </x:c>
      <x:c r="P240" s="12" t="n">
        <x:v>1.4238670448462167</x:v>
      </x:c>
      <x:c r="Q240" s="12" t="n">
        <x:v>2.120516316095988</x:v>
      </x:c>
      <x:c r="R240" s="12" t="n">
        <x:v>0.6966492712497712</x:v>
      </x:c>
      <x:c r="S240" s="11" t="n">
        <x:f>'Method'!$B$7</x:f>
        <x:v>0.2</x:v>
      </x:c>
      <x:c r="T240" s="11" t="n">
        <x:f>'Method'!$B$8</x:f>
        <x:v>0.2</x:v>
      </x:c>
      <x:c r="U240" s="11" t="n">
        <x:f>'Method'!$B$9</x:f>
        <x:v>0.2</x:v>
      </x:c>
      <x:c r="V240" s="11" t="n">
        <x:f>1-D240</x:f>
        <x:v>0.08728522336769762</x:v>
      </x:c>
      <x:c r="W240" s="11" t="n">
        <x:f>1-E240</x:f>
        <x:v>0.13951890034364256</x:v>
      </x:c>
      <x:c r="X240" s="11" t="n">
        <x:f>1-F240</x:f>
        <x:v>0.11477663230240553</x:v>
      </x:c>
    </x:row>
    <x:row r="241" ht="18" customHeight="1">
      <x:c r="A241" s="10" t="str">
        <x:v>VA</x:v>
      </x:c>
      <x:c r="B241" s="10" t="str">
        <x:v>51161</x:v>
      </x:c>
      <x:c r="C241" s="10" t="str">
        <x:v>Roanoke County</x:v>
      </x:c>
      <x:c r="D241" s="11" t="n">
        <x:f>1-'Method'!$B$7*G241</x:f>
        <x:v>0.9752577319587629</x:v>
      </x:c>
      <x:c r="E241" s="11" t="n">
        <x:f>1-'Method'!$B$8*H241</x:f>
        <x:v>0.8426116838487973</x:v>
      </x:c>
      <x:c r="F241" s="11" t="n">
        <x:f>1-'Method'!$B$9*I241</x:f>
        <x:v>0.9580756013745705</x:v>
      </x:c>
      <x:c r="G241" s="11" t="n">
        <x:v>0.12371134020618557</x:v>
      </x:c>
      <x:c r="H241" s="11" t="n">
        <x:v>0.7869415807560137</x:v>
      </x:c>
      <x:c r="I241" s="11" t="n">
        <x:v>0.20962199312714777</x:v>
      </x:c>
      <x:c r="J241" s="12" t="n">
        <x:v>9.888103596369426</x:v>
      </x:c>
      <x:c r="K241" s="12" t="n">
        <x:v>52.68664385477702</x:v>
      </x:c>
      <x:c r="L241" s="12" t="n">
        <x:v>42.79854025840759</x:v>
      </x:c>
      <x:c r="M241" s="12" t="n">
        <x:v>23.704056040445963</x:v>
      </x:c>
      <x:c r="N241" s="12" t="n">
        <x:v>23.866082445780435</x:v>
      </x:c>
      <x:c r="O241" s="12" t="n">
        <x:v>0.16202640533447266</x:v>
      </x:c>
      <x:c r="P241" s="12" t="n">
        <x:v>1.121566907564799</x:v>
      </x:c>
      <x:c r="Q241" s="12" t="n">
        <x:v>1.6725964744885762</x:v>
      </x:c>
      <x:c r="R241" s="12" t="n">
        <x:v>0.5510295669237772</x:v>
      </x:c>
      <x:c r="S241" s="11" t="n">
        <x:f>'Method'!$B$7</x:f>
        <x:v>0.2</x:v>
      </x:c>
      <x:c r="T241" s="11" t="n">
        <x:f>'Method'!$B$8</x:f>
        <x:v>0.2</x:v>
      </x:c>
      <x:c r="U241" s="11" t="n">
        <x:f>'Method'!$B$9</x:f>
        <x:v>0.2</x:v>
      </x:c>
      <x:c r="V241" s="11" t="n">
        <x:f>1-D241</x:f>
        <x:v>0.024742268041237137</x:v>
      </x:c>
      <x:c r="W241" s="11" t="n">
        <x:f>1-E241</x:f>
        <x:v>0.15738831615120275</x:v>
      </x:c>
      <x:c r="X241" s="11" t="n">
        <x:f>1-F241</x:f>
        <x:v>0.041924398625429515</x:v>
      </x:c>
    </x:row>
    <x:row r="242" ht="18" customHeight="1">
      <x:c r="A242" s="10" t="str">
        <x:v>VA</x:v>
      </x:c>
      <x:c r="B242" s="10" t="str">
        <x:v>51163</x:v>
      </x:c>
      <x:c r="C242" s="10" t="str">
        <x:v>Rockbridge County</x:v>
      </x:c>
      <x:c r="D242" s="11" t="n">
        <x:f>1-'Method'!$B$7*G242</x:f>
        <x:v>0.9786941580756013</x:v>
      </x:c>
      <x:c r="E242" s="11" t="n">
        <x:f>1-'Method'!$B$8*H242</x:f>
        <x:v>0.8508591065292096</x:v>
      </x:c>
      <x:c r="F242" s="11" t="n">
        <x:f>1-'Method'!$B$9*I242</x:f>
        <x:v>0.8845360824742268</x:v>
      </x:c>
      <x:c r="G242" s="11" t="n">
        <x:v>0.10652920962199312</x:v>
      </x:c>
      <x:c r="H242" s="11" t="n">
        <x:v>0.7457044673539519</x:v>
      </x:c>
      <x:c r="I242" s="11" t="n">
        <x:v>0.5773195876288659</x:v>
      </x:c>
      <x:c r="J242" s="12" t="n">
        <x:v>10.302694543202717</x:v>
      </x:c>
      <x:c r="K242" s="12" t="n">
        <x:v>52.20763740539551</x:v>
      </x:c>
      <x:c r="L242" s="12" t="n">
        <x:v>41.90494286219279</x:v>
      </x:c>
      <x:c r="M242" s="12" t="n">
        <x:v>24.19004866282145</x:v>
      </x:c>
      <x:c r="N242" s="12" t="n">
        <x:v>24.27921511332194</x:v>
      </x:c>
      <x:c r="O242" s="12" t="n">
        <x:v>0.08916645050048899</x:v>
      </x:c>
      <x:c r="P242" s="12" t="n">
        <x:v>1.3506978849569957</x:v>
      </x:c>
      <x:c r="Q242" s="12" t="n">
        <x:v>2.0477240403493244</x:v>
      </x:c>
      <x:c r="R242" s="12" t="n">
        <x:v>0.6970261553923287</x:v>
      </x:c>
      <x:c r="S242" s="11" t="n">
        <x:f>'Method'!$B$7</x:f>
        <x:v>0.2</x:v>
      </x:c>
      <x:c r="T242" s="11" t="n">
        <x:f>'Method'!$B$8</x:f>
        <x:v>0.2</x:v>
      </x:c>
      <x:c r="U242" s="11" t="n">
        <x:f>'Method'!$B$9</x:f>
        <x:v>0.2</x:v>
      </x:c>
      <x:c r="V242" s="11" t="n">
        <x:f>1-D242</x:f>
        <x:v>0.02130584192439866</x:v>
      </x:c>
      <x:c r="W242" s="11" t="n">
        <x:f>1-E242</x:f>
        <x:v>0.1491408934707904</x:v>
      </x:c>
      <x:c r="X242" s="11" t="n">
        <x:f>1-F242</x:f>
        <x:v>0.11546391752577323</x:v>
      </x:c>
    </x:row>
    <x:row r="243" ht="18" customHeight="1">
      <x:c r="A243" s="10" t="str">
        <x:v>VA</x:v>
      </x:c>
      <x:c r="B243" s="10" t="str">
        <x:v>51165</x:v>
      </x:c>
      <x:c r="C243" s="10" t="str">
        <x:v>Rockingham County</x:v>
      </x:c>
      <x:c r="D243" s="11" t="n">
        <x:f>1-'Method'!$B$7*G243</x:f>
        <x:v>0.9828178694158075</x:v>
      </x:c>
      <x:c r="E243" s="11" t="n">
        <x:f>1-'Method'!$B$8*H243</x:f>
        <x:v>0.8487972508591065</x:v>
      </x:c>
      <x:c r="F243" s="11" t="n">
        <x:f>1-'Method'!$B$9*I243</x:f>
        <x:v>0.9786941580756013</x:v>
      </x:c>
      <x:c r="G243" s="11" t="n">
        <x:v>0.0859106529209622</x:v>
      </x:c>
      <x:c r="H243" s="11" t="n">
        <x:v>0.7560137457044673</x:v>
      </x:c>
      <x:c r="I243" s="11" t="n">
        <x:v>0.10652920962199312</x:v>
      </x:c>
      <x:c r="J243" s="12" t="n">
        <x:v>8.918772331873576</x:v>
      </x:c>
      <x:c r="K243" s="12" t="n">
        <x:v>46.34010836283366</x:v>
      </x:c>
      <x:c r="L243" s="12" t="n">
        <x:v>37.421336030960084</x:v>
      </x:c>
      <x:c r="M243" s="12" t="n">
        <x:v>24.5852388381958</x:v>
      </x:c>
      <x:c r="N243" s="12" t="n">
        <x:v>24.678953297932942</x:v>
      </x:c>
      <x:c r="O243" s="12" t="n">
        <x:v>0.09371445973714287</x:v>
      </x:c>
      <x:c r="P243" s="12" t="n">
        <x:v>0.8204883853594462</x:v>
      </x:c>
      <x:c r="Q243" s="12" t="n">
        <x:v>1.288269970814387</x:v>
      </x:c>
      <x:c r="R243" s="12" t="n">
        <x:v>0.46778158545494075</x:v>
      </x:c>
      <x:c r="S243" s="11" t="n">
        <x:f>'Method'!$B$7</x:f>
        <x:v>0.2</x:v>
      </x:c>
      <x:c r="T243" s="11" t="n">
        <x:f>'Method'!$B$8</x:f>
        <x:v>0.2</x:v>
      </x:c>
      <x:c r="U243" s="11" t="n">
        <x:f>'Method'!$B$9</x:f>
        <x:v>0.2</x:v>
      </x:c>
      <x:c r="V243" s="11" t="n">
        <x:f>1-D243</x:f>
        <x:v>0.01718213058419249</x:v>
      </x:c>
      <x:c r="W243" s="11" t="n">
        <x:f>1-E243</x:f>
        <x:v>0.1512027491408935</x:v>
      </x:c>
      <x:c r="X243" s="11" t="n">
        <x:f>1-F243</x:f>
        <x:v>0.02130584192439866</x:v>
      </x:c>
    </x:row>
    <x:row r="244" ht="18" customHeight="1">
      <x:c r="A244" s="10" t="str">
        <x:v>VA</x:v>
      </x:c>
      <x:c r="B244" s="10" t="str">
        <x:v>51167</x:v>
      </x:c>
      <x:c r="C244" s="10" t="str">
        <x:v>Russell County</x:v>
      </x:c>
      <x:c r="D244" s="11" t="n">
        <x:f>1-'Method'!$B$7*G244</x:f>
        <x:v>0.9890034364261169</x:v>
      </x:c>
      <x:c r="E244" s="11" t="n">
        <x:f>1-'Method'!$B$8*H244</x:f>
        <x:v>0.8116838487972509</x:v>
      </x:c>
      <x:c r="F244" s="11" t="n">
        <x:f>1-'Method'!$B$9*I244</x:f>
        <x:v>0.9986254295532646</x:v>
      </x:c>
      <x:c r="G244" s="11" t="n">
        <x:v>0.054982817869415807</x:v>
      </x:c>
      <x:c r="H244" s="11" t="n">
        <x:v>0.9415807560137457</x:v>
      </x:c>
      <x:c r="I244" s="11" t="n">
        <x:v>0.006872852233676976</x:v>
      </x:c>
      <x:c r="J244" s="12" t="n">
        <x:v>2.242249135176341</x:v>
      </x:c>
      <x:c r="K244" s="12" t="n">
        <x:v>33.34411233266194</x:v>
      </x:c>
      <x:c r="L244" s="12" t="n">
        <x:v>31.101863197485603</x:v>
      </x:c>
      <x:c r="M244" s="12" t="n">
        <x:v>20.57162596384684</x:v>
      </x:c>
      <x:c r="N244" s="12" t="n">
        <x:v>21.021789868672688</x:v>
      </x:c>
      <x:c r="O244" s="12" t="n">
        <x:v>0.4501639048258461</x:v>
      </x:c>
      <x:c r="P244" s="12" t="n">
        <x:v>0.6270707160234451</x:v>
      </x:c>
      <x:c r="Q244" s="12" t="n">
        <x:v>0.8640150805314382</x:v>
      </x:c>
      <x:c r="R244" s="12" t="n">
        <x:v>0.23694436450799305</x:v>
      </x:c>
      <x:c r="S244" s="11" t="n">
        <x:f>'Method'!$B$7</x:f>
        <x:v>0.2</x:v>
      </x:c>
      <x:c r="T244" s="11" t="n">
        <x:f>'Method'!$B$8</x:f>
        <x:v>0.2</x:v>
      </x:c>
      <x:c r="U244" s="11" t="n">
        <x:f>'Method'!$B$9</x:f>
        <x:v>0.2</x:v>
      </x:c>
      <x:c r="V244" s="11" t="n">
        <x:f>1-D244</x:f>
        <x:v>0.010996563573883122</x:v>
      </x:c>
      <x:c r="W244" s="11" t="n">
        <x:f>1-E244</x:f>
        <x:v>0.18831615120274914</x:v>
      </x:c>
      <x:c r="X244" s="11" t="n">
        <x:f>1-F244</x:f>
        <x:v>0.0013745704467353903</x:v>
      </x:c>
    </x:row>
    <x:row r="245" ht="18" customHeight="1">
      <x:c r="A245" s="10" t="str">
        <x:v>VA</x:v>
      </x:c>
      <x:c r="B245" s="10" t="str">
        <x:v>51169</x:v>
      </x:c>
      <x:c r="C245" s="10" t="str">
        <x:v>Scott County</x:v>
      </x:c>
      <x:c r="D245" s="11" t="n">
        <x:f>1-'Method'!$B$7*G245</x:f>
        <x:v>0.9725085910652921</x:v>
      </x:c>
      <x:c r="E245" s="11" t="n">
        <x:f>1-'Method'!$B$8*H245</x:f>
        <x:v>0.806872852233677</x:v>
      </x:c>
      <x:c r="F245" s="11" t="n">
        <x:f>1-'Method'!$B$9*I245</x:f>
        <x:v>0.9958762886597938</x:v>
      </x:c>
      <x:c r="G245" s="11" t="n">
        <x:v>0.13745704467353953</x:v>
      </x:c>
      <x:c r="H245" s="11" t="n">
        <x:v>0.9656357388316151</x:v>
      </x:c>
      <x:c r="I245" s="11" t="n">
        <x:v>0.020618556701030927</x:v>
      </x:c>
      <x:c r="J245" s="12" t="n">
        <x:v>4.681923667589824</x:v>
      </x:c>
      <x:c r="K245" s="12" t="n">
        <x:v>48.282362429300946</x:v>
      </x:c>
      <x:c r="L245" s="12" t="n">
        <x:v>43.600438761711125</x:v>
      </x:c>
      <x:c r="M245" s="12" t="n">
        <x:v>20.5436580657959</x:v>
      </x:c>
      <x:c r="N245" s="12" t="n">
        <x:v>21.077010854085287</x:v>
      </x:c>
      <x:c r="O245" s="12" t="n">
        <x:v>0.5333527882893883</x:v>
      </x:c>
      <x:c r="P245" s="12" t="n">
        <x:v>0.5878477990627289</x:v>
      </x:c>
      <x:c r="Q245" s="12" t="n">
        <x:v>0.903180346886317</x:v>
      </x:c>
      <x:c r="R245" s="12" t="n">
        <x:v>0.3153325478235881</x:v>
      </x:c>
      <x:c r="S245" s="11" t="n">
        <x:f>'Method'!$B$7</x:f>
        <x:v>0.2</x:v>
      </x:c>
      <x:c r="T245" s="11" t="n">
        <x:f>'Method'!$B$8</x:f>
        <x:v>0.2</x:v>
      </x:c>
      <x:c r="U245" s="11" t="n">
        <x:f>'Method'!$B$9</x:f>
        <x:v>0.2</x:v>
      </x:c>
      <x:c r="V245" s="11" t="n">
        <x:f>1-D245</x:f>
        <x:v>0.027491408934707917</x:v>
      </x:c>
      <x:c r="W245" s="11" t="n">
        <x:f>1-E245</x:f>
        <x:v>0.193127147766323</x:v>
      </x:c>
      <x:c r="X245" s="11" t="n">
        <x:f>1-F245</x:f>
        <x:v>0.004123711340206171</x:v>
      </x:c>
    </x:row>
    <x:row r="246" ht="18" customHeight="1">
      <x:c r="A246" s="10" t="str">
        <x:v>VA</x:v>
      </x:c>
      <x:c r="B246" s="10" t="str">
        <x:v>51171</x:v>
      </x:c>
      <x:c r="C246" s="10" t="str">
        <x:v>Shenandoah County</x:v>
      </x:c>
      <x:c r="D246" s="11" t="n">
        <x:f>1-'Method'!$B$7*G246</x:f>
        <x:v>0.9718213058419244</x:v>
      </x:c>
      <x:c r="E246" s="11" t="n">
        <x:f>1-'Method'!$B$8*H246</x:f>
        <x:v>1</x:v>
      </x:c>
      <x:c r="F246" s="11" t="n">
        <x:f>1-'Method'!$B$9*I246</x:f>
        <x:v>0.9938144329896907</x:v>
      </x:c>
      <x:c r="G246" s="11" t="n">
        <x:v>0.140893470790378</x:v>
      </x:c>
      <x:c r="H246" s="11" t="n">
        <x:v>0</x:v>
      </x:c>
      <x:c r="I246" s="11" t="n">
        <x:v>0.030927835051546393</x:v>
      </x:c>
      <x:c r="J246" s="12" t="n">
        <x:v>12.647935422261556</x:v>
      </x:c>
      <x:c r="K246" s="12" t="n">
        <x:v>56.308468119303384</x:v>
      </x:c>
      <x:c r="L246" s="12" t="n">
        <x:v>43.66053269704183</x:v>
      </x:c>
      <x:c r="M246" s="12" t="n">
        <x:v>24.554286384582518</x:v>
      </x:c>
      <x:c r="N246" s="12" t="n">
        <x:v>24.27102928161621</x:v>
      </x:c>
      <x:c r="O246" s="12" t="n">
        <x:v>0</x:v>
      </x:c>
      <x:c r="P246" s="12" t="n">
        <x:v>0.8378682235876719</x:v>
      </x:c>
      <x:c r="Q246" s="12" t="n">
        <x:v>1.2171167135238647</x:v>
      </x:c>
      <x:c r="R246" s="12" t="n">
        <x:v>0.37924848993619287</x:v>
      </x:c>
      <x:c r="S246" s="11" t="n">
        <x:f>'Method'!$B$7</x:f>
        <x:v>0.2</x:v>
      </x:c>
      <x:c r="T246" s="11" t="n">
        <x:f>'Method'!$B$8</x:f>
        <x:v>0.2</x:v>
      </x:c>
      <x:c r="U246" s="11" t="n">
        <x:f>'Method'!$B$9</x:f>
        <x:v>0.2</x:v>
      </x:c>
      <x:c r="V246" s="11" t="n">
        <x:f>1-D246</x:f>
        <x:v>0.028178694158075612</x:v>
      </x:c>
      <x:c r="W246" s="11" t="n">
        <x:f>1-E246</x:f>
        <x:v>0</x:v>
      </x:c>
      <x:c r="X246" s="11" t="n">
        <x:f>1-F246</x:f>
        <x:v>0.006185567010309256</x:v>
      </x:c>
    </x:row>
    <x:row r="247" ht="18" customHeight="1">
      <x:c r="A247" s="10" t="str">
        <x:v>VA</x:v>
      </x:c>
      <x:c r="B247" s="10" t="str">
        <x:v>51173</x:v>
      </x:c>
      <x:c r="C247" s="10" t="str">
        <x:v>Smyth County</x:v>
      </x:c>
      <x:c r="D247" s="11" t="n">
        <x:f>1-'Method'!$B$7*G247</x:f>
        <x:v>0.9965635738831615</x:v>
      </x:c>
      <x:c r="E247" s="11" t="n">
        <x:f>1-'Method'!$B$8*H247</x:f>
        <x:v>0.8357388316151203</x:v>
      </x:c>
      <x:c r="F247" s="11" t="n">
        <x:f>1-'Method'!$B$9*I247</x:f>
        <x:v>0.9945017182130584</x:v>
      </x:c>
      <x:c r="G247" s="11" t="n">
        <x:v>0.01718213058419244</x:v>
      </x:c>
      <x:c r="H247" s="11" t="n">
        <x:v>0.8213058419243986</x:v>
      </x:c>
      <x:c r="I247" s="11" t="n">
        <x:v>0.027491408934707903</x:v>
      </x:c>
      <x:c r="J247" s="12" t="n">
        <x:v>1.0789788703123728</x:v>
      </x:c>
      <x:c r="K247" s="12" t="n">
        <x:v>21.854952812194824</x:v>
      </x:c>
      <x:c r="L247" s="12" t="n">
        <x:v>20.77597394188245</x:v>
      </x:c>
      <x:c r="M247" s="12" t="n">
        <x:v>20.90663859049479</x:v>
      </x:c>
      <x:c r="N247" s="12" t="n">
        <x:v>21.095620536804198</x:v>
      </x:c>
      <x:c r="O247" s="12" t="n">
        <x:v>0.1889819463094078</x:v>
      </x:c>
      <x:c r="P247" s="12" t="n">
        <x:v>0.8587608774503072</x:v>
      </x:c>
      <x:c r="Q247" s="12" t="n">
        <x:v>1.2008424758911134</x:v>
      </x:c>
      <x:c r="R247" s="12" t="n">
        <x:v>0.3420815984408062</x:v>
      </x:c>
      <x:c r="S247" s="11" t="n">
        <x:f>'Method'!$B$7</x:f>
        <x:v>0.2</x:v>
      </x:c>
      <x:c r="T247" s="11" t="n">
        <x:f>'Method'!$B$8</x:f>
        <x:v>0.2</x:v>
      </x:c>
      <x:c r="U247" s="11" t="n">
        <x:f>'Method'!$B$9</x:f>
        <x:v>0.2</x:v>
      </x:c>
      <x:c r="V247" s="11" t="n">
        <x:f>1-D247</x:f>
        <x:v>0.0034364261168384758</x:v>
      </x:c>
      <x:c r="W247" s="11" t="n">
        <x:f>1-E247</x:f>
        <x:v>0.1642611683848797</x:v>
      </x:c>
      <x:c r="X247" s="11" t="n">
        <x:f>1-F247</x:f>
        <x:v>0.005498281786941561</x:v>
      </x:c>
    </x:row>
    <x:row r="248" ht="18" customHeight="1">
      <x:c r="A248" s="10" t="str">
        <x:v>VA</x:v>
      </x:c>
      <x:c r="B248" s="10" t="str">
        <x:v>51175</x:v>
      </x:c>
      <x:c r="C248" s="10" t="str">
        <x:v>Southampton County</x:v>
      </x:c>
      <x:c r="D248" s="11" t="n">
        <x:f>1-'Method'!$B$7*G248</x:f>
        <x:v>0.9450171821305842</x:v>
      </x:c>
      <x:c r="E248" s="11" t="n">
        <x:f>1-'Method'!$B$8*H248</x:f>
        <x:v>1</x:v>
      </x:c>
      <x:c r="F248" s="11" t="n">
        <x:f>1-'Method'!$B$9*I248</x:f>
        <x:v>0.9037800687285223</x:v>
      </x:c>
      <x:c r="G248" s="11" t="n">
        <x:v>0.27491408934707906</x:v>
      </x:c>
      <x:c r="H248" s="11" t="n">
        <x:v>0</x:v>
      </x:c>
      <x:c r="I248" s="11" t="n">
        <x:v>0.48109965635738833</x:v>
      </x:c>
      <x:c r="J248" s="12" t="n">
        <x:v>32.37005469004313</x:v>
      </x:c>
      <x:c r="K248" s="12" t="n">
        <x:v>83.96511993408203</x:v>
      </x:c>
      <x:c r="L248" s="12" t="n">
        <x:v>51.59506524403889</x:v>
      </x:c>
      <x:c r="M248" s="12" t="n">
        <x:v>22.425684865315755</x:v>
      </x:c>
      <x:c r="N248" s="12" t="n">
        <x:v>22.15058479309082</x:v>
      </x:c>
      <x:c r="O248" s="12" t="n">
        <x:v>0</x:v>
      </x:c>
      <x:c r="P248" s="12" t="n">
        <x:v>1.1854403018951416</x:v>
      </x:c>
      <x:c r="Q248" s="12" t="n">
        <x:v>1.8604388157526652</x:v>
      </x:c>
      <x:c r="R248" s="12" t="n">
        <x:v>0.6749985138575236</x:v>
      </x:c>
      <x:c r="S248" s="11" t="n">
        <x:f>'Method'!$B$7</x:f>
        <x:v>0.2</x:v>
      </x:c>
      <x:c r="T248" s="11" t="n">
        <x:f>'Method'!$B$8</x:f>
        <x:v>0.2</x:v>
      </x:c>
      <x:c r="U248" s="11" t="n">
        <x:f>'Method'!$B$9</x:f>
        <x:v>0.2</x:v>
      </x:c>
      <x:c r="V248" s="11" t="n">
        <x:f>1-D248</x:f>
        <x:v>0.054982817869415834</x:v>
      </x:c>
      <x:c r="W248" s="11" t="n">
        <x:f>1-E248</x:f>
        <x:v>0</x:v>
      </x:c>
      <x:c r="X248" s="11" t="n">
        <x:f>1-F248</x:f>
        <x:v>0.09621993127147765</x:v>
      </x:c>
    </x:row>
    <x:row r="249" ht="18" customHeight="1">
      <x:c r="A249" s="10" t="str">
        <x:v>VA</x:v>
      </x:c>
      <x:c r="B249" s="10" t="str">
        <x:v>51177</x:v>
      </x:c>
      <x:c r="C249" s="10" t="str">
        <x:v>Spotsylvania County</x:v>
      </x:c>
      <x:c r="D249" s="11" t="n">
        <x:f>1-'Method'!$B$7*G249</x:f>
        <x:v>0.9422680412371134</x:v>
      </x:c>
      <x:c r="E249" s="11" t="n">
        <x:f>1-'Method'!$B$8*H249</x:f>
        <x:v>1</x:v>
      </x:c>
      <x:c r="F249" s="11" t="n">
        <x:f>1-'Method'!$B$9*I249</x:f>
        <x:v>0.8900343642611683</x:v>
      </x:c>
      <x:c r="G249" s="11" t="n">
        <x:v>0.28865979381443296</x:v>
      </x:c>
      <x:c r="H249" s="11" t="n">
        <x:v>0</x:v>
      </x:c>
      <x:c r="I249" s="11" t="n">
        <x:v>0.5498281786941581</x:v>
      </x:c>
      <x:c r="J249" s="12" t="n">
        <x:v>24.56630605061849</x:v>
      </x:c>
      <x:c r="K249" s="12" t="n">
        <x:v>76.37790667215982</x:v>
      </x:c>
      <x:c r="L249" s="12" t="n">
        <x:v>51.81160062154133</x:v>
      </x:c>
      <x:c r="M249" s="12" t="n">
        <x:v>23.676138814290365</x:v>
      </x:c>
      <x:c r="N249" s="12" t="n">
        <x:v>23.410367965698242</x:v>
      </x:c>
      <x:c r="O249" s="12" t="n">
        <x:v>0</x:v>
      </x:c>
      <x:c r="P249" s="12" t="n">
        <x:v>1.1272075573603313</x:v>
      </x:c>
      <x:c r="Q249" s="12" t="n">
        <x:v>1.8152446428934732</x:v>
      </x:c>
      <x:c r="R249" s="12" t="n">
        <x:v>0.6880370855331419</x:v>
      </x:c>
      <x:c r="S249" s="11" t="n">
        <x:f>'Method'!$B$7</x:f>
        <x:v>0.2</x:v>
      </x:c>
      <x:c r="T249" s="11" t="n">
        <x:f>'Method'!$B$8</x:f>
        <x:v>0.2</x:v>
      </x:c>
      <x:c r="U249" s="11" t="n">
        <x:f>'Method'!$B$9</x:f>
        <x:v>0.2</x:v>
      </x:c>
      <x:c r="V249" s="11" t="n">
        <x:f>1-D249</x:f>
        <x:v>0.057731958762886615</x:v>
      </x:c>
      <x:c r="W249" s="11" t="n">
        <x:f>1-E249</x:f>
        <x:v>0</x:v>
      </x:c>
      <x:c r="X249" s="11" t="n">
        <x:f>1-F249</x:f>
        <x:v>0.10996563573883167</x:v>
      </x:c>
    </x:row>
    <x:row r="250" ht="18" customHeight="1">
      <x:c r="A250" s="10" t="str">
        <x:v>VA</x:v>
      </x:c>
      <x:c r="B250" s="10" t="str">
        <x:v>51179</x:v>
      </x:c>
      <x:c r="C250" s="10" t="str">
        <x:v>Stafford County</x:v>
      </x:c>
      <x:c r="D250" s="11" t="n">
        <x:f>1-'Method'!$B$7*G250</x:f>
        <x:v>0.9257731958762887</x:v>
      </x:c>
      <x:c r="E250" s="11" t="n">
        <x:f>1-'Method'!$B$8*H250</x:f>
        <x:v>0.8371134020618557</x:v>
      </x:c>
      <x:c r="F250" s="11" t="n">
        <x:f>1-'Method'!$B$9*I250</x:f>
        <x:v>0.9656357388316151</x:v>
      </x:c>
      <x:c r="G250" s="11" t="n">
        <x:v>0.3711340206185567</x:v>
      </x:c>
      <x:c r="H250" s="11" t="n">
        <x:v>0.8144329896907216</x:v>
      </x:c>
      <x:c r="I250" s="11" t="n">
        <x:v>0.1718213058419244</x:v>
      </x:c>
      <x:c r="J250" s="12" t="n">
        <x:v>23.818035507202147</x:v>
      </x:c>
      <x:c r="K250" s="12" t="n">
        <x:v>76.53030471801758</x:v>
      </x:c>
      <x:c r="L250" s="12" t="n">
        <x:v>52.71226921081543</x:v>
      </x:c>
      <x:c r="M250" s="12" t="n">
        <x:v>23.866944376627604</x:v>
      </x:c>
      <x:c r="N250" s="12" t="n">
        <x:v>24.051532872517903</x:v>
      </x:c>
      <x:c r="O250" s="12" t="n">
        <x:v>0.18458849589029924</x:v>
      </x:c>
      <x:c r="P250" s="12" t="n">
        <x:v>0.9445477366447449</x:v>
      </x:c>
      <x:c r="Q250" s="12" t="n">
        <x:v>1.4651916364828745</x:v>
      </x:c>
      <x:c r="R250" s="12" t="n">
        <x:v>0.5206438998381296</x:v>
      </x:c>
      <x:c r="S250" s="11" t="n">
        <x:f>'Method'!$B$7</x:f>
        <x:v>0.2</x:v>
      </x:c>
      <x:c r="T250" s="11" t="n">
        <x:f>'Method'!$B$8</x:f>
        <x:v>0.2</x:v>
      </x:c>
      <x:c r="U250" s="11" t="n">
        <x:f>'Method'!$B$9</x:f>
        <x:v>0.2</x:v>
      </x:c>
      <x:c r="V250" s="11" t="n">
        <x:f>1-D250</x:f>
        <x:v>0.0742268041237113</x:v>
      </x:c>
      <x:c r="W250" s="11" t="n">
        <x:f>1-E250</x:f>
        <x:v>0.1628865979381443</x:v>
      </x:c>
      <x:c r="X250" s="11" t="n">
        <x:f>1-F250</x:f>
        <x:v>0.03436426116838487</x:v>
      </x:c>
    </x:row>
    <x:row r="251" ht="18" customHeight="1">
      <x:c r="A251" s="10" t="str">
        <x:v>VA</x:v>
      </x:c>
      <x:c r="B251" s="10" t="str">
        <x:v>51181</x:v>
      </x:c>
      <x:c r="C251" s="10" t="str">
        <x:v>Surry County</x:v>
      </x:c>
      <x:c r="D251" s="11" t="n">
        <x:f>1-'Method'!$B$7*G251</x:f>
        <x:v>0.9230240549828179</x:v>
      </x:c>
      <x:c r="E251" s="11" t="n">
        <x:f>1-'Method'!$B$8*H251</x:f>
        <x:v>1</x:v>
      </x:c>
      <x:c r="F251" s="11" t="n">
        <x:f>1-'Method'!$B$9*I251</x:f>
        <x:v>0.9168384879725086</x:v>
      </x:c>
      <x:c r="G251" s="11" t="n">
        <x:v>0.3848797250859107</x:v>
      </x:c>
      <x:c r="H251" s="11" t="n">
        <x:v>0</x:v>
      </x:c>
      <x:c r="I251" s="11" t="n">
        <x:v>0.41580756013745707</x:v>
      </x:c>
      <x:c r="J251" s="12" t="n">
        <x:v>30.18382390340169</x:v>
      </x:c>
      <x:c r="K251" s="12" t="n">
        <x:v>83.28941688537597</x:v>
      </x:c>
      <x:c r="L251" s="12" t="n">
        <x:v>53.10559298197428</x:v>
      </x:c>
      <x:c r="M251" s="12" t="n">
        <x:v>22.81352710723877</x:v>
      </x:c>
      <x:c r="N251" s="12" t="n">
        <x:v>22.541924222310385</x:v>
      </x:c>
      <x:c r="O251" s="12" t="n">
        <x:v>0</x:v>
      </x:c>
      <x:c r="P251" s="12" t="n">
        <x:v>1.5270741860071817</x:v>
      </x:c>
      <x:c r="Q251" s="12" t="n">
        <x:v>2.1742629647254943</x:v>
      </x:c>
      <x:c r="R251" s="12" t="n">
        <x:v>0.6471887787183126</x:v>
      </x:c>
      <x:c r="S251" s="11" t="n">
        <x:f>'Method'!$B$7</x:f>
        <x:v>0.2</x:v>
      </x:c>
      <x:c r="T251" s="11" t="n">
        <x:f>'Method'!$B$8</x:f>
        <x:v>0.2</x:v>
      </x:c>
      <x:c r="U251" s="11" t="n">
        <x:f>'Method'!$B$9</x:f>
        <x:v>0.2</x:v>
      </x:c>
      <x:c r="V251" s="11" t="n">
        <x:f>1-D251</x:f>
        <x:v>0.07697594501718208</x:v>
      </x:c>
      <x:c r="W251" s="11" t="n">
        <x:f>1-E251</x:f>
        <x:v>0</x:v>
      </x:c>
      <x:c r="X251" s="11" t="n">
        <x:f>1-F251</x:f>
        <x:v>0.08316151202749145</x:v>
      </x:c>
    </x:row>
    <x:row r="252" ht="18" customHeight="1">
      <x:c r="A252" s="10" t="str">
        <x:v>VA</x:v>
      </x:c>
      <x:c r="B252" s="10" t="str">
        <x:v>51183</x:v>
      </x:c>
      <x:c r="C252" s="10" t="str">
        <x:v>Sussex County</x:v>
      </x:c>
      <x:c r="D252" s="11" t="n">
        <x:f>1-'Method'!$B$7*G252</x:f>
        <x:v>0.9278350515463918</x:v>
      </x:c>
      <x:c r="E252" s="11" t="n">
        <x:f>1-'Method'!$B$8*H252</x:f>
        <x:v>1</x:v>
      </x:c>
      <x:c r="F252" s="11" t="n">
        <x:f>1-'Method'!$B$9*I252</x:f>
        <x:v>0.9223367697594502</x:v>
      </x:c>
      <x:c r="G252" s="11" t="n">
        <x:v>0.36082474226804123</x:v>
      </x:c>
      <x:c r="H252" s="11" t="n">
        <x:v>0</x:v>
      </x:c>
      <x:c r="I252" s="11" t="n">
        <x:v>0.38831615120274915</x:v>
      </x:c>
      <x:c r="J252" s="12" t="n">
        <x:v>35.69814491271973</x:v>
      </x:c>
      <x:c r="K252" s="12" t="n">
        <x:v>88.31865412394205</x:v>
      </x:c>
      <x:c r="L252" s="12" t="n">
        <x:v>52.62050921122233</x:v>
      </x:c>
      <x:c r="M252" s="12" t="n">
        <x:v>23.280506706237794</x:v>
      </x:c>
      <x:c r="N252" s="12" t="n">
        <x:v>23.02309888203939</x:v>
      </x:c>
      <x:c r="O252" s="12" t="n">
        <x:v>0</x:v>
      </x:c>
      <x:c r="P252" s="12" t="n">
        <x:v>1.3267528613408406</x:v>
      </x:c>
      <x:c r="Q252" s="12" t="n">
        <x:v>1.9647024273872375</x:v>
      </x:c>
      <x:c r="R252" s="12" t="n">
        <x:v>0.637949566046397</x:v>
      </x:c>
      <x:c r="S252" s="11" t="n">
        <x:f>'Method'!$B$7</x:f>
        <x:v>0.2</x:v>
      </x:c>
      <x:c r="T252" s="11" t="n">
        <x:f>'Method'!$B$8</x:f>
        <x:v>0.2</x:v>
      </x:c>
      <x:c r="U252" s="11" t="n">
        <x:f>'Method'!$B$9</x:f>
        <x:v>0.2</x:v>
      </x:c>
      <x:c r="V252" s="11" t="n">
        <x:f>1-D252</x:f>
        <x:v>0.07216494845360821</x:v>
      </x:c>
      <x:c r="W252" s="11" t="n">
        <x:f>1-E252</x:f>
        <x:v>0</x:v>
      </x:c>
      <x:c r="X252" s="11" t="n">
        <x:f>1-F252</x:f>
        <x:v>0.07766323024054977</x:v>
      </x:c>
    </x:row>
    <x:row r="253" ht="18" customHeight="1">
      <x:c r="A253" s="10" t="str">
        <x:v>VA</x:v>
      </x:c>
      <x:c r="B253" s="10" t="str">
        <x:v>51185</x:v>
      </x:c>
      <x:c r="C253" s="10" t="str">
        <x:v>Tazewell County</x:v>
      </x:c>
      <x:c r="D253" s="11" t="n">
        <x:f>1-'Method'!$B$7*G253</x:f>
        <x:v>0.9979381443298969</x:v>
      </x:c>
      <x:c r="E253" s="11" t="n">
        <x:f>1-'Method'!$B$8*H253</x:f>
        <x:v>0.8123711340206186</x:v>
      </x:c>
      <x:c r="F253" s="11" t="n">
        <x:f>1-'Method'!$B$9*I253</x:f>
        <x:v>0.9979381443298969</x:v>
      </x:c>
      <x:c r="G253" s="11" t="n">
        <x:v>0.010309278350515464</x:v>
      </x:c>
      <x:c r="H253" s="11" t="n">
        <x:v>0.9381443298969072</x:v>
      </x:c>
      <x:c r="I253" s="11" t="n">
        <x:v>0.010309278350515464</x:v>
      </x:c>
      <x:c r="J253" s="12" t="n">
        <x:v>0.5449943860371907</x:v>
      </x:c>
      <x:c r="K253" s="12" t="n">
        <x:v>17.484408315022787</x:v>
      </x:c>
      <x:c r="L253" s="12" t="n">
        <x:v>16.939413928985594</x:v>
      </x:c>
      <x:c r="M253" s="12" t="n">
        <x:v>20.30551815032959</x:v>
      </x:c>
      <x:c r="N253" s="12" t="n">
        <x:v>20.752800305684406</x:v>
      </x:c>
      <x:c r="O253" s="12" t="n">
        <x:v>0.4472821553548165</x:v>
      </x:c>
      <x:c r="P253" s="12" t="n">
        <x:v>0.5444273283084233</x:v>
      </x:c>
      <x:c r="Q253" s="12" t="n">
        <x:v>0.8323315898577373</x:v>
      </x:c>
      <x:c r="R253" s="12" t="n">
        <x:v>0.2879042615493139</x:v>
      </x:c>
      <x:c r="S253" s="11" t="n">
        <x:f>'Method'!$B$7</x:f>
        <x:v>0.2</x:v>
      </x:c>
      <x:c r="T253" s="11" t="n">
        <x:f>'Method'!$B$8</x:f>
        <x:v>0.2</x:v>
      </x:c>
      <x:c r="U253" s="11" t="n">
        <x:f>'Method'!$B$9</x:f>
        <x:v>0.2</x:v>
      </x:c>
      <x:c r="V253" s="11" t="n">
        <x:f>1-D253</x:f>
        <x:v>0.0020618556701030855</x:v>
      </x:c>
      <x:c r="W253" s="11" t="n">
        <x:f>1-E253</x:f>
        <x:v>0.18762886597938144</x:v>
      </x:c>
      <x:c r="X253" s="11" t="n">
        <x:f>1-F253</x:f>
        <x:v>0.0020618556701030855</x:v>
      </x:c>
    </x:row>
    <x:row r="254" ht="18" customHeight="1">
      <x:c r="A254" s="10" t="str">
        <x:v>VA</x:v>
      </x:c>
      <x:c r="B254" s="10" t="str">
        <x:v>51187</x:v>
      </x:c>
      <x:c r="C254" s="10" t="str">
        <x:v>Warren County</x:v>
      </x:c>
      <x:c r="D254" s="11" t="n">
        <x:f>1-'Method'!$B$7*G254</x:f>
        <x:v>0.9676975945017182</x:v>
      </x:c>
      <x:c r="E254" s="11" t="n">
        <x:f>1-'Method'!$B$8*H254</x:f>
        <x:v>1</x:v>
      </x:c>
      <x:c r="F254" s="11" t="n">
        <x:f>1-'Method'!$B$9*I254</x:f>
        <x:v>0.977319587628866</x:v>
      </x:c>
      <x:c r="G254" s="11" t="n">
        <x:v>0.16151202749140894</x:v>
      </x:c>
      <x:c r="H254" s="11" t="n">
        <x:v>0</x:v>
      </x:c>
      <x:c r="I254" s="11" t="n">
        <x:v>0.1134020618556701</x:v>
      </x:c>
      <x:c r="J254" s="12" t="n">
        <x:v>13.58764435450236</x:v>
      </x:c>
      <x:c r="K254" s="12" t="n">
        <x:v>58.209891128540036</x:v>
      </x:c>
      <x:c r="L254" s="12" t="n">
        <x:v>44.62224677403768</x:v>
      </x:c>
      <x:c r="M254" s="12" t="n">
        <x:v>24.013020579020182</x:v>
      </x:c>
      <x:c r="N254" s="12" t="n">
        <x:v>23.701729329427085</x:v>
      </x:c>
      <x:c r="O254" s="12" t="n">
        <x:v>0</x:v>
      </x:c>
      <x:c r="P254" s="12" t="n">
        <x:v>1.0578952848911285</x:v>
      </x:c>
      <x:c r="Q254" s="12" t="n">
        <x:v>1.5357933243115742</x:v>
      </x:c>
      <x:c r="R254" s="12" t="n">
        <x:v>0.47789803942044573</x:v>
      </x:c>
      <x:c r="S254" s="11" t="n">
        <x:f>'Method'!$B$7</x:f>
        <x:v>0.2</x:v>
      </x:c>
      <x:c r="T254" s="11" t="n">
        <x:f>'Method'!$B$8</x:f>
        <x:v>0.2</x:v>
      </x:c>
      <x:c r="U254" s="11" t="n">
        <x:f>'Method'!$B$9</x:f>
        <x:v>0.2</x:v>
      </x:c>
      <x:c r="V254" s="11" t="n">
        <x:f>1-D254</x:f>
        <x:v>0.03230240549828178</x:v>
      </x:c>
      <x:c r="W254" s="11" t="n">
        <x:f>1-E254</x:f>
        <x:v>0</x:v>
      </x:c>
      <x:c r="X254" s="11" t="n">
        <x:f>1-F254</x:f>
        <x:v>0.02268041237113405</x:v>
      </x:c>
    </x:row>
    <x:row r="255" ht="18" customHeight="1">
      <x:c r="A255" s="10" t="str">
        <x:v>VA</x:v>
      </x:c>
      <x:c r="B255" s="10" t="str">
        <x:v>51191</x:v>
      </x:c>
      <x:c r="C255" s="10" t="str">
        <x:v>Washington County</x:v>
      </x:c>
      <x:c r="D255" s="11" t="n">
        <x:f>1-'Method'!$B$7*G255</x:f>
        <x:v>0.984192439862543</x:v>
      </x:c>
      <x:c r="E255" s="11" t="n">
        <x:f>1-'Method'!$B$8*H255</x:f>
        <x:v>0.8109965635738832</x:v>
      </x:c>
      <x:c r="F255" s="11" t="n">
        <x:f>1-'Method'!$B$9*I255</x:f>
        <x:v>0.9993127147766323</x:v>
      </x:c>
      <x:c r="G255" s="11" t="n">
        <x:v>0.07903780068728522</x:v>
      </x:c>
      <x:c r="H255" s="11" t="n">
        <x:v>0.9450171821305842</x:v>
      </x:c>
      <x:c r="I255" s="11" t="n">
        <x:v>0.003436426116838488</x:v>
      </x:c>
      <x:c r="J255" s="12" t="n">
        <x:v>3.481581513086955</x:v>
      </x:c>
      <x:c r="K255" s="12" t="n">
        <x:v>40.21187292734782</x:v>
      </x:c>
      <x:c r="L255" s="12" t="n">
        <x:v>36.73029141426086</x:v>
      </x:c>
      <x:c r="M255" s="12" t="n">
        <x:v>20.98416322072347</x:v>
      </x:c>
      <x:c r="N255" s="12" t="n">
        <x:v>21.437770907084147</x:v>
      </x:c>
      <x:c r="O255" s="12" t="n">
        <x:v>0.4536076863606766</x:v>
      </x:c>
      <x:c r="P255" s="12" t="n">
        <x:v>0.601655990878741</x:v>
      </x:c>
      <x:c r="Q255" s="12" t="n">
        <x:v>0.8320958415667216</x:v>
      </x:c>
      <x:c r="R255" s="12" t="n">
        <x:v>0.23043985068798056</x:v>
      </x:c>
      <x:c r="S255" s="11" t="n">
        <x:f>'Method'!$B$7</x:f>
        <x:v>0.2</x:v>
      </x:c>
      <x:c r="T255" s="11" t="n">
        <x:f>'Method'!$B$8</x:f>
        <x:v>0.2</x:v>
      </x:c>
      <x:c r="U255" s="11" t="n">
        <x:f>'Method'!$B$9</x:f>
        <x:v>0.2</x:v>
      </x:c>
      <x:c r="V255" s="11" t="n">
        <x:f>1-D255</x:f>
        <x:v>0.01580756013745699</x:v>
      </x:c>
      <x:c r="W255" s="11" t="n">
        <x:f>1-E255</x:f>
        <x:v>0.18900343642611683</x:v>
      </x:c>
      <x:c r="X255" s="11" t="n">
        <x:f>1-F255</x:f>
        <x:v>0.0006872852233676952</x:v>
      </x:c>
    </x:row>
    <x:row r="256" ht="18" customHeight="1">
      <x:c r="A256" s="10" t="str">
        <x:v>VA</x:v>
      </x:c>
      <x:c r="B256" s="10" t="str">
        <x:v>51193</x:v>
      </x:c>
      <x:c r="C256" s="10" t="str">
        <x:v>Westmoreland County</x:v>
      </x:c>
      <x:c r="D256" s="11" t="n">
        <x:f>1-'Method'!$B$7*G256</x:f>
        <x:v>0.949828178694158</x:v>
      </x:c>
      <x:c r="E256" s="11" t="n">
        <x:f>1-'Method'!$B$8*H256</x:f>
        <x:v>0.8274914089347079</x:v>
      </x:c>
      <x:c r="F256" s="11" t="n">
        <x:f>1-'Method'!$B$9*I256</x:f>
        <x:v>0.9292096219931272</x:v>
      </x:c>
      <x:c r="G256" s="11" t="n">
        <x:v>0.2508591065292096</x:v>
      </x:c>
      <x:c r="H256" s="11" t="n">
        <x:v>0.8625429553264605</x:v>
      </x:c>
      <x:c r="I256" s="11" t="n">
        <x:v>0.3539518900343643</x:v>
      </x:c>
      <x:c r="J256" s="12" t="n">
        <x:v>30.141931597391764</x:v>
      </x:c>
      <x:c r="K256" s="12" t="n">
        <x:v>80.93275400797526</x:v>
      </x:c>
      <x:c r="L256" s="12" t="n">
        <x:v>50.7908224105835</x:v>
      </x:c>
      <x:c r="M256" s="12" t="n">
        <x:v>23.772914187113443</x:v>
      </x:c>
      <x:c r="N256" s="12" t="n">
        <x:v>24.021882820129395</x:v>
      </x:c>
      <x:c r="O256" s="12" t="n">
        <x:v>0.24896863301595218</x:v>
      </x:c>
      <x:c r="P256" s="12" t="n">
        <x:v>1.1021687030792235</x:v>
      </x:c>
      <x:c r="Q256" s="12" t="n">
        <x:v>1.7304615139961244</x:v>
      </x:c>
      <x:c r="R256" s="12" t="n">
        <x:v>0.6282928109169008</x:v>
      </x:c>
      <x:c r="S256" s="11" t="n">
        <x:f>'Method'!$B$7</x:f>
        <x:v>0.2</x:v>
      </x:c>
      <x:c r="T256" s="11" t="n">
        <x:f>'Method'!$B$8</x:f>
        <x:v>0.2</x:v>
      </x:c>
      <x:c r="U256" s="11" t="n">
        <x:f>'Method'!$B$9</x:f>
        <x:v>0.2</x:v>
      </x:c>
      <x:c r="V256" s="11" t="n">
        <x:f>1-D256</x:f>
        <x:v>0.05017182130584197</x:v>
      </x:c>
      <x:c r="W256" s="11" t="n">
        <x:f>1-E256</x:f>
        <x:v>0.17250859106529215</x:v>
      </x:c>
      <x:c r="X256" s="11" t="n">
        <x:f>1-F256</x:f>
        <x:v>0.07079037800687282</x:v>
      </x:c>
    </x:row>
    <x:row r="257" ht="18" customHeight="1">
      <x:c r="A257" s="10" t="str">
        <x:v>VA</x:v>
      </x:c>
      <x:c r="B257" s="10" t="str">
        <x:v>51195</x:v>
      </x:c>
      <x:c r="C257" s="10" t="str">
        <x:v>Wise County</x:v>
      </x:c>
      <x:c r="D257" s="11" t="n">
        <x:f>1-'Method'!$B$7*G257</x:f>
        <x:v>0.9938144329896907</x:v>
      </x:c>
      <x:c r="E257" s="11" t="n">
        <x:f>1-'Method'!$B$8*H257</x:f>
        <x:v>0.8006872852233677</x:v>
      </x:c>
      <x:c r="F257" s="11" t="n">
        <x:f>1-'Method'!$B$9*I257</x:f>
        <x:v>0.9883161512027492</x:v>
      </x:c>
      <x:c r="G257" s="11" t="n">
        <x:v>0.030927835051546393</x:v>
      </x:c>
      <x:c r="H257" s="11" t="n">
        <x:v>0.9965635738831615</x:v>
      </x:c>
      <x:c r="I257" s="11" t="n">
        <x:v>0.058419243986254296</x:v>
      </x:c>
      <x:c r="J257" s="12" t="n">
        <x:v>1.1103869169950484</x:v>
      </x:c>
      <x:c r="K257" s="12" t="n">
        <x:v>24.466087309519448</x:v>
      </x:c>
      <x:c r="L257" s="12" t="n">
        <x:v>23.3557003925244</x:v>
      </x:c>
      <x:c r="M257" s="12" t="n">
        <x:v>19.799343299865722</x:v>
      </x:c>
      <x:c r="N257" s="12" t="n">
        <x:v>20.575842412312827</x:v>
      </x:c>
      <x:c r="O257" s="12" t="n">
        <x:v>0.7764991124471052</x:v>
      </x:c>
      <x:c r="P257" s="12" t="n">
        <x:v>0.9876862565676371</x:v>
      </x:c>
      <x:c r="Q257" s="12" t="n">
        <x:v>1.4202486952145894</x:v>
      </x:c>
      <x:c r="R257" s="12" t="n">
        <x:v>0.4325624386469523</x:v>
      </x:c>
      <x:c r="S257" s="11" t="n">
        <x:f>'Method'!$B$7</x:f>
        <x:v>0.2</x:v>
      </x:c>
      <x:c r="T257" s="11" t="n">
        <x:f>'Method'!$B$8</x:f>
        <x:v>0.2</x:v>
      </x:c>
      <x:c r="U257" s="11" t="n">
        <x:f>'Method'!$B$9</x:f>
        <x:v>0.2</x:v>
      </x:c>
      <x:c r="V257" s="11" t="n">
        <x:f>1-D257</x:f>
        <x:v>0.006185567010309256</x:v>
      </x:c>
      <x:c r="W257" s="11" t="n">
        <x:f>1-E257</x:f>
        <x:v>0.19931271477663226</x:v>
      </x:c>
      <x:c r="X257" s="11" t="n">
        <x:f>1-F257</x:f>
        <x:v>0.011683848797250818</x:v>
      </x:c>
    </x:row>
    <x:row r="258" ht="18" customHeight="1">
      <x:c r="A258" s="10" t="str">
        <x:v>VA</x:v>
      </x:c>
      <x:c r="B258" s="10" t="str">
        <x:v>51197</x:v>
      </x:c>
      <x:c r="C258" s="10" t="str">
        <x:v>Wythe County</x:v>
      </x:c>
      <x:c r="D258" s="11" t="n">
        <x:f>1-'Method'!$B$7*G258</x:f>
        <x:v>0.9924398625429554</x:v>
      </x:c>
      <x:c r="E258" s="11" t="n">
        <x:f>1-'Method'!$B$8*H258</x:f>
        <x:v>0.8439862542955326</x:v>
      </x:c>
      <x:c r="F258" s="11" t="n">
        <x:f>1-'Method'!$B$9*I258</x:f>
        <x:v>0.993127147766323</x:v>
      </x:c>
      <x:c r="G258" s="11" t="n">
        <x:v>0.037800687285223365</x:v>
      </x:c>
      <x:c r="H258" s="11" t="n">
        <x:v>0.7800687285223368</x:v>
      </x:c>
      <x:c r="I258" s="11" t="n">
        <x:v>0.03436426116838488</x:v>
      </x:c>
      <x:c r="J258" s="12" t="n">
        <x:v>1.7643111725648244</x:v>
      </x:c>
      <x:c r="K258" s="12" t="n">
        <x:v>29.349960041046142</x:v>
      </x:c>
      <x:c r="L258" s="12" t="n">
        <x:v>27.585648868481318</x:v>
      </x:c>
      <x:c r="M258" s="12" t="n">
        <x:v>23.90194435119629</x:v>
      </x:c>
      <x:c r="N258" s="12" t="n">
        <x:v>24.06275202433268</x:v>
      </x:c>
      <x:c r="O258" s="12" t="n">
        <x:v>0.160807673136393</x:v>
      </x:c>
      <x:c r="P258" s="12" t="n">
        <x:v>0.7000235110521317</x:v>
      </x:c>
      <x:c r="Q258" s="12" t="n">
        <x:v>1.0820648888746898</x:v>
      </x:c>
      <x:c r="R258" s="12" t="n">
        <x:v>0.3820413778225581</x:v>
      </x:c>
      <x:c r="S258" s="11" t="n">
        <x:f>'Method'!$B$7</x:f>
        <x:v>0.2</x:v>
      </x:c>
      <x:c r="T258" s="11" t="n">
        <x:f>'Method'!$B$8</x:f>
        <x:v>0.2</x:v>
      </x:c>
      <x:c r="U258" s="11" t="n">
        <x:f>'Method'!$B$9</x:f>
        <x:v>0.2</x:v>
      </x:c>
      <x:c r="V258" s="11" t="n">
        <x:f>1-D258</x:f>
        <x:v>0.007560137457044647</x:v>
      </x:c>
      <x:c r="W258" s="11" t="n">
        <x:f>1-E258</x:f>
        <x:v>0.15601374570446735</x:v>
      </x:c>
      <x:c r="X258" s="11" t="n">
        <x:f>1-F258</x:f>
        <x:v>0.0068728522336769515</x:v>
      </x:c>
    </x:row>
    <x:row r="259" ht="18" customHeight="1">
      <x:c r="A259" s="10" t="str">
        <x:v>VA</x:v>
      </x:c>
      <x:c r="B259" s="10" t="str">
        <x:v>51199</x:v>
      </x:c>
      <x:c r="C259" s="10" t="str">
        <x:v>York County</x:v>
      </x:c>
      <x:c r="D259" s="11" t="n">
        <x:f>1-'Method'!$B$7*G259</x:f>
        <x:v>0.9553264604810996</x:v>
      </x:c>
      <x:c r="E259" s="11" t="n">
        <x:f>1-'Method'!$B$8*H259</x:f>
        <x:v>1</x:v>
      </x:c>
      <x:c r="F259" s="11" t="n">
        <x:f>1-'Method'!$B$9*I259</x:f>
        <x:v>0.8240549828178694</x:v>
      </x:c>
      <x:c r="G259" s="11" t="n">
        <x:v>0.22336769759450173</x:v>
      </x:c>
      <x:c r="H259" s="11" t="n">
        <x:v>0</x:v>
      </x:c>
      <x:c r="I259" s="11" t="n">
        <x:v>0.8797250859106529</x:v>
      </x:c>
      <x:c r="J259" s="12" t="n">
        <x:v>25.069133694966634</x:v>
      </x:c>
      <x:c r="K259" s="12" t="n">
        <x:v>74.08420740763346</x:v>
      </x:c>
      <x:c r="L259" s="12" t="n">
        <x:v>49.01507371266682</x:v>
      </x:c>
      <x:c r="M259" s="12" t="n">
        <x:v>23.77723814646403</x:v>
      </x:c>
      <x:c r="N259" s="12" t="n">
        <x:v>23.300891240437824</x:v>
      </x:c>
      <x:c r="O259" s="12" t="n">
        <x:v>0</x:v>
      </x:c>
      <x:c r="P259" s="12" t="n">
        <x:v>1.7906817158063253</x:v>
      </x:c>
      <x:c r="Q259" s="12" t="n">
        <x:v>2.646483834584554</x:v>
      </x:c>
      <x:c r="R259" s="12" t="n">
        <x:v>0.8558021187782285</x:v>
      </x:c>
      <x:c r="S259" s="11" t="n">
        <x:f>'Method'!$B$7</x:f>
        <x:v>0.2</x:v>
      </x:c>
      <x:c r="T259" s="11" t="n">
        <x:f>'Method'!$B$8</x:f>
        <x:v>0.2</x:v>
      </x:c>
      <x:c r="U259" s="11" t="n">
        <x:f>'Method'!$B$9</x:f>
        <x:v>0.2</x:v>
      </x:c>
      <x:c r="V259" s="11" t="n">
        <x:f>1-D259</x:f>
        <x:v>0.04467353951890041</x:v>
      </x:c>
      <x:c r="W259" s="11" t="n">
        <x:f>1-E259</x:f>
        <x:v>0</x:v>
      </x:c>
      <x:c r="X259" s="11" t="n">
        <x:f>1-F259</x:f>
        <x:v>0.17594501718213063</x:v>
      </x:c>
    </x:row>
    <x:row r="260" ht="18" customHeight="1">
      <x:c r="A260" s="10" t="str">
        <x:v>VA</x:v>
      </x:c>
      <x:c r="B260" s="10" t="str">
        <x:v>51510</x:v>
      </x:c>
      <x:c r="C260" s="10" t="str">
        <x:v>Alexandria city</x:v>
      </x:c>
      <x:c r="D260" s="11" t="n">
        <x:f>1-'Method'!$B$7*G260</x:f>
        <x:v>0.9137457044673539</x:v>
      </x:c>
      <x:c r="E260" s="11" t="n">
        <x:f>1-'Method'!$B$8*H260</x:f>
        <x:v>0.8082474226804124</x:v>
      </x:c>
      <x:c r="F260" s="11" t="n">
        <x:f>1-'Method'!$B$9*I260</x:f>
        <x:v>0.9780068728522336</x:v>
      </x:c>
      <x:c r="G260" s="11" t="n">
        <x:v>0.43127147766323026</x:v>
      </x:c>
      <x:c r="H260" s="11" t="n">
        <x:v>0.9587628865979382</x:v>
      </x:c>
      <x:c r="I260" s="11" t="n">
        <x:v>0.10996563573883161</x:v>
      </x:c>
      <x:c r="J260" s="12" t="n">
        <x:v>23.291953341166177</x:v>
      </x:c>
      <x:c r="K260" s="12" t="n">
        <x:v>77.12321968078614</x:v>
      </x:c>
      <x:c r="L260" s="12" t="n">
        <x:v>53.83126633961996</x:v>
      </x:c>
      <x:c r="M260" s="12" t="n">
        <x:v>23.95788027445475</x:v>
      </x:c>
      <x:c r="N260" s="12" t="n">
        <x:v>24.466790517171223</x:v>
      </x:c>
      <x:c r="O260" s="12" t="n">
        <x:v>0.5089102427164711</x:v>
      </x:c>
      <x:c r="P260" s="12" t="n">
        <x:v>1.1453739960988363</x:v>
      </x:c>
      <x:c r="Q260" s="12" t="n">
        <x:v>1.6135389983654023</x:v>
      </x:c>
      <x:c r="R260" s="12" t="n">
        <x:v>0.468165002266566</x:v>
      </x:c>
      <x:c r="S260" s="11" t="n">
        <x:f>'Method'!$B$7</x:f>
        <x:v>0.2</x:v>
      </x:c>
      <x:c r="T260" s="11" t="n">
        <x:f>'Method'!$B$8</x:f>
        <x:v>0.2</x:v>
      </x:c>
      <x:c r="U260" s="11" t="n">
        <x:f>'Method'!$B$9</x:f>
        <x:v>0.2</x:v>
      </x:c>
      <x:c r="V260" s="11" t="n">
        <x:f>1-D260</x:f>
        <x:v>0.08625429553264607</x:v>
      </x:c>
      <x:c r="W260" s="11" t="n">
        <x:f>1-E260</x:f>
        <x:v>0.1917525773195876</x:v>
      </x:c>
      <x:c r="X260" s="11" t="n">
        <x:f>1-F260</x:f>
        <x:v>0.021993127147766356</x:v>
      </x:c>
    </x:row>
    <x:row r="261" ht="18" customHeight="1">
      <x:c r="A261" s="10" t="str">
        <x:v>VA</x:v>
      </x:c>
      <x:c r="B261" s="10" t="str">
        <x:v>51520</x:v>
      </x:c>
      <x:c r="C261" s="10" t="str">
        <x:v>Bristol city</x:v>
      </x:c>
      <x:c r="D261" s="11" t="n">
        <x:f>1-'Method'!$B$7*G261</x:f>
        <x:v>0.9608247422680413</x:v>
      </x:c>
      <x:c r="E261" s="11" t="n">
        <x:f>1-'Method'!$B$8*H261</x:f>
        <x:v>0.8199312714776632</x:v>
      </x:c>
      <x:c r="F261" s="11" t="n">
        <x:f>1-'Method'!$B$9*I261</x:f>
        <x:v>1</x:v>
      </x:c>
      <x:c r="G261" s="11" t="n">
        <x:v>0.1958762886597938</x:v>
      </x:c>
      <x:c r="H261" s="11" t="n">
        <x:v>0.9003436426116839</x:v>
      </x:c>
      <x:c r="I261" s="11" t="n">
        <x:v>0</x:v>
      </x:c>
      <x:c r="J261" s="12" t="n">
        <x:v>4.746685004234314</x:v>
      </x:c>
      <x:c r="K261" s="12" t="n">
        <x:v>51.44316527048747</x:v>
      </x:c>
      <x:c r="L261" s="12" t="n">
        <x:v>46.696480266253154</x:v>
      </x:c>
      <x:c r="M261" s="12" t="n">
        <x:v>21.28720703125</x:v>
      </x:c>
      <x:c r="N261" s="12" t="n">
        <x:v>21.64124501546224</x:v>
      </x:c>
      <x:c r="O261" s="12" t="n">
        <x:v>0.35403798421224053</x:v>
      </x:c>
      <x:c r="P261" s="12" t="n">
        <x:v>0.43170040249824526</x:v>
      </x:c>
      <x:c r="Q261" s="12" t="n">
        <x:v>0.5794431606928507</x:v>
      </x:c>
      <x:c r="R261" s="12" t="n">
        <x:v>0.14774275819460547</x:v>
      </x:c>
      <x:c r="S261" s="11" t="n">
        <x:f>'Method'!$B$7</x:f>
        <x:v>0.2</x:v>
      </x:c>
      <x:c r="T261" s="11" t="n">
        <x:f>'Method'!$B$8</x:f>
        <x:v>0.2</x:v>
      </x:c>
      <x:c r="U261" s="11" t="n">
        <x:f>'Method'!$B$9</x:f>
        <x:v>0.2</x:v>
      </x:c>
      <x:c r="V261" s="11" t="n">
        <x:f>1-D261</x:f>
        <x:v>0.039175257731958735</x:v>
      </x:c>
      <x:c r="W261" s="11" t="n">
        <x:f>1-E261</x:f>
        <x:v>0.1800687285223368</x:v>
      </x:c>
      <x:c r="X261" s="11" t="n">
        <x:f>1-F261</x:f>
        <x:v>0</x:v>
      </x:c>
    </x:row>
    <x:row r="262" ht="18" customHeight="1">
      <x:c r="A262" s="10" t="str">
        <x:v>VA</x:v>
      </x:c>
      <x:c r="B262" s="10" t="str">
        <x:v>51530</x:v>
      </x:c>
      <x:c r="C262" s="10" t="str">
        <x:v>Buena Vista city</x:v>
      </x:c>
      <x:c r="D262" s="11" t="n">
        <x:f>1-'Method'!$B$7*G262</x:f>
        <x:v>0.9711340206185567</x:v>
      </x:c>
      <x:c r="E262" s="11" t="n">
        <x:f>1-'Method'!$B$8*H262</x:f>
        <x:v>1</x:v>
      </x:c>
      <x:c r="F262" s="11" t="n">
        <x:f>1-'Method'!$B$9*I262</x:f>
        <x:v>0.8577319587628865</x:v>
      </x:c>
      <x:c r="G262" s="11" t="n">
        <x:v>0.14432989690721648</x:v>
      </x:c>
      <x:c r="H262" s="11" t="n">
        <x:v>0</x:v>
      </x:c>
      <x:c r="I262" s="11" t="n">
        <x:v>0.711340206185567</x:v>
      </x:c>
      <x:c r="J262" s="12" t="n">
        <x:v>11.392056719462078</x:v>
      </x:c>
      <x:c r="K262" s="12" t="n">
        <x:v>55.09087003072103</x:v>
      </x:c>
      <x:c r="L262" s="12" t="n">
        <x:v>43.69881331125895</x:v>
      </x:c>
      <x:c r="M262" s="12" t="n">
        <x:v>25.65345884958903</x:v>
      </x:c>
      <x:c r="N262" s="12" t="n">
        <x:v>25.006041971842446</x:v>
      </x:c>
      <x:c r="O262" s="12" t="n">
        <x:v>0</x:v>
      </x:c>
      <x:c r="P262" s="12" t="n">
        <x:v>1.708901830514272</x:v>
      </x:c>
      <x:c r="Q262" s="12" t="n">
        <x:v>2.4671424627304077</x:v>
      </x:c>
      <x:c r="R262" s="12" t="n">
        <x:v>0.7582406322161357</x:v>
      </x:c>
      <x:c r="S262" s="11" t="n">
        <x:f>'Method'!$B$7</x:f>
        <x:v>0.2</x:v>
      </x:c>
      <x:c r="T262" s="11" t="n">
        <x:f>'Method'!$B$8</x:f>
        <x:v>0.2</x:v>
      </x:c>
      <x:c r="U262" s="11" t="n">
        <x:f>'Method'!$B$9</x:f>
        <x:v>0.2</x:v>
      </x:c>
      <x:c r="V262" s="11" t="n">
        <x:f>1-D262</x:f>
        <x:v>0.028865979381443307</x:v>
      </x:c>
      <x:c r="W262" s="11" t="n">
        <x:f>1-E262</x:f>
        <x:v>0</x:v>
      </x:c>
      <x:c r="X262" s="11" t="n">
        <x:f>1-F262</x:f>
        <x:v>0.14226804123711345</x:v>
      </x:c>
    </x:row>
    <x:row r="263" ht="18" customHeight="1">
      <x:c r="A263" s="10" t="str">
        <x:v>VA</x:v>
      </x:c>
      <x:c r="B263" s="10" t="str">
        <x:v>51540</x:v>
      </x:c>
      <x:c r="C263" s="10" t="str">
        <x:v>Charlottesville city</x:v>
      </x:c>
      <x:c r="D263" s="11" t="n">
        <x:f>1-'Method'!$B$7*G263</x:f>
        <x:v>0.9099656357388316</x:v>
      </x:c>
      <x:c r="E263" s="11" t="n">
        <x:f>1-'Method'!$B$8*H263</x:f>
        <x:v>1</x:v>
      </x:c>
      <x:c r="F263" s="11" t="n">
        <x:f>1-'Method'!$B$9*I263</x:f>
        <x:v>0.8996563573883162</x:v>
      </x:c>
      <x:c r="G263" s="11" t="n">
        <x:v>0.45017182130584193</x:v>
      </x:c>
      <x:c r="H263" s="11" t="n">
        <x:v>0</x:v>
      </x:c>
      <x:c r="I263" s="11" t="n">
        <x:v>0.5017182130584192</x:v>
      </x:c>
      <x:c r="J263" s="12" t="n">
        <x:v>26.29709663391113</x:v>
      </x:c>
      <x:c r="K263" s="12" t="n">
        <x:v>80.43633702596028</x:v>
      </x:c>
      <x:c r="L263" s="12" t="n">
        <x:v>54.13924039204915</x:v>
      </x:c>
      <x:c r="M263" s="12" t="n">
        <x:v>24.851235389709473</x:v>
      </x:c>
      <x:c r="N263" s="12" t="n">
        <x:v>24.527163887023924</x:v>
      </x:c>
      <x:c r="O263" s="12" t="n">
        <x:v>0</x:v>
      </x:c>
      <x:c r="P263" s="12" t="n">
        <x:v>1.6047166387240093</x:v>
      </x:c>
      <x:c r="Q263" s="12" t="n">
        <x:v>2.2847047805786134</x:v>
      </x:c>
      <x:c r="R263" s="12" t="n">
        <x:v>0.6799881418546041</x:v>
      </x:c>
      <x:c r="S263" s="11" t="n">
        <x:f>'Method'!$B$7</x:f>
        <x:v>0.2</x:v>
      </x:c>
      <x:c r="T263" s="11" t="n">
        <x:f>'Method'!$B$8</x:f>
        <x:v>0.2</x:v>
      </x:c>
      <x:c r="U263" s="11" t="n">
        <x:f>'Method'!$B$9</x:f>
        <x:v>0.2</x:v>
      </x:c>
      <x:c r="V263" s="11" t="n">
        <x:f>1-D263</x:f>
        <x:v>0.0900343642611684</x:v>
      </x:c>
      <x:c r="W263" s="11" t="n">
        <x:f>1-E263</x:f>
        <x:v>0</x:v>
      </x:c>
      <x:c r="X263" s="11" t="n">
        <x:f>1-F263</x:f>
        <x:v>0.10034364261168383</x:v>
      </x:c>
    </x:row>
    <x:row r="264" ht="18" customHeight="1">
      <x:c r="A264" s="10" t="str">
        <x:v>VA</x:v>
      </x:c>
      <x:c r="B264" s="10" t="str">
        <x:v>51550</x:v>
      </x:c>
      <x:c r="C264" s="10" t="str">
        <x:v>Chesapeake city</x:v>
      </x:c>
      <x:c r="D264" s="11" t="n">
        <x:f>1-'Method'!$B$7*G264</x:f>
        <x:v>0.9628865979381444</x:v>
      </x:c>
      <x:c r="E264" s="11" t="n">
        <x:f>1-'Method'!$B$8*H264</x:f>
        <x:v>1</x:v>
      </x:c>
      <x:c r="F264" s="11" t="n">
        <x:f>1-'Method'!$B$9*I264</x:f>
        <x:v>0.8962199312714776</x:v>
      </x:c>
      <x:c r="G264" s="11" t="n">
        <x:v>0.18556701030927836</x:v>
      </x:c>
      <x:c r="H264" s="11" t="n">
        <x:v>0</x:v>
      </x:c>
      <x:c r="I264" s="11" t="n">
        <x:v>0.5189003436426117</x:v>
      </x:c>
      <x:c r="J264" s="12" t="n">
        <x:v>22.337963485717772</x:v>
      </x:c>
      <x:c r="K264" s="12" t="n">
        <x:v>68.36234563191732</x:v>
      </x:c>
      <x:c r="L264" s="12" t="n">
        <x:v>46.02438214619955</x:v>
      </x:c>
      <x:c r="M264" s="12" t="n">
        <x:v>21.6794740041097</x:v>
      </x:c>
      <x:c r="N264" s="12" t="n">
        <x:v>21.488228797912598</x:v>
      </x:c>
      <x:c r="O264" s="12" t="n">
        <x:v>0</x:v>
      </x:c>
      <x:c r="P264" s="12" t="n">
        <x:v>1.2070212225119272</x:v>
      </x:c>
      <x:c r="Q264" s="12" t="n">
        <x:v>1.8909541169802349</x:v>
      </x:c>
      <x:c r="R264" s="12" t="n">
        <x:v>0.6839328944683076</x:v>
      </x:c>
      <x:c r="S264" s="11" t="n">
        <x:f>'Method'!$B$7</x:f>
        <x:v>0.2</x:v>
      </x:c>
      <x:c r="T264" s="11" t="n">
        <x:f>'Method'!$B$8</x:f>
        <x:v>0.2</x:v>
      </x:c>
      <x:c r="U264" s="11" t="n">
        <x:f>'Method'!$B$9</x:f>
        <x:v>0.2</x:v>
      </x:c>
      <x:c r="V264" s="11" t="n">
        <x:f>1-D264</x:f>
        <x:v>0.03711340206185565</x:v>
      </x:c>
      <x:c r="W264" s="11" t="n">
        <x:f>1-E264</x:f>
        <x:v>0</x:v>
      </x:c>
      <x:c r="X264" s="11" t="n">
        <x:f>1-F264</x:f>
        <x:v>0.10378006872852241</x:v>
      </x:c>
    </x:row>
    <x:row r="265" ht="18" customHeight="1">
      <x:c r="A265" s="10" t="str">
        <x:v>VA</x:v>
      </x:c>
      <x:c r="B265" s="10" t="str">
        <x:v>51570</x:v>
      </x:c>
      <x:c r="C265" s="10" t="str">
        <x:v>Colonial Heights city</x:v>
      </x:c>
      <x:c r="D265" s="11" t="n">
        <x:f>1-'Method'!$B$7*G265</x:f>
        <x:v>0.8941580756013745</x:v>
      </x:c>
      <x:c r="E265" s="11" t="n">
        <x:f>1-'Method'!$B$8*H265</x:f>
        <x:v>1</x:v>
      </x:c>
      <x:c r="F265" s="11" t="n">
        <x:f>1-'Method'!$B$9*I265</x:f>
        <x:v>0.8391752577319588</x:v>
      </x:c>
      <x:c r="G265" s="11" t="n">
        <x:v>0.5292096219931272</x:v>
      </x:c>
      <x:c r="H265" s="11" t="n">
        <x:v>0</x:v>
      </x:c>
      <x:c r="I265" s="11" t="n">
        <x:v>0.8041237113402062</x:v>
      </x:c>
      <x:c r="J265" s="12" t="n">
        <x:v>38.645266723632815</x:v>
      </x:c>
      <x:c r="K265" s="12" t="n">
        <x:v>94.38842290242513</x:v>
      </x:c>
      <x:c r="L265" s="12" t="n">
        <x:v>55.74315617879232</x:v>
      </x:c>
      <x:c r="M265" s="12" t="n">
        <x:v>23.43919588724772</x:v>
      </x:c>
      <x:c r="N265" s="12" t="n">
        <x:v>23.306234486897786</x:v>
      </x:c>
      <x:c r="O265" s="12" t="n">
        <x:v>0</x:v>
      </x:c>
      <x:c r="P265" s="12" t="n">
        <x:v>1.4913973848025004</x:v>
      </x:c>
      <x:c r="Q265" s="12" t="n">
        <x:v>2.300534415245056</x:v>
      </x:c>
      <x:c r="R265" s="12" t="n">
        <x:v>0.8091370304425556</x:v>
      </x:c>
      <x:c r="S265" s="11" t="n">
        <x:f>'Method'!$B$7</x:f>
        <x:v>0.2</x:v>
      </x:c>
      <x:c r="T265" s="11" t="n">
        <x:f>'Method'!$B$8</x:f>
        <x:v>0.2</x:v>
      </x:c>
      <x:c r="U265" s="11" t="n">
        <x:f>'Method'!$B$9</x:f>
        <x:v>0.2</x:v>
      </x:c>
      <x:c r="V265" s="11" t="n">
        <x:f>1-D265</x:f>
        <x:v>0.1058419243986255</x:v>
      </x:c>
      <x:c r="W265" s="11" t="n">
        <x:f>1-E265</x:f>
        <x:v>0</x:v>
      </x:c>
      <x:c r="X265" s="11" t="n">
        <x:f>1-F265</x:f>
        <x:v>0.16082474226804122</x:v>
      </x:c>
    </x:row>
    <x:row r="266" ht="18" customHeight="1">
      <x:c r="A266" s="10" t="str">
        <x:v>VA</x:v>
      </x:c>
      <x:c r="B266" s="10" t="str">
        <x:v>51580</x:v>
      </x:c>
      <x:c r="C266" s="10" t="str">
        <x:v>Covington city</x:v>
      </x:c>
      <x:c r="D266" s="11" t="n">
        <x:f>1-'Method'!$B$7*G266</x:f>
        <x:v>0.9436426116838488</x:v>
      </x:c>
      <x:c r="E266" s="11" t="n">
        <x:f>1-'Method'!$B$8*H266</x:f>
        <x:v>0.8034364261168385</x:v>
      </x:c>
      <x:c r="F266" s="11" t="n">
        <x:f>1-'Method'!$B$9*I266</x:f>
        <x:v>0.9807560137457044</x:v>
      </x:c>
      <x:c r="G266" s="11" t="n">
        <x:v>0.281786941580756</x:v>
      </x:c>
      <x:c r="H266" s="11" t="n">
        <x:v>0.9828178694158075</x:v>
      </x:c>
      <x:c r="I266" s="11" t="n">
        <x:v>0.09621993127147767</x:v>
      </x:c>
      <x:c r="J266" s="12" t="n">
        <x:v>12.308213392893473</x:v>
      </x:c>
      <x:c r="K266" s="12" t="n">
        <x:v>63.94483998616536</x:v>
      </x:c>
      <x:c r="L266" s="12" t="n">
        <x:v>51.63662659327189</x:v>
      </x:c>
      <x:c r="M266" s="12" t="n">
        <x:v>24.32058022816976</x:v>
      </x:c>
      <x:c r="N266" s="12" t="n">
        <x:v>24.94950688680013</x:v>
      </x:c>
      <x:c r="O266" s="12" t="n">
        <x:v>0.6289266586303697</x:v>
      </x:c>
      <x:c r="P266" s="12" t="n">
        <x:v>0.9394928832848867</x:v>
      </x:c>
      <x:c r="Q266" s="12" t="n">
        <x:v>1.4041109800338745</x:v>
      </x:c>
      <x:c r="R266" s="12" t="n">
        <x:v>0.4646180967489878</x:v>
      </x:c>
      <x:c r="S266" s="11" t="n">
        <x:f>'Method'!$B$7</x:f>
        <x:v>0.2</x:v>
      </x:c>
      <x:c r="T266" s="11" t="n">
        <x:f>'Method'!$B$8</x:f>
        <x:v>0.2</x:v>
      </x:c>
      <x:c r="U266" s="11" t="n">
        <x:f>'Method'!$B$9</x:f>
        <x:v>0.2</x:v>
      </x:c>
      <x:c r="V266" s="11" t="n">
        <x:f>1-D266</x:f>
        <x:v>0.056357388316151225</x:v>
      </x:c>
      <x:c r="W266" s="11" t="n">
        <x:f>1-E266</x:f>
        <x:v>0.19656357388316148</x:v>
      </x:c>
      <x:c r="X266" s="11" t="n">
        <x:f>1-F266</x:f>
        <x:v>0.019243986254295575</x:v>
      </x:c>
    </x:row>
    <x:row r="267" ht="18" customHeight="1">
      <x:c r="A267" s="10" t="str">
        <x:v>VA</x:v>
      </x:c>
      <x:c r="B267" s="10" t="str">
        <x:v>51590</x:v>
      </x:c>
      <x:c r="C267" s="10" t="str">
        <x:v>Danville city</x:v>
      </x:c>
      <x:c r="D267" s="11" t="n">
        <x:f>1-'Method'!$B$7*G267</x:f>
        <x:v>0.9161512027491409</x:v>
      </x:c>
      <x:c r="E267" s="11" t="n">
        <x:f>1-'Method'!$B$8*H267</x:f>
        <x:v>0.8556701030927835</x:v>
      </x:c>
      <x:c r="F267" s="11" t="n">
        <x:f>1-'Method'!$B$9*I267</x:f>
        <x:v>0.890721649484536</x:v>
      </x:c>
      <x:c r="G267" s="11" t="n">
        <x:v>0.41924398625429554</x:v>
      </x:c>
      <x:c r="H267" s="11" t="n">
        <x:v>0.7216494845360825</x:v>
      </x:c>
      <x:c r="I267" s="11" t="n">
        <x:v>0.5463917525773195</x:v>
      </x:c>
      <x:c r="J267" s="12" t="n">
        <x:v>34.836238924662275</x:v>
      </x:c>
      <x:c r="K267" s="12" t="n">
        <x:v>88.44548187255859</x:v>
      </x:c>
      <x:c r="L267" s="12" t="n">
        <x:v>53.60924294789631</x:v>
      </x:c>
      <x:c r="M267" s="12" t="n">
        <x:v>24.587906010945638</x:v>
      </x:c>
      <x:c r="N267" s="12" t="n">
        <x:v>24.632486724853514</x:v>
      </x:c>
      <x:c r="O267" s="12" t="n">
        <x:v>0.04458071390787666</x:v>
      </x:c>
      <x:c r="P267" s="12" t="n">
        <x:v>1.4461150864760082</x:v>
      </x:c>
      <x:c r="Q267" s="12" t="n">
        <x:v>2.133858823776245</x:v>
      </x:c>
      <x:c r="R267" s="12" t="n">
        <x:v>0.6877437373002369</x:v>
      </x:c>
      <x:c r="S267" s="11" t="n">
        <x:f>'Method'!$B$7</x:f>
        <x:v>0.2</x:v>
      </x:c>
      <x:c r="T267" s="11" t="n">
        <x:f>'Method'!$B$8</x:f>
        <x:v>0.2</x:v>
      </x:c>
      <x:c r="U267" s="11" t="n">
        <x:f>'Method'!$B$9</x:f>
        <x:v>0.2</x:v>
      </x:c>
      <x:c r="V267" s="11" t="n">
        <x:f>1-D267</x:f>
        <x:v>0.08384879725085914</x:v>
      </x:c>
      <x:c r="W267" s="11" t="n">
        <x:f>1-E267</x:f>
        <x:v>0.14432989690721654</x:v>
      </x:c>
      <x:c r="X267" s="11" t="n">
        <x:f>1-F267</x:f>
        <x:v>0.10927835051546397</x:v>
      </x:c>
    </x:row>
    <x:row r="268" ht="18" customHeight="1">
      <x:c r="A268" s="10" t="str">
        <x:v>VA</x:v>
      </x:c>
      <x:c r="B268" s="10" t="str">
        <x:v>51595</x:v>
      </x:c>
      <x:c r="C268" s="10" t="str">
        <x:v>Emporia city</x:v>
      </x:c>
      <x:c r="D268" s="11" t="n">
        <x:f>1-'Method'!$B$7*G268</x:f>
        <x:v>0.9484536082474226</x:v>
      </x:c>
      <x:c r="E268" s="11" t="n">
        <x:f>1-'Method'!$B$8*H268</x:f>
        <x:v>1</x:v>
      </x:c>
      <x:c r="F268" s="11" t="n">
        <x:f>1-'Method'!$B$9*I268</x:f>
        <x:v>0.9154639175257732</x:v>
      </x:c>
      <x:c r="G268" s="11" t="n">
        <x:v>0.25773195876288657</x:v>
      </x:c>
      <x:c r="H268" s="11" t="n">
        <x:v>0</x:v>
      </x:c>
      <x:c r="I268" s="11" t="n">
        <x:v>0.422680412371134</x:v>
      </x:c>
      <x:c r="J268" s="12" t="n">
        <x:v>35.86071675618489</x:v>
      </x:c>
      <x:c r="K268" s="12" t="n">
        <x:v>86.71758728027343</x:v>
      </x:c>
      <x:c r="L268" s="12" t="n">
        <x:v>50.85687052408854</x:v>
      </x:c>
      <x:c r="M268" s="12" t="n">
        <x:v>26.07569586435954</x:v>
      </x:c>
      <x:c r="N268" s="12" t="n">
        <x:v>25.569891993204752</x:v>
      </x:c>
      <x:c r="O268" s="12" t="n">
        <x:v>0</x:v>
      </x:c>
      <x:c r="P268" s="12" t="n">
        <x:v>1.8843509435653687</x:v>
      </x:c>
      <x:c r="Q268" s="12" t="n">
        <x:v>2.5389339566230773</x:v>
      </x:c>
      <x:c r="R268" s="12" t="n">
        <x:v>0.6545830130577086</x:v>
      </x:c>
      <x:c r="S268" s="11" t="n">
        <x:f>'Method'!$B$7</x:f>
        <x:v>0.2</x:v>
      </x:c>
      <x:c r="T268" s="11" t="n">
        <x:f>'Method'!$B$8</x:f>
        <x:v>0.2</x:v>
      </x:c>
      <x:c r="U268" s="11" t="n">
        <x:f>'Method'!$B$9</x:f>
        <x:v>0.2</x:v>
      </x:c>
      <x:c r="V268" s="11" t="n">
        <x:f>1-D268</x:f>
        <x:v>0.05154639175257736</x:v>
      </x:c>
      <x:c r="W268" s="11" t="n">
        <x:f>1-E268</x:f>
        <x:v>0</x:v>
      </x:c>
      <x:c r="X268" s="11" t="n">
        <x:f>1-F268</x:f>
        <x:v>0.08453608247422684</x:v>
      </x:c>
    </x:row>
    <x:row r="269" ht="18" customHeight="1">
      <x:c r="A269" s="10" t="str">
        <x:v>VA</x:v>
      </x:c>
      <x:c r="B269" s="10" t="str">
        <x:v>51600</x:v>
      </x:c>
      <x:c r="C269" s="10" t="str">
        <x:v>Fairfax city</x:v>
      </x:c>
      <x:c r="D269" s="11" t="n">
        <x:f>1-'Method'!$B$7*G269</x:f>
        <x:v>0.9154639175257732</x:v>
      </x:c>
      <x:c r="E269" s="11" t="n">
        <x:f>1-'Method'!$B$8*H269</x:f>
        <x:v>1</x:v>
      </x:c>
      <x:c r="F269" s="11" t="n">
        <x:f>1-'Method'!$B$9*I269</x:f>
        <x:v>0.9711340206185567</x:v>
      </x:c>
      <x:c r="G269" s="11" t="n">
        <x:v>0.422680412371134</x:v>
      </x:c>
      <x:c r="H269" s="11" t="n">
        <x:v>0</x:v>
      </x:c>
      <x:c r="I269" s="11" t="n">
        <x:v>0.14432989690721648</x:v>
      </x:c>
      <x:c r="J269" s="12" t="n">
        <x:v>20.86354007720947</x:v>
      </x:c>
      <x:c r="K269" s="12" t="n">
        <x:v>74.66136995951335</x:v>
      </x:c>
      <x:c r="L269" s="12" t="n">
        <x:v>53.79782988230388</x:v>
      </x:c>
      <x:c r="M269" s="12" t="n">
        <x:v>25.081931432088215</x:v>
      </x:c>
      <x:c r="N269" s="12" t="n">
        <x:v>24.979499053955077</x:v>
      </x:c>
      <x:c r="O269" s="12" t="n">
        <x:v>0</x:v>
      </x:c>
      <x:c r="P269" s="12" t="n">
        <x:v>1.3498045782248178</x:v>
      </x:c>
      <x:c r="Q269" s="12" t="n">
        <x:v>1.855327014128367</x:v>
      </x:c>
      <x:c r="R269" s="12" t="n">
        <x:v>0.5055224359035493</x:v>
      </x:c>
      <x:c r="S269" s="11" t="n">
        <x:f>'Method'!$B$7</x:f>
        <x:v>0.2</x:v>
      </x:c>
      <x:c r="T269" s="11" t="n">
        <x:f>'Method'!$B$8</x:f>
        <x:v>0.2</x:v>
      </x:c>
      <x:c r="U269" s="11" t="n">
        <x:f>'Method'!$B$9</x:f>
        <x:v>0.2</x:v>
      </x:c>
      <x:c r="V269" s="11" t="n">
        <x:f>1-D269</x:f>
        <x:v>0.08453608247422684</x:v>
      </x:c>
      <x:c r="W269" s="11" t="n">
        <x:f>1-E269</x:f>
        <x:v>0</x:v>
      </x:c>
      <x:c r="X269" s="11" t="n">
        <x:f>1-F269</x:f>
        <x:v>0.028865979381443307</x:v>
      </x:c>
    </x:row>
    <x:row r="270" ht="18" customHeight="1">
      <x:c r="A270" s="10" t="str">
        <x:v>VA</x:v>
      </x:c>
      <x:c r="B270" s="10" t="str">
        <x:v>51610</x:v>
      </x:c>
      <x:c r="C270" s="10" t="str">
        <x:v>Falls Church city</x:v>
      </x:c>
      <x:c r="D270" s="11" t="n">
        <x:f>1-'Method'!$B$7*G270</x:f>
        <x:v>0.9182130584192439</x:v>
      </x:c>
      <x:c r="E270" s="11" t="n">
        <x:f>1-'Method'!$B$8*H270</x:f>
        <x:v>0.815807560137457</x:v>
      </x:c>
      <x:c r="F270" s="11" t="n">
        <x:f>1-'Method'!$B$9*I270</x:f>
        <x:v>0.9752577319587629</x:v>
      </x:c>
      <x:c r="G270" s="11" t="n">
        <x:v>0.40893470790378006</x:v>
      </x:c>
      <x:c r="H270" s="11" t="n">
        <x:v>0.9209621993127147</x:v>
      </x:c>
      <x:c r="I270" s="11" t="n">
        <x:v>0.12371134020618557</x:v>
      </x:c>
      <x:c r="J270" s="12" t="n">
        <x:v>23.209536679585774</x:v>
      </x:c>
      <x:c r="K270" s="12" t="n">
        <x:v>76.58299369812012</x:v>
      </x:c>
      <x:c r="L270" s="12" t="n">
        <x:v>53.373457018534346</x:v>
      </x:c>
      <x:c r="M270" s="12" t="n">
        <x:v>24.210324796040855</x:v>
      </x:c>
      <x:c r="N270" s="12" t="n">
        <x:v>24.624523417154947</x:v>
      </x:c>
      <x:c r="O270" s="12" t="n">
        <x:v>0.41419862111409245</x:v>
      </x:c>
      <x:c r="P270" s="12" t="n">
        <x:v>1.3907873928546906</x:v>
      </x:c>
      <x:c r="Q270" s="12" t="n">
        <x:v>1.878917145729065</x:v>
      </x:c>
      <x:c r="R270" s="12" t="n">
        <x:v>0.48812975287437443</x:v>
      </x:c>
      <x:c r="S270" s="11" t="n">
        <x:f>'Method'!$B$7</x:f>
        <x:v>0.2</x:v>
      </x:c>
      <x:c r="T270" s="11" t="n">
        <x:f>'Method'!$B$8</x:f>
        <x:v>0.2</x:v>
      </x:c>
      <x:c r="U270" s="11" t="n">
        <x:f>'Method'!$B$9</x:f>
        <x:v>0.2</x:v>
      </x:c>
      <x:c r="V270" s="11" t="n">
        <x:f>1-D270</x:f>
        <x:v>0.08178694158075606</x:v>
      </x:c>
      <x:c r="W270" s="11" t="n">
        <x:f>1-E270</x:f>
        <x:v>0.18419243986254297</x:v>
      </x:c>
      <x:c r="X270" s="11" t="n">
        <x:f>1-F270</x:f>
        <x:v>0.024742268041237137</x:v>
      </x:c>
    </x:row>
    <x:row r="271" ht="18" customHeight="1">
      <x:c r="A271" s="10" t="str">
        <x:v>VA</x:v>
      </x:c>
      <x:c r="B271" s="10" t="str">
        <x:v>51620</x:v>
      </x:c>
      <x:c r="C271" s="10" t="str">
        <x:v>Franklin city</x:v>
      </x:c>
      <x:c r="D271" s="11" t="n">
        <x:f>1-'Method'!$B$7*G271</x:f>
        <x:v>0.9347079037800687</x:v>
      </x:c>
      <x:c r="E271" s="11" t="n">
        <x:f>1-'Method'!$B$8*H271</x:f>
        <x:v>1</x:v>
      </x:c>
      <x:c r="F271" s="11" t="n">
        <x:f>1-'Method'!$B$9*I271</x:f>
        <x:v>0.9443298969072165</x:v>
      </x:c>
      <x:c r="G271" s="11" t="n">
        <x:v>0.32646048109965636</x:v>
      </x:c>
      <x:c r="H271" s="11" t="n">
        <x:v>0</x:v>
      </x:c>
      <x:c r="I271" s="11" t="n">
        <x:v>0.27835051546391754</x:v>
      </x:c>
      <x:c r="J271" s="12" t="n">
        <x:v>28.82916316986084</x:v>
      </x:c>
      <x:c r="K271" s="12" t="n">
        <x:v>81.23605054219564</x:v>
      </x:c>
      <x:c r="L271" s="12" t="n">
        <x:v>52.4068873723348</x:v>
      </x:c>
      <x:c r="M271" s="12" t="n">
        <x:v>21.88901844024658</x:v>
      </x:c>
      <x:c r="N271" s="12" t="n">
        <x:v>21.290239016215008</x:v>
      </x:c>
      <x:c r="O271" s="12" t="n">
        <x:v>0</x:v>
      </x:c>
      <x:c r="P271" s="12" t="n">
        <x:v>1.1922346711158753</x:v>
      </x:c>
      <x:c r="Q271" s="12" t="n">
        <x:v>1.780447640021642</x:v>
      </x:c>
      <x:c r="R271" s="12" t="n">
        <x:v>0.5882129689057667</x:v>
      </x:c>
      <x:c r="S271" s="11" t="n">
        <x:f>'Method'!$B$7</x:f>
        <x:v>0.2</x:v>
      </x:c>
      <x:c r="T271" s="11" t="n">
        <x:f>'Method'!$B$8</x:f>
        <x:v>0.2</x:v>
      </x:c>
      <x:c r="U271" s="11" t="n">
        <x:f>'Method'!$B$9</x:f>
        <x:v>0.2</x:v>
      </x:c>
      <x:c r="V271" s="11" t="n">
        <x:f>1-D271</x:f>
        <x:v>0.06529209621993126</x:v>
      </x:c>
      <x:c r="W271" s="11" t="n">
        <x:f>1-E271</x:f>
        <x:v>0</x:v>
      </x:c>
      <x:c r="X271" s="11" t="n">
        <x:f>1-F271</x:f>
        <x:v>0.05567010309278353</x:v>
      </x:c>
    </x:row>
    <x:row r="272" ht="18" customHeight="1">
      <x:c r="A272" s="10" t="str">
        <x:v>VA</x:v>
      </x:c>
      <x:c r="B272" s="10" t="str">
        <x:v>51630</x:v>
      </x:c>
      <x:c r="C272" s="10" t="str">
        <x:v>Fredericksburg city</x:v>
      </x:c>
      <x:c r="D272" s="11" t="n">
        <x:f>1-'Method'!$B$7*G272</x:f>
        <x:v>0.934020618556701</x:v>
      </x:c>
      <x:c r="E272" s="11" t="n">
        <x:f>1-'Method'!$B$8*H272</x:f>
        <x:v>0.8597938144329897</x:v>
      </x:c>
      <x:c r="F272" s="11" t="n">
        <x:f>1-'Method'!$B$9*I272</x:f>
        <x:v>0.881786941580756</x:v>
      </x:c>
      <x:c r="G272" s="11" t="n">
        <x:v>0.32989690721649484</x:v>
      </x:c>
      <x:c r="H272" s="11" t="n">
        <x:v>0.7010309278350515</x:v>
      </x:c>
      <x:c r="I272" s="11" t="n">
        <x:v>0.5910652920962199</x:v>
      </x:c>
      <x:c r="J272" s="12" t="n">
        <x:v>30.13529001871745</x:v>
      </x:c>
      <x:c r="K272" s="12" t="n">
        <x:v>82.55407969156902</x:v>
      </x:c>
      <x:c r="L272" s="12" t="n">
        <x:v>52.41878967285157</x:v>
      </x:c>
      <x:c r="M272" s="12" t="n">
        <x:v>25.565161832173665</x:v>
      </x:c>
      <x:c r="N272" s="12" t="n">
        <x:v>25.57602462768555</x:v>
      </x:c>
      <x:c r="O272" s="12" t="n">
        <x:v>0.010862795511883405</x:v>
      </x:c>
      <x:c r="P272" s="12" t="n">
        <x:v>1.295413221915563</x:v>
      </x:c>
      <x:c r="Q272" s="12" t="n">
        <x:v>1.9985281546910605</x:v>
      </x:c>
      <x:c r="R272" s="12" t="n">
        <x:v>0.7031149327754975</x:v>
      </x:c>
      <x:c r="S272" s="11" t="n">
        <x:f>'Method'!$B$7</x:f>
        <x:v>0.2</x:v>
      </x:c>
      <x:c r="T272" s="11" t="n">
        <x:f>'Method'!$B$8</x:f>
        <x:v>0.2</x:v>
      </x:c>
      <x:c r="U272" s="11" t="n">
        <x:f>'Method'!$B$9</x:f>
        <x:v>0.2</x:v>
      </x:c>
      <x:c r="V272" s="11" t="n">
        <x:f>1-D272</x:f>
        <x:v>0.06597938144329896</x:v>
      </x:c>
      <x:c r="W272" s="11" t="n">
        <x:f>1-E272</x:f>
        <x:v>0.14020618556701026</x:v>
      </x:c>
      <x:c r="X272" s="11" t="n">
        <x:f>1-F272</x:f>
        <x:v>0.11821305841924401</x:v>
      </x:c>
    </x:row>
    <x:row r="273" ht="18" customHeight="1">
      <x:c r="A273" s="10" t="str">
        <x:v>VA</x:v>
      </x:c>
      <x:c r="B273" s="10" t="str">
        <x:v>51640</x:v>
      </x:c>
      <x:c r="C273" s="10" t="str">
        <x:v>Galax city</x:v>
      </x:c>
      <x:c r="D273" s="11" t="n">
        <x:f>1-'Method'!$B$7*G273</x:f>
        <x:v>0.9945017182130584</x:v>
      </x:c>
      <x:c r="E273" s="11" t="n">
        <x:f>1-'Method'!$B$8*H273</x:f>
        <x:v>0.8048109965635739</x:v>
      </x:c>
      <x:c r="F273" s="11" t="n">
        <x:f>1-'Method'!$B$9*I273</x:f>
        <x:v>0.8151202749140893</x:v>
      </x:c>
      <x:c r="G273" s="11" t="n">
        <x:v>0.027491408934707903</x:v>
      </x:c>
      <x:c r="H273" s="11" t="n">
        <x:v>0.9759450171821306</x:v>
      </x:c>
      <x:c r="I273" s="11" t="n">
        <x:v>0.9243986254295533</x:v>
      </x:c>
      <x:c r="J273" s="12" t="n">
        <x:v>1.387273340423902</x:v>
      </x:c>
      <x:c r="K273" s="12" t="n">
        <x:v>24.02080332438151</x:v>
      </x:c>
      <x:c r="L273" s="12" t="n">
        <x:v>22.633529983957608</x:v>
      </x:c>
      <x:c r="M273" s="12" t="n">
        <x:v>24.722470792134605</x:v>
      </x:c>
      <x:c r="N273" s="12" t="n">
        <x:v>25.300087292989094</x:v>
      </x:c>
      <x:c r="O273" s="12" t="n">
        <x:v>0.5776165008544893</x:v>
      </x:c>
      <x:c r="P273" s="12" t="n">
        <x:v>1.7893685619036357</x:v>
      </x:c>
      <x:c r="Q273" s="12" t="n">
        <x:v>2.715632132689158</x:v>
      </x:c>
      <x:c r="R273" s="12" t="n">
        <x:v>0.9262635707855225</x:v>
      </x:c>
      <x:c r="S273" s="11" t="n">
        <x:f>'Method'!$B$7</x:f>
        <x:v>0.2</x:v>
      </x:c>
      <x:c r="T273" s="11" t="n">
        <x:f>'Method'!$B$8</x:f>
        <x:v>0.2</x:v>
      </x:c>
      <x:c r="U273" s="11" t="n">
        <x:f>'Method'!$B$9</x:f>
        <x:v>0.2</x:v>
      </x:c>
      <x:c r="V273" s="11" t="n">
        <x:f>1-D273</x:f>
        <x:v>0.005498281786941561</x:v>
      </x:c>
      <x:c r="W273" s="11" t="n">
        <x:f>1-E273</x:f>
        <x:v>0.1951890034364261</x:v>
      </x:c>
      <x:c r="X273" s="11" t="n">
        <x:f>1-F273</x:f>
        <x:v>0.18487972508591066</x:v>
      </x:c>
    </x:row>
    <x:row r="274" ht="18" customHeight="1">
      <x:c r="A274" s="10" t="str">
        <x:v>VA</x:v>
      </x:c>
      <x:c r="B274" s="10" t="str">
        <x:v>51650</x:v>
      </x:c>
      <x:c r="C274" s="10" t="str">
        <x:v>Hampton city</x:v>
      </x:c>
      <x:c r="D274" s="11" t="n">
        <x:f>1-'Method'!$B$7*G274</x:f>
        <x:v>0.9738831615120275</x:v>
      </x:c>
      <x:c r="E274" s="11" t="n">
        <x:f>1-'Method'!$B$8*H274</x:f>
        <x:v>1</x:v>
      </x:c>
      <x:c r="F274" s="11" t="n">
        <x:f>1-'Method'!$B$9*I274</x:f>
        <x:v>0.8336769759450171</x:v>
      </x:c>
      <x:c r="G274" s="11" t="n">
        <x:v>0.13058419243986255</x:v>
      </x:c>
      <x:c r="H274" s="11" t="n">
        <x:v>0</x:v>
      </x:c>
      <x:c r="I274" s="11" t="n">
        <x:v>0.8316151202749141</x:v>
      </x:c>
      <x:c r="J274" s="12" t="n">
        <x:v>21.40859915415446</x:v>
      </x:c>
      <x:c r="K274" s="12" t="n">
        <x:v>64.4061678568522</x:v>
      </x:c>
      <x:c r="L274" s="12" t="n">
        <x:v>42.99756870269775</x:v>
      </x:c>
      <x:c r="M274" s="12" t="n">
        <x:v>24.514249420166017</x:v>
      </x:c>
      <x:c r="N274" s="12" t="n">
        <x:v>24.022589937845865</x:v>
      </x:c>
      <x:c r="O274" s="12" t="n">
        <x:v>0</x:v>
      </x:c>
      <x:c r="P274" s="12" t="n">
        <x:v>2.010429386297862</x:v>
      </x:c>
      <x:c r="Q274" s="12" t="n">
        <x:v>2.8280643860499066</x:v>
      </x:c>
      <x:c r="R274" s="12" t="n">
        <x:v>0.8176349997520447</x:v>
      </x:c>
      <x:c r="S274" s="11" t="n">
        <x:f>'Method'!$B$7</x:f>
        <x:v>0.2</x:v>
      </x:c>
      <x:c r="T274" s="11" t="n">
        <x:f>'Method'!$B$8</x:f>
        <x:v>0.2</x:v>
      </x:c>
      <x:c r="U274" s="11" t="n">
        <x:f>'Method'!$B$9</x:f>
        <x:v>0.2</x:v>
      </x:c>
      <x:c r="V274" s="11" t="n">
        <x:f>1-D274</x:f>
        <x:v>0.026116838487972527</x:v>
      </x:c>
      <x:c r="W274" s="11" t="n">
        <x:f>1-E274</x:f>
        <x:v>0</x:v>
      </x:c>
      <x:c r="X274" s="11" t="n">
        <x:f>1-F274</x:f>
        <x:v>0.1663230240549829</x:v>
      </x:c>
    </x:row>
    <x:row r="275" ht="18" customHeight="1">
      <x:c r="A275" s="10" t="str">
        <x:v>VA</x:v>
      </x:c>
      <x:c r="B275" s="10" t="str">
        <x:v>51660</x:v>
      </x:c>
      <x:c r="C275" s="10" t="str">
        <x:v>Harrisonburg city</x:v>
      </x:c>
      <x:c r="D275" s="11" t="n">
        <x:f>1-'Method'!$B$7*G275</x:f>
        <x:v>0.9697594501718213</x:v>
      </x:c>
      <x:c r="E275" s="11" t="n">
        <x:f>1-'Method'!$B$8*H275</x:f>
        <x:v>0.8233676975945017</x:v>
      </x:c>
      <x:c r="F275" s="11" t="n">
        <x:f>1-'Method'!$B$9*I275</x:f>
        <x:v>0.9855670103092784</x:v>
      </x:c>
      <x:c r="G275" s="11" t="n">
        <x:v>0.15120274914089346</x:v>
      </x:c>
      <x:c r="H275" s="11" t="n">
        <x:v>0.8831615120274914</x:v>
      </x:c>
      <x:c r="I275" s="11" t="n">
        <x:v>0.07216494845360824</x:v>
      </x:c>
      <x:c r="J275" s="12" t="n">
        <x:v>15.3845734278361</x:v>
      </x:c>
      <x:c r="K275" s="12" t="n">
        <x:v>59.297660446166994</x:v>
      </x:c>
      <x:c r="L275" s="12" t="n">
        <x:v>43.91308701833089</x:v>
      </x:c>
      <x:c r="M275" s="12" t="n">
        <x:v>26.837286313374836</x:v>
      </x:c>
      <x:c r="N275" s="12" t="n">
        <x:v>27.15227680206299</x:v>
      </x:c>
      <x:c r="O275" s="12" t="n">
        <x:v>0.31499048868815294</x:v>
      </x:c>
      <x:c r="P275" s="12" t="n">
        <x:v>0.7297961046298345</x:v>
      </x:c>
      <x:c r="Q275" s="12" t="n">
        <x:v>1.1730436623096465</x:v>
      </x:c>
      <x:c r="R275" s="12" t="n">
        <x:v>0.44324755767981205</x:v>
      </x:c>
      <x:c r="S275" s="11" t="n">
        <x:f>'Method'!$B$7</x:f>
        <x:v>0.2</x:v>
      </x:c>
      <x:c r="T275" s="11" t="n">
        <x:f>'Method'!$B$8</x:f>
        <x:v>0.2</x:v>
      </x:c>
      <x:c r="U275" s="11" t="n">
        <x:f>'Method'!$B$9</x:f>
        <x:v>0.2</x:v>
      </x:c>
      <x:c r="V275" s="11" t="n">
        <x:f>1-D275</x:f>
        <x:v>0.030240549828178698</x:v>
      </x:c>
      <x:c r="W275" s="11" t="n">
        <x:f>1-E275</x:f>
        <x:v>0.17663230240549832</x:v>
      </x:c>
      <x:c r="X275" s="11" t="n">
        <x:f>1-F275</x:f>
        <x:v>0.014432989690721598</x:v>
      </x:c>
    </x:row>
    <x:row r="276" ht="18" customHeight="1">
      <x:c r="A276" s="10" t="str">
        <x:v>VA</x:v>
      </x:c>
      <x:c r="B276" s="10" t="str">
        <x:v>51670</x:v>
      </x:c>
      <x:c r="C276" s="10" t="str">
        <x:v>Hopewell city</x:v>
      </x:c>
      <x:c r="D276" s="11" t="n">
        <x:f>1-'Method'!$B$7*G276</x:f>
        <x:v>0.9085910652920962</x:v>
      </x:c>
      <x:c r="E276" s="11" t="n">
        <x:f>1-'Method'!$B$8*H276</x:f>
        <x:v>1</x:v>
      </x:c>
      <x:c r="F276" s="11" t="n">
        <x:f>1-'Method'!$B$9*I276</x:f>
        <x:v>0.8439862542955326</x:v>
      </x:c>
      <x:c r="G276" s="11" t="n">
        <x:v>0.4570446735395189</x:v>
      </x:c>
      <x:c r="H276" s="11" t="n">
        <x:v>0</x:v>
      </x:c>
      <x:c r="I276" s="11" t="n">
        <x:v>0.7800687285223368</x:v>
      </x:c>
      <x:c r="J276" s="12" t="n">
        <x:v>44.48429985046387</x:v>
      </x:c>
      <x:c r="K276" s="12" t="n">
        <x:v>98.87918650309244</x:v>
      </x:c>
      <x:c r="L276" s="12" t="n">
        <x:v>54.39488665262857</x:v>
      </x:c>
      <x:c r="M276" s="12" t="n">
        <x:v>24.86641044616699</x:v>
      </x:c>
      <x:c r="N276" s="12" t="n">
        <x:v>24.672376505533855</x:v>
      </x:c>
      <x:c r="O276" s="12" t="n">
        <x:v>0</x:v>
      </x:c>
      <x:c r="P276" s="12" t="n">
        <x:v>1.9061642289161682</x:v>
      </x:c>
      <x:c r="Q276" s="12" t="n">
        <x:v>2.6951929410298665</x:v>
      </x:c>
      <x:c r="R276" s="12" t="n">
        <x:v>0.7890287121136983</x:v>
      </x:c>
      <x:c r="S276" s="11" t="n">
        <x:f>'Method'!$B$7</x:f>
        <x:v>0.2</x:v>
      </x:c>
      <x:c r="T276" s="11" t="n">
        <x:f>'Method'!$B$8</x:f>
        <x:v>0.2</x:v>
      </x:c>
      <x:c r="U276" s="11" t="n">
        <x:f>'Method'!$B$9</x:f>
        <x:v>0.2</x:v>
      </x:c>
      <x:c r="V276" s="11" t="n">
        <x:f>1-D276</x:f>
        <x:v>0.09140893470790379</x:v>
      </x:c>
      <x:c r="W276" s="11" t="n">
        <x:f>1-E276</x:f>
        <x:v>0</x:v>
      </x:c>
      <x:c r="X276" s="11" t="n">
        <x:f>1-F276</x:f>
        <x:v>0.15601374570446735</x:v>
      </x:c>
    </x:row>
    <x:row r="277" ht="18" customHeight="1">
      <x:c r="A277" s="10" t="str">
        <x:v>VA</x:v>
      </x:c>
      <x:c r="B277" s="10" t="str">
        <x:v>51678</x:v>
      </x:c>
      <x:c r="C277" s="10" t="str">
        <x:v>Lexington city</x:v>
      </x:c>
      <x:c r="D277" s="11" t="n">
        <x:f>1-'Method'!$B$7*G277</x:f>
        <x:v>0.9539518900343642</x:v>
      </x:c>
      <x:c r="E277" s="11" t="n">
        <x:f>1-'Method'!$B$8*H277</x:f>
        <x:v>0.8254295532646048</x:v>
      </x:c>
      <x:c r="F277" s="11" t="n">
        <x:f>1-'Method'!$B$9*I277</x:f>
        <x:v>0.9759450171821306</x:v>
      </x:c>
      <x:c r="G277" s="11" t="n">
        <x:v>0.23024054982817868</x:v>
      </x:c>
      <x:c r="H277" s="11" t="n">
        <x:v>0.872852233676976</x:v>
      </x:c>
      <x:c r="I277" s="11" t="n">
        <x:v>0.12027491408934708</x:v>
      </x:c>
      <x:c r="J277" s="12" t="n">
        <x:v>18.207386843363444</x:v>
      </x:c>
      <x:c r="K277" s="12" t="n">
        <x:v>67.40363744099935</x:v>
      </x:c>
      <x:c r="L277" s="12" t="n">
        <x:v>49.1962505976359</x:v>
      </x:c>
      <x:c r="M277" s="12" t="n">
        <x:v>25.809236653645833</x:v>
      </x:c>
      <x:c r="N277" s="12" t="n">
        <x:v>26.106516901652018</x:v>
      </x:c>
      <x:c r="O277" s="12" t="n">
        <x:v>0.29728024800618513</x:v>
      </x:c>
      <x:c r="P277" s="12" t="n">
        <x:v>1.2139646371205648</x:v>
      </x:c>
      <x:c r="Q277" s="12" t="n">
        <x:v>1.701116810242335</x:v>
      </x:c>
      <x:c r="R277" s="12" t="n">
        <x:v>0.4871521731217703</x:v>
      </x:c>
      <x:c r="S277" s="11" t="n">
        <x:f>'Method'!$B$7</x:f>
        <x:v>0.2</x:v>
      </x:c>
      <x:c r="T277" s="11" t="n">
        <x:f>'Method'!$B$8</x:f>
        <x:v>0.2</x:v>
      </x:c>
      <x:c r="U277" s="11" t="n">
        <x:f>'Method'!$B$9</x:f>
        <x:v>0.2</x:v>
      </x:c>
      <x:c r="V277" s="11" t="n">
        <x:f>1-D277</x:f>
        <x:v>0.0460481099656358</x:v>
      </x:c>
      <x:c r="W277" s="11" t="n">
        <x:f>1-E277</x:f>
        <x:v>0.17457044673539523</x:v>
      </x:c>
      <x:c r="X277" s="11" t="n">
        <x:f>1-F277</x:f>
        <x:v>0.02405498281786944</x:v>
      </x:c>
    </x:row>
    <x:row r="278" ht="18" customHeight="1">
      <x:c r="A278" s="10" t="str">
        <x:v>VA</x:v>
      </x:c>
      <x:c r="B278" s="10" t="str">
        <x:v>51680</x:v>
      </x:c>
      <x:c r="C278" s="10" t="str">
        <x:v>Lynchburg city</x:v>
      </x:c>
      <x:c r="D278" s="11" t="n">
        <x:f>1-'Method'!$B$7*G278</x:f>
        <x:v>0.931958762886598</x:v>
      </x:c>
      <x:c r="E278" s="11" t="n">
        <x:f>1-'Method'!$B$8*H278</x:f>
        <x:v>0.8542955326460481</x:v>
      </x:c>
      <x:c r="F278" s="11" t="n">
        <x:f>1-'Method'!$B$9*I278</x:f>
        <x:v>0.9628865979381444</x:v>
      </x:c>
      <x:c r="G278" s="11" t="n">
        <x:v>0.3402061855670103</x:v>
      </x:c>
      <x:c r="H278" s="11" t="n">
        <x:v>0.7285223367697594</x:v>
      </x:c>
      <x:c r="I278" s="11" t="n">
        <x:v>0.18556701030927836</x:v>
      </x:c>
      <x:c r="J278" s="12" t="n">
        <x:v>19.150407854715983</x:v>
      </x:c>
      <x:c r="K278" s="12" t="n">
        <x:v>71.68386281331381</x:v>
      </x:c>
      <x:c r="L278" s="12" t="n">
        <x:v>52.53345495859783</x:v>
      </x:c>
      <x:c r="M278" s="12" t="n">
        <x:v>24.074676577250163</x:v>
      </x:c>
      <x:c r="N278" s="12" t="n">
        <x:v>24.12927188873291</x:v>
      </x:c>
      <x:c r="O278" s="12" t="n">
        <x:v>0.05459531148274621</x:v>
      </x:c>
      <x:c r="P278" s="12" t="n">
        <x:v>0.8783556630214056</x:v>
      </x:c>
      <x:c r="Q278" s="12" t="n">
        <x:v>1.410471099615097</x:v>
      </x:c>
      <x:c r="R278" s="12" t="n">
        <x:v>0.5321154365936915</x:v>
      </x:c>
      <x:c r="S278" s="11" t="n">
        <x:f>'Method'!$B$7</x:f>
        <x:v>0.2</x:v>
      </x:c>
      <x:c r="T278" s="11" t="n">
        <x:f>'Method'!$B$8</x:f>
        <x:v>0.2</x:v>
      </x:c>
      <x:c r="U278" s="11" t="n">
        <x:f>'Method'!$B$9</x:f>
        <x:v>0.2</x:v>
      </x:c>
      <x:c r="V278" s="11" t="n">
        <x:f>1-D278</x:f>
        <x:v>0.06804123711340204</x:v>
      </x:c>
      <x:c r="W278" s="11" t="n">
        <x:f>1-E278</x:f>
        <x:v>0.14570446735395193</x:v>
      </x:c>
      <x:c r="X278" s="11" t="n">
        <x:f>1-F278</x:f>
        <x:v>0.03711340206185565</x:v>
      </x:c>
    </x:row>
    <x:row r="279" ht="18" customHeight="1">
      <x:c r="A279" s="10" t="str">
        <x:v>VA</x:v>
      </x:c>
      <x:c r="B279" s="10" t="str">
        <x:v>51683</x:v>
      </x:c>
      <x:c r="C279" s="10" t="str">
        <x:v>Manassas city</x:v>
      </x:c>
      <x:c r="D279" s="11" t="n">
        <x:f>1-'Method'!$B$7*G279</x:f>
        <x:v>0.9219931271477664</x:v>
      </x:c>
      <x:c r="E279" s="11" t="n">
        <x:f>1-'Method'!$B$8*H279</x:f>
        <x:v>1</x:v>
      </x:c>
      <x:c r="F279" s="11" t="n">
        <x:f>1-'Method'!$B$9*I279</x:f>
        <x:v>0.9869415807560138</x:v>
      </x:c>
      <x:c r="G279" s="11" t="n">
        <x:v>0.3900343642611684</x:v>
      </x:c>
      <x:c r="H279" s="11" t="n">
        <x:v>0</x:v>
      </x:c>
      <x:c r="I279" s="11" t="n">
        <x:v>0.06529209621993128</x:v>
      </x:c>
      <x:c r="J279" s="12" t="n">
        <x:v>26.37443313598633</x:v>
      </x:c>
      <x:c r="K279" s="12" t="n">
        <x:v>79.53473688761393</x:v>
      </x:c>
      <x:c r="L279" s="12" t="n">
        <x:v>53.1603037516276</x:v>
      </x:c>
      <x:c r="M279" s="12" t="n">
        <x:v>24.586421140034993</x:v>
      </x:c>
      <x:c r="N279" s="12" t="n">
        <x:v>24.553937339782713</x:v>
      </x:c>
      <x:c r="O279" s="12" t="n">
        <x:v>0</x:v>
      </x:c>
      <x:c r="P279" s="12" t="n">
        <x:v>0.9234141687552134</x:v>
      </x:c>
      <x:c r="Q279" s="12" t="n">
        <x:v>1.3645748714605967</x:v>
      </x:c>
      <x:c r="R279" s="12" t="n">
        <x:v>0.4411607027053833</x:v>
      </x:c>
      <x:c r="S279" s="11" t="n">
        <x:f>'Method'!$B$7</x:f>
        <x:v>0.2</x:v>
      </x:c>
      <x:c r="T279" s="11" t="n">
        <x:f>'Method'!$B$8</x:f>
        <x:v>0.2</x:v>
      </x:c>
      <x:c r="U279" s="11" t="n">
        <x:f>'Method'!$B$9</x:f>
        <x:v>0.2</x:v>
      </x:c>
      <x:c r="V279" s="11" t="n">
        <x:f>1-D279</x:f>
        <x:v>0.07800687285223362</x:v>
      </x:c>
      <x:c r="W279" s="11" t="n">
        <x:f>1-E279</x:f>
        <x:v>0</x:v>
      </x:c>
      <x:c r="X279" s="11" t="n">
        <x:f>1-F279</x:f>
        <x:v>0.013058419243986208</x:v>
      </x:c>
    </x:row>
    <x:row r="280" ht="18" customHeight="1">
      <x:c r="A280" s="10" t="str">
        <x:v>VA</x:v>
      </x:c>
      <x:c r="B280" s="10" t="str">
        <x:v>51685</x:v>
      </x:c>
      <x:c r="C280" s="10" t="str">
        <x:v>Manassas Park city</x:v>
      </x:c>
      <x:c r="D280" s="11" t="n">
        <x:f>1-'Method'!$B$7*G280</x:f>
        <x:v>0.9219931271477664</x:v>
      </x:c>
      <x:c r="E280" s="11" t="n">
        <x:f>1-'Method'!$B$8*H280</x:f>
        <x:v>1</x:v>
      </x:c>
      <x:c r="F280" s="11" t="n">
        <x:f>1-'Method'!$B$9*I280</x:f>
        <x:v>0.984192439862543</x:v>
      </x:c>
      <x:c r="G280" s="11" t="n">
        <x:v>0.3900343642611684</x:v>
      </x:c>
      <x:c r="H280" s="11" t="n">
        <x:v>0</x:v>
      </x:c>
      <x:c r="I280" s="11" t="n">
        <x:v>0.07903780068728522</x:v>
      </x:c>
      <x:c r="J280" s="12" t="n">
        <x:v>26.37443313598633</x:v>
      </x:c>
      <x:c r="K280" s="12" t="n">
        <x:v>79.53473688761393</x:v>
      </x:c>
      <x:c r="L280" s="12" t="n">
        <x:v>53.1603037516276</x:v>
      </x:c>
      <x:c r="M280" s="12" t="n">
        <x:v>24.591217231750488</x:v>
      </x:c>
      <x:c r="N280" s="12" t="n">
        <x:v>24.41448230743408</x:v>
      </x:c>
      <x:c r="O280" s="12" t="n">
        <x:v>0</x:v>
      </x:c>
      <x:c r="P280" s="12" t="n">
        <x:v>1.0293705463409424</x:v>
      </x:c>
      <x:c r="Q280" s="12" t="n">
        <x:v>1.480257648229599</x:v>
      </x:c>
      <x:c r="R280" s="12" t="n">
        <x:v>0.45088710188865666</x:v>
      </x:c>
      <x:c r="S280" s="11" t="n">
        <x:f>'Method'!$B$7</x:f>
        <x:v>0.2</x:v>
      </x:c>
      <x:c r="T280" s="11" t="n">
        <x:f>'Method'!$B$8</x:f>
        <x:v>0.2</x:v>
      </x:c>
      <x:c r="U280" s="11" t="n">
        <x:f>'Method'!$B$9</x:f>
        <x:v>0.2</x:v>
      </x:c>
      <x:c r="V280" s="11" t="n">
        <x:f>1-D280</x:f>
        <x:v>0.07800687285223362</x:v>
      </x:c>
      <x:c r="W280" s="11" t="n">
        <x:f>1-E280</x:f>
        <x:v>0</x:v>
      </x:c>
      <x:c r="X280" s="11" t="n">
        <x:f>1-F280</x:f>
        <x:v>0.01580756013745699</x:v>
      </x:c>
    </x:row>
    <x:row r="281" ht="18" customHeight="1">
      <x:c r="A281" s="10" t="str">
        <x:v>VA</x:v>
      </x:c>
      <x:c r="B281" s="10" t="str">
        <x:v>51690</x:v>
      </x:c>
      <x:c r="C281" s="10" t="str">
        <x:v>Martinsville city</x:v>
      </x:c>
      <x:c r="D281" s="11" t="n">
        <x:f>1-'Method'!$B$7*G281</x:f>
        <x:v>0.8982817869415808</x:v>
      </x:c>
      <x:c r="E281" s="11" t="n">
        <x:f>1-'Method'!$B$8*H281</x:f>
        <x:v>0.8378006872852234</x:v>
      </x:c>
      <x:c r="F281" s="11" t="n">
        <x:f>1-'Method'!$B$9*I281</x:f>
        <x:v>0.8103092783505155</x:v>
      </x:c>
      <x:c r="G281" s="11" t="n">
        <x:v>0.5085910652920962</x:v>
      </x:c>
      <x:c r="H281" s="11" t="n">
        <x:v>0.8109965635738832</x:v>
      </x:c>
      <x:c r="I281" s="11" t="n">
        <x:v>0.9484536082474226</x:v>
      </x:c>
      <x:c r="J281" s="12" t="n">
        <x:v>23.296376609802245</x:v>
      </x:c>
      <x:c r="K281" s="12" t="n">
        <x:v>78.56444002787272</x:v>
      </x:c>
      <x:c r="L281" s="12" t="n">
        <x:v>55.268063418070476</x:v>
      </x:c>
      <x:c r="M281" s="12" t="n">
        <x:v>25.37222735087077</x:v>
      </x:c>
      <x:c r="N281" s="12" t="n">
        <x:v>25.555759239196778</x:v>
      </x:c>
      <x:c r="O281" s="12" t="n">
        <x:v>0.18353188832600864</x:v>
      </x:c>
      <x:c r="P281" s="12" t="n">
        <x:v>1.5759665668010712</x:v>
      </x:c>
      <x:c r="Q281" s="12" t="n">
        <x:v>2.537722945213318</x:v>
      </x:c>
      <x:c r="R281" s="12" t="n">
        <x:v>0.9617563784122467</x:v>
      </x:c>
      <x:c r="S281" s="11" t="n">
        <x:f>'Method'!$B$7</x:f>
        <x:v>0.2</x:v>
      </x:c>
      <x:c r="T281" s="11" t="n">
        <x:f>'Method'!$B$8</x:f>
        <x:v>0.2</x:v>
      </x:c>
      <x:c r="U281" s="11" t="n">
        <x:f>'Method'!$B$9</x:f>
        <x:v>0.2</x:v>
      </x:c>
      <x:c r="V281" s="11" t="n">
        <x:f>1-D281</x:f>
        <x:v>0.10171821305841922</x:v>
      </x:c>
      <x:c r="W281" s="11" t="n">
        <x:f>1-E281</x:f>
        <x:v>0.1621993127147766</x:v>
      </x:c>
      <x:c r="X281" s="11" t="n">
        <x:f>1-F281</x:f>
        <x:v>0.18969072164948453</x:v>
      </x:c>
    </x:row>
    <x:row r="282" ht="18" customHeight="1">
      <x:c r="A282" s="10" t="str">
        <x:v>VA</x:v>
      </x:c>
      <x:c r="B282" s="10" t="str">
        <x:v>51700</x:v>
      </x:c>
      <x:c r="C282" s="10" t="str">
        <x:v>Newport News city</x:v>
      </x:c>
      <x:c r="D282" s="11" t="n">
        <x:f>1-'Method'!$B$7*G282</x:f>
        <x:v>0.9594501718213059</x:v>
      </x:c>
      <x:c r="E282" s="11" t="n">
        <x:f>1-'Method'!$B$8*H282</x:f>
        <x:v>1</x:v>
      </x:c>
      <x:c r="F282" s="11" t="n">
        <x:f>1-'Method'!$B$9*I282</x:f>
        <x:v>0.8357388316151203</x:v>
      </x:c>
      <x:c r="G282" s="11" t="n">
        <x:v>0.2027491408934708</x:v>
      </x:c>
      <x:c r="H282" s="11" t="n">
        <x:v>0</x:v>
      </x:c>
      <x:c r="I282" s="11" t="n">
        <x:v>0.8213058419243986</x:v>
      </x:c>
      <x:c r="J282" s="12" t="n">
        <x:v>24.21282450358073</x:v>
      </x:c>
      <x:c r="K282" s="12" t="n">
        <x:v>71.59424896240235</x:v>
      </x:c>
      <x:c r="L282" s="12" t="n">
        <x:v>47.38142445882161</x:v>
      </x:c>
      <x:c r="M282" s="12" t="n">
        <x:v>23.829297065734863</x:v>
      </x:c>
      <x:c r="N282" s="12" t="n">
        <x:v>23.310031382242837</x:v>
      </x:c>
      <x:c r="O282" s="12" t="n">
        <x:v>0</x:v>
      </x:c>
      <x:c r="P282" s="12" t="n">
        <x:v>1.7959129691123963</x:v>
      </x:c>
      <x:c r="Q282" s="12" t="n">
        <x:v>2.610873023668925</x:v>
      </x:c>
      <x:c r="R282" s="12" t="n">
        <x:v>0.8149600545565285</x:v>
      </x:c>
      <x:c r="S282" s="11" t="n">
        <x:f>'Method'!$B$7</x:f>
        <x:v>0.2</x:v>
      </x:c>
      <x:c r="T282" s="11" t="n">
        <x:f>'Method'!$B$8</x:f>
        <x:v>0.2</x:v>
      </x:c>
      <x:c r="U282" s="11" t="n">
        <x:f>'Method'!$B$9</x:f>
        <x:v>0.2</x:v>
      </x:c>
      <x:c r="V282" s="11" t="n">
        <x:f>1-D282</x:f>
        <x:v>0.040549828178694125</x:v>
      </x:c>
      <x:c r="W282" s="11" t="n">
        <x:f>1-E282</x:f>
        <x:v>0</x:v>
      </x:c>
      <x:c r="X282" s="11" t="n">
        <x:f>1-F282</x:f>
        <x:v>0.1642611683848797</x:v>
      </x:c>
    </x:row>
    <x:row r="283" ht="18" customHeight="1">
      <x:c r="A283" s="10" t="str">
        <x:v>VA</x:v>
      </x:c>
      <x:c r="B283" s="10" t="str">
        <x:v>51710</x:v>
      </x:c>
      <x:c r="C283" s="10" t="str">
        <x:v>Norfolk city</x:v>
      </x:c>
      <x:c r="D283" s="11" t="n">
        <x:f>1-'Method'!$B$7*G283</x:f>
        <x:v>0.9745704467353952</x:v>
      </x:c>
      <x:c r="E283" s="11" t="n">
        <x:f>1-'Method'!$B$8*H283</x:f>
        <x:v>0.8591065292096219</x:v>
      </x:c>
      <x:c r="F283" s="11" t="n">
        <x:f>1-'Method'!$B$9*I283</x:f>
        <x:v>0.872852233676976</x:v>
      </x:c>
      <x:c r="G283" s="11" t="n">
        <x:v>0.12714776632302405</x:v>
      </x:c>
      <x:c r="H283" s="11" t="n">
        <x:v>0.7044673539518901</x:v>
      </x:c>
      <x:c r="I283" s="11" t="n">
        <x:v>0.6357388316151202</x:v>
      </x:c>
      <x:c r="J283" s="12" t="n">
        <x:v>23.37086124420166</x:v>
      </x:c>
      <x:c r="K283" s="12" t="n">
        <x:v>66.24932403564453</x:v>
      </x:c>
      <x:c r="L283" s="12" t="n">
        <x:v>42.87846279144287</x:v>
      </x:c>
      <x:c r="M283" s="12" t="n">
        <x:v>23.503363800048827</x:v>
      </x:c>
      <x:c r="N283" s="12" t="n">
        <x:v>23.526964314778645</x:v>
      </x:c>
      <x:c r="O283" s="12" t="n">
        <x:v>0.023600514729817945</x:v>
      </x:c>
      <x:c r="P283" s="12" t="n">
        <x:v>1.900287918249766</x:v>
      </x:c>
      <x:c r="Q283" s="12" t="n">
        <x:v>2.634459841251373</x:v>
      </x:c>
      <x:c r="R283" s="12" t="n">
        <x:v>0.734171923001607</x:v>
      </x:c>
      <x:c r="S283" s="11" t="n">
        <x:f>'Method'!$B$7</x:f>
        <x:v>0.2</x:v>
      </x:c>
      <x:c r="T283" s="11" t="n">
        <x:f>'Method'!$B$8</x:f>
        <x:v>0.2</x:v>
      </x:c>
      <x:c r="U283" s="11" t="n">
        <x:f>'Method'!$B$9</x:f>
        <x:v>0.2</x:v>
      </x:c>
      <x:c r="V283" s="11" t="n">
        <x:f>1-D283</x:f>
        <x:v>0.02542955326460483</x:v>
      </x:c>
      <x:c r="W283" s="11" t="n">
        <x:f>1-E283</x:f>
        <x:v>0.14089347079037806</x:v>
      </x:c>
      <x:c r="X283" s="11" t="n">
        <x:f>1-F283</x:f>
        <x:v>0.12714776632302405</x:v>
      </x:c>
    </x:row>
    <x:row r="284" ht="18" customHeight="1">
      <x:c r="A284" s="10" t="str">
        <x:v>VA</x:v>
      </x:c>
      <x:c r="B284" s="10" t="str">
        <x:v>51720</x:v>
      </x:c>
      <x:c r="C284" s="10" t="str">
        <x:v>Norton city</x:v>
      </x:c>
      <x:c r="D284" s="11" t="n">
        <x:f>1-'Method'!$B$7*G284</x:f>
        <x:v>0.9986254295532646</x:v>
      </x:c>
      <x:c r="E284" s="11" t="n">
        <x:f>1-'Method'!$B$8*H284</x:f>
        <x:v>0.8027491408934708</x:v>
      </x:c>
      <x:c r="F284" s="11" t="n">
        <x:f>1-'Method'!$B$9*I284</x:f>
        <x:v>0.9491408934707903</x:v>
      </x:c>
      <x:c r="G284" s="11" t="n">
        <x:v>0.006872852233676976</x:v>
      </x:c>
      <x:c r="H284" s="11" t="n">
        <x:v>0.9862542955326461</x:v>
      </x:c>
      <x:c r="I284" s="11" t="n">
        <x:v>0.2542955326460481</x:v>
      </x:c>
      <x:c r="J284" s="12" t="n">
        <x:v>0.31840666693945724</x:v>
      </x:c>
      <x:c r="K284" s="12" t="n">
        <x:v>14.919193331400553</x:v>
      </x:c>
      <x:c r="L284" s="12" t="n">
        <x:v>14.600786664461095</x:v>
      </x:c>
      <x:c r="M284" s="12" t="n">
        <x:v>19.575008646647134</x:v>
      </x:c>
      <x:c r="N284" s="12" t="n">
        <x:v>20.204053942362467</x:v>
      </x:c>
      <x:c r="O284" s="12" t="n">
        <x:v>0.6290452957153327</x:v>
      </x:c>
      <x:c r="P284" s="12" t="n">
        <x:v>1.3888102412223815</x:v>
      </x:c>
      <x:c r="Q284" s="12" t="n">
        <x:v>1.956862449645996</x:v>
      </x:c>
      <x:c r="R284" s="12" t="n">
        <x:v>0.5680522084236146</x:v>
      </x:c>
      <x:c r="S284" s="11" t="n">
        <x:f>'Method'!$B$7</x:f>
        <x:v>0.2</x:v>
      </x:c>
      <x:c r="T284" s="11" t="n">
        <x:f>'Method'!$B$8</x:f>
        <x:v>0.2</x:v>
      </x:c>
      <x:c r="U284" s="11" t="n">
        <x:f>'Method'!$B$9</x:f>
        <x:v>0.2</x:v>
      </x:c>
      <x:c r="V284" s="11" t="n">
        <x:f>1-D284</x:f>
        <x:v>0.0013745704467353903</x:v>
      </x:c>
      <x:c r="W284" s="11" t="n">
        <x:f>1-E284</x:f>
        <x:v>0.19725085910652917</x:v>
      </x:c>
      <x:c r="X284" s="11" t="n">
        <x:f>1-F284</x:f>
        <x:v>0.05085910652920966</x:v>
      </x:c>
    </x:row>
    <x:row r="285" ht="18" customHeight="1">
      <x:c r="A285" s="10" t="str">
        <x:v>VA</x:v>
      </x:c>
      <x:c r="B285" s="10" t="str">
        <x:v>51730</x:v>
      </x:c>
      <x:c r="C285" s="10" t="str">
        <x:v>Petersburg city</x:v>
      </x:c>
      <x:c r="D285" s="11" t="n">
        <x:f>1-'Method'!$B$7*G285</x:f>
        <x:v>0.8962199312714776</x:v>
      </x:c>
      <x:c r="E285" s="11" t="n">
        <x:f>1-'Method'!$B$8*H285</x:f>
        <x:v>1</x:v>
      </x:c>
      <x:c r="F285" s="11" t="n">
        <x:f>1-'Method'!$B$9*I285</x:f>
        <x:v>0.8646048109965636</x:v>
      </x:c>
      <x:c r="G285" s="11" t="n">
        <x:v>0.5189003436426117</x:v>
      </x:c>
      <x:c r="H285" s="11" t="n">
        <x:v>0</x:v>
      </x:c>
      <x:c r="I285" s="11" t="n">
        <x:v>0.6769759450171822</x:v>
      </x:c>
      <x:c r="J285" s="12" t="n">
        <x:v>36.85441354115804</x:v>
      </x:c>
      <x:c r="K285" s="12" t="n">
        <x:v>92.2200533548991</x:v>
      </x:c>
      <x:c r="L285" s="12" t="n">
        <x:v>55.365639813741055</x:v>
      </x:c>
      <x:c r="M285" s="12" t="n">
        <x:v>23.668594296773275</x:v>
      </x:c>
      <x:c r="N285" s="12" t="n">
        <x:v>23.523714192708333</x:v>
      </x:c>
      <x:c r="O285" s="12" t="n">
        <x:v>0</x:v>
      </x:c>
      <x:c r="P285" s="12" t="n">
        <x:v>1.6672380487124125</x:v>
      </x:c>
      <x:c r="Q285" s="12" t="n">
        <x:v>2.4127020835876465</x:v>
      </x:c>
      <x:c r="R285" s="12" t="n">
        <x:v>0.7454640348752339</x:v>
      </x:c>
      <x:c r="S285" s="11" t="n">
        <x:f>'Method'!$B$7</x:f>
        <x:v>0.2</x:v>
      </x:c>
      <x:c r="T285" s="11" t="n">
        <x:f>'Method'!$B$8</x:f>
        <x:v>0.2</x:v>
      </x:c>
      <x:c r="U285" s="11" t="n">
        <x:f>'Method'!$B$9</x:f>
        <x:v>0.2</x:v>
      </x:c>
      <x:c r="V285" s="11" t="n">
        <x:f>1-D285</x:f>
        <x:v>0.10378006872852241</x:v>
      </x:c>
      <x:c r="W285" s="11" t="n">
        <x:f>1-E285</x:f>
        <x:v>0</x:v>
      </x:c>
      <x:c r="X285" s="11" t="n">
        <x:f>1-F285</x:f>
        <x:v>0.1353951890034364</x:v>
      </x:c>
    </x:row>
    <x:row r="286" ht="18" customHeight="1">
      <x:c r="A286" s="10" t="str">
        <x:v>VA</x:v>
      </x:c>
      <x:c r="B286" s="10" t="str">
        <x:v>51735</x:v>
      </x:c>
      <x:c r="C286" s="10" t="str">
        <x:v>Poquoson city</x:v>
      </x:c>
      <x:c r="D286" s="11" t="n">
        <x:f>1-'Method'!$B$7*G286</x:f>
        <x:v>0.9731958762886598</x:v>
      </x:c>
      <x:c r="E286" s="11" t="n">
        <x:f>1-'Method'!$B$8*H286</x:f>
        <x:v>1</x:v>
      </x:c>
      <x:c r="F286" s="11" t="n">
        <x:f>1-'Method'!$B$9*I286</x:f>
        <x:v>0.8192439862542955</x:v>
      </x:c>
      <x:c r="G286" s="11" t="n">
        <x:v>0.13402061855670103</x:v>
      </x:c>
      <x:c r="H286" s="11" t="n">
        <x:v>0</x:v>
      </x:c>
      <x:c r="I286" s="11" t="n">
        <x:v>0.9037800687285223</x:v>
      </x:c>
      <x:c r="J286" s="12" t="n">
        <x:v>20.769597721099853</x:v>
      </x:c>
      <x:c r="K286" s="12" t="n">
        <x:v>64.27718556722006</x:v>
      </x:c>
      <x:c r="L286" s="12" t="n">
        <x:v>43.5075878461202</x:v>
      </x:c>
      <x:c r="M286" s="12" t="n">
        <x:v>24.14707310994466</x:v>
      </x:c>
      <x:c r="N286" s="12" t="n">
        <x:v>23.827517700195312</x:v>
      </x:c>
      <x:c r="O286" s="12" t="n">
        <x:v>0</x:v>
      </x:c>
      <x:c r="P286" s="12" t="n">
        <x:v>1.9923689683278403</x:v>
      </x:c>
      <x:c r="Q286" s="12" t="n">
        <x:v>2.896800486246745</x:v>
      </x:c>
      <x:c r="R286" s="12" t="n">
        <x:v>0.9044315179189046</x:v>
      </x:c>
      <x:c r="S286" s="11" t="n">
        <x:f>'Method'!$B$7</x:f>
        <x:v>0.2</x:v>
      </x:c>
      <x:c r="T286" s="11" t="n">
        <x:f>'Method'!$B$8</x:f>
        <x:v>0.2</x:v>
      </x:c>
      <x:c r="U286" s="11" t="n">
        <x:f>'Method'!$B$9</x:f>
        <x:v>0.2</x:v>
      </x:c>
      <x:c r="V286" s="11" t="n">
        <x:f>1-D286</x:f>
        <x:v>0.026804123711340222</x:v>
      </x:c>
      <x:c r="W286" s="11" t="n">
        <x:f>1-E286</x:f>
        <x:v>0</x:v>
      </x:c>
      <x:c r="X286" s="11" t="n">
        <x:f>1-F286</x:f>
        <x:v>0.1807560137457045</x:v>
      </x:c>
    </x:row>
    <x:row r="287" ht="18" customHeight="1">
      <x:c r="A287" s="10" t="str">
        <x:v>VA</x:v>
      </x:c>
      <x:c r="B287" s="10" t="str">
        <x:v>51740</x:v>
      </x:c>
      <x:c r="C287" s="10" t="str">
        <x:v>Portsmouth city</x:v>
      </x:c>
      <x:c r="D287" s="11" t="n">
        <x:f>1-'Method'!$B$7*G287</x:f>
        <x:v>0.9670103092783505</x:v>
      </x:c>
      <x:c r="E287" s="11" t="n">
        <x:f>1-'Method'!$B$8*H287</x:f>
        <x:v>1</x:v>
      </x:c>
      <x:c r="F287" s="11" t="n">
        <x:f>1-'Method'!$B$9*I287</x:f>
        <x:v>0.8652920962199313</x:v>
      </x:c>
      <x:c r="G287" s="11" t="n">
        <x:v>0.16494845360824742</x:v>
      </x:c>
      <x:c r="H287" s="11" t="n">
        <x:v>0</x:v>
      </x:c>
      <x:c r="I287" s="11" t="n">
        <x:v>0.6735395189003437</x:v>
      </x:c>
      <x:c r="J287" s="12" t="n">
        <x:v>22.743598429361978</x:v>
      </x:c>
      <x:c r="K287" s="12" t="n">
        <x:v>67.52608985900879</x:v>
      </x:c>
      <x:c r="L287" s="12" t="n">
        <x:v>44.78249142964681</x:v>
      </x:c>
      <x:c r="M287" s="12" t="n">
        <x:v>23.03227119445801</x:v>
      </x:c>
      <x:c r="N287" s="12" t="n">
        <x:v>22.983618418375652</x:v>
      </x:c>
      <x:c r="O287" s="12" t="n">
        <x:v>0</x:v>
      </x:c>
      <x:c r="P287" s="12" t="n">
        <x:v>1.6266393105189005</x:v>
      </x:c>
      <x:c r="Q287" s="12" t="n">
        <x:v>2.371723993619283</x:v>
      </x:c>
      <x:c r="R287" s="12" t="n">
        <x:v>0.7450846831003826</x:v>
      </x:c>
      <x:c r="S287" s="11" t="n">
        <x:f>'Method'!$B$7</x:f>
        <x:v>0.2</x:v>
      </x:c>
      <x:c r="T287" s="11" t="n">
        <x:f>'Method'!$B$8</x:f>
        <x:v>0.2</x:v>
      </x:c>
      <x:c r="U287" s="11" t="n">
        <x:f>'Method'!$B$9</x:f>
        <x:v>0.2</x:v>
      </x:c>
      <x:c r="V287" s="11" t="n">
        <x:f>1-D287</x:f>
        <x:v>0.03298969072164948</x:v>
      </x:c>
      <x:c r="W287" s="11" t="n">
        <x:f>1-E287</x:f>
        <x:v>0</x:v>
      </x:c>
      <x:c r="X287" s="11" t="n">
        <x:f>1-F287</x:f>
        <x:v>0.1347079037800687</x:v>
      </x:c>
    </x:row>
    <x:row r="288" ht="18" customHeight="1">
      <x:c r="A288" s="10" t="str">
        <x:v>VA</x:v>
      </x:c>
      <x:c r="B288" s="10" t="str">
        <x:v>51750</x:v>
      </x:c>
      <x:c r="C288" s="10" t="str">
        <x:v>Radford city</x:v>
      </x:c>
      <x:c r="D288" s="11" t="n">
        <x:f>1-'Method'!$B$7*G288</x:f>
        <x:v>0.9855670103092784</x:v>
      </x:c>
      <x:c r="E288" s="11" t="n">
        <x:f>1-'Method'!$B$8*H288</x:f>
        <x:v>0.8240549828178694</x:v>
      </x:c>
      <x:c r="F288" s="11" t="n">
        <x:f>1-'Method'!$B$9*I288</x:f>
        <x:v>0.9924398625429554</x:v>
      </x:c>
      <x:c r="G288" s="11" t="n">
        <x:v>0.07216494845360824</x:v>
      </x:c>
      <x:c r="H288" s="11" t="n">
        <x:v>0.8797250859106529</x:v>
      </x:c>
      <x:c r="I288" s="11" t="n">
        <x:v>0.037800687285223365</x:v>
      </x:c>
      <x:c r="J288" s="12" t="n">
        <x:v>3.3588300148646035</x:v>
      </x:c>
      <x:c r="K288" s="12" t="n">
        <x:v>37.81086330413818</x:v>
      </x:c>
      <x:c r="L288" s="12" t="n">
        <x:v>34.45203328927358</x:v>
      </x:c>
      <x:c r="M288" s="12" t="n">
        <x:v>24.630284690856932</x:v>
      </x:c>
      <x:c r="N288" s="12" t="n">
        <x:v>24.94288953145345</x:v>
      </x:c>
      <x:c r="O288" s="12" t="n">
        <x:v>0.31260484059651716</x:v>
      </x:c>
      <x:c r="P288" s="12" t="n">
        <x:v>0.6837561691800753</x:v>
      </x:c>
      <x:c r="Q288" s="12" t="n">
        <x:v>1.0699582437674204</x:v>
      </x:c>
      <x:c r="R288" s="12" t="n">
        <x:v>0.3862020745873451</x:v>
      </x:c>
      <x:c r="S288" s="11" t="n">
        <x:f>'Method'!$B$7</x:f>
        <x:v>0.2</x:v>
      </x:c>
      <x:c r="T288" s="11" t="n">
        <x:f>'Method'!$B$8</x:f>
        <x:v>0.2</x:v>
      </x:c>
      <x:c r="U288" s="11" t="n">
        <x:f>'Method'!$B$9</x:f>
        <x:v>0.2</x:v>
      </x:c>
      <x:c r="V288" s="11" t="n">
        <x:f>1-D288</x:f>
        <x:v>0.014432989690721598</x:v>
      </x:c>
      <x:c r="W288" s="11" t="n">
        <x:f>1-E288</x:f>
        <x:v>0.17594501718213063</x:v>
      </x:c>
      <x:c r="X288" s="11" t="n">
        <x:f>1-F288</x:f>
        <x:v>0.007560137457044647</x:v>
      </x:c>
    </x:row>
    <x:row r="289" ht="18" customHeight="1">
      <x:c r="A289" s="10" t="str">
        <x:v>VA</x:v>
      </x:c>
      <x:c r="B289" s="10" t="str">
        <x:v>51760</x:v>
      </x:c>
      <x:c r="C289" s="10" t="str">
        <x:v>Richmond city</x:v>
      </x:c>
      <x:c r="D289" s="11" t="n">
        <x:f>1-'Method'!$B$7*G289</x:f>
        <x:v>0.9168384879725086</x:v>
      </x:c>
      <x:c r="E289" s="11" t="n">
        <x:f>1-'Method'!$B$8*H289</x:f>
        <x:v>1</x:v>
      </x:c>
      <x:c r="F289" s="11" t="n">
        <x:f>1-'Method'!$B$9*I289</x:f>
        <x:v>0.8948453608247422</x:v>
      </x:c>
      <x:c r="G289" s="11" t="n">
        <x:v>0.41580756013745707</x:v>
      </x:c>
      <x:c r="H289" s="11" t="n">
        <x:v>0</x:v>
      </x:c>
      <x:c r="I289" s="11" t="n">
        <x:v>0.5257731958762887</x:v>
      </x:c>
      <x:c r="J289" s="12" t="n">
        <x:v>30.38526859283447</x:v>
      </x:c>
      <x:c r="K289" s="12" t="n">
        <x:v>83.96404622395833</x:v>
      </x:c>
      <x:c r="L289" s="12" t="n">
        <x:v>53.57877763112386</x:v>
      </x:c>
      <x:c r="M289" s="12" t="n">
        <x:v>22.695354652404784</x:v>
      </x:c>
      <x:c r="N289" s="12" t="n">
        <x:v>22.59879519144694</x:v>
      </x:c>
      <x:c r="O289" s="12" t="n">
        <x:v>0</x:v>
      </x:c>
      <x:c r="P289" s="12" t="n">
        <x:v>1.1857401351133983</x:v>
      </x:c>
      <x:c r="Q289" s="12" t="n">
        <x:v>1.8701859831809997</x:v>
      </x:c>
      <x:c r="R289" s="12" t="n">
        <x:v>0.6844458480676014</x:v>
      </x:c>
      <x:c r="S289" s="11" t="n">
        <x:f>'Method'!$B$7</x:f>
        <x:v>0.2</x:v>
      </x:c>
      <x:c r="T289" s="11" t="n">
        <x:f>'Method'!$B$8</x:f>
        <x:v>0.2</x:v>
      </x:c>
      <x:c r="U289" s="11" t="n">
        <x:f>'Method'!$B$9</x:f>
        <x:v>0.2</x:v>
      </x:c>
      <x:c r="V289" s="11" t="n">
        <x:f>1-D289</x:f>
        <x:v>0.08316151202749145</x:v>
      </x:c>
      <x:c r="W289" s="11" t="n">
        <x:f>1-E289</x:f>
        <x:v>0</x:v>
      </x:c>
      <x:c r="X289" s="11" t="n">
        <x:f>1-F289</x:f>
        <x:v>0.1051546391752578</x:v>
      </x:c>
    </x:row>
    <x:row r="290" ht="18" customHeight="1">
      <x:c r="A290" s="10" t="str">
        <x:v>VA</x:v>
      </x:c>
      <x:c r="B290" s="10" t="str">
        <x:v>51770</x:v>
      </x:c>
      <x:c r="C290" s="10" t="str">
        <x:v>Roanoke city</x:v>
      </x:c>
      <x:c r="D290" s="11" t="n">
        <x:f>1-'Method'!$B$7*G290</x:f>
        <x:v>0.8934707903780068</x:v>
      </x:c>
      <x:c r="E290" s="11" t="n">
        <x:f>1-'Method'!$B$8*H290</x:f>
        <x:v>0.8481099656357388</x:v>
      </x:c>
      <x:c r="F290" s="11" t="n">
        <x:f>1-'Method'!$B$9*I290</x:f>
        <x:v>0.9663230240549828</x:v>
      </x:c>
      <x:c r="G290" s="11" t="n">
        <x:v>0.5326460481099656</x:v>
      </x:c>
      <x:c r="H290" s="11" t="n">
        <x:v>0.7594501718213058</x:v>
      </x:c>
      <x:c r="I290" s="11" t="n">
        <x:v>0.16838487972508592</x:v>
      </x:c>
      <x:c r="J290" s="12" t="n">
        <x:v>22.97145347595215</x:v>
      </x:c>
      <x:c r="K290" s="12" t="n">
        <x:v>78.71796023050943</x:v>
      </x:c>
      <x:c r="L290" s="12" t="n">
        <x:v>55.74650675455729</x:v>
      </x:c>
      <x:c r="M290" s="12" t="n">
        <x:v>24.54803835550944</x:v>
      </x:c>
      <x:c r="N290" s="12" t="n">
        <x:v>24.64214808146159</x:v>
      </x:c>
      <x:c r="O290" s="12" t="n">
        <x:v>0.09410972595214773</x:v>
      </x:c>
      <x:c r="P290" s="12" t="n">
        <x:v>1.2835938553015391</x:v>
      </x:c>
      <x:c r="Q290" s="12" t="n">
        <x:v>1.8025748093922933</x:v>
      </x:c>
      <x:c r="R290" s="12" t="n">
        <x:v>0.5189809540907542</x:v>
      </x:c>
      <x:c r="S290" s="11" t="n">
        <x:f>'Method'!$B$7</x:f>
        <x:v>0.2</x:v>
      </x:c>
      <x:c r="T290" s="11" t="n">
        <x:f>'Method'!$B$8</x:f>
        <x:v>0.2</x:v>
      </x:c>
      <x:c r="U290" s="11" t="n">
        <x:f>'Method'!$B$9</x:f>
        <x:v>0.2</x:v>
      </x:c>
      <x:c r="V290" s="11" t="n">
        <x:f>1-D290</x:f>
        <x:v>0.10652920962199319</x:v>
      </x:c>
      <x:c r="W290" s="11" t="n">
        <x:f>1-E290</x:f>
        <x:v>0.15189003436426118</x:v>
      </x:c>
      <x:c r="X290" s="11" t="n">
        <x:f>1-F290</x:f>
        <x:v>0.033676975945017174</x:v>
      </x:c>
    </x:row>
    <x:row r="291" ht="18" customHeight="1">
      <x:c r="A291" s="10" t="str">
        <x:v>VA</x:v>
      </x:c>
      <x:c r="B291" s="10" t="str">
        <x:v>51775</x:v>
      </x:c>
      <x:c r="C291" s="10" t="str">
        <x:v>Salem city</x:v>
      </x:c>
      <x:c r="D291" s="11" t="n">
        <x:f>1-'Method'!$B$7*G291</x:f>
        <x:v>0.8975945017182131</x:v>
      </x:c>
      <x:c r="E291" s="11" t="n">
        <x:f>1-'Method'!$B$8*H291</x:f>
        <x:v>0.813745704467354</x:v>
      </x:c>
      <x:c r="F291" s="11" t="n">
        <x:f>1-'Method'!$B$9*I291</x:f>
        <x:v>0.9917525773195877</x:v>
      </x:c>
      <x:c r="G291" s="11" t="n">
        <x:v>0.5120274914089347</x:v>
      </x:c>
      <x:c r="H291" s="11" t="n">
        <x:v>0.9312714776632303</x:v>
      </x:c>
      <x:c r="I291" s="11" t="n">
        <x:v>0.041237113402061855</x:v>
      </x:c>
      <x:c r="J291" s="12" t="n">
        <x:v>20.404090245564777</x:v>
      </x:c>
      <x:c r="K291" s="12" t="n">
        <x:v>75.68641993204753</x:v>
      </x:c>
      <x:c r="L291" s="12" t="n">
        <x:v>55.282329686482754</x:v>
      </x:c>
      <x:c r="M291" s="12" t="n">
        <x:v>23.542847442626954</x:v>
      </x:c>
      <x:c r="N291" s="12" t="n">
        <x:v>23.968445587158204</x:v>
      </x:c>
      <x:c r="O291" s="12" t="n">
        <x:v>0.42559814453125</x:v>
      </x:c>
      <x:c r="P291" s="12" t="n">
        <x:v>0.9242952545483907</x:v>
      </x:c>
      <x:c r="Q291" s="12" t="n">
        <x:v>1.3169258177280425</x:v>
      </x:c>
      <x:c r="R291" s="12" t="n">
        <x:v>0.39263056317965184</x:v>
      </x:c>
      <x:c r="S291" s="11" t="n">
        <x:f>'Method'!$B$7</x:f>
        <x:v>0.2</x:v>
      </x:c>
      <x:c r="T291" s="11" t="n">
        <x:f>'Method'!$B$8</x:f>
        <x:v>0.2</x:v>
      </x:c>
      <x:c r="U291" s="11" t="n">
        <x:f>'Method'!$B$9</x:f>
        <x:v>0.2</x:v>
      </x:c>
      <x:c r="V291" s="11" t="n">
        <x:f>1-D291</x:f>
        <x:v>0.10240549828178691</x:v>
      </x:c>
      <x:c r="W291" s="11" t="n">
        <x:f>1-E291</x:f>
        <x:v>0.18625429553264605</x:v>
      </x:c>
      <x:c r="X291" s="11" t="n">
        <x:f>1-F291</x:f>
        <x:v>0.008247422680412342</x:v>
      </x:c>
    </x:row>
    <x:row r="292" ht="18" customHeight="1">
      <x:c r="A292" s="10" t="str">
        <x:v>VA</x:v>
      </x:c>
      <x:c r="B292" s="10" t="str">
        <x:v>51790</x:v>
      </x:c>
      <x:c r="C292" s="10" t="str">
        <x:v>Staunton city</x:v>
      </x:c>
      <x:c r="D292" s="11" t="n">
        <x:f>1-'Method'!$B$7*G292</x:f>
        <x:v>0.9683848797250859</x:v>
      </x:c>
      <x:c r="E292" s="11" t="n">
        <x:f>1-'Method'!$B$8*H292</x:f>
        <x:v>0.852233676975945</x:v>
      </x:c>
      <x:c r="F292" s="11" t="n">
        <x:f>1-'Method'!$B$9*I292</x:f>
        <x:v>0.9876288659793815</x:v>
      </x:c>
      <x:c r="G292" s="11" t="n">
        <x:v>0.15807560137457044</x:v>
      </x:c>
      <x:c r="H292" s="11" t="n">
        <x:v>0.738831615120275</x:v>
      </x:c>
      <x:c r="I292" s="11" t="n">
        <x:v>0.061855670103092786</x:v>
      </x:c>
      <x:c r="J292" s="12" t="n">
        <x:v>11.168731768925985</x:v>
      </x:c>
      <x:c r="K292" s="12" t="n">
        <x:v>55.41896006266276</x:v>
      </x:c>
      <x:c r="L292" s="12" t="n">
        <x:v>44.250228293736775</x:v>
      </x:c>
      <x:c r="M292" s="12" t="n">
        <x:v>26.965928840637208</x:v>
      </x:c>
      <x:c r="N292" s="12" t="n">
        <x:v>27.047730509440104</x:v>
      </x:c>
      <x:c r="O292" s="12" t="n">
        <x:v>0.08180166880289619</x:v>
      </x:c>
      <x:c r="P292" s="12" t="n">
        <x:v>1.1166009505589802</x:v>
      </x:c>
      <x:c r="Q292" s="12" t="n">
        <x:v>1.5520111978054048</x:v>
      </x:c>
      <x:c r="R292" s="12" t="n">
        <x:v>0.4354102472464245</x:v>
      </x:c>
      <x:c r="S292" s="11" t="n">
        <x:f>'Method'!$B$7</x:f>
        <x:v>0.2</x:v>
      </x:c>
      <x:c r="T292" s="11" t="n">
        <x:f>'Method'!$B$8</x:f>
        <x:v>0.2</x:v>
      </x:c>
      <x:c r="U292" s="11" t="n">
        <x:f>'Method'!$B$9</x:f>
        <x:v>0.2</x:v>
      </x:c>
      <x:c r="V292" s="11" t="n">
        <x:f>1-D292</x:f>
        <x:v>0.03161512027491409</x:v>
      </x:c>
      <x:c r="W292" s="11" t="n">
        <x:f>1-E292</x:f>
        <x:v>0.147766323024055</x:v>
      </x:c>
      <x:c r="X292" s="11" t="n">
        <x:f>1-F292</x:f>
        <x:v>0.012371134020618513</x:v>
      </x:c>
    </x:row>
    <x:row r="293" ht="18" customHeight="1">
      <x:c r="A293" s="10" t="str">
        <x:v>VA</x:v>
      </x:c>
      <x:c r="B293" s="10" t="str">
        <x:v>51800</x:v>
      </x:c>
      <x:c r="C293" s="10" t="str">
        <x:v>Suffolk city</x:v>
      </x:c>
      <x:c r="D293" s="11" t="n">
        <x:f>1-'Method'!$B$7*G293</x:f>
        <x:v>0.9470790378006873</x:v>
      </x:c>
      <x:c r="E293" s="11" t="n">
        <x:f>1-'Method'!$B$8*H293</x:f>
        <x:v>1</x:v>
      </x:c>
      <x:c r="F293" s="11" t="n">
        <x:f>1-'Method'!$B$9*I293</x:f>
        <x:v>0.8955326460481099</x:v>
      </x:c>
      <x:c r="G293" s="11" t="n">
        <x:v>0.2646048109965636</x:v>
      </x:c>
      <x:c r="H293" s="11" t="n">
        <x:v>0</x:v>
      </x:c>
      <x:c r="I293" s="11" t="n">
        <x:v>0.5223367697594502</x:v>
      </x:c>
      <x:c r="J293" s="12" t="n">
        <x:v>24.930801836649575</x:v>
      </x:c>
      <x:c r="K293" s="12" t="n">
        <x:v>76.21850789388021</x:v>
      </x:c>
      <x:c r="L293" s="12" t="n">
        <x:v>51.287706057230636</x:v>
      </x:c>
      <x:c r="M293" s="12" t="n">
        <x:v>22.59023234049479</x:v>
      </x:c>
      <x:c r="N293" s="12" t="n">
        <x:v>22.087125142415363</x:v>
      </x:c>
      <x:c r="O293" s="12" t="n">
        <x:v>0</x:v>
      </x:c>
      <x:c r="P293" s="12" t="n">
        <x:v>1.4786139190196992</x:v>
      </x:c>
      <x:c r="Q293" s="12" t="n">
        <x:v>2.162597930431366</x:v>
      </x:c>
      <x:c r="R293" s="12" t="n">
        <x:v>0.6839840114116669</x:v>
      </x:c>
      <x:c r="S293" s="11" t="n">
        <x:f>'Method'!$B$7</x:f>
        <x:v>0.2</x:v>
      </x:c>
      <x:c r="T293" s="11" t="n">
        <x:f>'Method'!$B$8</x:f>
        <x:v>0.2</x:v>
      </x:c>
      <x:c r="U293" s="11" t="n">
        <x:f>'Method'!$B$9</x:f>
        <x:v>0.2</x:v>
      </x:c>
      <x:c r="V293" s="11" t="n">
        <x:f>1-D293</x:f>
        <x:v>0.05292096219931275</x:v>
      </x:c>
      <x:c r="W293" s="11" t="n">
        <x:f>1-E293</x:f>
        <x:v>0</x:v>
      </x:c>
      <x:c r="X293" s="11" t="n">
        <x:f>1-F293</x:f>
        <x:v>0.10446735395189011</x:v>
      </x:c>
    </x:row>
    <x:row r="294" ht="18" customHeight="1">
      <x:c r="A294" s="10" t="str">
        <x:v>VA</x:v>
      </x:c>
      <x:c r="B294" s="10" t="str">
        <x:v>51810</x:v>
      </x:c>
      <x:c r="C294" s="10" t="str">
        <x:v>Virginia Beach city</x:v>
      </x:c>
      <x:c r="D294" s="11" t="n">
        <x:f>1-'Method'!$B$7*G294</x:f>
        <x:v>0.9821305841924398</x:v>
      </x:c>
      <x:c r="E294" s="11" t="n">
        <x:f>1-'Method'!$B$8*H294</x:f>
        <x:v>1</x:v>
      </x:c>
      <x:c r="F294" s="11" t="n">
        <x:f>1-'Method'!$B$9*I294</x:f>
        <x:v>0.8604810996563574</x:v>
      </x:c>
      <x:c r="G294" s="11" t="n">
        <x:v>0.08934707903780069</x:v>
      </x:c>
      <x:c r="H294" s="11" t="n">
        <x:v>0</x:v>
      </x:c>
      <x:c r="I294" s="11" t="n">
        <x:v>0.697594501718213</x:v>
      </x:c>
      <x:c r="J294" s="12" t="n">
        <x:v>21.209530703226726</x:v>
      </x:c>
      <x:c r="K294" s="12" t="n">
        <x:v>59.69014256795247</x:v>
      </x:c>
      <x:c r="L294" s="12" t="n">
        <x:v>38.480611864725745</x:v>
      </x:c>
      <x:c r="M294" s="12" t="n">
        <x:v>23.576469548543294</x:v>
      </x:c>
      <x:c r="N294" s="12" t="n">
        <x:v>23.39883321126302</x:v>
      </x:c>
      <x:c r="O294" s="12" t="n">
        <x:v>0</x:v>
      </x:c>
      <x:c r="P294" s="12" t="n">
        <x:v>1.5472302675247191</x:v>
      </x:c>
      <x:c r="Q294" s="12" t="n">
        <x:v>2.301656154791514</x:v>
      </x:c>
      <x:c r="R294" s="12" t="n">
        <x:v>0.754425887266795</x:v>
      </x:c>
      <x:c r="S294" s="11" t="n">
        <x:f>'Method'!$B$7</x:f>
        <x:v>0.2</x:v>
      </x:c>
      <x:c r="T294" s="11" t="n">
        <x:f>'Method'!$B$8</x:f>
        <x:v>0.2</x:v>
      </x:c>
      <x:c r="U294" s="11" t="n">
        <x:f>'Method'!$B$9</x:f>
        <x:v>0.2</x:v>
      </x:c>
      <x:c r="V294" s="11" t="n">
        <x:f>1-D294</x:f>
        <x:v>0.017869415807560185</x:v>
      </x:c>
      <x:c r="W294" s="11" t="n">
        <x:f>1-E294</x:f>
        <x:v>0</x:v>
      </x:c>
      <x:c r="X294" s="11" t="n">
        <x:f>1-F294</x:f>
        <x:v>0.13951890034364256</x:v>
      </x:c>
    </x:row>
    <x:row r="295" ht="18" customHeight="1">
      <x:c r="A295" s="10" t="str">
        <x:v>VA</x:v>
      </x:c>
      <x:c r="B295" s="10" t="str">
        <x:v>51820</x:v>
      </x:c>
      <x:c r="C295" s="10" t="str">
        <x:v>Waynesboro city</x:v>
      </x:c>
      <x:c r="D295" s="11" t="n">
        <x:f>1-'Method'!$B$7*G295</x:f>
        <x:v>0.9663230240549828</x:v>
      </x:c>
      <x:c r="E295" s="11" t="n">
        <x:f>1-'Method'!$B$8*H295</x:f>
        <x:v>1</x:v>
      </x:c>
      <x:c r="F295" s="11" t="n">
        <x:f>1-'Method'!$B$9*I295</x:f>
        <x:v>0.9395189003436426</x:v>
      </x:c>
      <x:c r="G295" s="11" t="n">
        <x:v>0.16838487972508592</x:v>
      </x:c>
      <x:c r="H295" s="11" t="n">
        <x:v>0</x:v>
      </x:c>
      <x:c r="I295" s="11" t="n">
        <x:v>0.3024054982817869</x:v>
      </x:c>
      <x:c r="J295" s="12" t="n">
        <x:v>12.169993241628012</x:v>
      </x:c>
      <x:c r="K295" s="12" t="n">
        <x:v>57.27778701782226</x:v>
      </x:c>
      <x:c r="L295" s="12" t="n">
        <x:v>45.10779377619425</x:v>
      </x:c>
      <x:c r="M295" s="12" t="n">
        <x:v>25.199342409769695</x:v>
      </x:c>
      <x:c r="N295" s="12" t="n">
        <x:v>24.799298795064292</x:v>
      </x:c>
      <x:c r="O295" s="12" t="n">
        <x:v>0</x:v>
      </x:c>
      <x:c r="P295" s="12" t="n">
        <x:v>1.4233674108982086</x:v>
      </x:c>
      <x:c r="Q295" s="12" t="n">
        <x:v>2.0244364937146506</x:v>
      </x:c>
      <x:c r="R295" s="12" t="n">
        <x:v>0.601069082816442</x:v>
      </x:c>
      <x:c r="S295" s="11" t="n">
        <x:f>'Method'!$B$7</x:f>
        <x:v>0.2</x:v>
      </x:c>
      <x:c r="T295" s="11" t="n">
        <x:f>'Method'!$B$8</x:f>
        <x:v>0.2</x:v>
      </x:c>
      <x:c r="U295" s="11" t="n">
        <x:f>'Method'!$B$9</x:f>
        <x:v>0.2</x:v>
      </x:c>
      <x:c r="V295" s="11" t="n">
        <x:f>1-D295</x:f>
        <x:v>0.033676975945017174</x:v>
      </x:c>
      <x:c r="W295" s="11" t="n">
        <x:f>1-E295</x:f>
        <x:v>0</x:v>
      </x:c>
      <x:c r="X295" s="11" t="n">
        <x:f>1-F295</x:f>
        <x:v>0.060481099656357395</x:v>
      </x:c>
    </x:row>
    <x:row r="296" ht="18" customHeight="1">
      <x:c r="A296" s="10" t="str">
        <x:v>VA</x:v>
      </x:c>
      <x:c r="B296" s="10" t="str">
        <x:v>51830</x:v>
      </x:c>
      <x:c r="C296" s="10" t="str">
        <x:v>Williamsburg city</x:v>
      </x:c>
      <x:c r="D296" s="11" t="n">
        <x:f>1-'Method'!$B$7*G296</x:f>
        <x:v>0.9443298969072165</x:v>
      </x:c>
      <x:c r="E296" s="11" t="n">
        <x:f>1-'Method'!$B$8*H296</x:f>
        <x:v>1</x:v>
      </x:c>
      <x:c r="F296" s="11" t="n">
        <x:f>1-'Method'!$B$9*I296</x:f>
        <x:v>0.8171821305841924</x:v>
      </x:c>
      <x:c r="G296" s="11" t="n">
        <x:v>0.27835051546391754</x:v>
      </x:c>
      <x:c r="H296" s="11" t="n">
        <x:v>0</x:v>
      </x:c>
      <x:c r="I296" s="11" t="n">
        <x:v>0.9140893470790378</x:v>
      </x:c>
      <x:c r="J296" s="12" t="n">
        <x:v>27.610490163167317</x:v>
      </x:c>
      <x:c r="K296" s="12" t="n">
        <x:v>79.21323026021322</x:v>
      </x:c>
      <x:c r="L296" s="12" t="n">
        <x:v>51.60274009704591</x:v>
      </x:c>
      <x:c r="M296" s="12" t="n">
        <x:v>24.78117643992106</x:v>
      </x:c>
      <x:c r="N296" s="12" t="n">
        <x:v>23.986572329203288</x:v>
      </x:c>
      <x:c r="O296" s="12" t="n">
        <x:v>0</x:v>
      </x:c>
      <x:c r="P296" s="12" t="n">
        <x:v>2.032348895072937</x:v>
      </x:c>
      <x:c r="Q296" s="12" t="n">
        <x:v>2.9497153600056967</x:v>
      </x:c>
      <x:c r="R296" s="12" t="n">
        <x:v>0.9173664649327598</x:v>
      </x:c>
      <x:c r="S296" s="11" t="n">
        <x:f>'Method'!$B$7</x:f>
        <x:v>0.2</x:v>
      </x:c>
      <x:c r="T296" s="11" t="n">
        <x:f>'Method'!$B$8</x:f>
        <x:v>0.2</x:v>
      </x:c>
      <x:c r="U296" s="11" t="n">
        <x:f>'Method'!$B$9</x:f>
        <x:v>0.2</x:v>
      </x:c>
      <x:c r="V296" s="11" t="n">
        <x:f>1-D296</x:f>
        <x:v>0.05567010309278353</x:v>
      </x:c>
      <x:c r="W296" s="11" t="n">
        <x:f>1-E296</x:f>
        <x:v>0</x:v>
      </x:c>
      <x:c r="X296" s="11" t="n">
        <x:f>1-F296</x:f>
        <x:v>0.18281786941580758</x:v>
      </x:c>
    </x:row>
    <x:row r="297" ht="18" customHeight="1">
      <x:c r="A297" s="10" t="str">
        <x:v>VA</x:v>
      </x:c>
      <x:c r="B297" s="10" t="str">
        <x:v>51840</x:v>
      </x:c>
      <x:c r="C297" s="10" t="str">
        <x:v>Winchester city</x:v>
      </x:c>
      <x:c r="D297" s="11" t="n">
        <x:f>1-'Method'!$B$7*G297</x:f>
        <x:v>0.9560137457044674</x:v>
      </x:c>
      <x:c r="E297" s="11" t="n">
        <x:f>1-'Method'!$B$8*H297</x:f>
        <x:v>1</x:v>
      </x:c>
      <x:c r="F297" s="11" t="n">
        <x:f>1-'Method'!$B$9*I297</x:f>
        <x:v>0.9814432989690721</x:v>
      </x:c>
      <x:c r="G297" s="11" t="n">
        <x:v>0.21993127147766323</x:v>
      </x:c>
      <x:c r="H297" s="11" t="n">
        <x:v>0</x:v>
      </x:c>
      <x:c r="I297" s="11" t="n">
        <x:v>0.09278350515463918</x:v>
      </x:c>
      <x:c r="J297" s="12" t="n">
        <x:v>16.20895004272461</x:v>
      </x:c>
      <x:c r="K297" s="12" t="n">
        <x:v>65.10290705362955</x:v>
      </x:c>
      <x:c r="L297" s="12" t="n">
        <x:v>48.89395701090494</x:v>
      </x:c>
      <x:c r="M297" s="12" t="n">
        <x:v>25.00979200998942</x:v>
      </x:c>
      <x:c r="N297" s="12" t="n">
        <x:v>24.608753712972007</x:v>
      </x:c>
      <x:c r="O297" s="12" t="n">
        <x:v>0</x:v>
      </x:c>
      <x:c r="P297" s="12" t="n">
        <x:v>1.031163184841474</x:v>
      </x:c>
      <x:c r="Q297" s="12" t="n">
        <x:v>1.4954586704572042</x:v>
      </x:c>
      <x:c r="R297" s="12" t="n">
        <x:v>0.4642954856157302</x:v>
      </x:c>
      <x:c r="S297" s="11" t="n">
        <x:f>'Method'!$B$7</x:f>
        <x:v>0.2</x:v>
      </x:c>
      <x:c r="T297" s="11" t="n">
        <x:f>'Method'!$B$8</x:f>
        <x:v>0.2</x:v>
      </x:c>
      <x:c r="U297" s="11" t="n">
        <x:f>'Method'!$B$9</x:f>
        <x:v>0.2</x:v>
      </x:c>
      <x:c r="V297" s="11" t="n">
        <x:f>1-D297</x:f>
        <x:v>0.0439862542955326</x:v>
      </x:c>
      <x:c r="W297" s="11" t="n">
        <x:f>1-E297</x:f>
        <x:v>0</x:v>
      </x:c>
      <x:c r="X297" s="11" t="n">
        <x:f>1-F297</x:f>
        <x:v>0.01855670103092788</x:v>
      </x:c>
    </x:row>
  </x:sheetData>
  <x:mergeCells>
    <x:mergeCell ref="A2:X2"/>
    <x:mergeCell ref="A3:X3"/>
  </x:mergeCells>
  <x:conditionalFormatting sqref="D6:D297">
    <x:cfRule type="colorScale" priority="1">
      <x:colorScale>
        <x:cfvo type="min"/>
        <x:cfvo type="percentile" val="50"/>
        <x:cfvo type="max"/>
        <x:color rgb="FFF4CCCC"/>
        <x:color rgb="FFFFF2CC"/>
        <x:color rgb="FFE2F0D9"/>
      </x:colorScale>
    </x:cfRule>
  </x:conditionalFormatting>
  <x:conditionalFormatting sqref="E6:E297">
    <x:cfRule type="colorScale" priority="2">
      <x:colorScale>
        <x:cfvo type="min"/>
        <x:cfvo type="percentile" val="50"/>
        <x:cfvo type="max"/>
        <x:color rgb="FFF4CCCC"/>
        <x:color rgb="FFFFF2CC"/>
        <x:color rgb="FFE2F0D9"/>
      </x:colorScale>
    </x:cfRule>
  </x:conditionalFormatting>
  <x:conditionalFormatting sqref="F6:F297">
    <x:cfRule type="colorScale" priority="3">
      <x:colorScale>
        <x:cfvo type="min"/>
        <x:cfvo type="percentile" val="50"/>
        <x:cfvo type="max"/>
        <x:color rgb="FFF4CCCC"/>
        <x:color rgb="FFFFF2CC"/>
        <x:color rgb="FFE2F0D9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6fc3460a72104e1e"/>
  </x:tableParts>
</x:worksheet>
</file>

<file path=xl/worksheets/sheet2.xml><?xml version="1.0" encoding="utf-8"?>
<x:worksheet xmlns:x="http://schemas.openxmlformats.org/spreadsheetml/2006/main">
  <x:sheetPr>
    <x:tabColor rgb="FF7F8C8D"/>
  </x:sheetPr>
  <x:sheetViews>
    <x:sheetView showGridLines="0" workbookViewId="0"/>
  </x:sheetViews>
  <x:sheetFormatPr defaultRowHeight="15"/>
  <x:cols>
    <x:col min="1" max="1" width="33" hidden="0" customWidth="1"/>
    <x:col min="2" max="2" width="38" hidden="0" customWidth="1"/>
    <x:col min="3" max="3" width="28" hidden="0" customWidth="1"/>
    <x:col min="4" max="4" width="55" hidden="0" customWidth="1"/>
  </x:cols>
  <x:sheetData>
    <x:row r="2">
      <x:c r="A2" s="3" t="str">
        <x:v>Dimension-specific robustness method</x:v>
      </x:c>
      <x:c r="B2" s="3"/>
      <x:c r="C2" s="3"/>
      <x:c r="D2" s="3"/>
    </x:row>
    <x:row r="4">
      <x:c r="A4" s="9" t="str">
        <x:v>Parameter</x:v>
      </x:c>
      <x:c r="B4" s="9" t="str">
        <x:v>Value</x:v>
      </x:c>
      <x:c r="C4" s="20"/>
      <x:c r="D4" s="20"/>
    </x:row>
    <x:row r="5">
      <x:c r="A5" s="20" t="str">
        <x:v>Coverage</x:v>
      </x:c>
      <x:c r="B5" s="20" t="str">
        <x:v>133 Virginia + 159 Georgia county equivalents</x:v>
      </x:c>
      <x:c r="C5" s="20"/>
      <x:c r="D5" s="20"/>
    </x:row>
    <x:row r="6">
      <x:c r="A6" s="20" t="str">
        <x:v>Scenario</x:v>
      </x:c>
      <x:c r="B6" s="20" t="str">
        <x:v>CMRA RCP8.5 mid-century compared with historic mean</x:v>
      </x:c>
      <x:c r="C6" s="20"/>
      <x:c r="D6" s="20"/>
    </x:row>
    <x:row r="7">
      <x:c r="A7" s="20" t="str">
        <x:v>Cooling-climate maximum penalty λ</x:v>
      </x:c>
      <x:c r="B7" s="21" t="n">
        <x:v>0.2</x:v>
      </x:c>
      <x:c r="C7" s="20"/>
      <x:c r="D7" s="20"/>
    </x:row>
    <x:row r="8">
      <x:c r="A8" s="20" t="str">
        <x:v>Water maximum penalty λ</x:v>
      </x:c>
      <x:c r="B8" s="21" t="n">
        <x:v>0.2</x:v>
      </x:c>
      <x:c r="C8" s="20"/>
      <x:c r="D8" s="20"/>
    </x:row>
    <x:row r="9">
      <x:c r="A9" s="20" t="str">
        <x:v>Climate-risk maximum penalty λ</x:v>
      </x:c>
      <x:c r="B9" s="21" t="n">
        <x:v>0.2</x:v>
      </x:c>
      <x:c r="C9" s="20"/>
      <x:c r="D9" s="20"/>
    </x:row>
    <x:row r="10">
      <x:c r="A10" s="20"/>
      <x:c r="B10" s="20"/>
      <x:c r="C10" s="20"/>
      <x:c r="D10" s="20"/>
    </x:row>
    <x:row r="11">
      <x:c r="A11" s="9" t="str">
        <x:v>CMRA change</x:v>
      </x:c>
      <x:c r="B11" s="9" t="str">
        <x:v>Target dimension</x:v>
      </x:c>
      <x:c r="C11" s="9" t="str">
        <x:v>County factor</x:v>
      </x:c>
      <x:c r="D11" s="9" t="str">
        <x:v>Adjusted dimension formula</x:v>
      </x:c>
    </x:row>
    <x:row r="12" ht="36" customHeight="1">
      <x:c r="A12" s="22" t="str">
        <x:v>&gt;90°F days increase</x:v>
      </x:c>
      <x:c r="B12" s="22" t="str">
        <x:v>Cooling climate</x:v>
      </x:c>
      <x:c r="C12" s="22" t="str">
        <x:v>1 − λCooling × HeatRiskPercentile</x:v>
      </x:c>
      <x:c r="D12" s="22" t="str">
        <x:v>CoolingAdjusted = CoolingBase × CoolingFactor</x:v>
      </x:c>
    </x:row>
    <x:row r="13" ht="36" customHeight="1">
      <x:c r="A13" s="22" t="str">
        <x:v>Consecutive dry days increase</x:v>
      </x:c>
      <x:c r="B13" s="22" t="str">
        <x:v>Water</x:v>
      </x:c>
      <x:c r="C13" s="22" t="str">
        <x:v>1 − λWater × DryRiskPercentile</x:v>
      </x:c>
      <x:c r="D13" s="22" t="str">
        <x:v>WaterAdjusted = WaterBase × WaterFactor</x:v>
      </x:c>
    </x:row>
    <x:row r="14" ht="36" customHeight="1">
      <x:c r="A14" s="22" t="str">
        <x:v>≥2-inch precipitation days increase</x:v>
      </x:c>
      <x:c r="B14" s="22" t="str">
        <x:v>Climate risk</x:v>
      </x:c>
      <x:c r="C14" s="22" t="str">
        <x:v>1 − λClimate × RainRiskPercentile</x:v>
      </x:c>
      <x:c r="D14" s="22" t="str">
        <x:v>ClimateAdjusted = ClimateBase × ClimateFactor</x:v>
      </x:c>
    </x:row>
    <x:row r="15">
      <x:c r="A15" s="20"/>
      <x:c r="B15" s="20"/>
      <x:c r="C15" s="20"/>
      <x:c r="D15" s="20"/>
    </x:row>
    <x:row r="16">
      <x:c r="A16" s="9" t="str">
        <x:v>Calculation layer</x:v>
      </x:c>
      <x:c r="B16" s="9" t="str">
        <x:v>Uses Camille weights?</x:v>
      </x:c>
      <x:c r="C16" s="9" t="str">
        <x:v>Calculated before weights?</x:v>
      </x:c>
      <x:c r="D16" s="9" t="str">
        <x:v>Rule</x:v>
      </x:c>
    </x:row>
    <x:row r="17" ht="34" customHeight="1">
      <x:c r="A17" s="22" t="str">
        <x:v>Indicator normalization</x:v>
      </x:c>
      <x:c r="B17" s="22" t="str">
        <x:v>No</x:v>
      </x:c>
      <x:c r="C17" s="22" t="str">
        <x:v>Yes</x:v>
      </x:c>
      <x:c r="D17" s="22" t="str">
        <x:v>Fixed raw-value anchors produce 0–100 utilities</x:v>
      </x:c>
    </x:row>
    <x:row r="18" ht="34" customHeight="1">
      <x:c r="A18" s="22" t="str">
        <x:v>Safety-margin factors</x:v>
      </x:c>
      <x:c r="B18" s="22" t="str">
        <x:v>No</x:v>
      </x:c>
      <x:c r="C18" s="22" t="str">
        <x:v>Yes</x:v>
      </x:c>
      <x:c r="D18" s="22" t="str">
        <x:v>Calculated from normalized indicators and fixed margin assumptions</x:v>
      </x:c>
    </x:row>
    <x:row r="19" ht="34" customHeight="1">
      <x:c r="A19" s="22" t="str">
        <x:v>Dimension robustness factors</x:v>
      </x:c>
      <x:c r="B19" s="22" t="str">
        <x:v>No</x:v>
      </x:c>
      <x:c r="C19" s="22" t="str">
        <x:v>Yes</x:v>
      </x:c>
      <x:c r="D19" s="22" t="str">
        <x:v>This workbook supplies one factor for each affected dimension</x:v>
      </x:c>
    </x:row>
    <x:row r="20" ht="34" customHeight="1">
      <x:c r="A20" s="22" t="str">
        <x:v>Robustness-adjusted dimension</x:v>
      </x:c>
      <x:c r="B20" s="22" t="str">
        <x:v>No</x:v>
      </x:c>
      <x:c r="C20" s="22" t="str">
        <x:v>Yes</x:v>
      </x:c>
      <x:c r="D20" s="22" t="str">
        <x:v>Base dimension score × its own dimension factor</x:v>
      </x:c>
    </x:row>
    <x:row r="21" ht="34" customHeight="1">
      <x:c r="A21" s="22" t="str">
        <x:v>Suitability</x:v>
      </x:c>
      <x:c r="B21" s="22" t="str">
        <x:v>Yes</x:v>
      </x:c>
      <x:c r="C21" s="22" t="str">
        <x:v>No</x:v>
      </x:c>
      <x:c r="D21" s="22" t="str">
        <x:v>Camille weights are applied only after adjusted dimension scores are available</x:v>
      </x:c>
    </x:row>
    <x:row r="22">
      <x:c r="A22" s="20"/>
      <x:c r="B22" s="20"/>
      <x:c r="C22" s="20"/>
      <x:c r="D22" s="20"/>
    </x:row>
    <x:row r="23" ht="30" customHeight="1">
      <x:c r="A23" s="23" t="str">
        <x:v>No global robustness multiplier is produced. The combined risk columns from v01 are not used for scoring.</x:v>
      </x:c>
      <x:c r="B23" s="23"/>
      <x:c r="C23" s="23"/>
      <x:c r="D23" s="23"/>
    </x:row>
    <x:row r="24">
      <x:c r="A24" s="20"/>
      <x:c r="B24" s="20"/>
      <x:c r="C24" s="20"/>
      <x:c r="D24" s="20"/>
    </x:row>
    <x:row r="25" ht="30" customHeight="1">
      <x:c r="A25" s="24" t="str">
        <x:v>Source: CMRA 2025 county climate projections, data/4Climate Resilience/CMRA_2025_county_climate_projections.csv</x:v>
      </x:c>
      <x:c r="B25" s="24"/>
      <x:c r="C25" s="24"/>
      <x:c r="D25" s="24"/>
    </x:row>
  </x:sheetData>
  <x:mergeCells>
    <x:mergeCell ref="A2:D2"/>
    <x:mergeCell ref="A23:D23"/>
    <x:mergeCell ref="A25:D25"/>
  </x:mergeCells>
  <x:pageMargins left="0.7" right="0.7" top="0.75" bottom="0.75" header="0.3" footer="0.3"/>
</x:worksheet>
</file>