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2a0377818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cb7b84a30b4c08"/>
    <x:sheet xmlns:r="http://schemas.openxmlformats.org/officeDocument/2006/relationships" name="Scoring Setup" sheetId="2" r:id="R1be1c603c155428f"/>
    <x:sheet xmlns:r="http://schemas.openxmlformats.org/officeDocument/2006/relationships" name="Anchors" sheetId="3" r:id="R1fdad50d33574d5b"/>
    <x:sheet xmlns:r="http://schemas.openxmlformats.org/officeDocument/2006/relationships" name="Virginia normalized" sheetId="4" r:id="Rdbbbdcab00e9453c"/>
    <x:sheet xmlns:r="http://schemas.openxmlformats.org/officeDocument/2006/relationships" name="Georgia normalized" sheetId="5" r:id="R82feeeefbafa473f"/>
    <x:sheet xmlns:r="http://schemas.openxmlformats.org/officeDocument/2006/relationships" name="Distributions" sheetId="6" r:id="Rb2145dfccce64e0c"/>
    <x:sheet xmlns:r="http://schemas.openxmlformats.org/officeDocument/2006/relationships" name="Charts" sheetId="7" r:id="R6fe0c7d625a1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.0%"/>
  </x:numFmts>
  <x:fonts count="8">
    <x:font>
      <x:sz val="11"/>
      <x:name val="Carlito"/>
    </x:font>
    <x:font>
      <x:sz val="10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4"/>
      <x:color rgb="FF17365D"/>
      <x:name val="Arial"/>
    </x:font>
    <x:font>
      <x:b/>
      <x:sz val="10"/>
      <x:color rgb="FF9C0006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200" fontId="1" fillId="7" borderId="0" xfId="0" applyNumberFormat="1" applyFont="1" applyFill="1" applyBorder="1"/>
    <x:xf numFmtId="200" fontId="1" fillId="8" borderId="0" xfId="0" applyNumberFormat="1" applyFont="1" applyFill="1" applyBorder="1"/>
    <x:xf numFmtId="201" fontId="1" fillId="5" borderId="0" xfId="0" applyNumberFormat="1" applyFont="1" applyFill="1" applyBorder="1"/>
    <x:xf numFmtId="201" fontId="1" fillId="9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4ecc7be6541d0" /><Relationship Type="http://schemas.openxmlformats.org/officeDocument/2006/relationships/theme" Target="/xl/theme/theme1.xml" Id="Rfabb021511fe4888" /><Relationship Type="http://schemas.openxmlformats.org/officeDocument/2006/relationships/sharedStrings" Target="/xl/sharedStrings.xml" Id="Red2e7b8486174de8" /><Relationship Type="http://schemas.openxmlformats.org/officeDocument/2006/relationships/worksheet" Target="/xl/worksheets/sheet1.xml" Id="Rd3cb7b84a30b4c08" /><Relationship Type="http://schemas.openxmlformats.org/officeDocument/2006/relationships/worksheet" Target="/xl/worksheets/sheet2.xml" Id="R1be1c603c155428f" /><Relationship Type="http://schemas.openxmlformats.org/officeDocument/2006/relationships/worksheet" Target="/xl/worksheets/sheet3.xml" Id="R1fdad50d33574d5b" /><Relationship Type="http://schemas.openxmlformats.org/officeDocument/2006/relationships/worksheet" Target="/xl/worksheets/sheet4.xml" Id="Rdbbbdcab00e9453c" /><Relationship Type="http://schemas.openxmlformats.org/officeDocument/2006/relationships/worksheet" Target="/xl/worksheets/sheet5.xml" Id="R82feeeefbafa473f" /><Relationship Type="http://schemas.openxmlformats.org/officeDocument/2006/relationships/worksheet" Target="/xl/worksheets/sheet6.xml" Id="Rb2145dfccce64e0c" /><Relationship Type="http://schemas.openxmlformats.org/officeDocument/2006/relationships/worksheet" Target="/xl/worksheets/sheet7.xml" Id="R6fe0c7d625a14c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ad5cf85d974452" /><Relationship Type="http://schemas.openxmlformats.org/officeDocument/2006/relationships/chart" Target="/xl/drawings/charts/chart2.xml" Id="R6caca8c7dcd24a60" /><Relationship Type="http://schemas.openxmlformats.org/officeDocument/2006/relationships/chart" Target="/xl/drawings/charts/chart3.xml" Id="R15ad97358f704542" /><Relationship Type="http://schemas.openxmlformats.org/officeDocument/2006/relationships/chart" Target="/xl/drawings/charts/chart4.xml" Id="R93e6f8a4412c498e" /><Relationship Type="http://schemas.openxmlformats.org/officeDocument/2006/relationships/chart" Target="/xl/drawings/charts/chart5.xml" Id="Rf41b1f20d74f4447" /><Relationship Type="http://schemas.openxmlformats.org/officeDocument/2006/relationships/chart" Target="/xl/drawings/charts/chart6.xml" Id="Rfee838585c3d41c9" /><Relationship Type="http://schemas.openxmlformats.org/officeDocument/2006/relationships/chart" Target="/xl/drawings/charts/chart7.xml" Id="R77c389682b164e24" /><Relationship Type="http://schemas.openxmlformats.org/officeDocument/2006/relationships/chart" Target="/xl/drawings/charts/chart8.xml" Id="R5c62dcd83cb74ff7" /><Relationship Type="http://schemas.openxmlformats.org/officeDocument/2006/relationships/chart" Target="/xl/drawings/charts/chart9.xml" Id="Rca9a9bbec5ed454d" /><Relationship Type="http://schemas.openxmlformats.org/officeDocument/2006/relationships/chart" Target="/xl/drawings/charts/chart10.xml" Id="R976911601439471c" /><Relationship Type="http://schemas.openxmlformats.org/officeDocument/2006/relationships/chart" Target="/xl/drawings/charts/chart11.xml" Id="R7df74858998248e4" /><Relationship Type="http://schemas.openxmlformats.org/officeDocument/2006/relationships/chart" Target="/xl/drawings/charts/chart12.xml" Id="R08aea0ce3f3b4fb9" /><Relationship Type="http://schemas.openxmlformats.org/officeDocument/2006/relationships/chart" Target="/xl/drawings/charts/chart13.xml" Id="R098bdd9da195462f" /><Relationship Type="http://schemas.openxmlformats.org/officeDocument/2006/relationships/chart" Target="/xl/drawings/charts/chart14.xml" Id="Rb0ca18b17e274f15" /><Relationship Type="http://schemas.openxmlformats.org/officeDocument/2006/relationships/chart" Target="/xl/drawings/charts/chart15.xml" Id="R50cbf9ff22f14d13" /><Relationship Type="http://schemas.openxmlformats.org/officeDocument/2006/relationships/chart" Target="/xl/drawings/charts/chart16.xml" Id="R226dff2fcfb941cb" /><Relationship Type="http://schemas.openxmlformats.org/officeDocument/2006/relationships/chart" Target="/xl/drawings/charts/chart17.xml" Id="Rd69e439e7ea5430a" /><Relationship Type="http://schemas.openxmlformats.org/officeDocument/2006/relationships/chart" Target="/xl/drawings/charts/chart18.xml" Id="R9b5e241131914f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野火全国百分位得分分布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野火全国百分位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'Distributions'!$A$6:$A$15</c:f>
              <c:strCache>
                <c:ptCount val="0"/>
              </c:strCache>
            </c:strRef>
          </c:cat>
          <c:val>
            <c:numRef>
              <c:f>'Distributions'!$B$6:$B$15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洪水损失率全国百分位得分分布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洪水损失率全国百分位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'Distributions'!$C$6:$C$15</c:f>
              <c:strCache>
                <c:ptCount val="0"/>
              </c:strCache>
            </c:strRef>
          </c:cat>
          <c:val>
            <c:numRef>
              <c:f>'Distributions'!$D$6:$D$15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基线水压力得分分布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基线水压力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'Distributions'!$E$6:$E$15</c:f>
              <c:strCache>
                <c:ptCount val="0"/>
              </c:strCache>
            </c:strRef>
          </c:cat>
          <c:val>
            <c:numRef>
              <c:f>'Distributions'!$F$6:$F$15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2050 BAU水压力得分分布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2050 BAU水压力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'Distributions'!$G$6:$G$15</c:f>
              <c:strCache>
                <c:ptCount val="0"/>
              </c:strCache>
            </c:strRef>
          </c:cat>
          <c:val>
            <c:numRef>
              <c:f>'Distributions'!$H$6:$H$15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低不透水土地比例得分分布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低不透水土地比例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'Distributions'!$I$6:$I$15</c:f>
              <c:strCache>
                <c:ptCount val="0"/>
              </c:strCache>
            </c:strRef>
          </c:cat>
          <c:val>
            <c:numRef>
              <c:f>'Distributions'!$J$6:$J$15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GAP1/2保护地比例得分分布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GAP1/2保护地比例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'Distributions'!$K$6:$K$15</c:f>
              <c:strCache>
                <c:ptCount val="0"/>
              </c:strCache>
            </c:strRef>
          </c:cat>
          <c:val>
            <c:numRef>
              <c:f>'Distributions'!$L$6:$L$15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湿地陆地比例得分分布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湿地陆地比例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'Distributions'!$M$6:$M$15</c:f>
              <c:strCache>
                <c:ptCount val="0"/>
              </c:strCache>
            </c:strRef>
          </c:cat>
          <c:val>
            <c:numRef>
              <c:f>'Distributions'!$N$6:$N$15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商业光纤100/20覆盖率得分分布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商业光纤100/20覆盖率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'Distributions'!$O$6:$O$15</c:f>
              <c:strCache>
                <c:ptCount val="0"/>
              </c:strCache>
            </c:strRef>
          </c:cat>
          <c:val>
            <c:numRef>
              <c:f>'Distributions'!$P$6:$P$15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商业光纤1000/100覆盖率得分分布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商业光纤1000/100覆盖率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'Distributions'!$Q$6:$Q$15</c:f>
              <c:strCache>
                <c:ptCount val="0"/>
              </c:strCache>
            </c:strRef>
          </c:cat>
          <c:val>
            <c:numRef>
              <c:f>'Distributions'!$R$6:$R$15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劳动力人数得分分布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劳动力人数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'Distributions'!$S$6:$S$15</c:f>
              <c:strCache>
                <c:ptCount val="0"/>
              </c:strCache>
            </c:strRef>
          </c:cat>
          <c:val>
            <c:numRef>
              <c:f>'Distributions'!$T$6:$T$15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社会脆弱性百分位得分分布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社会脆弱性百分位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'Distributions'!$U$6:$U$15</c:f>
              <c:strCache>
                <c:ptCount val="0"/>
              </c:strCache>
            </c:strRef>
          </c:cat>
          <c:val>
            <c:numRef>
              <c:f>'Distributions'!$V$6:$V$15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历史CDD65得分分布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历史CDD65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'Distributions'!$W$6:$W$15</c:f>
              <c:strCache>
                <c:ptCount val="0"/>
              </c:strCache>
            </c:strRef>
          </c:cat>
          <c:val>
            <c:numRef>
              <c:f>'Distributions'!$X$6:$X$15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历史&gt;90°F天数得分分布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历史&gt;90°F天数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'Distributions'!$Y$6:$Y$15</c:f>
              <c:strCache>
                <c:ptCount val="0"/>
              </c:strCache>
            </c:strRef>
          </c:cat>
          <c:val>
            <c:numRef>
              <c:f>'Distributions'!$Z$6:$Z$15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到Interstate距离得分分布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到Interstate距离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'Distributions'!$AA$6:$AA$15</c:f>
              <c:strCache>
                <c:ptCount val="0"/>
              </c:strCache>
            </c:strRef>
          </c:cat>
          <c:val>
            <c:numRef>
              <c:f>'Distributions'!$AB$6:$AB$15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到铁路距离得分分布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到铁路距离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'Distributions'!$AC$6:$AC$15</c:f>
              <c:strCache>
                <c:ptCount val="0"/>
              </c:strCache>
            </c:strRef>
          </c:cat>
          <c:val>
            <c:numRef>
              <c:f>'Distributions'!$AD$6:$AD$15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州工业电价得分分布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州工业电价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'Distributions'!$AE$6:$AE$15</c:f>
              <c:strCache>
                <c:ptCount val="0"/>
              </c:strCache>
            </c:strRef>
          </c:cat>
          <c:val>
            <c:numRef>
              <c:f>'Distributions'!$AF$6:$AF$15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州SAIDI不含重大事件日得分分布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州SAIDI不含重大事件日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'Distributions'!$AG$6:$AG$15</c:f>
              <c:strCache>
                <c:ptCount val="0"/>
              </c:strCache>
            </c:strRef>
          </c:cat>
          <c:val>
            <c:numRef>
              <c:f>'Distributions'!$AH$6:$AH$15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州电网CO2e强度得分分布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州电网CO2e强度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'Distributions'!$AI$6:$AI$15</c:f>
              <c:strCache>
                <c:ptCount val="0"/>
              </c:strCache>
            </c:strRef>
          </c:cat>
          <c:val>
            <c:numRef>
              <c:f>'Distributions'!$AJ$6:$AJ$15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ad5cf85d97445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ca8c7dcd24a60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26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ad97358f70454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e6f8a4412c498e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1b1f20d74f4447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26</xdr:col>
      <xdr:colOff>0</xdr:colOff>
      <xdr:row>31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e838585c3d41c9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389682b164e24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17</xdr:col>
      <xdr:colOff>0</xdr:colOff>
      <xdr:row>47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62dcd83cb74ff7"/>
        </a:graphicData>
      </a:graphic>
    </xdr:graphicFrame>
    <xdr:clientData/>
  </xdr:twoCellAnchor>
  <xdr:twoCellAnchor>
    <xdr:from>
      <xdr:col>18</xdr:col>
      <xdr:colOff>0</xdr:colOff>
      <xdr:row>33</xdr:row>
      <xdr:rowOff>0</xdr:rowOff>
    </xdr:from>
    <xdr:to>
      <xdr:col>26</xdr:col>
      <xdr:colOff>0</xdr:colOff>
      <xdr:row>47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a9bbec5ed454d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63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6911601439471c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17</xdr:col>
      <xdr:colOff>0</xdr:colOff>
      <xdr:row>63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f74858998248e4"/>
        </a:graphicData>
      </a:graphic>
    </xdr:graphicFrame>
    <xdr:clientData/>
  </xdr:twoCellAnchor>
  <xdr:twoCellAnchor>
    <xdr:from>
      <xdr:col>18</xdr:col>
      <xdr:colOff>0</xdr:colOff>
      <xdr:row>49</xdr:row>
      <xdr:rowOff>0</xdr:rowOff>
    </xdr:from>
    <xdr:to>
      <xdr:col>26</xdr:col>
      <xdr:colOff>0</xdr:colOff>
      <xdr:row>63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ea0ce3f3b4fb9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8</xdr:col>
      <xdr:colOff>0</xdr:colOff>
      <xdr:row>79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8bdd9da195462f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17</xdr:col>
      <xdr:colOff>0</xdr:colOff>
      <xdr:row>79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ca18b17e274f15"/>
        </a:graphicData>
      </a:graphic>
    </xdr:graphicFrame>
    <xdr:clientData/>
  </xdr:twoCellAnchor>
  <xdr:twoCellAnchor>
    <xdr:from>
      <xdr:col>18</xdr:col>
      <xdr:colOff>0</xdr:colOff>
      <xdr:row>65</xdr:row>
      <xdr:rowOff>0</xdr:rowOff>
    </xdr:from>
    <xdr:to>
      <xdr:col>26</xdr:col>
      <xdr:colOff>0</xdr:colOff>
      <xdr:row>79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cbf9ff22f14d13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8</xdr:col>
      <xdr:colOff>0</xdr:colOff>
      <xdr:row>95</xdr:row>
      <xdr:rowOff>0</xdr:rowOff>
    </xdr:to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6dff2fcfb941cb"/>
        </a:graphicData>
      </a:graphic>
    </xdr:graphicFrame>
    <xdr:clientData/>
  </xdr:twoCellAnchor>
  <xdr:twoCellAnchor>
    <xdr:from>
      <xdr:col>9</xdr:col>
      <xdr:colOff>0</xdr:colOff>
      <xdr:row>81</xdr:row>
      <xdr:rowOff>0</xdr:rowOff>
    </xdr:from>
    <xdr:to>
      <xdr:col>17</xdr:col>
      <xdr:colOff>0</xdr:colOff>
      <xdr:row>95</xdr:row>
      <xdr:rowOff>0</xdr:rowOff>
    </xdr:to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e439e7ea5430a"/>
        </a:graphicData>
      </a:graphic>
    </xdr:graphicFrame>
    <xdr:clientData/>
  </xdr:twoCellAnchor>
  <xdr:twoCellAnchor>
    <xdr:from>
      <xdr:col>18</xdr:col>
      <xdr:colOff>0</xdr:colOff>
      <xdr:row>81</xdr:row>
      <xdr:rowOff>0</xdr:rowOff>
    </xdr:from>
    <xdr:to>
      <xdr:col>26</xdr:col>
      <xdr:colOff>0</xdr:colOff>
      <xdr:row>95</xdr:row>
      <xdr:rowOff>0</xdr:rowOff>
    </xdr:to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5e241131914f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irginiaNormalizedTable" displayName="VirginiaNormalizedTable" ref="A4:BR137" headerRowCount="1" totalsRowCount="0" totalsRowShown="0">
  <x:tableColumns count="70">
    <x:tableColumn id="1" name="FIPS"/>
    <x:tableColumn id="2" name="County / independent city"/>
    <x:tableColumn id="3" name="State"/>
    <x:tableColumn id="4" name="Land area km²"/>
    <x:tableColumn id="5" name="野火全国百分位&#10;fraction"/>
    <x:tableColumn id="6" name="洪水损失率全国百分位&#10;fraction"/>
    <x:tableColumn id="7" name="基线水压力&#10;index 0-5"/>
    <x:tableColumn id="8" name="2050 BAU水压力&#10;index 0-5"/>
    <x:tableColumn id="9" name="低不透水土地比例&#10;fraction"/>
    <x:tableColumn id="10" name="GAP1/2保护地比例&#10;fraction"/>
    <x:tableColumn id="11" name="湿地陆地比例&#10;fraction"/>
    <x:tableColumn id="12" name="商业光纤100/20覆盖率&#10;fraction"/>
    <x:tableColumn id="13" name="商业光纤1000/100覆盖率&#10;fraction"/>
    <x:tableColumn id="14" name="劳动力人数&#10;persons"/>
    <x:tableColumn id="15" name="社会脆弱性百分位&#10;fraction"/>
    <x:tableColumn id="16" name="历史CDD65&#10;degF_day/year"/>
    <x:tableColumn id="17" name="历史&gt;90°F天数&#10;days/year"/>
    <x:tableColumn id="18" name="到Interstate距离&#10;km"/>
    <x:tableColumn id="19" name="到铁路距离&#10;km"/>
    <x:tableColumn id="20" name="州工业电价&#10;USD/MWh"/>
    <x:tableColumn id="21" name="州SAIDI不含重大事件日&#10;min/customer/year"/>
    <x:tableColumn id="22" name="州电网CO2e强度&#10;kgCO2e/MWh"/>
    <x:tableColumn id="23" name="野火全国百分位&#10;效用分0-100"/>
    <x:tableColumn id="24" name="洪水损失率全国百分位&#10;效用分0-100"/>
    <x:tableColumn id="25" name="基线水压力&#10;效用分0-100"/>
    <x:tableColumn id="26" name="2050 BAU水压力&#10;效用分0-100"/>
    <x:tableColumn id="27" name="低不透水土地比例&#10;效用分0-100"/>
    <x:tableColumn id="28" name="GAP1/2保护地比例&#10;效用分0-100"/>
    <x:tableColumn id="29" name="湿地陆地比例&#10;效用分0-100"/>
    <x:tableColumn id="30" name="商业光纤100/20覆盖率&#10;效用分0-100"/>
    <x:tableColumn id="31" name="商业光纤1000/100覆盖率&#10;效用分0-100"/>
    <x:tableColumn id="32" name="劳动力人数&#10;效用分0-100"/>
    <x:tableColumn id="33" name="社会脆弱性百分位&#10;效用分0-100"/>
    <x:tableColumn id="34" name="历史CDD65&#10;效用分0-100"/>
    <x:tableColumn id="35" name="历史&gt;90°F天数&#10;效用分0-100"/>
    <x:tableColumn id="36" name="到Interstate距离&#10;效用分0-100"/>
    <x:tableColumn id="37" name="到铁路距离&#10;效用分0-100"/>
    <x:tableColumn id="38" name="州工业电价&#10;效用分0-100"/>
    <x:tableColumn id="39" name="州SAIDI不含重大事件日&#10;效用分0-100"/>
    <x:tableColumn id="40" name="州电网CO2e强度&#10;效用分0-100"/>
    <x:tableColumn id="41" name="野火全国百分位&#10;边际惩罚因子"/>
    <x:tableColumn id="42" name="洪水损失率全国百分位&#10;边际惩罚因子"/>
    <x:tableColumn id="43" name="基线水压力&#10;边际惩罚因子"/>
    <x:tableColumn id="44" name="2050 BAU水压力&#10;边际惩罚因子"/>
    <x:tableColumn id="45" name="低不透水土地比例&#10;边际惩罚因子"/>
    <x:tableColumn id="46" name="GAP1/2保护地比例&#10;边际惩罚因子"/>
    <x:tableColumn id="47" name="湿地陆地比例&#10;边际惩罚因子"/>
    <x:tableColumn id="48" name="商业光纤100/20覆盖率&#10;边际惩罚因子"/>
    <x:tableColumn id="49" name="商业光纤1000/100覆盖率&#10;边际惩罚因子"/>
    <x:tableColumn id="50" name="劳动力人数&#10;边际惩罚因子"/>
    <x:tableColumn id="51" name="社会脆弱性百分位&#10;边际惩罚因子"/>
    <x:tableColumn id="52" name="历史CDD65&#10;边际惩罚因子"/>
    <x:tableColumn id="53" name="历史&gt;90°F天数&#10;边际惩罚因子"/>
    <x:tableColumn id="54" name="到Interstate距离&#10;边际惩罚因子"/>
    <x:tableColumn id="55" name="到铁路距离&#10;边际惩罚因子"/>
    <x:tableColumn id="56" name="州工业电价&#10;边际惩罚因子"/>
    <x:tableColumn id="57" name="州SAIDI不含重大事件日&#10;边际惩罚因子"/>
    <x:tableColumn id="58" name="州电网CO2e强度&#10;边际惩罚因子"/>
    <x:tableColumn id="59" name="气候风险&#10;维度分0-100"/>
    <x:tableColumn id="60" name="水资源&#10;维度分0-100"/>
    <x:tableColumn id="61" name="土地与生态&#10;维度分0-100"/>
    <x:tableColumn id="62" name="光纤&#10;维度分0-100"/>
    <x:tableColumn id="63" name="劳动力与社区&#10;维度分0-100"/>
    <x:tableColumn id="64" name="冷却气候&#10;维度分0-100"/>
    <x:tableColumn id="65" name="交通&#10;维度分0-100"/>
    <x:tableColumn id="66" name="能源与碳&#10;维度分0-100"/>
    <x:tableColumn id="67" name="Suitability&#10;0-100"/>
    <x:tableColumn id="68" name="Overall margin&#10;factor"/>
    <x:tableColumn id="69" name="Margin-adjusted&#10;suitability"/>
    <x:tableColumn id="70" name="Binding&#10;indi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orgiaNormalizedTable" displayName="GeorgiaNormalizedTable" ref="A4:BR163" headerRowCount="1" totalsRowCount="0" totalsRowShown="0">
  <x:tableColumns count="70">
    <x:tableColumn id="1" name="FIPS"/>
    <x:tableColumn id="2" name="County / independent city"/>
    <x:tableColumn id="3" name="State"/>
    <x:tableColumn id="4" name="Land area km²"/>
    <x:tableColumn id="5" name="野火全国百分位&#10;fraction"/>
    <x:tableColumn id="6" name="洪水损失率全国百分位&#10;fraction"/>
    <x:tableColumn id="7" name="基线水压力&#10;index 0-5"/>
    <x:tableColumn id="8" name="2050 BAU水压力&#10;index 0-5"/>
    <x:tableColumn id="9" name="低不透水土地比例&#10;fraction"/>
    <x:tableColumn id="10" name="GAP1/2保护地比例&#10;fraction"/>
    <x:tableColumn id="11" name="湿地陆地比例&#10;fraction"/>
    <x:tableColumn id="12" name="商业光纤100/20覆盖率&#10;fraction"/>
    <x:tableColumn id="13" name="商业光纤1000/100覆盖率&#10;fraction"/>
    <x:tableColumn id="14" name="劳动力人数&#10;persons"/>
    <x:tableColumn id="15" name="社会脆弱性百分位&#10;fraction"/>
    <x:tableColumn id="16" name="历史CDD65&#10;degF_day/year"/>
    <x:tableColumn id="17" name="历史&gt;90°F天数&#10;days/year"/>
    <x:tableColumn id="18" name="到Interstate距离&#10;km"/>
    <x:tableColumn id="19" name="到铁路距离&#10;km"/>
    <x:tableColumn id="20" name="州工业电价&#10;USD/MWh"/>
    <x:tableColumn id="21" name="州SAIDI不含重大事件日&#10;min/customer/year"/>
    <x:tableColumn id="22" name="州电网CO2e强度&#10;kgCO2e/MWh"/>
    <x:tableColumn id="23" name="野火全国百分位&#10;效用分0-100"/>
    <x:tableColumn id="24" name="洪水损失率全国百分位&#10;效用分0-100"/>
    <x:tableColumn id="25" name="基线水压力&#10;效用分0-100"/>
    <x:tableColumn id="26" name="2050 BAU水压力&#10;效用分0-100"/>
    <x:tableColumn id="27" name="低不透水土地比例&#10;效用分0-100"/>
    <x:tableColumn id="28" name="GAP1/2保护地比例&#10;效用分0-100"/>
    <x:tableColumn id="29" name="湿地陆地比例&#10;效用分0-100"/>
    <x:tableColumn id="30" name="商业光纤100/20覆盖率&#10;效用分0-100"/>
    <x:tableColumn id="31" name="商业光纤1000/100覆盖率&#10;效用分0-100"/>
    <x:tableColumn id="32" name="劳动力人数&#10;效用分0-100"/>
    <x:tableColumn id="33" name="社会脆弱性百分位&#10;效用分0-100"/>
    <x:tableColumn id="34" name="历史CDD65&#10;效用分0-100"/>
    <x:tableColumn id="35" name="历史&gt;90°F天数&#10;效用分0-100"/>
    <x:tableColumn id="36" name="到Interstate距离&#10;效用分0-100"/>
    <x:tableColumn id="37" name="到铁路距离&#10;效用分0-100"/>
    <x:tableColumn id="38" name="州工业电价&#10;效用分0-100"/>
    <x:tableColumn id="39" name="州SAIDI不含重大事件日&#10;效用分0-100"/>
    <x:tableColumn id="40" name="州电网CO2e强度&#10;效用分0-100"/>
    <x:tableColumn id="41" name="野火全国百分位&#10;边际惩罚因子"/>
    <x:tableColumn id="42" name="洪水损失率全国百分位&#10;边际惩罚因子"/>
    <x:tableColumn id="43" name="基线水压力&#10;边际惩罚因子"/>
    <x:tableColumn id="44" name="2050 BAU水压力&#10;边际惩罚因子"/>
    <x:tableColumn id="45" name="低不透水土地比例&#10;边际惩罚因子"/>
    <x:tableColumn id="46" name="GAP1/2保护地比例&#10;边际惩罚因子"/>
    <x:tableColumn id="47" name="湿地陆地比例&#10;边际惩罚因子"/>
    <x:tableColumn id="48" name="商业光纤100/20覆盖率&#10;边际惩罚因子"/>
    <x:tableColumn id="49" name="商业光纤1000/100覆盖率&#10;边际惩罚因子"/>
    <x:tableColumn id="50" name="劳动力人数&#10;边际惩罚因子"/>
    <x:tableColumn id="51" name="社会脆弱性百分位&#10;边际惩罚因子"/>
    <x:tableColumn id="52" name="历史CDD65&#10;边际惩罚因子"/>
    <x:tableColumn id="53" name="历史&gt;90°F天数&#10;边际惩罚因子"/>
    <x:tableColumn id="54" name="到Interstate距离&#10;边际惩罚因子"/>
    <x:tableColumn id="55" name="到铁路距离&#10;边际惩罚因子"/>
    <x:tableColumn id="56" name="州工业电价&#10;边际惩罚因子"/>
    <x:tableColumn id="57" name="州SAIDI不含重大事件日&#10;边际惩罚因子"/>
    <x:tableColumn id="58" name="州电网CO2e强度&#10;边际惩罚因子"/>
    <x:tableColumn id="59" name="气候风险&#10;维度分0-100"/>
    <x:tableColumn id="60" name="水资源&#10;维度分0-100"/>
    <x:tableColumn id="61" name="土地与生态&#10;维度分0-100"/>
    <x:tableColumn id="62" name="光纤&#10;维度分0-100"/>
    <x:tableColumn id="63" name="劳动力与社区&#10;维度分0-100"/>
    <x:tableColumn id="64" name="冷却气候&#10;维度分0-100"/>
    <x:tableColumn id="65" name="交通&#10;维度分0-100"/>
    <x:tableColumn id="66" name="能源与碳&#10;维度分0-100"/>
    <x:tableColumn id="67" name="Suitability&#10;0-100"/>
    <x:tableColumn id="68" name="Overall margin&#10;factor"/>
    <x:tableColumn id="69" name="Margin-adjusted&#10;suitability"/>
    <x:tableColumn id="70" name="Binding&#10;indic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c8d7991b52e49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da1133b902942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ddff47f3363475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" hidden="0" customWidth="1"/>
    <x:col min="20" max="20" width="24" hidden="0" customWidth="1"/>
    <x:col min="21" max="21" width="25" hidden="0" customWidth="1"/>
    <x:col min="23" max="23" width="15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2" t="str">
        <x:v>Normalization与Margin v0.3 分布审计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4" t="str">
        <x:v>Margin-adjusted suitability overview</x:v>
      </x:c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3" t="str">
        <x:v>292个县；按数据中心选址语义校准固定锚点；0=最不理想，100=最理想。审计标记只用于诊断，不是自动淘汰规则。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7" t="str">
        <x:v>State</x:v>
      </x:c>
      <x:c r="X4" s="7" t="str">
        <x:v>Counties</x:v>
      </x:c>
      <x:c r="Y4" s="7" t="str">
        <x:v>Mean suitability</x:v>
      </x:c>
      <x:c r="Z4" s="7" t="str">
        <x:v>Mean margin factor</x:v>
      </x:c>
      <x:c r="AA4" s="7" t="str">
        <x:v>Mean adjusted suitability</x:v>
      </x:c>
      <x:c r="AB4" s="7" t="str">
        <x:v>Mean reduction</x:v>
      </x:c>
      <x:c r="AC4" s="7" t="str">
        <x:v>At maximum reduction</x:v>
      </x:c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</x:row>
    <x:row r="5">
      <x:c r="A5" s="8" t="str">
        <x:v>Metric</x:v>
      </x:c>
      <x:c r="B5" s="8" t="str">
        <x:v>Direction</x:v>
      </x:c>
      <x:c r="C5" s="8" t="str">
        <x:v>Function</x:v>
      </x:c>
      <x:c r="D5" s="8" t="str">
        <x:v>Good T</x:v>
      </x:c>
      <x:c r="E5" s="8" t="str">
        <x:v>Bad L</x:v>
      </x:c>
      <x:c r="F5" s="8" t="str">
        <x:v>Raw min</x:v>
      </x:c>
      <x:c r="G5" s="8" t="str">
        <x:v>Raw max</x:v>
      </x:c>
      <x:c r="H5" s="8" t="str">
        <x:v>Unique</x:v>
      </x:c>
      <x:c r="I5" s="8" t="str">
        <x:v>Score min</x:v>
      </x:c>
      <x:c r="J5" s="8" t="str">
        <x:v>Score max</x:v>
      </x:c>
      <x:c r="K5" s="8" t="str">
        <x:v>Mean</x:v>
      </x:c>
      <x:c r="L5" s="8" t="str">
        <x:v>P5</x:v>
      </x:c>
      <x:c r="M5" s="8" t="str">
        <x:v>P25</x:v>
      </x:c>
      <x:c r="N5" s="8" t="str">
        <x:v>Median</x:v>
      </x:c>
      <x:c r="O5" s="8" t="str">
        <x:v>P75</x:v>
      </x:c>
      <x:c r="P5" s="8" t="str">
        <x:v>P95</x:v>
      </x:c>
      <x:c r="Q5" s="8" t="str">
        <x:v>0 score %</x:v>
      </x:c>
      <x:c r="R5" s="8" t="str">
        <x:v>100 score %</x:v>
      </x:c>
      <x:c r="S5" s="1"/>
      <x:c r="T5" s="9" t="str">
        <x:v>Metric</x:v>
      </x:c>
      <x:c r="U5" s="9" t="str">
        <x:v>Cutoff diagnostic</x:v>
      </x:c>
      <x:c r="V5" s="1"/>
      <x:c r="W5" s="1" t="str">
        <x:v>Virginia</x:v>
      </x:c>
      <x:c r="X5" s="1" t="n">
        <x:v>133</x:v>
      </x:c>
      <x:c r="Y5" s="12" t="n">
        <x:f>AVERAGE('Virginia normalized'!BO5:BO137)</x:f>
        <x:v>55.90666265393632</x:v>
      </x:c>
      <x:c r="Z5" s="11" t="n">
        <x:f>AVERAGE('Virginia normalized'!BP5:BP137)</x:f>
        <x:v>0.8094630144385618</x:v>
      </x:c>
      <x:c r="AA5" s="12" t="n">
        <x:f>AVERAGE('Virginia normalized'!BQ5:BQ137)</x:f>
        <x:v>45.31068753574286</x:v>
      </x:c>
      <x:c r="AB5" s="13" t="n">
        <x:f>1-AA5/Y5</x:f>
        <x:v>0.18952973787369176</x:v>
      </x:c>
      <x:c r="AC5" s="13" t="n">
        <x:f>COUNTIFS('Virginia normalized'!BP5:BP137,"&lt;=0.800000001")/X5</x:f>
        <x:v>0.6766917293233082</x:v>
      </x:c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</x:row>
    <x:row r="6">
      <x:c r="A6" s="10" t="str">
        <x:v>野火全国百分位</x:v>
      </x:c>
      <x:c r="B6" s="1" t="str">
        <x:v>low_better</x:v>
      </x:c>
      <x:c r="C6" s="1" t="str">
        <x:v>linear_clipped</x:v>
      </x:c>
      <x:c r="D6" s="11" t="n">
        <x:v>0.2</x:v>
      </x:c>
      <x:c r="E6" s="11" t="n">
        <x:v>0.9</x:v>
      </x:c>
      <x:c r="F6" s="11" t="n">
        <x:v>0.048</x:v>
      </x:c>
      <x:c r="G6" s="11" t="n">
        <x:v>0.912</x:v>
      </x:c>
      <x:c r="H6" s="1" t="n">
        <x:v>240</x:v>
      </x:c>
      <x:c r="I6" s="12" t="n">
        <x:v>0</x:v>
      </x:c>
      <x:c r="J6" s="12" t="n">
        <x:v>100</x:v>
      </x:c>
      <x:c r="K6" s="12" t="n">
        <x:v>55.31164383561647</x:v>
      </x:c>
      <x:c r="L6" s="12" t="n">
        <x:v>17.364285714285717</x:v>
      </x:c>
      <x:c r="M6" s="12" t="n">
        <x:v>39.42857142857144</x:v>
      </x:c>
      <x:c r="N6" s="12" t="n">
        <x:v>52.142857142857146</x:v>
      </x:c>
      <x:c r="O6" s="12" t="n">
        <x:v>74.57142857142858</x:v>
      </x:c>
      <x:c r="P6" s="12" t="n">
        <x:v>94.20714285714286</x:v>
      </x:c>
      <x:c r="Q6" s="13" t="n">
        <x:v>0.003424657534246575</x:v>
      </x:c>
      <x:c r="R6" s="13" t="n">
        <x:v>0.030821917808219176</x:v>
      </x:c>
      <x:c r="S6" s="1"/>
      <x:c r="T6" s="1" t="str">
        <x:v>野火全国百分位</x:v>
      </x:c>
      <x:c r="U6" s="1" t="str">
        <x:v>分布可用</x:v>
      </x:c>
      <x:c r="V6" s="1"/>
      <x:c r="W6" s="1" t="str">
        <x:v>Georgia</x:v>
      </x:c>
      <x:c r="X6" s="1" t="n">
        <x:v>159</x:v>
      </x:c>
      <x:c r="Y6" s="12" t="n">
        <x:f>AVERAGE('Georgia normalized'!BO5:BO163)</x:f>
        <x:v>60.92067439814589</x:v>
      </x:c>
      <x:c r="Z6" s="11" t="n">
        <x:f>AVERAGE('Georgia normalized'!BP5:BP163)</x:f>
        <x:v>0.8148480181161626</x:v>
      </x:c>
      <x:c r="AA6" s="12" t="n">
        <x:f>AVERAGE('Georgia normalized'!BQ5:BQ163)</x:f>
        <x:v>49.673313662346</x:v>
      </x:c>
      <x:c r="AB6" s="13" t="n">
        <x:f>1-AA6/Y6</x:f>
        <x:v>0.1846230503341605</x:v>
      </x:c>
      <x:c r="AC6" s="13" t="n">
        <x:f>COUNTIFS('Georgia normalized'!BP5:BP163,"&lt;=0.800000001")/X6</x:f>
        <x:v>0.5220125786163522</x:v>
      </x:c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</x:row>
    <x:row r="7">
      <x:c r="A7" s="10" t="str">
        <x:v>洪水损失率全国百分位</x:v>
      </x:c>
      <x:c r="B7" s="1" t="str">
        <x:v>low_better</x:v>
      </x:c>
      <x:c r="C7" s="1" t="str">
        <x:v>linear_clipped</x:v>
      </x:c>
      <x:c r="D7" s="11" t="n">
        <x:v>0.1</x:v>
      </x:c>
      <x:c r="E7" s="11" t="n">
        <x:v>0.8</x:v>
      </x:c>
      <x:c r="F7" s="11" t="n">
        <x:v>0.00618811881188119</x:v>
      </x:c>
      <x:c r="G7" s="11" t="n">
        <x:v>0.98855198019802</x:v>
      </x:c>
      <x:c r="H7" s="1" t="n">
        <x:v>292</x:v>
      </x:c>
      <x:c r="I7" s="12" t="n">
        <x:v>0</x:v>
      </x:c>
      <x:c r="J7" s="12" t="n">
        <x:v>100</x:v>
      </x:c>
      <x:c r="K7" s="12" t="n">
        <x:v>61.66318105636398</x:v>
      </x:c>
      <x:c r="L7" s="12" t="n">
        <x:v>0</x:v>
      </x:c>
      <x:c r="M7" s="12" t="n">
        <x:v>38.70226308345121</x:v>
      </x:c>
      <x:c r="N7" s="12" t="n">
        <x:v>71.74239745403113</x:v>
      </x:c>
      <x:c r="O7" s="12" t="n">
        <x:v>89.17963224893916</x:v>
      </x:c>
      <x:c r="P7" s="12" t="n">
        <x:v>100</x:v>
      </x:c>
      <x:c r="Q7" s="13" t="n">
        <x:v>0.10273972602739725</x:v>
      </x:c>
      <x:c r="R7" s="13" t="n">
        <x:v>0.1267123287671233</x:v>
      </x:c>
      <x:c r="S7" s="1"/>
      <x:c r="T7" s="1" t="str">
        <x:v>洪水损失率全国百分位</x:v>
      </x:c>
      <x:c r="U7" s="1" t="str">
        <x:v>分布可用</x:v>
      </x:c>
      <x:c r="V7" s="1"/>
      <x:c r="W7" s="1" t="str">
        <x:v>Combined</x:v>
      </x:c>
      <x:c r="X7" s="1" t="n">
        <x:v>292</x:v>
      </x:c>
      <x:c r="Y7" s="12" t="n">
        <x:f>(SUM('Virginia normalized'!BO5:BO137)+SUM('Georgia normalized'!BO5:BO163))/X7</x:f>
        <x:v>58.636895076297016</x:v>
      </x:c>
      <x:c r="Z7" s="11" t="n">
        <x:f>(SUM('Virginia normalized'!BP5:BP137)+SUM('Georgia normalized'!BP5:BP163))/X7</x:f>
        <x:v>0.8123952595917759</x:v>
      </x:c>
      <x:c r="AA7" s="12" t="n">
        <x:f>(SUM('Virginia normalized'!BQ5:BQ137)+SUM('Georgia normalized'!BQ5:BQ163))/X7</x:f>
        <x:v>47.68622710468087</x:v>
      </x:c>
      <x:c r="AB7" s="13" t="n">
        <x:f>1-AA7/Y7</x:f>
        <x:v>0.18675388520090264</x:v>
      </x:c>
      <x:c r="AC7" s="13" t="n">
        <x:f>(COUNTIFS('Virginia normalized'!BP5:BP137,"&lt;=0.800000001")+COUNTIFS('Georgia normalized'!BP5:BP163,"&lt;=0.800000001"))/X7</x:f>
        <x:v>0.5924657534246576</x:v>
      </x:c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</x:row>
    <x:row r="8">
      <x:c r="A8" s="10" t="str">
        <x:v>基线水压力</x:v>
      </x:c>
      <x:c r="B8" s="1" t="str">
        <x:v>low_better</x:v>
      </x:c>
      <x:c r="C8" s="1" t="str">
        <x:v>linear_clipped</x:v>
      </x:c>
      <x:c r="D8" s="11" t="n">
        <x:v>1</x:v>
      </x:c>
      <x:c r="E8" s="11" t="n">
        <x:v>4</x:v>
      </x:c>
      <x:c r="F8" s="11" t="n">
        <x:v>0.0013033921556378832</x:v>
      </x:c>
      <x:c r="G8" s="11" t="n">
        <x:v>3.802847971072168</x:v>
      </x:c>
      <x:c r="H8" s="1" t="n">
        <x:v>225</x:v>
      </x:c>
      <x:c r="I8" s="12" t="n">
        <x:v>6.571734297594404</x:v>
      </x:c>
      <x:c r="J8" s="12" t="n">
        <x:v>100</x:v>
      </x:c>
      <x:c r="K8" s="12" t="n">
        <x:v>56.0252165516376</x:v>
      </x:c>
      <x:c r="L8" s="12" t="n">
        <x:v>12.752031056207272</x:v>
      </x:c>
      <x:c r="M8" s="12" t="n">
        <x:v>38.847509326757</x:v>
      </x:c>
      <x:c r="N8" s="12" t="n">
        <x:v>52.946942473907846</x:v>
      </x:c>
      <x:c r="O8" s="12" t="n">
        <x:v>73.42564206698323</x:v>
      </x:c>
      <x:c r="P8" s="12" t="n">
        <x:v>100</x:v>
      </x:c>
      <x:c r="Q8" s="13" t="n">
        <x:v>0</x:v>
      </x:c>
      <x:c r="R8" s="13" t="n">
        <x:v>0.09246575342465753</x:v>
      </x:c>
      <x:c r="S8" s="1"/>
      <x:c r="T8" s="1" t="str">
        <x:v>基线水压力</x:v>
      </x:c>
      <x:c r="U8" s="1" t="str">
        <x:v>未触及一端</x:v>
      </x:c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</x:row>
    <x:row r="9">
      <x:c r="A9" s="10" t="str">
        <x:v>2050 BAU水压力</x:v>
      </x:c>
      <x:c r="B9" s="1" t="str">
        <x:v>low_better</x:v>
      </x:c>
      <x:c r="C9" s="1" t="str">
        <x:v>linear_clipped</x:v>
      </x:c>
      <x:c r="D9" s="11" t="n">
        <x:v>1</x:v>
      </x:c>
      <x:c r="E9" s="11" t="n">
        <x:v>4</x:v>
      </x:c>
      <x:c r="F9" s="11" t="n">
        <x:v>0.0017290514813823935</x:v>
      </x:c>
      <x:c r="G9" s="11" t="n">
        <x:v>4.058068907</x:v>
      </x:c>
      <x:c r="H9" s="1" t="n">
        <x:v>225</x:v>
      </x:c>
      <x:c r="I9" s="12" t="n">
        <x:v>0</x:v>
      </x:c>
      <x:c r="J9" s="12" t="n">
        <x:v>100</x:v>
      </x:c>
      <x:c r="K9" s="12" t="n">
        <x:v>52.756318806173205</x:v>
      </x:c>
      <x:c r="L9" s="12" t="n">
        <x:v>0.6620059333333355</x:v>
      </x:c>
      <x:c r="M9" s="12" t="n">
        <x:v>31.069430377982158</x:v>
      </x:c>
      <x:c r="N9" s="12" t="n">
        <x:v>49.2846839771062</x:v>
      </x:c>
      <x:c r="O9" s="12" t="n">
        <x:v>72.87617449974842</x:v>
      </x:c>
      <x:c r="P9" s="12" t="n">
        <x:v>100</x:v>
      </x:c>
      <x:c r="Q9" s="13" t="n">
        <x:v>0.0410958904109589</x:v>
      </x:c>
      <x:c r="R9" s="13" t="n">
        <x:v>0.09931506849315068</x:v>
      </x:c>
      <x:c r="S9" s="1"/>
      <x:c r="T9" s="1" t="str">
        <x:v>2050 BAU水压力</x:v>
      </x:c>
      <x:c r="U9" s="1" t="str">
        <x:v>分布可用</x:v>
      </x:c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</x:row>
    <x:row r="10">
      <x:c r="A10" s="10" t="str">
        <x:v>低不透水土地比例</x:v>
      </x:c>
      <x:c r="B10" s="1" t="str">
        <x:v>high_better</x:v>
      </x:c>
      <x:c r="C10" s="1" t="str">
        <x:v>linear_clipped</x:v>
      </x:c>
      <x:c r="D10" s="11" t="n">
        <x:v>0.98</x:v>
      </x:c>
      <x:c r="E10" s="11" t="n">
        <x:v>0.25</x:v>
      </x:c>
      <x:c r="F10" s="11" t="n">
        <x:v>0.05990927079423049</x:v>
      </x:c>
      <x:c r="G10" s="11" t="n">
        <x:v>0.9914187729070881</x:v>
      </x:c>
      <x:c r="H10" s="1" t="n">
        <x:v>292</x:v>
      </x:c>
      <x:c r="I10" s="12" t="n">
        <x:v>0</x:v>
      </x:c>
      <x:c r="J10" s="12" t="n">
        <x:v>100</x:v>
      </x:c>
      <x:c r="K10" s="12" t="n">
        <x:v>79.47132558216916</x:v>
      </x:c>
      <x:c r="L10" s="12" t="n">
        <x:v>0.5969758215435276</x:v>
      </x:c>
      <x:c r="M10" s="12" t="n">
        <x:v>79.59533642373884</x:v>
      </x:c>
      <x:c r="N10" s="12" t="n">
        <x:v>92.60489848470762</x:v>
      </x:c>
      <x:c r="O10" s="12" t="n">
        <x:v>95.88763172853184</x:v>
      </x:c>
      <x:c r="P10" s="12" t="n">
        <x:v>98.5878771004567</x:v>
      </x:c>
      <x:c r="Q10" s="13" t="n">
        <x:v>0.05136986301369863</x:v>
      </x:c>
      <x:c r="R10" s="13" t="n">
        <x:v>0.017123287671232876</x:v>
      </x:c>
      <x:c r="S10" s="1"/>
      <x:c r="T10" s="1" t="str">
        <x:v>低不透水土地比例</x:v>
      </x:c>
      <x:c r="U10" s="1" t="str">
        <x:v>分布可用</x:v>
      </x:c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</x:row>
    <x:row r="11">
      <x:c r="A11" s="10" t="str">
        <x:v>GAP1/2保护地比例</x:v>
      </x:c>
      <x:c r="B11" s="1" t="str">
        <x:v>low_better</x:v>
      </x:c>
      <x:c r="C11" s="1" t="str">
        <x:v>linear_clipped</x:v>
      </x:c>
      <x:c r="D11" s="11" t="n">
        <x:v>0</x:v>
      </x:c>
      <x:c r="E11" s="11" t="n">
        <x:v>0.25</x:v>
      </x:c>
      <x:c r="F11" s="11" t="n">
        <x:v>0</x:v>
      </x:c>
      <x:c r="G11" s="11" t="n">
        <x:v>0.4076650850818798</x:v>
      </x:c>
      <x:c r="H11" s="1" t="n">
        <x:v>252</x:v>
      </x:c>
      <x:c r="I11" s="12" t="n">
        <x:v>0</x:v>
      </x:c>
      <x:c r="J11" s="12" t="n">
        <x:v>100</x:v>
      </x:c>
      <x:c r="K11" s="12" t="n">
        <x:v>83.54256989716897</x:v>
      </x:c>
      <x:c r="L11" s="12" t="n">
        <x:v>20.38774461718493</x:v>
      </x:c>
      <x:c r="M11" s="12" t="n">
        <x:v>80.34970232623756</x:v>
      </x:c>
      <x:c r="N11" s="12" t="n">
        <x:v>93.23180544381785</x:v>
      </x:c>
      <x:c r="O11" s="12" t="n">
        <x:v>99.08043403415982</x:v>
      </x:c>
      <x:c r="P11" s="12" t="n">
        <x:v>100</x:v>
      </x:c>
      <x:c r="Q11" s="13" t="n">
        <x:v>0.030821917808219176</x:v>
      </x:c>
      <x:c r="R11" s="13" t="n">
        <x:v>0.1404109589041096</x:v>
      </x:c>
      <x:c r="S11" s="1"/>
      <x:c r="T11" s="1" t="str">
        <x:v>GAP1/2保护地比例</x:v>
      </x:c>
      <x:c r="U11" s="1" t="str">
        <x:v>分布可用</x:v>
      </x:c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</x:row>
    <x:row r="12">
      <x:c r="A12" s="10" t="str">
        <x:v>湿地陆地比例</x:v>
      </x:c>
      <x:c r="B12" s="1" t="str">
        <x:v>low_better</x:v>
      </x:c>
      <x:c r="C12" s="1" t="str">
        <x:v>linear_clipped</x:v>
      </x:c>
      <x:c r="D12" s="11" t="n">
        <x:v>0</x:v>
      </x:c>
      <x:c r="E12" s="11" t="n">
        <x:v>0.4</x:v>
      </x:c>
      <x:c r="F12" s="11" t="n">
        <x:v>0</x:v>
      </x:c>
      <x:c r="G12" s="11" t="n">
        <x:v>0.5816654672294297</x:v>
      </x:c>
      <x:c r="H12" s="1" t="n">
        <x:v>286</x:v>
      </x:c>
      <x:c r="I12" s="12" t="n">
        <x:v>0</x:v>
      </x:c>
      <x:c r="J12" s="12" t="n">
        <x:v>100</x:v>
      </x:c>
      <x:c r="K12" s="12" t="n">
        <x:v>73.09125823397689</x:v>
      </x:c>
      <x:c r="L12" s="12" t="n">
        <x:v>0</x:v>
      </x:c>
      <x:c r="M12" s="12" t="n">
        <x:v>55.65931668678935</x:v>
      </x:c>
      <x:c r="N12" s="12" t="n">
        <x:v>87.11719744613617</x:v>
      </x:c>
      <x:c r="O12" s="12" t="n">
        <x:v>98.91549172943786</x:v>
      </x:c>
      <x:c r="P12" s="12" t="n">
        <x:v>99.97043440699312</x:v>
      </x:c>
      <x:c r="Q12" s="13" t="n">
        <x:v>0.06164383561643835</x:v>
      </x:c>
      <x:c r="R12" s="13" t="n">
        <x:v>0.023972602739726026</x:v>
      </x:c>
      <x:c r="S12" s="1"/>
      <x:c r="T12" s="1" t="str">
        <x:v>湿地陆地比例</x:v>
      </x:c>
      <x:c r="U12" s="1" t="str">
        <x:v>分布可用</x:v>
      </x:c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</x:row>
    <x:row r="13">
      <x:c r="A13" s="10" t="str">
        <x:v>商业光纤100/20覆盖率</x:v>
      </x:c>
      <x:c r="B13" s="1" t="str">
        <x:v>high_better</x:v>
      </x:c>
      <x:c r="C13" s="1" t="str">
        <x:v>linear_clipped</x:v>
      </x:c>
      <x:c r="D13" s="11" t="n">
        <x:v>0.9</x:v>
      </x:c>
      <x:c r="E13" s="11" t="n">
        <x:v>0.2</x:v>
      </x:c>
      <x:c r="F13" s="11" t="n">
        <x:v>0.000330743</x:v>
      </x:c>
      <x:c r="G13" s="11" t="n">
        <x:v>1</x:v>
      </x:c>
      <x:c r="H13" s="1" t="n">
        <x:v>292</x:v>
      </x:c>
      <x:c r="I13" s="12" t="n">
        <x:v>0</x:v>
      </x:c>
      <x:c r="J13" s="12" t="n">
        <x:v>100</x:v>
      </x:c>
      <x:c r="K13" s="12" t="n">
        <x:v>53.67486070939334</x:v>
      </x:c>
      <x:c r="L13" s="12" t="n">
        <x:v>0</x:v>
      </x:c>
      <x:c r="M13" s="12" t="n">
        <x:v>26.718298285714283</x:v>
      </x:c>
      <x:c r="N13" s="12" t="n">
        <x:v>57.96479578571429</x:v>
      </x:c>
      <x:c r="O13" s="12" t="n">
        <x:v>81.33053164285715</x:v>
      </x:c>
      <x:c r="P13" s="12" t="n">
        <x:v>100</x:v>
      </x:c>
      <x:c r="Q13" s="13" t="n">
        <x:v>0.11301369863013698</x:v>
      </x:c>
      <x:c r="R13" s="13" t="n">
        <x:v>0.10616438356164383</x:v>
      </x:c>
      <x:c r="S13" s="1"/>
      <x:c r="T13" s="1" t="str">
        <x:v>商业光纤100/20覆盖率</x:v>
      </x:c>
      <x:c r="U13" s="1" t="str">
        <x:v>分布可用</x:v>
      </x:c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</x:row>
    <x:row r="14">
      <x:c r="A14" s="10" t="str">
        <x:v>商业光纤1000/100覆盖率</x:v>
      </x:c>
      <x:c r="B14" s="1" t="str">
        <x:v>high_better</x:v>
      </x:c>
      <x:c r="C14" s="1" t="str">
        <x:v>linear_clipped</x:v>
      </x:c>
      <x:c r="D14" s="11" t="n">
        <x:v>0.9</x:v>
      </x:c>
      <x:c r="E14" s="11" t="n">
        <x:v>0.1</x:v>
      </x:c>
      <x:c r="F14" s="11" t="n">
        <x:v>0</x:v>
      </x:c>
      <x:c r="G14" s="11" t="n">
        <x:v>1</x:v>
      </x:c>
      <x:c r="H14" s="1" t="n">
        <x:v>292</x:v>
      </x:c>
      <x:c r="I14" s="12" t="n">
        <x:v>0</x:v>
      </x:c>
      <x:c r="J14" s="12" t="n">
        <x:v>100</x:v>
      </x:c>
      <x:c r="K14" s="12" t="n">
        <x:v>52.49961927226032</x:v>
      </x:c>
      <x:c r="L14" s="12" t="n">
        <x:v>0</x:v>
      </x:c>
      <x:c r="M14" s="12" t="n">
        <x:v>22.82764434375</x:v>
      </x:c>
      <x:c r="N14" s="12" t="n">
        <x:v>55.480793750000004</x:v>
      </x:c>
      <x:c r="O14" s="12" t="n">
        <x:v>80.2756015625</x:v>
      </x:c>
      <x:c r="P14" s="12" t="n">
        <x:v>100</x:v>
      </x:c>
      <x:c r="Q14" s="13" t="n">
        <x:v>0.11643835616438356</x:v>
      </x:c>
      <x:c r="R14" s="13" t="n">
        <x:v>0.0958904109589041</x:v>
      </x:c>
      <x:c r="S14" s="1"/>
      <x:c r="T14" s="1" t="str">
        <x:v>商业光纤1000/100覆盖率</x:v>
      </x:c>
      <x:c r="U14" s="1" t="str">
        <x:v>分布可用</x:v>
      </x:c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</x:row>
    <x:row r="15">
      <x:c r="A15" s="10" t="str">
        <x:v>劳动力人数</x:v>
      </x:c>
      <x:c r="B15" s="1" t="str">
        <x:v>high_better</x:v>
      </x:c>
      <x:c r="C15" s="1" t="str">
        <x:v>log_linear_clipped</x:v>
      </x:c>
      <x:c r="D15" s="11" t="n">
        <x:v>150000</x:v>
      </x:c>
      <x:c r="E15" s="11" t="n">
        <x:v>2000</x:v>
      </x:c>
      <x:c r="F15" s="11" t="n">
        <x:v>688</x:v>
      </x:c>
      <x:c r="G15" s="11" t="n">
        <x:v>644674</x:v>
      </x:c>
      <x:c r="H15" s="1" t="n">
        <x:v>290</x:v>
      </x:c>
      <x:c r="I15" s="12" t="n">
        <x:v>0</x:v>
      </x:c>
      <x:c r="J15" s="12" t="n">
        <x:v>100</x:v>
      </x:c>
      <x:c r="K15" s="12" t="n">
        <x:v>42.99009053376052</x:v>
      </x:c>
      <x:c r="L15" s="12" t="n">
        <x:v>1.8993908176251582</x:v>
      </x:c>
      <x:c r="M15" s="12" t="n">
        <x:v>22.195469569698894</x:v>
      </x:c>
      <x:c r="N15" s="12" t="n">
        <x:v>40.02897222731481</x:v>
      </x:c>
      <x:c r="O15" s="12" t="n">
        <x:v>59.29483664350602</x:v>
      </x:c>
      <x:c r="P15" s="12" t="n">
        <x:v>97.96141499024338</x:v>
      </x:c>
      <x:c r="Q15" s="13" t="n">
        <x:v>0.04452054794520548</x:v>
      </x:c>
      <x:c r="R15" s="13" t="n">
        <x:v>0.04452054794520548</x:v>
      </x:c>
      <x:c r="S15" s="1"/>
      <x:c r="T15" s="1" t="str">
        <x:v>劳动力人数</x:v>
      </x:c>
      <x:c r="U15" s="1" t="str">
        <x:v>分布可用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</x:row>
    <x:row r="16">
      <x:c r="A16" s="10" t="str">
        <x:v>社会脆弱性百分位</x:v>
      </x:c>
      <x:c r="B16" s="1" t="str">
        <x:v>low_better</x:v>
      </x:c>
      <x:c r="C16" s="1" t="str">
        <x:v>linear_clipped</x:v>
      </x:c>
      <x:c r="D16" s="11" t="n">
        <x:v>0.05</x:v>
      </x:c>
      <x:c r="E16" s="11" t="n">
        <x:v>0.95</x:v>
      </x:c>
      <x:c r="F16" s="11" t="n">
        <x:v>0.0022</x:v>
      </x:c>
      <x:c r="G16" s="11" t="n">
        <x:v>0.9914</x:v>
      </x:c>
      <x:c r="H16" s="1" t="n">
        <x:v>291</x:v>
      </x:c>
      <x:c r="I16" s="12" t="n">
        <x:v>0</x:v>
      </x:c>
      <x:c r="J16" s="12" t="n">
        <x:v>100</x:v>
      </x:c>
      <x:c r="K16" s="12" t="n">
        <x:v>40.8756088280061</x:v>
      </x:c>
      <x:c r="L16" s="12" t="n">
        <x:v>0</x:v>
      </x:c>
      <x:c r="M16" s="12" t="n">
        <x:v>10.25833333333333</x:v>
      </x:c>
      <x:c r="N16" s="12" t="n">
        <x:v>32.82222222222222</x:v>
      </x:c>
      <x:c r="O16" s="12" t="n">
        <x:v>70.38333333333333</x:v>
      </x:c>
      <x:c r="P16" s="12" t="n">
        <x:v>98.50166666666667</x:v>
      </x:c>
      <x:c r="Q16" s="13" t="n">
        <x:v>0.08561643835616438</x:v>
      </x:c>
      <x:c r="R16" s="13" t="n">
        <x:v>0.030821917808219176</x:v>
      </x:c>
      <x:c r="S16" s="1"/>
      <x:c r="T16" s="1" t="str">
        <x:v>社会脆弱性百分位</x:v>
      </x:c>
      <x:c r="U16" s="1" t="str">
        <x:v>分布可用</x:v>
      </x:c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</x:row>
    <x:row r="17">
      <x:c r="A17" s="10" t="str">
        <x:v>历史CDD65</x:v>
      </x:c>
      <x:c r="B17" s="1" t="str">
        <x:v>low_better</x:v>
      </x:c>
      <x:c r="C17" s="1" t="str">
        <x:v>linear_clipped</x:v>
      </x:c>
      <x:c r="D17" s="11" t="n">
        <x:v>700</x:v>
      </x:c>
      <x:c r="E17" s="11" t="n">
        <x:v>2200</x:v>
      </x:c>
      <x:c r="F17" s="11" t="n">
        <x:v>275.7717076619466</x:v>
      </x:c>
      <x:c r="G17" s="11" t="n">
        <x:v>2498.705037434896</x:v>
      </x:c>
      <x:c r="H17" s="1" t="n">
        <x:v>290</x:v>
      </x:c>
      <x:c r="I17" s="12" t="n">
        <x:v>0</x:v>
      </x:c>
      <x:c r="J17" s="12" t="n">
        <x:v>100</x:v>
      </x:c>
      <x:c r="K17" s="12" t="n">
        <x:v>47.519608374004875</x:v>
      </x:c>
      <x:c r="L17" s="12" t="n">
        <x:v>0</x:v>
      </x:c>
      <x:c r="M17" s="12" t="n">
        <x:v>13.016509263780382</x:v>
      </x:c>
      <x:c r="N17" s="12" t="n">
        <x:v>51.19483127170139</x:v>
      </x:c>
      <x:c r="O17" s="12" t="n">
        <x:v>72.8883125813802</x:v>
      </x:c>
      <x:c r="P17" s="12" t="n">
        <x:v>100</x:v>
      </x:c>
      <x:c r="Q17" s="13" t="n">
        <x:v>0.1506849315068493</x:v>
      </x:c>
      <x:c r="R17" s="13" t="n">
        <x:v>0.10273972602739725</x:v>
      </x:c>
      <x:c r="S17" s="1"/>
      <x:c r="T17" s="1" t="str">
        <x:v>历史CDD65</x:v>
      </x:c>
      <x:c r="U17" s="1" t="str">
        <x:v>分布可用</x:v>
      </x:c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</x:row>
    <x:row r="18">
      <x:c r="A18" s="10" t="str">
        <x:v>历史&gt;90°F天数</x:v>
      </x:c>
      <x:c r="B18" s="1" t="str">
        <x:v>low_better</x:v>
      </x:c>
      <x:c r="C18" s="1" t="str">
        <x:v>linear_clipped</x:v>
      </x:c>
      <x:c r="D18" s="11" t="n">
        <x:v>5</x:v>
      </x:c>
      <x:c r="E18" s="11" t="n">
        <x:v>75</x:v>
      </x:c>
      <x:c r="F18" s="11" t="n">
        <x:v>0.3184066669394572</x:v>
      </x:c>
      <x:c r="G18" s="11" t="n">
        <x:v>85.41323394775391</x:v>
      </x:c>
      <x:c r="H18" s="1" t="n">
        <x:v>290</x:v>
      </x:c>
      <x:c r="I18" s="12" t="n">
        <x:v>0</x:v>
      </x:c>
      <x:c r="J18" s="12" t="n">
        <x:v>100</x:v>
      </x:c>
      <x:c r="K18" s="12" t="n">
        <x:v>52.51778079129011</x:v>
      </x:c>
      <x:c r="L18" s="12" t="n">
        <x:v>0</x:v>
      </x:c>
      <x:c r="M18" s="12" t="n">
        <x:v>19.58730443318685</x:v>
      </x:c>
      <x:c r="N18" s="12" t="n">
        <x:v>61.95377890268962</x:v>
      </x:c>
      <x:c r="O18" s="12" t="n">
        <x:v>76.85715902419317</x:v>
      </x:c>
      <x:c r="P18" s="12" t="n">
        <x:v>100</x:v>
      </x:c>
      <x:c r="Q18" s="13" t="n">
        <x:v>0.0821917808219178</x:v>
      </x:c>
      <x:c r="R18" s="13" t="n">
        <x:v>0.08904109589041095</x:v>
      </x:c>
      <x:c r="S18" s="1"/>
      <x:c r="T18" s="1" t="str">
        <x:v>历史&gt;90°F天数</x:v>
      </x:c>
      <x:c r="U18" s="1" t="str">
        <x:v>分布可用</x:v>
      </x:c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</x:row>
    <x:row r="19">
      <x:c r="A19" s="10" t="str">
        <x:v>到Interstate距离</x:v>
      </x:c>
      <x:c r="B19" s="1" t="str">
        <x:v>low_better</x:v>
      </x:c>
      <x:c r="C19" s="1" t="str">
        <x:v>linear_clipped</x:v>
      </x:c>
      <x:c r="D19" s="11" t="n">
        <x:v>5</x:v>
      </x:c>
      <x:c r="E19" s="11" t="n">
        <x:v>50</x:v>
      </x:c>
      <x:c r="F19" s="11" t="n">
        <x:v>0.1437519261483259</x:v>
      </x:c>
      <x:c r="G19" s="11" t="n">
        <x:v>95.30527625122483</x:v>
      </x:c>
      <x:c r="H19" s="1" t="n">
        <x:v>292</x:v>
      </x:c>
      <x:c r="I19" s="12" t="n">
        <x:v>0</x:v>
      </x:c>
      <x:c r="J19" s="12" t="n">
        <x:v>100</x:v>
      </x:c>
      <x:c r="K19" s="12" t="n">
        <x:v>59.86612847537007</x:v>
      </x:c>
      <x:c r="L19" s="12" t="n">
        <x:v>0</x:v>
      </x:c>
      <x:c r="M19" s="12" t="n">
        <x:v>28.707872363904972</x:v>
      </x:c>
      <x:c r="N19" s="12" t="n">
        <x:v>63.78752981330737</x:v>
      </x:c>
      <x:c r="O19" s="12" t="n">
        <x:v>100</x:v>
      </x:c>
      <x:c r="P19" s="12" t="n">
        <x:v>100</x:v>
      </x:c>
      <x:c r="Q19" s="13" t="n">
        <x:v>0.1404109589041096</x:v>
      </x:c>
      <x:c r="R19" s="13" t="n">
        <x:v>0.2602739726027397</x:v>
      </x:c>
      <x:c r="S19" s="1"/>
      <x:c r="T19" s="1" t="str">
        <x:v>到Interstate距离</x:v>
      </x:c>
      <x:c r="U19" s="1" t="str">
        <x:v>有意饱和：近距离视为等效</x:v>
      </x:c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</x:row>
    <x:row r="20">
      <x:c r="A20" s="10" t="str">
        <x:v>到铁路距离</x:v>
      </x:c>
      <x:c r="B20" s="1" t="str">
        <x:v>low_better</x:v>
      </x:c>
      <x:c r="C20" s="1" t="str">
        <x:v>linear_clipped</x:v>
      </x:c>
      <x:c r="D20" s="11" t="n">
        <x:v>1</x:v>
      </x:c>
      <x:c r="E20" s="11" t="n">
        <x:v>20</x:v>
      </x:c>
      <x:c r="F20" s="11" t="n">
        <x:v>0.008165487901422798</x:v>
      </x:c>
      <x:c r="G20" s="11" t="n">
        <x:v>51.23331770793625</x:v>
      </x:c>
      <x:c r="H20" s="1" t="n">
        <x:v>292</x:v>
      </x:c>
      <x:c r="I20" s="12" t="n">
        <x:v>0</x:v>
      </x:c>
      <x:c r="J20" s="12" t="n">
        <x:v>100</x:v>
      </x:c>
      <x:c r="K20" s="12" t="n">
        <x:v>74.38908862304926</x:v>
      </x:c>
      <x:c r="L20" s="12" t="n">
        <x:v>0</x:v>
      </x:c>
      <x:c r="M20" s="12" t="n">
        <x:v>57.40573949909302</x:v>
      </x:c>
      <x:c r="N20" s="12" t="n">
        <x:v>90.6565800815248</x:v>
      </x:c>
      <x:c r="O20" s="12" t="n">
        <x:v>100</x:v>
      </x:c>
      <x:c r="P20" s="12" t="n">
        <x:v>100</x:v>
      </x:c>
      <x:c r="Q20" s="13" t="n">
        <x:v>0.07191780821917808</x:v>
      </x:c>
      <x:c r="R20" s="13" t="n">
        <x:v>0.2671232876712329</x:v>
      </x:c>
      <x:c r="S20" s="1"/>
      <x:c r="T20" s="1" t="str">
        <x:v>到铁路距离</x:v>
      </x:c>
      <x:c r="U20" s="1" t="str">
        <x:v>有意饱和：近距离视为等效</x:v>
      </x:c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</x:row>
    <x:row r="21">
      <x:c r="A21" s="10" t="str">
        <x:v>州工业电价</x:v>
      </x:c>
      <x:c r="B21" s="1" t="str">
        <x:v>low_better</x:v>
      </x:c>
      <x:c r="C21" s="1" t="str">
        <x:v>linear_clipped</x:v>
      </x:c>
      <x:c r="D21" s="11" t="n">
        <x:v>65</x:v>
      </x:c>
      <x:c r="E21" s="11" t="n">
        <x:v>120</x:v>
      </x:c>
      <x:c r="F21" s="11" t="n">
        <x:v>72.1</x:v>
      </x:c>
      <x:c r="G21" s="11" t="n">
        <x:v>89.9</x:v>
      </x:c>
      <x:c r="H21" s="1" t="n">
        <x:v>2</x:v>
      </x:c>
      <x:c r="I21" s="12" t="n">
        <x:v>54.72727272727271</x:v>
      </x:c>
      <x:c r="J21" s="12" t="n">
        <x:v>87.0909090909091</x:v>
      </x:c>
      <x:c r="K21" s="12" t="n">
        <x:v>72.34993773349949</x:v>
      </x:c>
      <x:c r="L21" s="12" t="n">
        <x:v>54.72727272727271</x:v>
      </x:c>
      <x:c r="M21" s="12" t="n">
        <x:v>54.72727272727271</x:v>
      </x:c>
      <x:c r="N21" s="12" t="n">
        <x:v>87.0909090909091</x:v>
      </x:c>
      <x:c r="O21" s="12" t="n">
        <x:v>87.0909090909091</x:v>
      </x:c>
      <x:c r="P21" s="12" t="n">
        <x:v>87.0909090909091</x:v>
      </x:c>
      <x:c r="Q21" s="13" t="n">
        <x:v>0</x:v>
      </x:c>
      <x:c r="R21" s="13" t="n">
        <x:v>0</x:v>
      </x:c>
      <x:c r="S21" s="1"/>
      <x:c r="T21" s="1" t="str">
        <x:v>州工业电价</x:v>
      </x:c>
      <x:c r="U21" s="1" t="str">
        <x:v>州级代理：仅2个取值</x:v>
      </x:c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</x:row>
    <x:row r="22">
      <x:c r="A22" s="10" t="str">
        <x:v>州SAIDI不含重大事件日</x:v>
      </x:c>
      <x:c r="B22" s="1" t="str">
        <x:v>low_better</x:v>
      </x:c>
      <x:c r="C22" s="1" t="str">
        <x:v>linear_clipped</x:v>
      </x:c>
      <x:c r="D22" s="11" t="n">
        <x:v>100</x:v>
      </x:c>
      <x:c r="E22" s="11" t="n">
        <x:v>300</x:v>
      </x:c>
      <x:c r="F22" s="11" t="n">
        <x:v>211.4154781728841</x:v>
      </x:c>
      <x:c r="G22" s="11" t="n">
        <x:v>245.07712999476223</x:v>
      </x:c>
      <x:c r="H22" s="1" t="n">
        <x:v>2</x:v>
      </x:c>
      <x:c r="I22" s="12" t="n">
        <x:v>27.461435002618884</x:v>
      </x:c>
      <x:c r="J22" s="12" t="n">
        <x:v>44.29226091355795</x:v>
      </x:c>
      <x:c r="K22" s="12" t="n">
        <x:v>36.6261655500138</x:v>
      </x:c>
      <x:c r="L22" s="12" t="n">
        <x:v>27.461435002618884</x:v>
      </x:c>
      <x:c r="M22" s="12" t="n">
        <x:v>27.461435002618884</x:v>
      </x:c>
      <x:c r="N22" s="12" t="n">
        <x:v>44.29226091355795</x:v>
      </x:c>
      <x:c r="O22" s="12" t="n">
        <x:v>44.29226091355795</x:v>
      </x:c>
      <x:c r="P22" s="12" t="n">
        <x:v>44.29226091355795</x:v>
      </x:c>
      <x:c r="Q22" s="13" t="n">
        <x:v>0</x:v>
      </x:c>
      <x:c r="R22" s="13" t="n">
        <x:v>0</x:v>
      </x:c>
      <x:c r="S22" s="1"/>
      <x:c r="T22" s="1" t="str">
        <x:v>州SAIDI不含重大事件日</x:v>
      </x:c>
      <x:c r="U22" s="1" t="str">
        <x:v>州级代理：仅2个取值</x:v>
      </x:c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</x:row>
    <x:row r="23">
      <x:c r="A23" s="10" t="str">
        <x:v>州电网CO2e强度</x:v>
      </x:c>
      <x:c r="B23" s="1" t="str">
        <x:v>low_better</x:v>
      </x:c>
      <x:c r="C23" s="1" t="str">
        <x:v>linear_clipped</x:v>
      </x:c>
      <x:c r="D23" s="11" t="n">
        <x:v>200</x:v>
      </x:c>
      <x:c r="E23" s="11" t="n">
        <x:v>600</x:v>
      </x:c>
      <x:c r="F23" s="11" t="n">
        <x:v>244.75798925963002</x:v>
      </x:c>
      <x:c r="G23" s="11" t="n">
        <x:v>325.42757789465</x:v>
      </x:c>
      <x:c r="H23" s="1" t="n">
        <x:v>2</x:v>
      </x:c>
      <x:c r="I23" s="12" t="n">
        <x:v>68.6431055263375</x:v>
      </x:c>
      <x:c r="J23" s="12" t="n">
        <x:v>88.8105026850925</x:v>
      </x:c>
      <x:c r="K23" s="12" t="n">
        <x:v>77.82894053357901</x:v>
      </x:c>
      <x:c r="L23" s="12" t="n">
        <x:v>68.6431055263375</x:v>
      </x:c>
      <x:c r="M23" s="12" t="n">
        <x:v>68.6431055263375</x:v>
      </x:c>
      <x:c r="N23" s="12" t="n">
        <x:v>68.6431055263375</x:v>
      </x:c>
      <x:c r="O23" s="12" t="n">
        <x:v>88.8105026850925</x:v>
      </x:c>
      <x:c r="P23" s="12" t="n">
        <x:v>88.8105026850925</x:v>
      </x:c>
      <x:c r="Q23" s="13" t="n">
        <x:v>0</x:v>
      </x:c>
      <x:c r="R23" s="13" t="n">
        <x:v>0</x:v>
      </x:c>
      <x:c r="S23" s="1"/>
      <x:c r="T23" s="1" t="str">
        <x:v>州电网CO2e强度</x:v>
      </x:c>
      <x:c r="U23" s="1" t="str">
        <x:v>州级代理：仅2个取值</x:v>
      </x:c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2:R2"/>
    <x:mergeCell ref="A3:R3"/>
    <x:mergeCell ref="W2:AC2"/>
  </x:mergeCells>
  <x:conditionalFormatting sqref="U6:U23">
    <x:cfRule type="containsText" dxfId="0" priority="1" operator="containsText" text="检查"/>
    <x:cfRule type="containsText" dxfId="1" priority="2" operator="containsText" text="州级"/>
    <x:cfRule type="containsText" dxfId="2" priority="3" operator="containsText" text="分布可用"/>
    <x:cfRule type="containsText" dxfId="3" priority="4" operator="containsText" text="有意饱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3" hidden="0" customWidth="1"/>
    <x:col min="5" max="5" width="34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2" t="str">
        <x:v>Suitability weights and safety-margin 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>
      <x:c r="A4" s="9" t="str">
        <x:v>Parameter</x:v>
      </x:c>
      <x:c r="B4" s="9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</x:row>
    <x:row r="5">
      <x:c r="A5" s="1" t="str">
        <x:v>Maximum margin reduction λM</x:v>
      </x:c>
      <x:c r="B5" s="16" t="n">
        <x:v>0.2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</x:row>
    <x:row r="6">
      <x:c r="A6" s="1" t="str">
        <x:v>Overall aggregation</x:v>
      </x:c>
      <x:c r="B6" s="1" t="str">
        <x:v>Minimum factor across included indicators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</x:row>
    <x:row r="8" ht="42" customHeight="1">
      <x:c r="A8" s="9" t="str">
        <x:v>Dimension ID</x:v>
      </x:c>
      <x:c r="B8" s="9" t="str">
        <x:v>Dimension</x:v>
      </x:c>
      <x:c r="C8" s="9" t="str">
        <x:v>Customer weight</x:v>
      </x:c>
      <x:c r="D8" s="1"/>
      <x:c r="E8" s="8" t="str">
        <x:v>Metric ID</x:v>
      </x:c>
      <x:c r="F8" s="8" t="str">
        <x:v>Indicator</x:v>
      </x:c>
      <x:c r="G8" s="8" t="str">
        <x:v>Dimension</x:v>
      </x:c>
      <x:c r="H8" s="8" t="str">
        <x:v>Direction</x:v>
      </x:c>
      <x:c r="I8" s="8" t="str">
        <x:v>Raw boundary (Bad L)</x:v>
      </x:c>
      <x:c r="J8" s="8" t="str">
        <x:v>Full-safety anchor (Good T)</x:v>
      </x:c>
      <x:c r="K8" s="8" t="str">
        <x:v>Threshold score τ</x:v>
      </x:c>
      <x:c r="L8" s="8" t="str">
        <x:v>Include in margin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</x:row>
    <x:row r="9">
      <x:c r="A9" s="1" t="str">
        <x:v>climate_risk</x:v>
      </x:c>
      <x:c r="B9" s="1" t="str">
        <x:v>气候风险</x:v>
      </x:c>
      <x:c r="C9" s="16" t="n">
        <x:v>0.1</x:v>
      </x:c>
      <x:c r="D9" s="1"/>
      <x:c r="E9" s="1" t="str">
        <x:v>wildfire_bp_national_percentile</x:v>
      </x:c>
      <x:c r="F9" s="1" t="str">
        <x:v>野火全国百分位</x:v>
      </x:c>
      <x:c r="G9" s="1" t="str">
        <x:v>climate_risk</x:v>
      </x:c>
      <x:c r="H9" s="1" t="str">
        <x:v>low_better</x:v>
      </x:c>
      <x:c r="I9" s="21" t="n">
        <x:f>'Anchors'!H6</x:f>
        <x:v>0.9</x:v>
      </x:c>
      <x:c r="J9" s="21" t="n">
        <x:f>'Anchors'!G6</x:f>
        <x:v>0.2</x:v>
      </x:c>
      <x:c r="K9" s="22" t="n">
        <x:v>0</x:v>
      </x:c>
      <x:c r="L9" s="22" t="n">
        <x:v>1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</x:row>
    <x:row r="10">
      <x:c r="A10" s="1" t="str">
        <x:v>water</x:v>
      </x:c>
      <x:c r="B10" s="1" t="str">
        <x:v>水资源</x:v>
      </x:c>
      <x:c r="C10" s="16" t="n">
        <x:v>0.2</x:v>
      </x:c>
      <x:c r="D10" s="1"/>
      <x:c r="E10" s="1" t="str">
        <x:v>inland_flood_loss_rate_percentile</x:v>
      </x:c>
      <x:c r="F10" s="1" t="str">
        <x:v>洪水损失率全国百分位</x:v>
      </x:c>
      <x:c r="G10" s="1" t="str">
        <x:v>climate_risk</x:v>
      </x:c>
      <x:c r="H10" s="1" t="str">
        <x:v>low_better</x:v>
      </x:c>
      <x:c r="I10" s="21" t="n">
        <x:f>'Anchors'!H7</x:f>
        <x:v>0.8</x:v>
      </x:c>
      <x:c r="J10" s="21" t="n">
        <x:f>'Anchors'!G7</x:f>
        <x:v>0.1</x:v>
      </x:c>
      <x:c r="K10" s="22" t="n">
        <x:v>0</x:v>
      </x:c>
      <x:c r="L10" s="22" t="n">
        <x:v>1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</x:row>
    <x:row r="11">
      <x:c r="A11" s="1" t="str">
        <x:v>land_ecology</x:v>
      </x:c>
      <x:c r="B11" s="1" t="str">
        <x:v>土地与生态</x:v>
      </x:c>
      <x:c r="C11" s="16" t="n">
        <x:v>0.1</x:v>
      </x:c>
      <x:c r="D11" s="1"/>
      <x:c r="E11" s="1" t="str">
        <x:v>baseline_water_stress</x:v>
      </x:c>
      <x:c r="F11" s="1" t="str">
        <x:v>基线水压力</x:v>
      </x:c>
      <x:c r="G11" s="1" t="str">
        <x:v>water</x:v>
      </x:c>
      <x:c r="H11" s="1" t="str">
        <x:v>low_better</x:v>
      </x:c>
      <x:c r="I11" s="21" t="n">
        <x:f>'Anchors'!H8</x:f>
        <x:v>4</x:v>
      </x:c>
      <x:c r="J11" s="21" t="n">
        <x:f>'Anchors'!G8</x:f>
        <x:v>1</x:v>
      </x:c>
      <x:c r="K11" s="22" t="n">
        <x:v>0</x:v>
      </x:c>
      <x:c r="L11" s="22" t="n">
        <x:v>1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</x:row>
    <x:row r="12">
      <x:c r="A12" s="1" t="str">
        <x:v>fiber</x:v>
      </x:c>
      <x:c r="B12" s="1" t="str">
        <x:v>光纤</x:v>
      </x:c>
      <x:c r="C12" s="16" t="n">
        <x:v>0.1</x:v>
      </x:c>
      <x:c r="D12" s="1"/>
      <x:c r="E12" s="1" t="str">
        <x:v>water_stress_2050_bau</x:v>
      </x:c>
      <x:c r="F12" s="1" t="str">
        <x:v>2050 BAU水压力</x:v>
      </x:c>
      <x:c r="G12" s="1" t="str">
        <x:v>water</x:v>
      </x:c>
      <x:c r="H12" s="1" t="str">
        <x:v>low_better</x:v>
      </x:c>
      <x:c r="I12" s="21" t="n">
        <x:f>'Anchors'!H9</x:f>
        <x:v>4</x:v>
      </x:c>
      <x:c r="J12" s="21" t="n">
        <x:f>'Anchors'!G9</x:f>
        <x:v>1</x:v>
      </x:c>
      <x:c r="K12" s="22" t="n">
        <x:v>0</x:v>
      </x:c>
      <x:c r="L12" s="22" t="n">
        <x:v>1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</x:row>
    <x:row r="13">
      <x:c r="A13" s="1" t="str">
        <x:v>workforce_community</x:v>
      </x:c>
      <x:c r="B13" s="1" t="str">
        <x:v>劳动力与社区</x:v>
      </x:c>
      <x:c r="C13" s="16" t="n">
        <x:v>0.1</x:v>
      </x:c>
      <x:c r="D13" s="1"/>
      <x:c r="E13" s="1" t="str">
        <x:v>low_impervious_land_share</x:v>
      </x:c>
      <x:c r="F13" s="1" t="str">
        <x:v>低不透水土地比例</x:v>
      </x:c>
      <x:c r="G13" s="1" t="str">
        <x:v>land_ecology</x:v>
      </x:c>
      <x:c r="H13" s="1" t="str">
        <x:v>high_better</x:v>
      </x:c>
      <x:c r="I13" s="21" t="n">
        <x:f>'Anchors'!H10</x:f>
        <x:v>0.25</x:v>
      </x:c>
      <x:c r="J13" s="21" t="n">
        <x:f>'Anchors'!G10</x:f>
        <x:v>0.98</x:v>
      </x:c>
      <x:c r="K13" s="22" t="n">
        <x:v>0</x:v>
      </x:c>
      <x:c r="L13" s="22" t="n">
        <x:v>1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</x:row>
    <x:row r="14">
      <x:c r="A14" s="1" t="str">
        <x:v>cooling_climate</x:v>
      </x:c>
      <x:c r="B14" s="1" t="str">
        <x:v>冷却气候</x:v>
      </x:c>
      <x:c r="C14" s="16" t="n">
        <x:v>0.05</x:v>
      </x:c>
      <x:c r="D14" s="1"/>
      <x:c r="E14" s="1" t="str">
        <x:v>gap12_protected_land_share</x:v>
      </x:c>
      <x:c r="F14" s="1" t="str">
        <x:v>GAP1/2保护地比例</x:v>
      </x:c>
      <x:c r="G14" s="1" t="str">
        <x:v>land_ecology</x:v>
      </x:c>
      <x:c r="H14" s="1" t="str">
        <x:v>low_better</x:v>
      </x:c>
      <x:c r="I14" s="21" t="n">
        <x:f>'Anchors'!H11</x:f>
        <x:v>0.25</x:v>
      </x:c>
      <x:c r="J14" s="21" t="n">
        <x:f>'Anchors'!G11</x:f>
        <x:v>0</x:v>
      </x:c>
      <x:c r="K14" s="22" t="n">
        <x:v>0</x:v>
      </x:c>
      <x:c r="L14" s="22" t="n">
        <x:v>1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</x:row>
    <x:row r="15">
      <x:c r="A15" s="1" t="str">
        <x:v>transportation</x:v>
      </x:c>
      <x:c r="B15" s="1" t="str">
        <x:v>交通</x:v>
      </x:c>
      <x:c r="C15" s="16" t="n">
        <x:v>0.05</x:v>
      </x:c>
      <x:c r="D15" s="1"/>
      <x:c r="E15" s="1" t="str">
        <x:v>wetland_land_share</x:v>
      </x:c>
      <x:c r="F15" s="1" t="str">
        <x:v>湿地陆地比例</x:v>
      </x:c>
      <x:c r="G15" s="1" t="str">
        <x:v>land_ecology</x:v>
      </x:c>
      <x:c r="H15" s="1" t="str">
        <x:v>low_better</x:v>
      </x:c>
      <x:c r="I15" s="21" t="n">
        <x:f>'Anchors'!H12</x:f>
        <x:v>0.4</x:v>
      </x:c>
      <x:c r="J15" s="21" t="n">
        <x:f>'Anchors'!G12</x:f>
        <x:v>0</x:v>
      </x:c>
      <x:c r="K15" s="22" t="n">
        <x:v>0</x:v>
      </x:c>
      <x:c r="L15" s="22" t="n">
        <x:v>1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</x:row>
    <x:row r="16">
      <x:c r="A16" s="1" t="str">
        <x:v>energy_carbon</x:v>
      </x:c>
      <x:c r="B16" s="1" t="str">
        <x:v>能源与碳</x:v>
      </x:c>
      <x:c r="C16" s="16" t="n">
        <x:v>0.3</x:v>
      </x:c>
      <x:c r="D16" s="1"/>
      <x:c r="E16" s="1" t="str">
        <x:v>fiber_business_100_20_availability</x:v>
      </x:c>
      <x:c r="F16" s="1" t="str">
        <x:v>商业光纤100/20覆盖率</x:v>
      </x:c>
      <x:c r="G16" s="1" t="str">
        <x:v>fiber</x:v>
      </x:c>
      <x:c r="H16" s="1" t="str">
        <x:v>high_better</x:v>
      </x:c>
      <x:c r="I16" s="21" t="n">
        <x:f>'Anchors'!H13</x:f>
        <x:v>0.2</x:v>
      </x:c>
      <x:c r="J16" s="21" t="n">
        <x:f>'Anchors'!G13</x:f>
        <x:v>0.9</x:v>
      </x:c>
      <x:c r="K16" s="22" t="n">
        <x:v>0</x:v>
      </x:c>
      <x:c r="L16" s="22" t="n">
        <x:v>1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</x:row>
    <x:row r="17">
      <x:c r="A17" s="1" t="str"/>
      <x:c r="B17" s="1" t="str">
        <x:v>Weight total</x:v>
      </x:c>
      <x:c r="C17" s="19" t="n">
        <x:f>SUM(C9:C16)</x:f>
        <x:v>1</x:v>
      </x:c>
      <x:c r="D17" s="1"/>
      <x:c r="E17" s="1" t="str">
        <x:v>fiber_business_1000_100_availability</x:v>
      </x:c>
      <x:c r="F17" s="1" t="str">
        <x:v>商业光纤1000/100覆盖率</x:v>
      </x:c>
      <x:c r="G17" s="1" t="str">
        <x:v>fiber</x:v>
      </x:c>
      <x:c r="H17" s="1" t="str">
        <x:v>high_better</x:v>
      </x:c>
      <x:c r="I17" s="21" t="n">
        <x:f>'Anchors'!H14</x:f>
        <x:v>0.1</x:v>
      </x:c>
      <x:c r="J17" s="21" t="n">
        <x:f>'Anchors'!G14</x:f>
        <x:v>0.9</x:v>
      </x:c>
      <x:c r="K17" s="22" t="n">
        <x:v>0</x:v>
      </x:c>
      <x:c r="L17" s="22" t="n">
        <x:v>1</x:v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</x:row>
    <x:row r="18">
      <x:c r="A18" s="1"/>
      <x:c r="B18" s="1"/>
      <x:c r="C18" s="1"/>
      <x:c r="D18" s="1"/>
      <x:c r="E18" s="1" t="str">
        <x:v>labor_force</x:v>
      </x:c>
      <x:c r="F18" s="1" t="str">
        <x:v>劳动力人数</x:v>
      </x:c>
      <x:c r="G18" s="1" t="str">
        <x:v>workforce_community</x:v>
      </x:c>
      <x:c r="H18" s="1" t="str">
        <x:v>high_better</x:v>
      </x:c>
      <x:c r="I18" s="21" t="n">
        <x:f>'Anchors'!H15</x:f>
        <x:v>2000</x:v>
      </x:c>
      <x:c r="J18" s="21" t="n">
        <x:f>'Anchors'!G15</x:f>
        <x:v>150000</x:v>
      </x:c>
      <x:c r="K18" s="22" t="n">
        <x:v>0</x:v>
      </x:c>
      <x:c r="L18" s="22" t="n">
        <x:v>1</x:v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</x:row>
    <x:row r="19">
      <x:c r="A19" s="9" t="str">
        <x:v>Method</x:v>
      </x:c>
      <x:c r="B19" s="9" t="str">
        <x:v>Formula</x:v>
      </x:c>
      <x:c r="C19" s="9" t="str">
        <x:v>Meaning</x:v>
      </x:c>
      <x:c r="D19" s="1"/>
      <x:c r="E19" s="1" t="str">
        <x:v>social_vulnerability_percentile</x:v>
      </x:c>
      <x:c r="F19" s="1" t="str">
        <x:v>社会脆弱性百分位</x:v>
      </x:c>
      <x:c r="G19" s="1" t="str">
        <x:v>workforce_community</x:v>
      </x:c>
      <x:c r="H19" s="1" t="str">
        <x:v>low_better</x:v>
      </x:c>
      <x:c r="I19" s="21" t="n">
        <x:f>'Anchors'!H16</x:f>
        <x:v>0.95</x:v>
      </x:c>
      <x:c r="J19" s="21" t="n">
        <x:f>'Anchors'!G16</x:f>
        <x:v>0.05</x:v>
      </x:c>
      <x:c r="K19" s="22" t="n">
        <x:v>0</x:v>
      </x:c>
      <x:c r="L19" s="22" t="n">
        <x:v>1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</x:row>
    <x:row r="20" ht="32" customHeight="1">
      <x:c r="A20" s="23" t="str">
        <x:v>Indicator margin</x:v>
      </x:c>
      <x:c r="B20" s="23" t="str">
        <x:v>m = clip((u-τ)/(100-τ),0,1)</x:v>
      </x:c>
      <x:c r="C20" s="23" t="str">
        <x:v>0 means at the scoring boundary; 1 means full safety</x:v>
      </x:c>
      <x:c r="D20" s="1"/>
      <x:c r="E20" s="1" t="str">
        <x:v>historical_cdd65</x:v>
      </x:c>
      <x:c r="F20" s="1" t="str">
        <x:v>历史CDD65</x:v>
      </x:c>
      <x:c r="G20" s="1" t="str">
        <x:v>cooling_climate</x:v>
      </x:c>
      <x:c r="H20" s="1" t="str">
        <x:v>low_better</x:v>
      </x:c>
      <x:c r="I20" s="21" t="n">
        <x:f>'Anchors'!H17</x:f>
        <x:v>2200</x:v>
      </x:c>
      <x:c r="J20" s="21" t="n">
        <x:f>'Anchors'!G17</x:f>
        <x:v>700</x:v>
      </x:c>
      <x:c r="K20" s="22" t="n">
        <x:v>0</x:v>
      </x:c>
      <x:c r="L20" s="22" t="n">
        <x:v>1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</x:row>
    <x:row r="21" ht="32" customHeight="1">
      <x:c r="A21" s="23" t="str">
        <x:v>Indicator penalty factor</x:v>
      </x:c>
      <x:c r="B21" s="23" t="str">
        <x:v>A = 1-λM(1-m)</x:v>
      </x:c>
      <x:c r="C21" s="23" t="str">
        <x:v>With λM=20%, each factor ranges from 0.8 to 1.0</x:v>
      </x:c>
      <x:c r="D21" s="1"/>
      <x:c r="E21" s="1" t="str">
        <x:v>historical_days_tmax_gt90f</x:v>
      </x:c>
      <x:c r="F21" s="1" t="str">
        <x:v>历史&gt;90°F天数</x:v>
      </x:c>
      <x:c r="G21" s="1" t="str">
        <x:v>cooling_climate</x:v>
      </x:c>
      <x:c r="H21" s="1" t="str">
        <x:v>low_better</x:v>
      </x:c>
      <x:c r="I21" s="21" t="n">
        <x:f>'Anchors'!H18</x:f>
        <x:v>75</x:v>
      </x:c>
      <x:c r="J21" s="21" t="n">
        <x:f>'Anchors'!G18</x:f>
        <x:v>5</x:v>
      </x:c>
      <x:c r="K21" s="22" t="n">
        <x:v>0</x:v>
      </x:c>
      <x:c r="L21" s="22" t="n">
        <x:v>1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</x:row>
    <x:row r="22" ht="32" customHeight="1">
      <x:c r="A22" s="23" t="str">
        <x:v>Overall margin factor</x:v>
      </x:c>
      <x:c r="B22" s="23" t="str">
        <x:v>MIN(A across included indicators)</x:v>
      </x:c>
      <x:c r="C22" s="23" t="str">
        <x:v>The weakest included indicator controls the adjustment</x:v>
      </x:c>
      <x:c r="D22" s="1"/>
      <x:c r="E22" s="1" t="str">
        <x:v>distance_to_interstate_km</x:v>
      </x:c>
      <x:c r="F22" s="1" t="str">
        <x:v>到Interstate距离</x:v>
      </x:c>
      <x:c r="G22" s="1" t="str">
        <x:v>transportation</x:v>
      </x:c>
      <x:c r="H22" s="1" t="str">
        <x:v>low_better</x:v>
      </x:c>
      <x:c r="I22" s="21" t="n">
        <x:f>'Anchors'!H19</x:f>
        <x:v>50</x:v>
      </x:c>
      <x:c r="J22" s="21" t="n">
        <x:f>'Anchors'!G19</x:f>
        <x:v>5</x:v>
      </x:c>
      <x:c r="K22" s="22" t="n">
        <x:v>0</x:v>
      </x:c>
      <x:c r="L22" s="22" t="n">
        <x:v>1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</x:row>
    <x:row r="23" ht="32" customHeight="1">
      <x:c r="A23" s="23" t="str">
        <x:v>Adjusted suitability</x:v>
      </x:c>
      <x:c r="B23" s="23" t="str">
        <x:v>Suitability × Overall margin factor</x:v>
      </x:c>
      <x:c r="C23" s="23" t="str">
        <x:v>Customer weights remain dynamic; margin assumptions remain fixed</x:v>
      </x:c>
      <x:c r="D23" s="1"/>
      <x:c r="E23" s="1" t="str">
        <x:v>distance_to_rail_km</x:v>
      </x:c>
      <x:c r="F23" s="1" t="str">
        <x:v>到铁路距离</x:v>
      </x:c>
      <x:c r="G23" s="1" t="str">
        <x:v>transportation</x:v>
      </x:c>
      <x:c r="H23" s="1" t="str">
        <x:v>low_better</x:v>
      </x:c>
      <x:c r="I23" s="21" t="n">
        <x:f>'Anchors'!H20</x:f>
        <x:v>20</x:v>
      </x:c>
      <x:c r="J23" s="21" t="n">
        <x:f>'Anchors'!G20</x:f>
        <x:v>1</x:v>
      </x:c>
      <x:c r="K23" s="22" t="n">
        <x:v>0</x:v>
      </x:c>
      <x:c r="L23" s="22" t="n">
        <x:v>1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</x:row>
    <x:row r="24">
      <x:c r="A24" s="1"/>
      <x:c r="B24" s="1"/>
      <x:c r="C24" s="1"/>
      <x:c r="D24" s="1"/>
      <x:c r="E24" s="1" t="str">
        <x:v>state_industrial_price</x:v>
      </x:c>
      <x:c r="F24" s="1" t="str">
        <x:v>州工业电价</x:v>
      </x:c>
      <x:c r="G24" s="1" t="str">
        <x:v>energy_carbon</x:v>
      </x:c>
      <x:c r="H24" s="1" t="str">
        <x:v>low_better</x:v>
      </x:c>
      <x:c r="I24" s="21" t="n">
        <x:f>'Anchors'!H21</x:f>
        <x:v>120</x:v>
      </x:c>
      <x:c r="J24" s="21" t="n">
        <x:f>'Anchors'!G21</x:f>
        <x:v>65</x:v>
      </x:c>
      <x:c r="K24" s="22" t="n">
        <x:v>0</x:v>
      </x:c>
      <x:c r="L24" s="22" t="n">
        <x:v>1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</x:row>
    <x:row r="25">
      <x:c r="A25" s="1"/>
      <x:c r="B25" s="1"/>
      <x:c r="C25" s="1"/>
      <x:c r="D25" s="1"/>
      <x:c r="E25" s="1" t="str">
        <x:v>state_ieee_saidi_without_med</x:v>
      </x:c>
      <x:c r="F25" s="1" t="str">
        <x:v>州SAIDI不含重大事件日</x:v>
      </x:c>
      <x:c r="G25" s="1" t="str">
        <x:v>energy_carbon</x:v>
      </x:c>
      <x:c r="H25" s="1" t="str">
        <x:v>low_better</x:v>
      </x:c>
      <x:c r="I25" s="21" t="n">
        <x:f>'Anchors'!H22</x:f>
        <x:v>300</x:v>
      </x:c>
      <x:c r="J25" s="21" t="n">
        <x:f>'Anchors'!G22</x:f>
        <x:v>100</x:v>
      </x:c>
      <x:c r="K25" s="22" t="n">
        <x:v>0</x:v>
      </x:c>
      <x:c r="L25" s="22" t="n">
        <x:v>1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</x:row>
    <x:row r="26">
      <x:c r="A26" s="1"/>
      <x:c r="B26" s="1"/>
      <x:c r="C26" s="1"/>
      <x:c r="D26" s="1"/>
      <x:c r="E26" s="1" t="str">
        <x:v>state_grid_co2e_intensity</x:v>
      </x:c>
      <x:c r="F26" s="1" t="str">
        <x:v>州电网CO2e强度</x:v>
      </x:c>
      <x:c r="G26" s="1" t="str">
        <x:v>energy_carbon</x:v>
      </x:c>
      <x:c r="H26" s="1" t="str">
        <x:v>low_better</x:v>
      </x:c>
      <x:c r="I26" s="21" t="n">
        <x:f>'Anchors'!H23</x:f>
        <x:v>600</x:v>
      </x:c>
      <x:c r="J26" s="21" t="n">
        <x:f>'Anchors'!G23</x:f>
        <x:v>200</x:v>
      </x:c>
      <x:c r="K26" s="22" t="n">
        <x:v>0</x:v>
      </x:c>
      <x:c r="L26" s="22" t="n">
        <x:v>1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</x:row>
    <x:row r="28" ht="32" customHeight="1">
      <x:c r="A28" s="26" t="str">
        <x:v>These county indicators create a scoring-margin adjustment only. Verified site-level power, delivery, zoning, network, and water-permission gates remain separate and cannot be inferred from county proxies.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2:L2"/>
    <x:mergeCell ref="A28:L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24" hidden="0" customWidth="1"/>
    <x:col min="10" max="10" width="52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2" t="str">
        <x:v>Fixed normalization anchors: v0.3_va_ga_margin_demo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 t="str">
        <x:v>Change anchors only by creating a new version and rerunning the workbook builder. Missing values remain blank, not zero.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</x:row>
    <x:row r="5">
      <x:c r="A5" s="8" t="str">
        <x:v>Metric ID</x:v>
      </x:c>
      <x:c r="B5" s="8" t="str">
        <x:v>Dimension</x:v>
      </x:c>
      <x:c r="C5" s="8" t="str">
        <x:v>Label</x:v>
      </x:c>
      <x:c r="D5" s="8" t="str">
        <x:v>Unit</x:v>
      </x:c>
      <x:c r="E5" s="8" t="str">
        <x:v>Direction</x:v>
      </x:c>
      <x:c r="F5" s="8" t="str">
        <x:v>Function</x:v>
      </x:c>
      <x:c r="G5" s="8" t="str">
        <x:v>Good anchor T</x:v>
      </x:c>
      <x:c r="H5" s="8" t="str">
        <x:v>Bad anchor L</x:v>
      </x:c>
      <x:c r="I5" s="8" t="str">
        <x:v>Basis</x:v>
      </x:c>
      <x:c r="J5" s="8" t="str">
        <x:v>Rationale</x:v>
      </x:c>
      <x:c r="K5" s="8" t="str">
        <x:v>Version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</x:row>
    <x:row r="6" ht="32" customHeight="1">
      <x:c r="A6" s="1" t="str">
        <x:v>wildfire_bp_national_percentile</x:v>
      </x:c>
      <x:c r="B6" s="1" t="str">
        <x:v>climate_risk</x:v>
      </x:c>
      <x:c r="C6" s="1" t="str">
        <x:v>野火全国百分位</x:v>
      </x:c>
      <x:c r="D6" s="1" t="str">
        <x:v>fraction</x:v>
      </x:c>
      <x:c r="E6" s="1" t="str">
        <x:v>low_better</x:v>
      </x:c>
      <x:c r="F6" s="1" t="str">
        <x:v>linear_clipped</x:v>
      </x:c>
      <x:c r="G6" s="27" t="n">
        <x:v>0.2</x:v>
      </x:c>
      <x:c r="H6" s="27" t="n">
        <x:v>0.9</x:v>
      </x:c>
      <x:c r="I6" s="23" t="str">
        <x:v>external_standard_plus_distribution</x:v>
      </x:c>
      <x:c r="J6" s="23" t="str">
        <x:v>Keep 90th percentile as unacceptable; move full-score anchor below the broad &lt;40 low-risk class so low-risk counties remain distinguishable</x:v>
      </x:c>
      <x:c r="K6" s="1" t="str">
        <x:v>v0.3_va_ga_margin_demo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</x:row>
    <x:row r="7" ht="32" customHeight="1">
      <x:c r="A7" s="1" t="str">
        <x:v>inland_flood_loss_rate_percentile</x:v>
      </x:c>
      <x:c r="B7" s="1" t="str">
        <x:v>climate_risk</x:v>
      </x:c>
      <x:c r="C7" s="1" t="str">
        <x:v>洪水损失率全国百分位</x:v>
      </x:c>
      <x:c r="D7" s="1" t="str">
        <x:v>fraction</x:v>
      </x:c>
      <x:c r="E7" s="1" t="str">
        <x:v>low_better</x:v>
      </x:c>
      <x:c r="F7" s="1" t="str">
        <x:v>linear_clipped</x:v>
      </x:c>
      <x:c r="G7" s="27" t="n">
        <x:v>0.1</x:v>
      </x:c>
      <x:c r="H7" s="27" t="n">
        <x:v>0.8</x:v>
      </x:c>
      <x:c r="I7" s="23" t="str">
        <x:v>dataset_distribution</x:v>
      </x:c>
      <x:c r="J7" s="23" t="str">
        <x:v>Rounded two-state P10/P90; FEMA percentile has no fixed rating cutoffs</x:v>
      </x:c>
      <x:c r="K7" s="1" t="str">
        <x:v>v0.3_va_ga_margin_demo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</x:row>
    <x:row r="8" ht="32" customHeight="1">
      <x:c r="A8" s="1" t="str">
        <x:v>baseline_water_stress</x:v>
      </x:c>
      <x:c r="B8" s="1" t="str">
        <x:v>water</x:v>
      </x:c>
      <x:c r="C8" s="1" t="str">
        <x:v>基线水压力</x:v>
      </x:c>
      <x:c r="D8" s="1" t="str">
        <x:v>index 0-5</x:v>
      </x:c>
      <x:c r="E8" s="1" t="str">
        <x:v>low_better</x:v>
      </x:c>
      <x:c r="F8" s="1" t="str">
        <x:v>linear_clipped</x:v>
      </x:c>
      <x:c r="G8" s="27" t="n">
        <x:v>1</x:v>
      </x:c>
      <x:c r="H8" s="27" t="n">
        <x:v>4</x:v>
      </x:c>
      <x:c r="I8" s="23" t="str">
        <x:v>external_standard</x:v>
      </x:c>
      <x:c r="J8" s="23" t="str">
        <x:v>Aqueduct: &lt;=1 low; &gt;=4 extremely high</x:v>
      </x:c>
      <x:c r="K8" s="1" t="str">
        <x:v>v0.3_va_ga_margin_demo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</x:row>
    <x:row r="9" ht="32" customHeight="1">
      <x:c r="A9" s="1" t="str">
        <x:v>water_stress_2050_bau</x:v>
      </x:c>
      <x:c r="B9" s="1" t="str">
        <x:v>water</x:v>
      </x:c>
      <x:c r="C9" s="1" t="str">
        <x:v>2050 BAU水压力</x:v>
      </x:c>
      <x:c r="D9" s="1" t="str">
        <x:v>index 0-5</x:v>
      </x:c>
      <x:c r="E9" s="1" t="str">
        <x:v>low_better</x:v>
      </x:c>
      <x:c r="F9" s="1" t="str">
        <x:v>linear_clipped</x:v>
      </x:c>
      <x:c r="G9" s="27" t="n">
        <x:v>1</x:v>
      </x:c>
      <x:c r="H9" s="27" t="n">
        <x:v>4</x:v>
      </x:c>
      <x:c r="I9" s="23" t="str">
        <x:v>external_standard</x:v>
      </x:c>
      <x:c r="J9" s="23" t="str">
        <x:v>Same scale as baseline for direct time comparison</x:v>
      </x:c>
      <x:c r="K9" s="1" t="str">
        <x:v>v0.3_va_ga_margin_demo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</x:row>
    <x:row r="10" ht="32" customHeight="1">
      <x:c r="A10" s="1" t="str">
        <x:v>low_impervious_land_share</x:v>
      </x:c>
      <x:c r="B10" s="1" t="str">
        <x:v>land_ecology</x:v>
      </x:c>
      <x:c r="C10" s="1" t="str">
        <x:v>低不透水土地比例</x:v>
      </x:c>
      <x:c r="D10" s="1" t="str">
        <x:v>fraction</x:v>
      </x:c>
      <x:c r="E10" s="1" t="str">
        <x:v>high_better</x:v>
      </x:c>
      <x:c r="F10" s="1" t="str">
        <x:v>linear_clipped</x:v>
      </x:c>
      <x:c r="G10" s="27" t="n">
        <x:v>0.98</x:v>
      </x:c>
      <x:c r="H10" s="27" t="n">
        <x:v>0.25</x:v>
      </x:c>
      <x:c r="I10" s="23" t="str">
        <x:v>scenario_plus_distribution</x:v>
      </x:c>
      <x:c r="J10" s="23" t="str">
        <x:v>County-level developable-land proxy: avoid treating 50% as automatically unusable or 95% as already perfect; parcel screening is still required</x:v>
      </x:c>
      <x:c r="K10" s="1" t="str">
        <x:v>v0.3_va_ga_margin_demo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</x:row>
    <x:row r="11" ht="32" customHeight="1">
      <x:c r="A11" s="1" t="str">
        <x:v>gap12_protected_land_share</x:v>
      </x:c>
      <x:c r="B11" s="1" t="str">
        <x:v>land_ecology</x:v>
      </x:c>
      <x:c r="C11" s="1" t="str">
        <x:v>GAP1/2保护地比例</x:v>
      </x:c>
      <x:c r="D11" s="1" t="str">
        <x:v>fraction</x:v>
      </x:c>
      <x:c r="E11" s="1" t="str">
        <x:v>low_better</x:v>
      </x:c>
      <x:c r="F11" s="1" t="str">
        <x:v>linear_clipped</x:v>
      </x:c>
      <x:c r="G11" s="27" t="n">
        <x:v>0</x:v>
      </x:c>
      <x:c r="H11" s="27" t="n">
        <x:v>0.25</x:v>
      </x:c>
      <x:c r="I11" s="23" t="str">
        <x:v>scenario_plus_distribution</x:v>
      </x:c>
      <x:c r="J11" s="23" t="str">
        <x:v>Only zero protected share earns full utility; 25% is a rounded high-burden screening anchor, not a parcel-level exclusion rule</x:v>
      </x:c>
      <x:c r="K11" s="1" t="str">
        <x:v>v0.3_va_ga_margin_demo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</x:row>
    <x:row r="12" ht="32" customHeight="1">
      <x:c r="A12" s="1" t="str">
        <x:v>wetland_land_share</x:v>
      </x:c>
      <x:c r="B12" s="1" t="str">
        <x:v>land_ecology</x:v>
      </x:c>
      <x:c r="C12" s="1" t="str">
        <x:v>湿地陆地比例</x:v>
      </x:c>
      <x:c r="D12" s="1" t="str">
        <x:v>fraction</x:v>
      </x:c>
      <x:c r="E12" s="1" t="str">
        <x:v>low_better</x:v>
      </x:c>
      <x:c r="F12" s="1" t="str">
        <x:v>linear_clipped</x:v>
      </x:c>
      <x:c r="G12" s="27" t="n">
        <x:v>0</x:v>
      </x:c>
      <x:c r="H12" s="27" t="n">
        <x:v>0.4</x:v>
      </x:c>
      <x:c r="I12" s="23" t="str">
        <x:v>scenario_plus_distribution</x:v>
      </x:c>
      <x:c r="J12" s="23" t="str">
        <x:v>Only zero wetland share earns full utility; wider upper anchor preserves county differentiation and does not replace parcel delineation</x:v>
      </x:c>
      <x:c r="K12" s="1" t="str">
        <x:v>v0.3_va_ga_margin_demo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</x:row>
    <x:row r="13" ht="32" customHeight="1">
      <x:c r="A13" s="1" t="str">
        <x:v>fiber_business_100_20_availability</x:v>
      </x:c>
      <x:c r="B13" s="1" t="str">
        <x:v>fiber</x:v>
      </x:c>
      <x:c r="C13" s="1" t="str">
        <x:v>商业光纤100/20覆盖率</x:v>
      </x:c>
      <x:c r="D13" s="1" t="str">
        <x:v>fraction</x:v>
      </x:c>
      <x:c r="E13" s="1" t="str">
        <x:v>high_better</x:v>
      </x:c>
      <x:c r="F13" s="1" t="str">
        <x:v>linear_clipped</x:v>
      </x:c>
      <x:c r="G13" s="27" t="n">
        <x:v>0.9</x:v>
      </x:c>
      <x:c r="H13" s="27" t="n">
        <x:v>0.2</x:v>
      </x:c>
      <x:c r="I13" s="23" t="str">
        <x:v>business_logic</x:v>
      </x:c>
      <x:c r="J13" s="23" t="str">
        <x:v>Broad county coverage saturation; mass-market proxy</x:v>
      </x:c>
      <x:c r="K13" s="1" t="str">
        <x:v>v0.3_va_ga_margin_demo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</x:row>
    <x:row r="14" ht="32" customHeight="1">
      <x:c r="A14" s="1" t="str">
        <x:v>fiber_business_1000_100_availability</x:v>
      </x:c>
      <x:c r="B14" s="1" t="str">
        <x:v>fiber</x:v>
      </x:c>
      <x:c r="C14" s="1" t="str">
        <x:v>商业光纤1000/100覆盖率</x:v>
      </x:c>
      <x:c r="D14" s="1" t="str">
        <x:v>fraction</x:v>
      </x:c>
      <x:c r="E14" s="1" t="str">
        <x:v>high_better</x:v>
      </x:c>
      <x:c r="F14" s="1" t="str">
        <x:v>linear_clipped</x:v>
      </x:c>
      <x:c r="G14" s="27" t="n">
        <x:v>0.9</x:v>
      </x:c>
      <x:c r="H14" s="27" t="n">
        <x:v>0.1</x:v>
      </x:c>
      <x:c r="I14" s="23" t="str">
        <x:v>business_logic</x:v>
      </x:c>
      <x:c r="J14" s="23" t="str">
        <x:v>Stricter gigabit screening anchor; mass-market proxy</x:v>
      </x:c>
      <x:c r="K14" s="1" t="str">
        <x:v>v0.3_va_ga_margin_demo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</x:row>
    <x:row r="15" ht="32" customHeight="1">
      <x:c r="A15" s="1" t="str">
        <x:v>labor_force</x:v>
      </x:c>
      <x:c r="B15" s="1" t="str">
        <x:v>workforce_community</x:v>
      </x:c>
      <x:c r="C15" s="1" t="str">
        <x:v>劳动力人数</x:v>
      </x:c>
      <x:c r="D15" s="1" t="str">
        <x:v>persons</x:v>
      </x:c>
      <x:c r="E15" s="1" t="str">
        <x:v>high_better</x:v>
      </x:c>
      <x:c r="F15" s="1" t="str">
        <x:v>log_linear_clipped</x:v>
      </x:c>
      <x:c r="G15" s="27" t="n">
        <x:v>150000</x:v>
      </x:c>
      <x:c r="H15" s="27" t="n">
        <x:v>2000</x:v>
      </x:c>
      <x:c r="I15" s="23" t="str">
        <x:v>scenario_plus_distribution</x:v>
      </x:c>
      <x:c r="J15" s="23" t="str">
        <x:v>Log1p transformation; broader anchors reduce county-boundary artifacts because data-center labor is recruited from a commuting region</x:v>
      </x:c>
      <x:c r="K15" s="1" t="str">
        <x:v>v0.3_va_ga_margin_demo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</x:row>
    <x:row r="16" ht="32" customHeight="1">
      <x:c r="A16" s="1" t="str">
        <x:v>social_vulnerability_percentile</x:v>
      </x:c>
      <x:c r="B16" s="1" t="str">
        <x:v>workforce_community</x:v>
      </x:c>
      <x:c r="C16" s="1" t="str">
        <x:v>社会脆弱性百分位</x:v>
      </x:c>
      <x:c r="D16" s="1" t="str">
        <x:v>fraction</x:v>
      </x:c>
      <x:c r="E16" s="1" t="str">
        <x:v>low_better</x:v>
      </x:c>
      <x:c r="F16" s="1" t="str">
        <x:v>linear_clipped</x:v>
      </x:c>
      <x:c r="G16" s="27" t="n">
        <x:v>0.05</x:v>
      </x:c>
      <x:c r="H16" s="27" t="n">
        <x:v>0.95</x:v>
      </x:c>
      <x:c r="I16" s="23" t="str">
        <x:v>interpretive_demo_plus_distribution</x:v>
      </x:c>
      <x:c r="J16" s="23" t="str">
        <x:v>Wide percentile anchors retain differentiation; technical low-vulnerability utility only and must not be presented as community value</x:v>
      </x:c>
      <x:c r="K16" s="1" t="str">
        <x:v>v0.3_va_ga_margin_demo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</x:row>
    <x:row r="17" ht="32" customHeight="1">
      <x:c r="A17" s="1" t="str">
        <x:v>historical_cdd65</x:v>
      </x:c>
      <x:c r="B17" s="1" t="str">
        <x:v>cooling_climate</x:v>
      </x:c>
      <x:c r="C17" s="1" t="str">
        <x:v>历史CDD65</x:v>
      </x:c>
      <x:c r="D17" s="1" t="str">
        <x:v>degF_day/year</x:v>
      </x:c>
      <x:c r="E17" s="1" t="str">
        <x:v>low_better</x:v>
      </x:c>
      <x:c r="F17" s="1" t="str">
        <x:v>linear_clipped</x:v>
      </x:c>
      <x:c r="G17" s="27" t="n">
        <x:v>700</x:v>
      </x:c>
      <x:c r="H17" s="27" t="n">
        <x:v>2200</x:v>
      </x:c>
      <x:c r="I17" s="23" t="str">
        <x:v>dataset_distribution</x:v>
      </x:c>
      <x:c r="J17" s="23" t="str">
        <x:v>Rounded two-state P10/P90 and cooling-energy direction</x:v>
      </x:c>
      <x:c r="K17" s="1" t="str">
        <x:v>v0.3_va_ga_margin_demo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</x:row>
    <x:row r="18" ht="32" customHeight="1">
      <x:c r="A18" s="1" t="str">
        <x:v>historical_days_tmax_gt90f</x:v>
      </x:c>
      <x:c r="B18" s="1" t="str">
        <x:v>cooling_climate</x:v>
      </x:c>
      <x:c r="C18" s="1" t="str">
        <x:v>历史&gt;90°F天数</x:v>
      </x:c>
      <x:c r="D18" s="1" t="str">
        <x:v>days/year</x:v>
      </x:c>
      <x:c r="E18" s="1" t="str">
        <x:v>low_better</x:v>
      </x:c>
      <x:c r="F18" s="1" t="str">
        <x:v>linear_clipped</x:v>
      </x:c>
      <x:c r="G18" s="27" t="n">
        <x:v>5</x:v>
      </x:c>
      <x:c r="H18" s="27" t="n">
        <x:v>75</x:v>
      </x:c>
      <x:c r="I18" s="23" t="str">
        <x:v>dataset_distribution</x:v>
      </x:c>
      <x:c r="J18" s="23" t="str">
        <x:v>Rounded two-state P10/P90</x:v>
      </x:c>
      <x:c r="K18" s="1" t="str">
        <x:v>v0.3_va_ga_margin_demo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</x:row>
    <x:row r="19" ht="32" customHeight="1">
      <x:c r="A19" s="1" t="str">
        <x:v>distance_to_interstate_km</x:v>
      </x:c>
      <x:c r="B19" s="1" t="str">
        <x:v>transportation</x:v>
      </x:c>
      <x:c r="C19" s="1" t="str">
        <x:v>到Interstate距离</x:v>
      </x:c>
      <x:c r="D19" s="1" t="str">
        <x:v>km</x:v>
      </x:c>
      <x:c r="E19" s="1" t="str">
        <x:v>low_better</x:v>
      </x:c>
      <x:c r="F19" s="1" t="str">
        <x:v>linear_clipped</x:v>
      </x:c>
      <x:c r="G19" s="27" t="n">
        <x:v>5</x:v>
      </x:c>
      <x:c r="H19" s="27" t="n">
        <x:v>50</x:v>
      </x:c>
      <x:c r="I19" s="23" t="str">
        <x:v>engineering_and_distribution</x:v>
      </x:c>
      <x:c r="J19" s="23" t="str">
        <x:v>Near-distance saturation plus rounded two-state upper tail</x:v>
      </x:c>
      <x:c r="K19" s="1" t="str">
        <x:v>v0.3_va_ga_margin_demo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</x:row>
    <x:row r="20" ht="32" customHeight="1">
      <x:c r="A20" s="1" t="str">
        <x:v>distance_to_rail_km</x:v>
      </x:c>
      <x:c r="B20" s="1" t="str">
        <x:v>transportation</x:v>
      </x:c>
      <x:c r="C20" s="1" t="str">
        <x:v>到铁路距离</x:v>
      </x:c>
      <x:c r="D20" s="1" t="str">
        <x:v>km</x:v>
      </x:c>
      <x:c r="E20" s="1" t="str">
        <x:v>low_better</x:v>
      </x:c>
      <x:c r="F20" s="1" t="str">
        <x:v>linear_clipped</x:v>
      </x:c>
      <x:c r="G20" s="27" t="n">
        <x:v>1</x:v>
      </x:c>
      <x:c r="H20" s="27" t="n">
        <x:v>20</x:v>
      </x:c>
      <x:c r="I20" s="23" t="str">
        <x:v>engineering_and_distribution</x:v>
      </x:c>
      <x:c r="J20" s="23" t="str">
        <x:v>Near-distance saturation plus rounded two-state P90-P95</x:v>
      </x:c>
      <x:c r="K20" s="1" t="str">
        <x:v>v0.3_va_ga_margin_demo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</x:row>
    <x:row r="21" ht="32" customHeight="1">
      <x:c r="A21" s="1" t="str">
        <x:v>state_industrial_price</x:v>
      </x:c>
      <x:c r="B21" s="1" t="str">
        <x:v>energy_carbon</x:v>
      </x:c>
      <x:c r="C21" s="1" t="str">
        <x:v>州工业电价</x:v>
      </x:c>
      <x:c r="D21" s="1" t="str">
        <x:v>USD/MWh</x:v>
      </x:c>
      <x:c r="E21" s="1" t="str">
        <x:v>low_better</x:v>
      </x:c>
      <x:c r="F21" s="1" t="str">
        <x:v>linear_clipped</x:v>
      </x:c>
      <x:c r="G21" s="27" t="n">
        <x:v>65</x:v>
      </x:c>
      <x:c r="H21" s="27" t="n">
        <x:v>120</x:v>
      </x:c>
      <x:c r="I21" s="23" t="str">
        <x:v>national_context</x:v>
      </x:c>
      <x:c r="J21" s="23" t="str">
        <x:v>Fixed national-context anchors; avoids two-state 0/100 extremes</x:v>
      </x:c>
      <x:c r="K21" s="1" t="str">
        <x:v>v0.3_va_ga_margin_demo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</x:row>
    <x:row r="22" ht="32" customHeight="1">
      <x:c r="A22" s="1" t="str">
        <x:v>state_ieee_saidi_without_med</x:v>
      </x:c>
      <x:c r="B22" s="1" t="str">
        <x:v>energy_carbon</x:v>
      </x:c>
      <x:c r="C22" s="1" t="str">
        <x:v>州SAIDI不含重大事件日</x:v>
      </x:c>
      <x:c r="D22" s="1" t="str">
        <x:v>min/customer/year</x:v>
      </x:c>
      <x:c r="E22" s="1" t="str">
        <x:v>low_better</x:v>
      </x:c>
      <x:c r="F22" s="1" t="str">
        <x:v>linear_clipped</x:v>
      </x:c>
      <x:c r="G22" s="27" t="n">
        <x:v>100</x:v>
      </x:c>
      <x:c r="H22" s="27" t="n">
        <x:v>300</x:v>
      </x:c>
      <x:c r="I22" s="23" t="str">
        <x:v>national_context</x:v>
      </x:c>
      <x:c r="J22" s="23" t="str">
        <x:v>Fixed around EIA national reliability context</x:v>
      </x:c>
      <x:c r="K22" s="1" t="str">
        <x:v>v0.3_va_ga_margin_demo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</x:row>
    <x:row r="23" ht="32" customHeight="1">
      <x:c r="A23" s="1" t="str">
        <x:v>state_grid_co2e_intensity</x:v>
      </x:c>
      <x:c r="B23" s="1" t="str">
        <x:v>energy_carbon</x:v>
      </x:c>
      <x:c r="C23" s="1" t="str">
        <x:v>州电网CO2e强度</x:v>
      </x:c>
      <x:c r="D23" s="1" t="str">
        <x:v>kgCO2e/MWh</x:v>
      </x:c>
      <x:c r="E23" s="1" t="str">
        <x:v>low_better</x:v>
      </x:c>
      <x:c r="F23" s="1" t="str">
        <x:v>linear_clipped</x:v>
      </x:c>
      <x:c r="G23" s="27" t="n">
        <x:v>200</x:v>
      </x:c>
      <x:c r="H23" s="27" t="n">
        <x:v>600</x:v>
      </x:c>
      <x:c r="I23" s="23" t="str">
        <x:v>national_context</x:v>
      </x:c>
      <x:c r="J23" s="23" t="str">
        <x:v>Fixed eGRID-context anchors; subregion data preferred later</x:v>
      </x:c>
      <x:c r="K23" s="1" t="str">
        <x:v>v0.3_va_ga_margin_demo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2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9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8" hidden="0" customWidth="1"/>
    <x:col min="68" max="68" width="18" hidden="0" customWidth="1"/>
    <x:col min="69" max="69" width="18" hidden="0" customWidth="1"/>
    <x:col min="70" max="70" width="24" hidden="0" customWidth="1"/>
  </x:cols>
  <x:sheetData>
    <x:row r="1">
      <x:c r="A1" s="2" t="str">
        <x:v>Virginia: raw indicators, utility scores, margin factors, and adjusted suitability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3" t="str">
        <x:v>Version v0.3_va_ga_margin_demo. Customer weights and margin assumptions are editable on Scoring Setup.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 ht="48" customHeight="1">
      <x:c r="A4" s="8" t="str">
        <x:v>FIPS</x:v>
      </x:c>
      <x:c r="B4" s="8" t="str">
        <x:v>County / independent city</x:v>
      </x:c>
      <x:c r="C4" s="8" t="str">
        <x:v>State</x:v>
      </x:c>
      <x:c r="D4" s="8" t="str">
        <x:v>Land area km²</x:v>
      </x:c>
      <x:c r="E4" s="8" t="str">
        <x:v>野火全国百分位
fraction</x:v>
      </x:c>
      <x:c r="F4" s="8" t="str">
        <x:v>洪水损失率全国百分位
fraction</x:v>
      </x:c>
      <x:c r="G4" s="8" t="str">
        <x:v>基线水压力
index 0-5</x:v>
      </x:c>
      <x:c r="H4" s="8" t="str">
        <x:v>2050 BAU水压力
index 0-5</x:v>
      </x:c>
      <x:c r="I4" s="8" t="str">
        <x:v>低不透水土地比例
fraction</x:v>
      </x:c>
      <x:c r="J4" s="8" t="str">
        <x:v>GAP1/2保护地比例
fraction</x:v>
      </x:c>
      <x:c r="K4" s="8" t="str">
        <x:v>湿地陆地比例
fraction</x:v>
      </x:c>
      <x:c r="L4" s="8" t="str">
        <x:v>商业光纤100/20覆盖率
fraction</x:v>
      </x:c>
      <x:c r="M4" s="8" t="str">
        <x:v>商业光纤1000/100覆盖率
fraction</x:v>
      </x:c>
      <x:c r="N4" s="8" t="str">
        <x:v>劳动力人数
persons</x:v>
      </x:c>
      <x:c r="O4" s="8" t="str">
        <x:v>社会脆弱性百分位
fraction</x:v>
      </x:c>
      <x:c r="P4" s="8" t="str">
        <x:v>历史CDD65
degF_day/year</x:v>
      </x:c>
      <x:c r="Q4" s="8" t="str">
        <x:v>历史&gt;90°F天数
days/year</x:v>
      </x:c>
      <x:c r="R4" s="8" t="str">
        <x:v>到Interstate距离
km</x:v>
      </x:c>
      <x:c r="S4" s="8" t="str">
        <x:v>到铁路距离
km</x:v>
      </x:c>
      <x:c r="T4" s="8" t="str">
        <x:v>州工业电价
USD/MWh</x:v>
      </x:c>
      <x:c r="U4" s="8" t="str">
        <x:v>州SAIDI不含重大事件日
min/customer/year</x:v>
      </x:c>
      <x:c r="V4" s="8" t="str">
        <x:v>州电网CO2e强度
kgCO2e/MWh</x:v>
      </x:c>
      <x:c r="W4" s="8" t="str">
        <x:v>野火全国百分位
效用分0-100</x:v>
      </x:c>
      <x:c r="X4" s="8" t="str">
        <x:v>洪水损失率全国百分位
效用分0-100</x:v>
      </x:c>
      <x:c r="Y4" s="8" t="str">
        <x:v>基线水压力
效用分0-100</x:v>
      </x:c>
      <x:c r="Z4" s="8" t="str">
        <x:v>2050 BAU水压力
效用分0-100</x:v>
      </x:c>
      <x:c r="AA4" s="8" t="str">
        <x:v>低不透水土地比例
效用分0-100</x:v>
      </x:c>
      <x:c r="AB4" s="8" t="str">
        <x:v>GAP1/2保护地比例
效用分0-100</x:v>
      </x:c>
      <x:c r="AC4" s="8" t="str">
        <x:v>湿地陆地比例
效用分0-100</x:v>
      </x:c>
      <x:c r="AD4" s="8" t="str">
        <x:v>商业光纤100/20覆盖率
效用分0-100</x:v>
      </x:c>
      <x:c r="AE4" s="8" t="str">
        <x:v>商业光纤1000/100覆盖率
效用分0-100</x:v>
      </x:c>
      <x:c r="AF4" s="8" t="str">
        <x:v>劳动力人数
效用分0-100</x:v>
      </x:c>
      <x:c r="AG4" s="8" t="str">
        <x:v>社会脆弱性百分位
效用分0-100</x:v>
      </x:c>
      <x:c r="AH4" s="8" t="str">
        <x:v>历史CDD65
效用分0-100</x:v>
      </x:c>
      <x:c r="AI4" s="8" t="str">
        <x:v>历史&gt;90°F天数
效用分0-100</x:v>
      </x:c>
      <x:c r="AJ4" s="8" t="str">
        <x:v>到Interstate距离
效用分0-100</x:v>
      </x:c>
      <x:c r="AK4" s="8" t="str">
        <x:v>到铁路距离
效用分0-100</x:v>
      </x:c>
      <x:c r="AL4" s="8" t="str">
        <x:v>州工业电价
效用分0-100</x:v>
      </x:c>
      <x:c r="AM4" s="8" t="str">
        <x:v>州SAIDI不含重大事件日
效用分0-100</x:v>
      </x:c>
      <x:c r="AN4" s="8" t="str">
        <x:v>州电网CO2e强度
效用分0-100</x:v>
      </x:c>
      <x:c r="AO4" s="8" t="str">
        <x:v>野火全国百分位
边际惩罚因子</x:v>
      </x:c>
      <x:c r="AP4" s="8" t="str">
        <x:v>洪水损失率全国百分位
边际惩罚因子</x:v>
      </x:c>
      <x:c r="AQ4" s="8" t="str">
        <x:v>基线水压力
边际惩罚因子</x:v>
      </x:c>
      <x:c r="AR4" s="8" t="str">
        <x:v>2050 BAU水压力
边际惩罚因子</x:v>
      </x:c>
      <x:c r="AS4" s="8" t="str">
        <x:v>低不透水土地比例
边际惩罚因子</x:v>
      </x:c>
      <x:c r="AT4" s="8" t="str">
        <x:v>GAP1/2保护地比例
边际惩罚因子</x:v>
      </x:c>
      <x:c r="AU4" s="8" t="str">
        <x:v>湿地陆地比例
边际惩罚因子</x:v>
      </x:c>
      <x:c r="AV4" s="8" t="str">
        <x:v>商业光纤100/20覆盖率
边际惩罚因子</x:v>
      </x:c>
      <x:c r="AW4" s="8" t="str">
        <x:v>商业光纤1000/100覆盖率
边际惩罚因子</x:v>
      </x:c>
      <x:c r="AX4" s="8" t="str">
        <x:v>劳动力人数
边际惩罚因子</x:v>
      </x:c>
      <x:c r="AY4" s="8" t="str">
        <x:v>社会脆弱性百分位
边际惩罚因子</x:v>
      </x:c>
      <x:c r="AZ4" s="8" t="str">
        <x:v>历史CDD65
边际惩罚因子</x:v>
      </x:c>
      <x:c r="BA4" s="8" t="str">
        <x:v>历史&gt;90°F天数
边际惩罚因子</x:v>
      </x:c>
      <x:c r="BB4" s="8" t="str">
        <x:v>到Interstate距离
边际惩罚因子</x:v>
      </x:c>
      <x:c r="BC4" s="8" t="str">
        <x:v>到铁路距离
边际惩罚因子</x:v>
      </x:c>
      <x:c r="BD4" s="8" t="str">
        <x:v>州工业电价
边际惩罚因子</x:v>
      </x:c>
      <x:c r="BE4" s="8" t="str">
        <x:v>州SAIDI不含重大事件日
边际惩罚因子</x:v>
      </x:c>
      <x:c r="BF4" s="8" t="str">
        <x:v>州电网CO2e强度
边际惩罚因子</x:v>
      </x:c>
      <x:c r="BG4" s="8" t="str">
        <x:v>气候风险
维度分0-100</x:v>
      </x:c>
      <x:c r="BH4" s="8" t="str">
        <x:v>水资源
维度分0-100</x:v>
      </x:c>
      <x:c r="BI4" s="8" t="str">
        <x:v>土地与生态
维度分0-100</x:v>
      </x:c>
      <x:c r="BJ4" s="8" t="str">
        <x:v>光纤
维度分0-100</x:v>
      </x:c>
      <x:c r="BK4" s="8" t="str">
        <x:v>劳动力与社区
维度分0-100</x:v>
      </x:c>
      <x:c r="BL4" s="8" t="str">
        <x:v>冷却气候
维度分0-100</x:v>
      </x:c>
      <x:c r="BM4" s="8" t="str">
        <x:v>交通
维度分0-100</x:v>
      </x:c>
      <x:c r="BN4" s="8" t="str">
        <x:v>能源与碳
维度分0-100</x:v>
      </x:c>
      <x:c r="BO4" s="8" t="str">
        <x:v>Suitability
0-100</x:v>
      </x:c>
      <x:c r="BP4" s="8" t="str">
        <x:v>Overall margin
factor</x:v>
      </x:c>
      <x:c r="BQ4" s="8" t="str">
        <x:v>Margin-adjusted
suitability</x:v>
      </x:c>
      <x:c r="BR4" s="8" t="str">
        <x:v>Binding
indicator</x:v>
      </x:c>
    </x:row>
    <x:row r="5">
      <x:c r="A5" s="28" t="str">
        <x:v>51001</x:v>
      </x:c>
      <x:c r="B5" s="28" t="str">
        <x:v>Accomack County</x:v>
      </x:c>
      <x:c r="C5" s="28" t="str">
        <x:v>VA</x:v>
      </x:c>
      <x:c r="D5" s="31" t="n">
        <x:v>1163.68851</x:v>
      </x:c>
      <x:c r="E5" s="32" t="n">
        <x:v>0.524</x:v>
      </x:c>
      <x:c r="F5" s="32" t="n">
        <x:v>0.055383663366336607</x:v>
      </x:c>
      <x:c r="G5" s="32" t="n">
        <x:v>3.1907827833541007</x:v>
      </x:c>
      <x:c r="H5" s="32" t="n">
        <x:v>3.4965030992859325</x:v>
      </x:c>
      <x:c r="I5" s="32" t="n">
        <x:v>0.9173380939707751</x:v>
      </x:c>
      <x:c r="J5" s="32" t="n">
        <x:v>0.23438904724830636</x:v>
      </x:c>
      <x:c r="K5" s="32" t="n">
        <x:v>0.522687216542273</x:v>
      </x:c>
      <x:c r="L5" s="32" t="n">
        <x:v>0.72488801</x:v>
      </x:c>
      <x:c r="M5" s="32" t="n">
        <x:v>0.712902054</x:v>
      </x:c>
      <x:c r="N5" s="32" t="n">
        <x:v>14565</x:v>
      </x:c>
      <x:c r="O5" s="32" t="n">
        <x:v>0.8597</x:v>
      </x:c>
      <x:c r="P5" s="32" t="n">
        <x:v>1241.6294189453124</x:v>
      </x:c>
      <x:c r="Q5" s="32" t="n">
        <x:v>13.578713099161783</x:v>
      </x:c>
      <x:c r="R5" s="32" t="n">
        <x:v>95.30527625122483</x:v>
      </x:c>
      <x:c r="S5" s="32" t="n">
        <x:v>7.212090219899812</x:v>
      </x:c>
      <x:c r="T5" s="32" t="n">
        <x:v>89.9</x:v>
      </x:c>
      <x:c r="U5" s="32" t="n">
        <x:v>245.07712999476223</x:v>
      </x:c>
      <x:c r="V5" s="32" t="n">
        <x:v>244.75798925963002</x:v>
      </x:c>
      <x:c r="W5" s="33" t="n">
        <x:f>IF(ISNUMBER(E5),100*MAX(0,MIN(1,('Anchors'!$H$6-E5)/('Anchors'!$H$6-'Anchors'!$G$6))),"")</x:f>
        <x:v>53.714285714285715</x:v>
      </x:c>
      <x:c r="X5" s="33" t="n">
        <x:f>IF(ISNUMBER(F5),100*MAX(0,MIN(1,('Anchors'!$H$7-F5)/('Anchors'!$H$7-'Anchors'!$G$7))),"")</x:f>
        <x:v>100</x:v>
      </x:c>
      <x:c r="Y5" s="33" t="n">
        <x:f>IF(ISNUMBER(G5),100*MAX(0,MIN(1,('Anchors'!$H$8-G5)/('Anchors'!$H$8-'Anchors'!$G$8))),"")</x:f>
        <x:v>26.973907221529974</x:v>
      </x:c>
      <x:c r="Z5" s="33" t="n">
        <x:f>IF(ISNUMBER(H5),100*MAX(0,MIN(1,('Anchors'!$H$9-H5)/('Anchors'!$H$9-'Anchors'!$G$9))),"")</x:f>
        <x:v>16.78323002380225</x:v>
      </x:c>
      <x:c r="AA5" s="33" t="n">
        <x:f>IF(ISNUMBER(I5),100*MAX(0,MIN(1,(I5-'Anchors'!$H$10)/('Anchors'!$G$10-'Anchors'!$H$10))),"")</x:f>
        <x:v>91.41617725627057</x:v>
      </x:c>
      <x:c r="AB5" s="33" t="n">
        <x:f>IF(ISNUMBER(J5),100*MAX(0,MIN(1,('Anchors'!$H$11-J5)/('Anchors'!$H$11-'Anchors'!$G$11))),"")</x:f>
        <x:v>6.2443811006774546</x:v>
      </x:c>
      <x:c r="AC5" s="33" t="n">
        <x:f>IF(ISNUMBER(K5),100*MAX(0,MIN(1,('Anchors'!$H$12-K5)/('Anchors'!$H$12-'Anchors'!$G$12))),"")</x:f>
        <x:v>0</x:v>
      </x:c>
      <x:c r="AD5" s="33" t="n">
        <x:f>IF(ISNUMBER(L5),100*MAX(0,MIN(1,(L5-'Anchors'!$H$13)/('Anchors'!$G$13-'Anchors'!$H$13))),"")</x:f>
        <x:v>74.98400142857142</x:v>
      </x:c>
      <x:c r="AE5" s="33" t="n">
        <x:f>IF(ISNUMBER(M5),100*MAX(0,MIN(1,(M5-'Anchors'!$H$14)/('Anchors'!$G$14-'Anchors'!$H$14))),"")</x:f>
        <x:v>76.61275674999999</x:v>
      </x:c>
      <x:c r="AF5" s="33" t="n">
        <x:f>IF(ISNUMBER(N5),100*MAX(0,MIN(1,(LN(1+N5)-LN(1+'Anchors'!$H$15))/(LN(1+'Anchors'!$G$15)-LN(1+'Anchors'!$H$15)))),"")</x:f>
        <x:v>45.9820554300646</x:v>
      </x:c>
      <x:c r="AG5" s="33" t="n">
        <x:f>IF(ISNUMBER(O5),100*MAX(0,MIN(1,('Anchors'!$H$16-O5)/('Anchors'!$H$16-'Anchors'!$G$16))),"")</x:f>
        <x:v>10.033333333333328</x:v>
      </x:c>
      <x:c r="AH5" s="33" t="n">
        <x:f>IF(ISNUMBER(P5),100*MAX(0,MIN(1,('Anchors'!$H$17-P5)/('Anchors'!$H$17-'Anchors'!$G$17))),"")</x:f>
        <x:v>63.8913720703125</x:v>
      </x:c>
      <x:c r="AI5" s="33" t="n">
        <x:f>IF(ISNUMBER(Q5),100*MAX(0,MIN(1,('Anchors'!$H$18-Q5)/('Anchors'!$H$18-'Anchors'!$G$18))),"")</x:f>
        <x:v>87.74469557262603</x:v>
      </x:c>
      <x:c r="AJ5" s="33" t="n">
        <x:f>IF(ISNUMBER(R5),100*MAX(0,MIN(1,('Anchors'!$H$19-R5)/('Anchors'!$H$19-'Anchors'!$G$19))),"")</x:f>
        <x:v>0</x:v>
      </x:c>
      <x:c r="AK5" s="33" t="n">
        <x:f>IF(ISNUMBER(S5),100*MAX(0,MIN(1,('Anchors'!$H$20-S5)/('Anchors'!$H$20-'Anchors'!$G$20))),"")</x:f>
        <x:v>67.30478831631677</x:v>
      </x:c>
      <x:c r="AL5" s="33" t="n">
        <x:f>IF(ISNUMBER(T5),100*MAX(0,MIN(1,('Anchors'!$H$21-T5)/('Anchors'!$H$21-'Anchors'!$G$21))),"")</x:f>
        <x:v>54.72727272727271</x:v>
      </x:c>
      <x:c r="AM5" s="33" t="n">
        <x:f>IF(ISNUMBER(U5),100*MAX(0,MIN(1,('Anchors'!$H$22-U5)/('Anchors'!$H$22-'Anchors'!$G$22))),"")</x:f>
        <x:v>27.461435002618884</x:v>
      </x:c>
      <x:c r="AN5" s="33" t="n">
        <x:f>IF(ISNUMBER(V5),100*MAX(0,MIN(1,('Anchors'!$H$23-V5)/('Anchors'!$H$23-'Anchors'!$G$23))),"")</x:f>
        <x:v>88.8105026850925</x:v>
      </x:c>
      <x:c r="AO5" s="27" t="n">
        <x:f>IF(ISNUMBER(W5),IF('Scoring Setup'!$L$9=1,1-'Scoring Setup'!$B$5*(1-MAX(0,MIN(1,(W5-'Scoring Setup'!$K$9)/(100-'Scoring Setup'!$K$9)))),1),"")</x:f>
        <x:v>0.9074285714285715</x:v>
      </x:c>
      <x:c r="AP5" s="27" t="n">
        <x:f>IF(ISNUMBER(X5),IF('Scoring Setup'!$L$10=1,1-'Scoring Setup'!$B$5*(1-MAX(0,MIN(1,(X5-'Scoring Setup'!$K$10)/(100-'Scoring Setup'!$K$10)))),1),"")</x:f>
        <x:v>1</x:v>
      </x:c>
      <x:c r="AQ5" s="27" t="n">
        <x:f>IF(ISNUMBER(Y5),IF('Scoring Setup'!$L$11=1,1-'Scoring Setup'!$B$5*(1-MAX(0,MIN(1,(Y5-'Scoring Setup'!$K$11)/(100-'Scoring Setup'!$K$11)))),1),"")</x:f>
        <x:v>0.8539478144430599</x:v>
      </x:c>
      <x:c r="AR5" s="27" t="n">
        <x:f>IF(ISNUMBER(Z5),IF('Scoring Setup'!$L$12=1,1-'Scoring Setup'!$B$5*(1-MAX(0,MIN(1,(Z5-'Scoring Setup'!$K$12)/(100-'Scoring Setup'!$K$12)))),1),"")</x:f>
        <x:v>0.8335664600476045</x:v>
      </x:c>
      <x:c r="AS5" s="27" t="n">
        <x:f>IF(ISNUMBER(AA5),IF('Scoring Setup'!$L$13=1,1-'Scoring Setup'!$B$5*(1-MAX(0,MIN(1,(AA5-'Scoring Setup'!$K$13)/(100-'Scoring Setup'!$K$13)))),1),"")</x:f>
        <x:v>0.9828323545125411</x:v>
      </x:c>
      <x:c r="AT5" s="27" t="n">
        <x:f>IF(ISNUMBER(AB5),IF('Scoring Setup'!$L$14=1,1-'Scoring Setup'!$B$5*(1-MAX(0,MIN(1,(AB5-'Scoring Setup'!$K$14)/(100-'Scoring Setup'!$K$14)))),1),"")</x:f>
        <x:v>0.8124887622013549</x:v>
      </x:c>
      <x:c r="AU5" s="27" t="n">
        <x:f>IF(ISNUMBER(AC5),IF('Scoring Setup'!$L$15=1,1-'Scoring Setup'!$B$5*(1-MAX(0,MIN(1,(AC5-'Scoring Setup'!$K$15)/(100-'Scoring Setup'!$K$15)))),1),"")</x:f>
        <x:v>0.8</x:v>
      </x:c>
      <x:c r="AV5" s="27" t="n">
        <x:f>IF(ISNUMBER(AD5),IF('Scoring Setup'!$L$16=1,1-'Scoring Setup'!$B$5*(1-MAX(0,MIN(1,(AD5-'Scoring Setup'!$K$16)/(100-'Scoring Setup'!$K$16)))),1),"")</x:f>
        <x:v>0.9499680028571429</x:v>
      </x:c>
      <x:c r="AW5" s="27" t="n">
        <x:f>IF(ISNUMBER(AE5),IF('Scoring Setup'!$L$17=1,1-'Scoring Setup'!$B$5*(1-MAX(0,MIN(1,(AE5-'Scoring Setup'!$K$17)/(100-'Scoring Setup'!$K$17)))),1),"")</x:f>
        <x:v>0.9532255135</x:v>
      </x:c>
      <x:c r="AX5" s="27" t="n">
        <x:f>IF(ISNUMBER(AF5),IF('Scoring Setup'!$L$18=1,1-'Scoring Setup'!$B$5*(1-MAX(0,MIN(1,(AF5-'Scoring Setup'!$K$18)/(100-'Scoring Setup'!$K$18)))),1),"")</x:f>
        <x:v>0.8919641108601292</x:v>
      </x:c>
      <x:c r="AY5" s="27" t="n">
        <x:f>IF(ISNUMBER(AG5),IF('Scoring Setup'!$L$19=1,1-'Scoring Setup'!$B$5*(1-MAX(0,MIN(1,(AG5-'Scoring Setup'!$K$19)/(100-'Scoring Setup'!$K$19)))),1),"")</x:f>
        <x:v>0.8200666666666666</x:v>
      </x:c>
      <x:c r="AZ5" s="27" t="n">
        <x:f>IF(ISNUMBER(AH5),IF('Scoring Setup'!$L$20=1,1-'Scoring Setup'!$B$5*(1-MAX(0,MIN(1,(AH5-'Scoring Setup'!$K$20)/(100-'Scoring Setup'!$K$20)))),1),"")</x:f>
        <x:v>0.927782744140625</x:v>
      </x:c>
      <x:c r="BA5" s="27" t="n">
        <x:f>IF(ISNUMBER(AI5),IF('Scoring Setup'!$L$21=1,1-'Scoring Setup'!$B$5*(1-MAX(0,MIN(1,(AI5-'Scoring Setup'!$K$21)/(100-'Scoring Setup'!$K$21)))),1),"")</x:f>
        <x:v>0.975489391145252</x:v>
      </x:c>
      <x:c r="BB5" s="27" t="n">
        <x:f>IF(ISNUMBER(AJ5),IF('Scoring Setup'!$L$22=1,1-'Scoring Setup'!$B$5*(1-MAX(0,MIN(1,(AJ5-'Scoring Setup'!$K$22)/(100-'Scoring Setup'!$K$22)))),1),"")</x:f>
        <x:v>0.8</x:v>
      </x:c>
      <x:c r="BC5" s="27" t="n">
        <x:f>IF(ISNUMBER(AK5),IF('Scoring Setup'!$L$23=1,1-'Scoring Setup'!$B$5*(1-MAX(0,MIN(1,(AK5-'Scoring Setup'!$K$23)/(100-'Scoring Setup'!$K$23)))),1),"")</x:f>
        <x:v>0.9346095766326336</x:v>
      </x:c>
      <x:c r="BD5" s="27" t="n">
        <x:f>IF(ISNUMBER(AL5),IF('Scoring Setup'!$L$24=1,1-'Scoring Setup'!$B$5*(1-MAX(0,MIN(1,(AL5-'Scoring Setup'!$K$24)/(100-'Scoring Setup'!$K$24)))),1),"")</x:f>
        <x:v>0.9094545454545454</x:v>
      </x:c>
      <x:c r="BE5" s="27" t="n">
        <x:f>IF(ISNUMBER(AM5),IF('Scoring Setup'!$L$25=1,1-'Scoring Setup'!$B$5*(1-MAX(0,MIN(1,(AM5-'Scoring Setup'!$K$25)/(100-'Scoring Setup'!$K$25)))),1),"")</x:f>
        <x:v>0.8549228700052378</x:v>
      </x:c>
      <x:c r="BF5" s="27" t="n">
        <x:f>IF(ISNUMBER(AN5),IF('Scoring Setup'!$L$26=1,1-'Scoring Setup'!$B$5*(1-MAX(0,MIN(1,(AN5-'Scoring Setup'!$K$26)/(100-'Scoring Setup'!$K$26)))),1),"")</x:f>
        <x:v>0.977621005370185</x:v>
      </x:c>
      <x:c r="BG5" s="34" t="n">
        <x:f>IF(COUNT(W5,X5)=2,AVERAGE(W5,X5),"")</x:f>
        <x:v>76.85714285714286</x:v>
      </x:c>
      <x:c r="BH5" s="34" t="n">
        <x:f>IF(COUNT(Y5,Z5)=2,AVERAGE(Y5,Z5),"")</x:f>
        <x:v>21.878568622666112</x:v>
      </x:c>
      <x:c r="BI5" s="34" t="n">
        <x:f>IF(COUNT(AA5,AB5,AC5)=3,AVERAGE(AA5,AB5,AC5),"")</x:f>
        <x:v>32.55351945231601</x:v>
      </x:c>
      <x:c r="BJ5" s="34" t="n">
        <x:f>IF(COUNT(AD5,AE5)=2,AVERAGE(AD5,AE5),"")</x:f>
        <x:v>75.7983790892857</x:v>
      </x:c>
      <x:c r="BK5" s="34" t="n">
        <x:f>IF(COUNT(AF5,AG5)=2,AVERAGE(AF5,AG5),"")</x:f>
        <x:v>28.00769438169896</x:v>
      </x:c>
      <x:c r="BL5" s="34" t="n">
        <x:f>IF(COUNT(AH5,AI5)=2,AVERAGE(AH5,AI5),"")</x:f>
        <x:v>75.81803382146927</x:v>
      </x:c>
      <x:c r="BM5" s="34" t="n">
        <x:f>IF(COUNT(AJ5,AK5)=2,AVERAGE(AJ5,AK5),"")</x:f>
        <x:v>33.65239415815839</x:v>
      </x:c>
      <x:c r="BN5" s="34" t="n">
        <x:f>IF(COUNT(AL5,AM5,AN5)=3,AVERAGE(AL5,AM5,AN5),"")</x:f>
        <x:v>56.999736804994704</x:v>
      </x:c>
      <x:c r="BO5" s="35" t="n">
        <x:f>IF(AND(COUNT(BG5:BN5)=8,ABS('Scoring Setup'!$C$17-1)&lt;0.000001),BG5*'Scoring Setup'!$C$9+BH5*'Scoring Setup'!$C$10+BI5*'Scoring Setup'!$C$11+BJ5*'Scoring Setup'!$C$12+BK5*'Scoring Setup'!$C$13+BL5*'Scoring Setup'!$C$14+BM5*'Scoring Setup'!$C$15+BN5*'Scoring Setup'!$C$16,"")</x:f>
        <x:v>48.27082974305738</x:v>
      </x:c>
      <x:c r="BP5" s="36" t="n">
        <x:f>IF(COUNT(AO5:BF5)=18,MIN(AO5:BF5),"")</x:f>
        <x:v>0.8</x:v>
      </x:c>
      <x:c r="BQ5" s="35" t="n">
        <x:f>IF(AND(ISNUMBER(BO5),ISNUMBER(BP5)),BO5*BP5,"")</x:f>
        <x:v>38.616663794445905</x:v>
      </x:c>
      <x:c r="BR5" s="17" t="str">
        <x:f>IF(COUNT(AO5:BF5)=18,INDEX('Scoring Setup'!$F$9:$F$26,MATCH(MIN(AO5:BF5),AO5:BF5,0),1),"")</x:f>
        <x:v>湿地陆地比例</x:v>
      </x:c>
    </x:row>
    <x:row r="6">
      <x:c r="A6" s="28" t="str">
        <x:v>51003</x:v>
      </x:c>
      <x:c r="B6" s="28" t="str">
        <x:v>Albemarle County</x:v>
      </x:c>
      <x:c r="C6" s="28" t="str">
        <x:v>VA</x:v>
      </x:c>
      <x:c r="D6" s="31" t="n">
        <x:v>1866.027153</x:v>
      </x:c>
      <x:c r="E6" s="32" t="n">
        <x:v>0.421</x:v>
      </x:c>
      <x:c r="F6" s="32" t="n">
        <x:v>0.493193069306931</x:v>
      </x:c>
      <x:c r="G6" s="32" t="n">
        <x:v>2.3410957248679236</x:v>
      </x:c>
      <x:c r="H6" s="32" t="n">
        <x:v>2.6406279611630112</x:v>
      </x:c>
      <x:c r="I6" s="32" t="n">
        <x:v>0.9422503313387239</x:v>
      </x:c>
      <x:c r="J6" s="32" t="n">
        <x:v>0.0492489771538557</x:v>
      </x:c>
      <x:c r="K6" s="32" t="n">
        <x:v>0.0025149980701985723</x:v>
      </x:c>
      <x:c r="L6" s="32" t="n">
        <x:v>0.380032324</x:v>
      </x:c>
      <x:c r="M6" s="32" t="n">
        <x:v>0.270514987</x:v>
      </x:c>
      <x:c r="N6" s="32" t="n">
        <x:v>61034</x:v>
      </x:c>
      <x:c r="O6" s="32" t="n">
        <x:v>0.2469</x:v>
      </x:c>
      <x:c r="P6" s="32" t="n">
        <x:v>1130.6182291666669</x:v>
      </x:c>
      <x:c r="Q6" s="32" t="n">
        <x:v>20.640704727172853</x:v>
      </x:c>
      <x:c r="R6" s="32" t="n">
        <x:v>0.21526021921826405</x:v>
      </x:c>
      <x:c r="S6" s="32" t="n">
        <x:v>1.245767606522472</x:v>
      </x:c>
      <x:c r="T6" s="32" t="n">
        <x:v>89.9</x:v>
      </x:c>
      <x:c r="U6" s="32" t="n">
        <x:v>245.07712999476223</x:v>
      </x:c>
      <x:c r="V6" s="32" t="n">
        <x:v>244.75798925963002</x:v>
      </x:c>
      <x:c r="W6" s="33" t="n">
        <x:f>IF(ISNUMBER(E6),100*MAX(0,MIN(1,('Anchors'!$H$6-E6)/('Anchors'!$H$6-'Anchors'!$G$6))),"")</x:f>
        <x:v>68.42857142857144</x:v>
      </x:c>
      <x:c r="X6" s="33" t="n">
        <x:f>IF(ISNUMBER(F6),100*MAX(0,MIN(1,('Anchors'!$H$7-F6)/('Anchors'!$H$7-'Anchors'!$G$7))),"")</x:f>
        <x:v>43.82956152758128</x:v>
      </x:c>
      <x:c r="Y6" s="33" t="n">
        <x:f>IF(ISNUMBER(G6),100*MAX(0,MIN(1,('Anchors'!$H$8-G6)/('Anchors'!$H$8-'Anchors'!$G$8))),"")</x:f>
        <x:v>55.296809171069214</x:v>
      </x:c>
      <x:c r="Z6" s="33" t="n">
        <x:f>IF(ISNUMBER(H6),100*MAX(0,MIN(1,('Anchors'!$H$9-H6)/('Anchors'!$H$9-'Anchors'!$G$9))),"")</x:f>
        <x:v>45.31240129456629</x:v>
      </x:c>
      <x:c r="AA6" s="33" t="n">
        <x:f>IF(ISNUMBER(I6),100*MAX(0,MIN(1,(I6-'Anchors'!$H$10)/('Anchors'!$G$10-'Anchors'!$H$10))),"")</x:f>
        <x:v>94.82881251215397</x:v>
      </x:c>
      <x:c r="AB6" s="33" t="n">
        <x:f>IF(ISNUMBER(J6),100*MAX(0,MIN(1,('Anchors'!$H$11-J6)/('Anchors'!$H$11-'Anchors'!$G$11))),"")</x:f>
        <x:v>80.30040913845772</x:v>
      </x:c>
      <x:c r="AC6" s="33" t="n">
        <x:f>IF(ISNUMBER(K6),100*MAX(0,MIN(1,('Anchors'!$H$12-K6)/('Anchors'!$H$12-'Anchors'!$G$12))),"")</x:f>
        <x:v>99.37125048245036</x:v>
      </x:c>
      <x:c r="AD6" s="33" t="n">
        <x:f>IF(ISNUMBER(L6),100*MAX(0,MIN(1,(L6-'Anchors'!$H$13)/('Anchors'!$G$13-'Anchors'!$H$13))),"")</x:f>
        <x:v>25.718903428571426</x:v>
      </x:c>
      <x:c r="AE6" s="33" t="n">
        <x:f>IF(ISNUMBER(M6),100*MAX(0,MIN(1,(M6-'Anchors'!$H$14)/('Anchors'!$G$14-'Anchors'!$H$14))),"")</x:f>
        <x:v>21.314373374999995</x:v>
      </x:c>
      <x:c r="AF6" s="33" t="n">
        <x:f>IF(ISNUMBER(N6),100*MAX(0,MIN(1,(LN(1+N6)-LN(1+'Anchors'!$H$15))/(LN(1+'Anchors'!$G$15)-LN(1+'Anchors'!$H$15)))),"")</x:f>
        <x:v>79.1708234459924</x:v>
      </x:c>
      <x:c r="AG6" s="33" t="n">
        <x:f>IF(ISNUMBER(O6),100*MAX(0,MIN(1,('Anchors'!$H$16-O6)/('Anchors'!$H$16-'Anchors'!$G$16))),"")</x:f>
        <x:v>78.12222222222222</x:v>
      </x:c>
      <x:c r="AH6" s="33" t="n">
        <x:f>IF(ISNUMBER(P6),100*MAX(0,MIN(1,('Anchors'!$H$17-P6)/('Anchors'!$H$17-'Anchors'!$G$17))),"")</x:f>
        <x:v>71.29211805555555</x:v>
      </x:c>
      <x:c r="AI6" s="33" t="n">
        <x:f>IF(ISNUMBER(Q6),100*MAX(0,MIN(1,('Anchors'!$H$18-Q6)/('Anchors'!$H$18-'Anchors'!$G$18))),"")</x:f>
        <x:v>77.65613610403878</x:v>
      </x:c>
      <x:c r="AJ6" s="33" t="n">
        <x:f>IF(ISNUMBER(R6),100*MAX(0,MIN(1,('Anchors'!$H$19-R6)/('Anchors'!$H$19-'Anchors'!$G$19))),"")</x:f>
        <x:v>100</x:v>
      </x:c>
      <x:c r="AK6" s="33" t="n">
        <x:f>IF(ISNUMBER(S6),100*MAX(0,MIN(1,('Anchors'!$H$20-S6)/('Anchors'!$H$20-'Anchors'!$G$20))),"")</x:f>
        <x:v>98.70648628146068</x:v>
      </x:c>
      <x:c r="AL6" s="33" t="n">
        <x:f>IF(ISNUMBER(T6),100*MAX(0,MIN(1,('Anchors'!$H$21-T6)/('Anchors'!$H$21-'Anchors'!$G$21))),"")</x:f>
        <x:v>54.72727272727271</x:v>
      </x:c>
      <x:c r="AM6" s="33" t="n">
        <x:f>IF(ISNUMBER(U6),100*MAX(0,MIN(1,('Anchors'!$H$22-U6)/('Anchors'!$H$22-'Anchors'!$G$22))),"")</x:f>
        <x:v>27.461435002618884</x:v>
      </x:c>
      <x:c r="AN6" s="33" t="n">
        <x:f>IF(ISNUMBER(V6),100*MAX(0,MIN(1,('Anchors'!$H$23-V6)/('Anchors'!$H$23-'Anchors'!$G$23))),"")</x:f>
        <x:v>88.8105026850925</x:v>
      </x:c>
      <x:c r="AO6" s="27" t="n">
        <x:f>IF(ISNUMBER(W6),IF('Scoring Setup'!$L$9=1,1-'Scoring Setup'!$B$5*(1-MAX(0,MIN(1,(W6-'Scoring Setup'!$K$9)/(100-'Scoring Setup'!$K$9)))),1),"")</x:f>
        <x:v>0.9368571428571429</x:v>
      </x:c>
      <x:c r="AP6" s="27" t="n">
        <x:f>IF(ISNUMBER(X6),IF('Scoring Setup'!$L$10=1,1-'Scoring Setup'!$B$5*(1-MAX(0,MIN(1,(X6-'Scoring Setup'!$K$10)/(100-'Scoring Setup'!$K$10)))),1),"")</x:f>
        <x:v>0.8876591230551626</x:v>
      </x:c>
      <x:c r="AQ6" s="27" t="n">
        <x:f>IF(ISNUMBER(Y6),IF('Scoring Setup'!$L$11=1,1-'Scoring Setup'!$B$5*(1-MAX(0,MIN(1,(Y6-'Scoring Setup'!$K$11)/(100-'Scoring Setup'!$K$11)))),1),"")</x:f>
        <x:v>0.9105936183421384</x:v>
      </x:c>
      <x:c r="AR6" s="27" t="n">
        <x:f>IF(ISNUMBER(Z6),IF('Scoring Setup'!$L$12=1,1-'Scoring Setup'!$B$5*(1-MAX(0,MIN(1,(Z6-'Scoring Setup'!$K$12)/(100-'Scoring Setup'!$K$12)))),1),"")</x:f>
        <x:v>0.8906248025891326</x:v>
      </x:c>
      <x:c r="AS6" s="27" t="n">
        <x:f>IF(ISNUMBER(AA6),IF('Scoring Setup'!$L$13=1,1-'Scoring Setup'!$B$5*(1-MAX(0,MIN(1,(AA6-'Scoring Setup'!$K$13)/(100-'Scoring Setup'!$K$13)))),1),"")</x:f>
        <x:v>0.989657625024308</x:v>
      </x:c>
      <x:c r="AT6" s="27" t="n">
        <x:f>IF(ISNUMBER(AB6),IF('Scoring Setup'!$L$14=1,1-'Scoring Setup'!$B$5*(1-MAX(0,MIN(1,(AB6-'Scoring Setup'!$K$14)/(100-'Scoring Setup'!$K$14)))),1),"")</x:f>
        <x:v>0.9606008182769155</x:v>
      </x:c>
      <x:c r="AU6" s="27" t="n">
        <x:f>IF(ISNUMBER(AC6),IF('Scoring Setup'!$L$15=1,1-'Scoring Setup'!$B$5*(1-MAX(0,MIN(1,(AC6-'Scoring Setup'!$K$15)/(100-'Scoring Setup'!$K$15)))),1),"")</x:f>
        <x:v>0.9987425009649007</x:v>
      </x:c>
      <x:c r="AV6" s="27" t="n">
        <x:f>IF(ISNUMBER(AD6),IF('Scoring Setup'!$L$16=1,1-'Scoring Setup'!$B$5*(1-MAX(0,MIN(1,(AD6-'Scoring Setup'!$K$16)/(100-'Scoring Setup'!$K$16)))),1),"")</x:f>
        <x:v>0.8514378068571429</x:v>
      </x:c>
      <x:c r="AW6" s="27" t="n">
        <x:f>IF(ISNUMBER(AE6),IF('Scoring Setup'!$L$17=1,1-'Scoring Setup'!$B$5*(1-MAX(0,MIN(1,(AE6-'Scoring Setup'!$K$17)/(100-'Scoring Setup'!$K$17)))),1),"")</x:f>
        <x:v>0.84262874675</x:v>
      </x:c>
      <x:c r="AX6" s="27" t="n">
        <x:f>IF(ISNUMBER(AF6),IF('Scoring Setup'!$L$18=1,1-'Scoring Setup'!$B$5*(1-MAX(0,MIN(1,(AF6-'Scoring Setup'!$K$18)/(100-'Scoring Setup'!$K$18)))),1),"")</x:f>
        <x:v>0.9583416468919848</x:v>
      </x:c>
      <x:c r="AY6" s="27" t="n">
        <x:f>IF(ISNUMBER(AG6),IF('Scoring Setup'!$L$19=1,1-'Scoring Setup'!$B$5*(1-MAX(0,MIN(1,(AG6-'Scoring Setup'!$K$19)/(100-'Scoring Setup'!$K$19)))),1),"")</x:f>
        <x:v>0.9562444444444445</x:v>
      </x:c>
      <x:c r="AZ6" s="27" t="n">
        <x:f>IF(ISNUMBER(AH6),IF('Scoring Setup'!$L$20=1,1-'Scoring Setup'!$B$5*(1-MAX(0,MIN(1,(AH6-'Scoring Setup'!$K$20)/(100-'Scoring Setup'!$K$20)))),1),"")</x:f>
        <x:v>0.9425842361111111</x:v>
      </x:c>
      <x:c r="BA6" s="27" t="n">
        <x:f>IF(ISNUMBER(AI6),IF('Scoring Setup'!$L$21=1,1-'Scoring Setup'!$B$5*(1-MAX(0,MIN(1,(AI6-'Scoring Setup'!$K$21)/(100-'Scoring Setup'!$K$21)))),1),"")</x:f>
        <x:v>0.9553122722080776</x:v>
      </x:c>
      <x:c r="BB6" s="27" t="n">
        <x:f>IF(ISNUMBER(AJ6),IF('Scoring Setup'!$L$22=1,1-'Scoring Setup'!$B$5*(1-MAX(0,MIN(1,(AJ6-'Scoring Setup'!$K$22)/(100-'Scoring Setup'!$K$22)))),1),"")</x:f>
        <x:v>1</x:v>
      </x:c>
      <x:c r="BC6" s="27" t="n">
        <x:f>IF(ISNUMBER(AK6),IF('Scoring Setup'!$L$23=1,1-'Scoring Setup'!$B$5*(1-MAX(0,MIN(1,(AK6-'Scoring Setup'!$K$23)/(100-'Scoring Setup'!$K$23)))),1),"")</x:f>
        <x:v>0.9974129725629214</x:v>
      </x:c>
      <x:c r="BD6" s="27" t="n">
        <x:f>IF(ISNUMBER(AL6),IF('Scoring Setup'!$L$24=1,1-'Scoring Setup'!$B$5*(1-MAX(0,MIN(1,(AL6-'Scoring Setup'!$K$24)/(100-'Scoring Setup'!$K$24)))),1),"")</x:f>
        <x:v>0.9094545454545454</x:v>
      </x:c>
      <x:c r="BE6" s="27" t="n">
        <x:f>IF(ISNUMBER(AM6),IF('Scoring Setup'!$L$25=1,1-'Scoring Setup'!$B$5*(1-MAX(0,MIN(1,(AM6-'Scoring Setup'!$K$25)/(100-'Scoring Setup'!$K$25)))),1),"")</x:f>
        <x:v>0.8549228700052378</x:v>
      </x:c>
      <x:c r="BF6" s="27" t="n">
        <x:f>IF(ISNUMBER(AN6),IF('Scoring Setup'!$L$26=1,1-'Scoring Setup'!$B$5*(1-MAX(0,MIN(1,(AN6-'Scoring Setup'!$K$26)/(100-'Scoring Setup'!$K$26)))),1),"")</x:f>
        <x:v>0.977621005370185</x:v>
      </x:c>
      <x:c r="BG6" s="34" t="n">
        <x:f>IF(COUNT(W6,X6)=2,AVERAGE(W6,X6),"")</x:f>
        <x:v>56.12906647807637</x:v>
      </x:c>
      <x:c r="BH6" s="34" t="n">
        <x:f>IF(COUNT(Y6,Z6)=2,AVERAGE(Y6,Z6),"")</x:f>
        <x:v>50.30460523281775</x:v>
      </x:c>
      <x:c r="BI6" s="34" t="n">
        <x:f>IF(COUNT(AA6,AB6,AC6)=3,AVERAGE(AA6,AB6,AC6),"")</x:f>
        <x:v>91.50015737768736</x:v>
      </x:c>
      <x:c r="BJ6" s="34" t="n">
        <x:f>IF(COUNT(AD6,AE6)=2,AVERAGE(AD6,AE6),"")</x:f>
        <x:v>23.516638401785713</x:v>
      </x:c>
      <x:c r="BK6" s="34" t="n">
        <x:f>IF(COUNT(AF6,AG6)=2,AVERAGE(AF6,AG6),"")</x:f>
        <x:v>78.64652283410732</x:v>
      </x:c>
      <x:c r="BL6" s="34" t="n">
        <x:f>IF(COUNT(AH6,AI6)=2,AVERAGE(AH6,AI6),"")</x:f>
        <x:v>74.47412707979717</x:v>
      </x:c>
      <x:c r="BM6" s="34" t="n">
        <x:f>IF(COUNT(AJ6,AK6)=2,AVERAGE(AJ6,AK6),"")</x:f>
        <x:v>99.35324314073034</x:v>
      </x:c>
      <x:c r="BN6" s="34" t="n">
        <x:f>IF(COUNT(AL6,AM6,AN6)=3,AVERAGE(AL6,AM6,AN6),"")</x:f>
        <x:v>56.999736804994704</x:v>
      </x:c>
      <x:c r="BO6" s="35" t="n">
        <x:f>IF(AND(COUNT(BG6:BN6)=8,ABS('Scoring Setup'!$C$17-1)&lt;0.000001),BG6*'Scoring Setup'!$C$9+BH6*'Scoring Setup'!$C$10+BI6*'Scoring Setup'!$C$11+BJ6*'Scoring Setup'!$C$12+BK6*'Scoring Setup'!$C$13+BL6*'Scoring Setup'!$C$14+BM6*'Scoring Setup'!$C$15+BN6*'Scoring Setup'!$C$16,"")</x:f>
        <x:v>60.83144910825401</x:v>
      </x:c>
      <x:c r="BP6" s="36" t="n">
        <x:f>IF(COUNT(AO6:BF6)=18,MIN(AO6:BF6),"")</x:f>
        <x:v>0.84262874675</x:v>
      </x:c>
      <x:c r="BQ6" s="35" t="n">
        <x:f>IF(AND(ISNUMBER(BO6),ISNUMBER(BP6)),BO6*BP6,"")</x:f>
        <x:v>51.25832772507448</x:v>
      </x:c>
      <x:c r="BR6" s="17" t="str">
        <x:f>IF(COUNT(AO6:BF6)=18,INDEX('Scoring Setup'!$F$9:$F$26,MATCH(MIN(AO6:BF6),AO6:BF6,0),1),"")</x:f>
        <x:v>商业光纤1000/100覆盖率</x:v>
      </x:c>
    </x:row>
    <x:row r="7">
      <x:c r="A7" s="28" t="str">
        <x:v>51005</x:v>
      </x:c>
      <x:c r="B7" s="28" t="str">
        <x:v>Alleghany County</x:v>
      </x:c>
      <x:c r="C7" s="28" t="str">
        <x:v>VA</x:v>
      </x:c>
      <x:c r="D7" s="31" t="n">
        <x:v>1156.616595</x:v>
      </x:c>
      <x:c r="E7" s="32" t="n">
        <x:v>0.65</x:v>
      </x:c>
      <x:c r="F7" s="32" t="n">
        <x:v>0.877475247524752</x:v>
      </x:c>
      <x:c r="G7" s="32" t="n">
        <x:v>2.3441233158450565</x:v>
      </x:c>
      <x:c r="H7" s="32" t="n">
        <x:v>2.64201022134626</x:v>
      </x:c>
      <x:c r="I7" s="32" t="n">
        <x:v>0.9693832211397913</x:v>
      </x:c>
      <x:c r="J7" s="32" t="n">
        <x:v>0.019849487125867798</x:v>
      </x:c>
      <x:c r="K7" s="32" t="n">
        <x:v>0.0001318251502225131</x:v>
      </x:c>
      <x:c r="L7" s="32" t="n">
        <x:v>0.059778931</x:v>
      </x:c>
      <x:c r="M7" s="32" t="n">
        <x:v>0.059778931</x:v>
      </x:c>
      <x:c r="N7" s="32" t="n">
        <x:v>5838</x:v>
      </x:c>
      <x:c r="O7" s="32" t="n">
        <x:v>0.3102</x:v>
      </x:c>
      <x:c r="P7" s="32" t="n">
        <x:v>550.2206573486328</x:v>
      </x:c>
      <x:c r="Q7" s="32" t="n">
        <x:v>6.005999803543091</x:v>
      </x:c>
      <x:c r="R7" s="32" t="n">
        <x:v>0.5064538752260462</x:v>
      </x:c>
      <x:c r="S7" s="32" t="n">
        <x:v>1.286674173716719</x:v>
      </x:c>
      <x:c r="T7" s="32" t="n">
        <x:v>89.9</x:v>
      </x:c>
      <x:c r="U7" s="32" t="n">
        <x:v>245.07712999476223</x:v>
      </x:c>
      <x:c r="V7" s="32" t="n">
        <x:v>244.75798925963002</x:v>
      </x:c>
      <x:c r="W7" s="33" t="n">
        <x:f>IF(ISNUMBER(E7),100*MAX(0,MIN(1,('Anchors'!$H$6-E7)/('Anchors'!$H$6-'Anchors'!$G$6))),"")</x:f>
        <x:v>35.714285714285715</x:v>
      </x:c>
      <x:c r="X7" s="33" t="n">
        <x:f>IF(ISNUMBER(F7),100*MAX(0,MIN(1,('Anchors'!$H$7-F7)/('Anchors'!$H$7-'Anchors'!$G$7))),"")</x:f>
        <x:v>0</x:v>
      </x:c>
      <x:c r="Y7" s="33" t="n">
        <x:f>IF(ISNUMBER(G7),100*MAX(0,MIN(1,('Anchors'!$H$8-G7)/('Anchors'!$H$8-'Anchors'!$G$8))),"")</x:f>
        <x:v>55.19588947183145</x:v>
      </x:c>
      <x:c r="Z7" s="33" t="n">
        <x:f>IF(ISNUMBER(H7),100*MAX(0,MIN(1,('Anchors'!$H$9-H7)/('Anchors'!$H$9-'Anchors'!$G$9))),"")</x:f>
        <x:v>45.26632595512467</x:v>
      </x:c>
      <x:c r="AA7" s="33" t="n">
        <x:f>IF(ISNUMBER(I7),100*MAX(0,MIN(1,(I7-'Anchors'!$H$10)/('Anchors'!$G$10-'Anchors'!$H$10))),"")</x:f>
        <x:v>98.54564673147826</x:v>
      </x:c>
      <x:c r="AB7" s="33" t="n">
        <x:f>IF(ISNUMBER(J7),100*MAX(0,MIN(1,('Anchors'!$H$11-J7)/('Anchors'!$H$11-'Anchors'!$G$11))),"")</x:f>
        <x:v>92.06020514965289</x:v>
      </x:c>
      <x:c r="AC7" s="33" t="n">
        <x:f>IF(ISNUMBER(K7),100*MAX(0,MIN(1,('Anchors'!$H$12-K7)/('Anchors'!$H$12-'Anchors'!$G$12))),"")</x:f>
        <x:v>99.96704371244437</x:v>
      </x:c>
      <x:c r="AD7" s="33" t="n">
        <x:f>IF(ISNUMBER(L7),100*MAX(0,MIN(1,(L7-'Anchors'!$H$13)/('Anchors'!$G$13-'Anchors'!$H$13))),"")</x:f>
        <x:v>0</x:v>
      </x:c>
      <x:c r="AE7" s="33" t="n">
        <x:f>IF(ISNUMBER(M7),100*MAX(0,MIN(1,(M7-'Anchors'!$H$14)/('Anchors'!$G$14-'Anchors'!$H$14))),"")</x:f>
        <x:v>0</x:v>
      </x:c>
      <x:c r="AF7" s="33" t="n">
        <x:f>IF(ISNUMBER(N7),100*MAX(0,MIN(1,(LN(1+N7)-LN(1+'Anchors'!$H$15))/(LN(1+'Anchors'!$G$15)-LN(1+'Anchors'!$H$15)))),"")</x:f>
        <x:v>24.806897326307986</x:v>
      </x:c>
      <x:c r="AG7" s="33" t="n">
        <x:f>IF(ISNUMBER(O7),100*MAX(0,MIN(1,('Anchors'!$H$16-O7)/('Anchors'!$H$16-'Anchors'!$G$16))),"")</x:f>
        <x:v>71.08888888888889</x:v>
      </x:c>
      <x:c r="AH7" s="33" t="n">
        <x:f>IF(ISNUMBER(P7),100*MAX(0,MIN(1,('Anchors'!$H$17-P7)/('Anchors'!$H$17-'Anchors'!$G$17))),"")</x:f>
        <x:v>100</x:v>
      </x:c>
      <x:c r="AI7" s="33" t="n">
        <x:f>IF(ISNUMBER(Q7),100*MAX(0,MIN(1,('Anchors'!$H$18-Q7)/('Anchors'!$H$18-'Anchors'!$G$18))),"")</x:f>
        <x:v>98.56285742350988</x:v>
      </x:c>
      <x:c r="AJ7" s="33" t="n">
        <x:f>IF(ISNUMBER(R7),100*MAX(0,MIN(1,('Anchors'!$H$19-R7)/('Anchors'!$H$19-'Anchors'!$G$19))),"")</x:f>
        <x:v>100</x:v>
      </x:c>
      <x:c r="AK7" s="33" t="n">
        <x:f>IF(ISNUMBER(S7),100*MAX(0,MIN(1,('Anchors'!$H$20-S7)/('Anchors'!$H$20-'Anchors'!$G$20))),"")</x:f>
        <x:v>98.49118855938569</x:v>
      </x:c>
      <x:c r="AL7" s="33" t="n">
        <x:f>IF(ISNUMBER(T7),100*MAX(0,MIN(1,('Anchors'!$H$21-T7)/('Anchors'!$H$21-'Anchors'!$G$21))),"")</x:f>
        <x:v>54.72727272727271</x:v>
      </x:c>
      <x:c r="AM7" s="33" t="n">
        <x:f>IF(ISNUMBER(U7),100*MAX(0,MIN(1,('Anchors'!$H$22-U7)/('Anchors'!$H$22-'Anchors'!$G$22))),"")</x:f>
        <x:v>27.461435002618884</x:v>
      </x:c>
      <x:c r="AN7" s="33" t="n">
        <x:f>IF(ISNUMBER(V7),100*MAX(0,MIN(1,('Anchors'!$H$23-V7)/('Anchors'!$H$23-'Anchors'!$G$23))),"")</x:f>
        <x:v>88.8105026850925</x:v>
      </x:c>
      <x:c r="AO7" s="27" t="n">
        <x:f>IF(ISNUMBER(W7),IF('Scoring Setup'!$L$9=1,1-'Scoring Setup'!$B$5*(1-MAX(0,MIN(1,(W7-'Scoring Setup'!$K$9)/(100-'Scoring Setup'!$K$9)))),1),"")</x:f>
        <x:v>0.8714285714285714</x:v>
      </x:c>
      <x:c r="AP7" s="27" t="n">
        <x:f>IF(ISNUMBER(X7),IF('Scoring Setup'!$L$10=1,1-'Scoring Setup'!$B$5*(1-MAX(0,MIN(1,(X7-'Scoring Setup'!$K$10)/(100-'Scoring Setup'!$K$10)))),1),"")</x:f>
        <x:v>0.8</x:v>
      </x:c>
      <x:c r="AQ7" s="27" t="n">
        <x:f>IF(ISNUMBER(Y7),IF('Scoring Setup'!$L$11=1,1-'Scoring Setup'!$B$5*(1-MAX(0,MIN(1,(Y7-'Scoring Setup'!$K$11)/(100-'Scoring Setup'!$K$11)))),1),"")</x:f>
        <x:v>0.9103917789436629</x:v>
      </x:c>
      <x:c r="AR7" s="27" t="n">
        <x:f>IF(ISNUMBER(Z7),IF('Scoring Setup'!$L$12=1,1-'Scoring Setup'!$B$5*(1-MAX(0,MIN(1,(Z7-'Scoring Setup'!$K$12)/(100-'Scoring Setup'!$K$12)))),1),"")</x:f>
        <x:v>0.8905326519102493</x:v>
      </x:c>
      <x:c r="AS7" s="27" t="n">
        <x:f>IF(ISNUMBER(AA7),IF('Scoring Setup'!$L$13=1,1-'Scoring Setup'!$B$5*(1-MAX(0,MIN(1,(AA7-'Scoring Setup'!$K$13)/(100-'Scoring Setup'!$K$13)))),1),"")</x:f>
        <x:v>0.9970912934629566</x:v>
      </x:c>
      <x:c r="AT7" s="27" t="n">
        <x:f>IF(ISNUMBER(AB7),IF('Scoring Setup'!$L$14=1,1-'Scoring Setup'!$B$5*(1-MAX(0,MIN(1,(AB7-'Scoring Setup'!$K$14)/(100-'Scoring Setup'!$K$14)))),1),"")</x:f>
        <x:v>0.9841204102993057</x:v>
      </x:c>
      <x:c r="AU7" s="27" t="n">
        <x:f>IF(ISNUMBER(AC7),IF('Scoring Setup'!$L$15=1,1-'Scoring Setup'!$B$5*(1-MAX(0,MIN(1,(AC7-'Scoring Setup'!$K$15)/(100-'Scoring Setup'!$K$15)))),1),"")</x:f>
        <x:v>0.9999340874248888</x:v>
      </x:c>
      <x:c r="AV7" s="27" t="n">
        <x:f>IF(ISNUMBER(AD7),IF('Scoring Setup'!$L$16=1,1-'Scoring Setup'!$B$5*(1-MAX(0,MIN(1,(AD7-'Scoring Setup'!$K$16)/(100-'Scoring Setup'!$K$16)))),1),"")</x:f>
        <x:v>0.8</x:v>
      </x:c>
      <x:c r="AW7" s="27" t="n">
        <x:f>IF(ISNUMBER(AE7),IF('Scoring Setup'!$L$17=1,1-'Scoring Setup'!$B$5*(1-MAX(0,MIN(1,(AE7-'Scoring Setup'!$K$17)/(100-'Scoring Setup'!$K$17)))),1),"")</x:f>
        <x:v>0.8</x:v>
      </x:c>
      <x:c r="AX7" s="27" t="n">
        <x:f>IF(ISNUMBER(AF7),IF('Scoring Setup'!$L$18=1,1-'Scoring Setup'!$B$5*(1-MAX(0,MIN(1,(AF7-'Scoring Setup'!$K$18)/(100-'Scoring Setup'!$K$18)))),1),"")</x:f>
        <x:v>0.849613794652616</x:v>
      </x:c>
      <x:c r="AY7" s="27" t="n">
        <x:f>IF(ISNUMBER(AG7),IF('Scoring Setup'!$L$19=1,1-'Scoring Setup'!$B$5*(1-MAX(0,MIN(1,(AG7-'Scoring Setup'!$K$19)/(100-'Scoring Setup'!$K$19)))),1),"")</x:f>
        <x:v>0.9421777777777778</x:v>
      </x:c>
      <x:c r="AZ7" s="27" t="n">
        <x:f>IF(ISNUMBER(AH7),IF('Scoring Setup'!$L$20=1,1-'Scoring Setup'!$B$5*(1-MAX(0,MIN(1,(AH7-'Scoring Setup'!$K$20)/(100-'Scoring Setup'!$K$20)))),1),"")</x:f>
        <x:v>1</x:v>
      </x:c>
      <x:c r="BA7" s="27" t="n">
        <x:f>IF(ISNUMBER(AI7),IF('Scoring Setup'!$L$21=1,1-'Scoring Setup'!$B$5*(1-MAX(0,MIN(1,(AI7-'Scoring Setup'!$K$21)/(100-'Scoring Setup'!$K$21)))),1),"")</x:f>
        <x:v>0.9971257148470197</x:v>
      </x:c>
      <x:c r="BB7" s="27" t="n">
        <x:f>IF(ISNUMBER(AJ7),IF('Scoring Setup'!$L$22=1,1-'Scoring Setup'!$B$5*(1-MAX(0,MIN(1,(AJ7-'Scoring Setup'!$K$22)/(100-'Scoring Setup'!$K$22)))),1),"")</x:f>
        <x:v>1</x:v>
      </x:c>
      <x:c r="BC7" s="27" t="n">
        <x:f>IF(ISNUMBER(AK7),IF('Scoring Setup'!$L$23=1,1-'Scoring Setup'!$B$5*(1-MAX(0,MIN(1,(AK7-'Scoring Setup'!$K$23)/(100-'Scoring Setup'!$K$23)))),1),"")</x:f>
        <x:v>0.9969823771187714</x:v>
      </x:c>
      <x:c r="BD7" s="27" t="n">
        <x:f>IF(ISNUMBER(AL7),IF('Scoring Setup'!$L$24=1,1-'Scoring Setup'!$B$5*(1-MAX(0,MIN(1,(AL7-'Scoring Setup'!$K$24)/(100-'Scoring Setup'!$K$24)))),1),"")</x:f>
        <x:v>0.9094545454545454</x:v>
      </x:c>
      <x:c r="BE7" s="27" t="n">
        <x:f>IF(ISNUMBER(AM7),IF('Scoring Setup'!$L$25=1,1-'Scoring Setup'!$B$5*(1-MAX(0,MIN(1,(AM7-'Scoring Setup'!$K$25)/(100-'Scoring Setup'!$K$25)))),1),"")</x:f>
        <x:v>0.8549228700052378</x:v>
      </x:c>
      <x:c r="BF7" s="27" t="n">
        <x:f>IF(ISNUMBER(AN7),IF('Scoring Setup'!$L$26=1,1-'Scoring Setup'!$B$5*(1-MAX(0,MIN(1,(AN7-'Scoring Setup'!$K$26)/(100-'Scoring Setup'!$K$26)))),1),"")</x:f>
        <x:v>0.977621005370185</x:v>
      </x:c>
      <x:c r="BG7" s="34" t="n">
        <x:f>IF(COUNT(W7,X7)=2,AVERAGE(W7,X7),"")</x:f>
        <x:v>17.857142857142858</x:v>
      </x:c>
      <x:c r="BH7" s="34" t="n">
        <x:f>IF(COUNT(Y7,Z7)=2,AVERAGE(Y7,Z7),"")</x:f>
        <x:v>50.23110771347806</x:v>
      </x:c>
      <x:c r="BI7" s="34" t="n">
        <x:f>IF(COUNT(AA7,AB7,AC7)=3,AVERAGE(AA7,AB7,AC7),"")</x:f>
        <x:v>96.85763186452516</x:v>
      </x:c>
      <x:c r="BJ7" s="34" t="n">
        <x:f>IF(COUNT(AD7,AE7)=2,AVERAGE(AD7,AE7),"")</x:f>
        <x:v>0</x:v>
      </x:c>
      <x:c r="BK7" s="34" t="n">
        <x:f>IF(COUNT(AF7,AG7)=2,AVERAGE(AF7,AG7),"")</x:f>
        <x:v>47.94789310759844</x:v>
      </x:c>
      <x:c r="BL7" s="34" t="n">
        <x:f>IF(COUNT(AH7,AI7)=2,AVERAGE(AH7,AI7),"")</x:f>
        <x:v>99.28142871175494</x:v>
      </x:c>
      <x:c r="BM7" s="34" t="n">
        <x:f>IF(COUNT(AJ7,AK7)=2,AVERAGE(AJ7,AK7),"")</x:f>
        <x:v>99.24559427969285</x:v>
      </x:c>
      <x:c r="BN7" s="34" t="n">
        <x:f>IF(COUNT(AL7,AM7,AN7)=3,AVERAGE(AL7,AM7,AN7),"")</x:f>
        <x:v>56.999736804994704</x:v>
      </x:c>
      <x:c r="BO7" s="35" t="n">
        <x:f>IF(AND(COUNT(BG7:BN7)=8,ABS('Scoring Setup'!$C$17-1)&lt;0.000001),BG7*'Scoring Setup'!$C$9+BH7*'Scoring Setup'!$C$10+BI7*'Scoring Setup'!$C$11+BJ7*'Scoring Setup'!$C$12+BK7*'Scoring Setup'!$C$13+BL7*'Scoring Setup'!$C$14+BM7*'Scoring Setup'!$C$15+BN7*'Scoring Setup'!$C$16,"")</x:f>
        <x:v>53.338760516693064</x:v>
      </x:c>
      <x:c r="BP7" s="36" t="n">
        <x:f>IF(COUNT(AO7:BF7)=18,MIN(AO7:BF7),"")</x:f>
        <x:v>0.8</x:v>
      </x:c>
      <x:c r="BQ7" s="35" t="n">
        <x:f>IF(AND(ISNUMBER(BO7),ISNUMBER(BP7)),BO7*BP7,"")</x:f>
        <x:v>42.67100841335446</x:v>
      </x:c>
      <x:c r="BR7" s="17" t="str">
        <x:f>IF(COUNT(AO7:BF7)=18,INDEX('Scoring Setup'!$F$9:$F$26,MATCH(MIN(AO7:BF7),AO7:BF7,0),1),"")</x:f>
        <x:v>洪水损失率全国百分位</x:v>
      </x:c>
    </x:row>
    <x:row r="8">
      <x:c r="A8" s="28" t="str">
        <x:v>51007</x:v>
      </x:c>
      <x:c r="B8" s="28" t="str">
        <x:v>Amelia County</x:v>
      </x:c>
      <x:c r="C8" s="28" t="str">
        <x:v>VA</x:v>
      </x:c>
      <x:c r="D8" s="31" t="n">
        <x:v>920.379344</x:v>
      </x:c>
      <x:c r="E8" s="32" t="n">
        <x:v>0.264</x:v>
      </x:c>
      <x:c r="F8" s="32" t="n">
        <x:v>0.265470297029703</x:v>
      </x:c>
      <x:c r="G8" s="32" t="n">
        <x:v>3.1367336770545875</x:v>
      </x:c>
      <x:c r="H8" s="32" t="n">
        <x:v>3.432467087</x:v>
      </x:c>
      <x:c r="I8" s="32" t="n">
        <x:v>0.9645136915179376</x:v>
      </x:c>
      <x:c r="J8" s="32" t="n">
        <x:v>0</x:v>
      </x:c>
      <x:c r="K8" s="32" t="n">
        <x:v>0.07174092147791368</x:v>
      </x:c>
      <x:c r="L8" s="32" t="n">
        <x:v>0.088115064</x:v>
      </x:c>
      <x:c r="M8" s="32" t="n">
        <x:v>0.087660863</x:v>
      </x:c>
      <x:c r="N8" s="32" t="n">
        <x:v>6496</x:v>
      </x:c>
      <x:c r="O8" s="32" t="n">
        <x:v>0.3853</x:v>
      </x:c>
      <x:c r="P8" s="32" t="n">
        <x:v>1186.0498413085938</x:v>
      </x:c>
      <x:c r="Q8" s="32" t="n">
        <x:v>29.05944913228353</x:v>
      </x:c>
      <x:c r="R8" s="32" t="n">
        <x:v>45.008350861513826</x:v>
      </x:c>
      <x:c r="S8" s="32" t="n">
        <x:v>1.2437790005396965</x:v>
      </x:c>
      <x:c r="T8" s="32" t="n">
        <x:v>89.9</x:v>
      </x:c>
      <x:c r="U8" s="32" t="n">
        <x:v>245.07712999476223</x:v>
      </x:c>
      <x:c r="V8" s="32" t="n">
        <x:v>244.75798925963002</x:v>
      </x:c>
      <x:c r="W8" s="33" t="n">
        <x:f>IF(ISNUMBER(E8),100*MAX(0,MIN(1,('Anchors'!$H$6-E8)/('Anchors'!$H$6-'Anchors'!$G$6))),"")</x:f>
        <x:v>90.85714285714288</x:v>
      </x:c>
      <x:c r="X8" s="33" t="n">
        <x:f>IF(ISNUMBER(F8),100*MAX(0,MIN(1,('Anchors'!$H$7-F8)/('Anchors'!$H$7-'Anchors'!$G$7))),"")</x:f>
        <x:v>76.36138613861387</x:v>
      </x:c>
      <x:c r="Y8" s="33" t="n">
        <x:f>IF(ISNUMBER(G8),100*MAX(0,MIN(1,('Anchors'!$H$8-G8)/('Anchors'!$H$8-'Anchors'!$G$8))),"")</x:f>
        <x:v>28.77554409818042</x:v>
      </x:c>
      <x:c r="Z8" s="33" t="n">
        <x:f>IF(ISNUMBER(H8),100*MAX(0,MIN(1,('Anchors'!$H$9-H8)/('Anchors'!$H$9-'Anchors'!$G$9))),"")</x:f>
        <x:v>18.917763766666663</x:v>
      </x:c>
      <x:c r="AA8" s="33" t="n">
        <x:f>IF(ISNUMBER(I8),100*MAX(0,MIN(1,(I8-'Anchors'!$H$10)/('Anchors'!$G$10-'Anchors'!$H$10))),"")</x:f>
        <x:v>97.87858787916954</x:v>
      </x:c>
      <x:c r="AB8" s="33" t="n">
        <x:f>IF(ISNUMBER(J8),100*MAX(0,MIN(1,('Anchors'!$H$11-J8)/('Anchors'!$H$11-'Anchors'!$G$11))),"")</x:f>
        <x:v>100</x:v>
      </x:c>
      <x:c r="AC8" s="33" t="n">
        <x:f>IF(ISNUMBER(K8),100*MAX(0,MIN(1,('Anchors'!$H$12-K8)/('Anchors'!$H$12-'Anchors'!$G$12))),"")</x:f>
        <x:v>82.06476963052158</x:v>
      </x:c>
      <x:c r="AD8" s="33" t="n">
        <x:f>IF(ISNUMBER(L8),100*MAX(0,MIN(1,(L8-'Anchors'!$H$13)/('Anchors'!$G$13-'Anchors'!$H$13))),"")</x:f>
        <x:v>0</x:v>
      </x:c>
      <x:c r="AE8" s="33" t="n">
        <x:f>IF(ISNUMBER(M8),100*MAX(0,MIN(1,(M8-'Anchors'!$H$14)/('Anchors'!$G$14-'Anchors'!$H$14))),"")</x:f>
        <x:v>0</x:v>
      </x:c>
      <x:c r="AF8" s="33" t="n">
        <x:f>IF(ISNUMBER(N8),100*MAX(0,MIN(1,(LN(1+N8)-LN(1+'Anchors'!$H$15))/(LN(1+'Anchors'!$G$15)-LN(1+'Anchors'!$H$15)))),"")</x:f>
        <x:v>27.28039995819381</x:v>
      </x:c>
      <x:c r="AG8" s="33" t="n">
        <x:f>IF(ISNUMBER(O8),100*MAX(0,MIN(1,('Anchors'!$H$16-O8)/('Anchors'!$H$16-'Anchors'!$G$16))),"")</x:f>
        <x:v>62.74444444444445</x:v>
      </x:c>
      <x:c r="AH8" s="33" t="n">
        <x:f>IF(ISNUMBER(P8),100*MAX(0,MIN(1,('Anchors'!$H$17-P8)/('Anchors'!$H$17-'Anchors'!$G$17))),"")</x:f>
        <x:v>67.59667724609373</x:v>
      </x:c>
      <x:c r="AI8" s="33" t="n">
        <x:f>IF(ISNUMBER(Q8),100*MAX(0,MIN(1,('Anchors'!$H$18-Q8)/('Anchors'!$H$18-'Anchors'!$G$18))),"")</x:f>
        <x:v>65.6293583824521</x:v>
      </x:c>
      <x:c r="AJ8" s="33" t="n">
        <x:f>IF(ISNUMBER(R8),100*MAX(0,MIN(1,('Anchors'!$H$19-R8)/('Anchors'!$H$19-'Anchors'!$G$19))),"")</x:f>
        <x:v>11.092553641080388</x:v>
      </x:c>
      <x:c r="AK8" s="33" t="n">
        <x:f>IF(ISNUMBER(S8),100*MAX(0,MIN(1,('Anchors'!$H$20-S8)/('Anchors'!$H$20-'Anchors'!$G$20))),"")</x:f>
        <x:v>98.71695262873844</x:v>
      </x:c>
      <x:c r="AL8" s="33" t="n">
        <x:f>IF(ISNUMBER(T8),100*MAX(0,MIN(1,('Anchors'!$H$21-T8)/('Anchors'!$H$21-'Anchors'!$G$21))),"")</x:f>
        <x:v>54.72727272727271</x:v>
      </x:c>
      <x:c r="AM8" s="33" t="n">
        <x:f>IF(ISNUMBER(U8),100*MAX(0,MIN(1,('Anchors'!$H$22-U8)/('Anchors'!$H$22-'Anchors'!$G$22))),"")</x:f>
        <x:v>27.461435002618884</x:v>
      </x:c>
      <x:c r="AN8" s="33" t="n">
        <x:f>IF(ISNUMBER(V8),100*MAX(0,MIN(1,('Anchors'!$H$23-V8)/('Anchors'!$H$23-'Anchors'!$G$23))),"")</x:f>
        <x:v>88.8105026850925</x:v>
      </x:c>
      <x:c r="AO8" s="27" t="n">
        <x:f>IF(ISNUMBER(W8),IF('Scoring Setup'!$L$9=1,1-'Scoring Setup'!$B$5*(1-MAX(0,MIN(1,(W8-'Scoring Setup'!$K$9)/(100-'Scoring Setup'!$K$9)))),1),"")</x:f>
        <x:v>0.9817142857142858</x:v>
      </x:c>
      <x:c r="AP8" s="27" t="n">
        <x:f>IF(ISNUMBER(X8),IF('Scoring Setup'!$L$10=1,1-'Scoring Setup'!$B$5*(1-MAX(0,MIN(1,(X8-'Scoring Setup'!$K$10)/(100-'Scoring Setup'!$K$10)))),1),"")</x:f>
        <x:v>0.9527227722772277</x:v>
      </x:c>
      <x:c r="AQ8" s="27" t="n">
        <x:f>IF(ISNUMBER(Y8),IF('Scoring Setup'!$L$11=1,1-'Scoring Setup'!$B$5*(1-MAX(0,MIN(1,(Y8-'Scoring Setup'!$K$11)/(100-'Scoring Setup'!$K$11)))),1),"")</x:f>
        <x:v>0.8575510881963608</x:v>
      </x:c>
      <x:c r="AR8" s="27" t="n">
        <x:f>IF(ISNUMBER(Z8),IF('Scoring Setup'!$L$12=1,1-'Scoring Setup'!$B$5*(1-MAX(0,MIN(1,(Z8-'Scoring Setup'!$K$12)/(100-'Scoring Setup'!$K$12)))),1),"")</x:f>
        <x:v>0.8378355275333333</x:v>
      </x:c>
      <x:c r="AS8" s="27" t="n">
        <x:f>IF(ISNUMBER(AA8),IF('Scoring Setup'!$L$13=1,1-'Scoring Setup'!$B$5*(1-MAX(0,MIN(1,(AA8-'Scoring Setup'!$K$13)/(100-'Scoring Setup'!$K$13)))),1),"")</x:f>
        <x:v>0.9957571757583391</x:v>
      </x:c>
      <x:c r="AT8" s="27" t="n">
        <x:f>IF(ISNUMBER(AB8),IF('Scoring Setup'!$L$14=1,1-'Scoring Setup'!$B$5*(1-MAX(0,MIN(1,(AB8-'Scoring Setup'!$K$14)/(100-'Scoring Setup'!$K$14)))),1),"")</x:f>
        <x:v>1</x:v>
      </x:c>
      <x:c r="AU8" s="27" t="n">
        <x:f>IF(ISNUMBER(AC8),IF('Scoring Setup'!$L$15=1,1-'Scoring Setup'!$B$5*(1-MAX(0,MIN(1,(AC8-'Scoring Setup'!$K$15)/(100-'Scoring Setup'!$K$15)))),1),"")</x:f>
        <x:v>0.9641295392610432</x:v>
      </x:c>
      <x:c r="AV8" s="27" t="n">
        <x:f>IF(ISNUMBER(AD8),IF('Scoring Setup'!$L$16=1,1-'Scoring Setup'!$B$5*(1-MAX(0,MIN(1,(AD8-'Scoring Setup'!$K$16)/(100-'Scoring Setup'!$K$16)))),1),"")</x:f>
        <x:v>0.8</x:v>
      </x:c>
      <x:c r="AW8" s="27" t="n">
        <x:f>IF(ISNUMBER(AE8),IF('Scoring Setup'!$L$17=1,1-'Scoring Setup'!$B$5*(1-MAX(0,MIN(1,(AE8-'Scoring Setup'!$K$17)/(100-'Scoring Setup'!$K$17)))),1),"")</x:f>
        <x:v>0.8</x:v>
      </x:c>
      <x:c r="AX8" s="27" t="n">
        <x:f>IF(ISNUMBER(AF8),IF('Scoring Setup'!$L$18=1,1-'Scoring Setup'!$B$5*(1-MAX(0,MIN(1,(AF8-'Scoring Setup'!$K$18)/(100-'Scoring Setup'!$K$18)))),1),"")</x:f>
        <x:v>0.8545607999163876</x:v>
      </x:c>
      <x:c r="AY8" s="27" t="n">
        <x:f>IF(ISNUMBER(AG8),IF('Scoring Setup'!$L$19=1,1-'Scoring Setup'!$B$5*(1-MAX(0,MIN(1,(AG8-'Scoring Setup'!$K$19)/(100-'Scoring Setup'!$K$19)))),1),"")</x:f>
        <x:v>0.9254888888888889</x:v>
      </x:c>
      <x:c r="AZ8" s="27" t="n">
        <x:f>IF(ISNUMBER(AH8),IF('Scoring Setup'!$L$20=1,1-'Scoring Setup'!$B$5*(1-MAX(0,MIN(1,(AH8-'Scoring Setup'!$K$20)/(100-'Scoring Setup'!$K$20)))),1),"")</x:f>
        <x:v>0.9351933544921874</x:v>
      </x:c>
      <x:c r="BA8" s="27" t="n">
        <x:f>IF(ISNUMBER(AI8),IF('Scoring Setup'!$L$21=1,1-'Scoring Setup'!$B$5*(1-MAX(0,MIN(1,(AI8-'Scoring Setup'!$K$21)/(100-'Scoring Setup'!$K$21)))),1),"")</x:f>
        <x:v>0.9312587167649042</x:v>
      </x:c>
      <x:c r="BB8" s="27" t="n">
        <x:f>IF(ISNUMBER(AJ8),IF('Scoring Setup'!$L$22=1,1-'Scoring Setup'!$B$5*(1-MAX(0,MIN(1,(AJ8-'Scoring Setup'!$K$22)/(100-'Scoring Setup'!$K$22)))),1),"")</x:f>
        <x:v>0.8221851072821608</x:v>
      </x:c>
      <x:c r="BC8" s="27" t="n">
        <x:f>IF(ISNUMBER(AK8),IF('Scoring Setup'!$L$23=1,1-'Scoring Setup'!$B$5*(1-MAX(0,MIN(1,(AK8-'Scoring Setup'!$K$23)/(100-'Scoring Setup'!$K$23)))),1),"")</x:f>
        <x:v>0.9974339052574769</x:v>
      </x:c>
      <x:c r="BD8" s="27" t="n">
        <x:f>IF(ISNUMBER(AL8),IF('Scoring Setup'!$L$24=1,1-'Scoring Setup'!$B$5*(1-MAX(0,MIN(1,(AL8-'Scoring Setup'!$K$24)/(100-'Scoring Setup'!$K$24)))),1),"")</x:f>
        <x:v>0.9094545454545454</x:v>
      </x:c>
      <x:c r="BE8" s="27" t="n">
        <x:f>IF(ISNUMBER(AM8),IF('Scoring Setup'!$L$25=1,1-'Scoring Setup'!$B$5*(1-MAX(0,MIN(1,(AM8-'Scoring Setup'!$K$25)/(100-'Scoring Setup'!$K$25)))),1),"")</x:f>
        <x:v>0.8549228700052378</x:v>
      </x:c>
      <x:c r="BF8" s="27" t="n">
        <x:f>IF(ISNUMBER(AN8),IF('Scoring Setup'!$L$26=1,1-'Scoring Setup'!$B$5*(1-MAX(0,MIN(1,(AN8-'Scoring Setup'!$K$26)/(100-'Scoring Setup'!$K$26)))),1),"")</x:f>
        <x:v>0.977621005370185</x:v>
      </x:c>
      <x:c r="BG8" s="34" t="n">
        <x:f>IF(COUNT(W8,X8)=2,AVERAGE(W8,X8),"")</x:f>
        <x:v>83.60926449787837</x:v>
      </x:c>
      <x:c r="BH8" s="34" t="n">
        <x:f>IF(COUNT(Y8,Z8)=2,AVERAGE(Y8,Z8),"")</x:f>
        <x:v>23.846653932423543</x:v>
      </x:c>
      <x:c r="BI8" s="34" t="n">
        <x:f>IF(COUNT(AA8,AB8,AC8)=3,AVERAGE(AA8,AB8,AC8),"")</x:f>
        <x:v>93.31445250323037</x:v>
      </x:c>
      <x:c r="BJ8" s="34" t="n">
        <x:f>IF(COUNT(AD8,AE8)=2,AVERAGE(AD8,AE8),"")</x:f>
        <x:v>0</x:v>
      </x:c>
      <x:c r="BK8" s="34" t="n">
        <x:f>IF(COUNT(AF8,AG8)=2,AVERAGE(AF8,AG8),"")</x:f>
        <x:v>45.012422201319126</x:v>
      </x:c>
      <x:c r="BL8" s="34" t="n">
        <x:f>IF(COUNT(AH8,AI8)=2,AVERAGE(AH8,AI8),"")</x:f>
        <x:v>66.61301781427292</x:v>
      </x:c>
      <x:c r="BM8" s="34" t="n">
        <x:f>IF(COUNT(AJ8,AK8)=2,AVERAGE(AJ8,AK8),"")</x:f>
        <x:v>54.90475313490941</x:v>
      </x:c>
      <x:c r="BN8" s="34" t="n">
        <x:f>IF(COUNT(AL8,AM8,AN8)=3,AVERAGE(AL8,AM8,AN8),"")</x:f>
        <x:v>56.999736804994704</x:v>
      </x:c>
      <x:c r="BO8" s="35" t="n">
        <x:f>IF(AND(COUNT(BG8:BN8)=8,ABS('Scoring Setup'!$C$17-1)&lt;0.000001),BG8*'Scoring Setup'!$C$9+BH8*'Scoring Setup'!$C$10+BI8*'Scoring Setup'!$C$11+BJ8*'Scoring Setup'!$C$12+BK8*'Scoring Setup'!$C$13+BL8*'Scoring Setup'!$C$14+BM8*'Scoring Setup'!$C$15+BN8*'Scoring Setup'!$C$16,"")</x:f>
        <x:v>50.138754295685025</x:v>
      </x:c>
      <x:c r="BP8" s="36" t="n">
        <x:f>IF(COUNT(AO8:BF8)=18,MIN(AO8:BF8),"")</x:f>
        <x:v>0.8</x:v>
      </x:c>
      <x:c r="BQ8" s="35" t="n">
        <x:f>IF(AND(ISNUMBER(BO8),ISNUMBER(BP8)),BO8*BP8,"")</x:f>
        <x:v>40.111003436548025</x:v>
      </x:c>
      <x:c r="BR8" s="17" t="str">
        <x:f>IF(COUNT(AO8:BF8)=18,INDEX('Scoring Setup'!$F$9:$F$26,MATCH(MIN(AO8:BF8),AO8:BF8,0),1),"")</x:f>
        <x:v>商业光纤100/20覆盖率</x:v>
      </x:c>
    </x:row>
    <x:row r="9">
      <x:c r="A9" s="28" t="str">
        <x:v>51009</x:v>
      </x:c>
      <x:c r="B9" s="28" t="str">
        <x:v>Amherst County</x:v>
      </x:c>
      <x:c r="C9" s="28" t="str">
        <x:v>VA</x:v>
      </x:c>
      <x:c r="D9" s="31" t="n">
        <x:v>1227.554632</x:v>
      </x:c>
      <x:c r="E9" s="32" t="n">
        <x:v>0.555</x:v>
      </x:c>
      <x:c r="F9" s="32" t="n">
        <x:v>0.505259900990099</x:v>
      </x:c>
      <x:c r="G9" s="32" t="n">
        <x:v>2.347786261981338</x:v>
      </x:c>
      <x:c r="H9" s="32" t="n">
        <x:v>2.645844728</x:v>
      </x:c>
      <x:c r="I9" s="32" t="n">
        <x:v>0.9605419763174315</x:v>
      </x:c>
      <x:c r="J9" s="32" t="n">
        <x:v>0.0002262135205163419</x:v>
      </x:c>
      <x:c r="K9" s="32" t="n">
        <x:v>0.00024798883977067985</x:v>
      </x:c>
      <x:c r="L9" s="32" t="n">
        <x:v>0.390962799</x:v>
      </x:c>
      <x:c r="M9" s="32" t="n">
        <x:v>0.388755437</x:v>
      </x:c>
      <x:c r="N9" s="32" t="n">
        <x:v>15060</x:v>
      </x:c>
      <x:c r="O9" s="32" t="n">
        <x:v>0.4022</x:v>
      </x:c>
      <x:c r="P9" s="32" t="n">
        <x:v>920.9007527669272</x:v>
      </x:c>
      <x:c r="Q9" s="32" t="n">
        <x:v>16.576550674438476</x:v>
      </x:c>
      <x:c r="R9" s="32" t="n">
        <x:v>26.56922832863828</x:v>
      </x:c>
      <x:c r="S9" s="32" t="n">
        <x:v>10.973605297475968</x:v>
      </x:c>
      <x:c r="T9" s="32" t="n">
        <x:v>89.9</x:v>
      </x:c>
      <x:c r="U9" s="32" t="n">
        <x:v>245.07712999476223</x:v>
      </x:c>
      <x:c r="V9" s="32" t="n">
        <x:v>244.75798925963002</x:v>
      </x:c>
      <x:c r="W9" s="33" t="n">
        <x:f>IF(ISNUMBER(E9),100*MAX(0,MIN(1,('Anchors'!$H$6-E9)/('Anchors'!$H$6-'Anchors'!$G$6))),"")</x:f>
        <x:v>49.285714285714285</x:v>
      </x:c>
      <x:c r="X9" s="33" t="n">
        <x:f>IF(ISNUMBER(F9),100*MAX(0,MIN(1,('Anchors'!$H$7-F9)/('Anchors'!$H$7-'Anchors'!$G$7))),"")</x:f>
        <x:v>42.10572842998586</x:v>
      </x:c>
      <x:c r="Y9" s="33" t="n">
        <x:f>IF(ISNUMBER(G9),100*MAX(0,MIN(1,('Anchors'!$H$8-G9)/('Anchors'!$H$8-'Anchors'!$G$8))),"")</x:f>
        <x:v>55.073791267288726</x:v>
      </x:c>
      <x:c r="Z9" s="33" t="n">
        <x:f>IF(ISNUMBER(H9),100*MAX(0,MIN(1,('Anchors'!$H$9-H9)/('Anchors'!$H$9-'Anchors'!$G$9))),"")</x:f>
        <x:v>45.13850906666666</x:v>
      </x:c>
      <x:c r="AA9" s="33" t="n">
        <x:f>IF(ISNUMBER(I9),100*MAX(0,MIN(1,(I9-'Anchors'!$H$10)/('Anchors'!$G$10-'Anchors'!$H$10))),"")</x:f>
        <x:v>97.33451730375775</x:v>
      </x:c>
      <x:c r="AB9" s="33" t="n">
        <x:f>IF(ISNUMBER(J9),100*MAX(0,MIN(1,('Anchors'!$H$11-J9)/('Anchors'!$H$11-'Anchors'!$G$11))),"")</x:f>
        <x:v>99.90951459179345</x:v>
      </x:c>
      <x:c r="AC9" s="33" t="n">
        <x:f>IF(ISNUMBER(K9),100*MAX(0,MIN(1,('Anchors'!$H$12-K9)/('Anchors'!$H$12-'Anchors'!$G$12))),"")</x:f>
        <x:v>99.93800279005734</x:v>
      </x:c>
      <x:c r="AD9" s="33" t="n">
        <x:f>IF(ISNUMBER(L9),100*MAX(0,MIN(1,(L9-'Anchors'!$H$13)/('Anchors'!$G$13-'Anchors'!$H$13))),"")</x:f>
        <x:v>27.28039985714286</x:v>
      </x:c>
      <x:c r="AE9" s="33" t="n">
        <x:f>IF(ISNUMBER(M9),100*MAX(0,MIN(1,(M9-'Anchors'!$H$14)/('Anchors'!$G$14-'Anchors'!$H$14))),"")</x:f>
        <x:v>36.09442962499999</x:v>
      </x:c>
      <x:c r="AF9" s="33" t="n">
        <x:f>IF(ISNUMBER(N9),100*MAX(0,MIN(1,(LN(1+N9)-LN(1+'Anchors'!$H$15))/(LN(1+'Anchors'!$G$15)-LN(1+'Anchors'!$H$15)))),"")</x:f>
        <x:v>46.75617205906977</x:v>
      </x:c>
      <x:c r="AG9" s="33" t="n">
        <x:f>IF(ISNUMBER(O9),100*MAX(0,MIN(1,('Anchors'!$H$16-O9)/('Anchors'!$H$16-'Anchors'!$G$16))),"")</x:f>
        <x:v>60.86666666666667</x:v>
      </x:c>
      <x:c r="AH9" s="33" t="n">
        <x:f>IF(ISNUMBER(P9),100*MAX(0,MIN(1,('Anchors'!$H$17-P9)/('Anchors'!$H$17-'Anchors'!$G$17))),"")</x:f>
        <x:v>85.27328314887151</x:v>
      </x:c>
      <x:c r="AI9" s="33" t="n">
        <x:f>IF(ISNUMBER(Q9),100*MAX(0,MIN(1,('Anchors'!$H$18-Q9)/('Anchors'!$H$18-'Anchors'!$G$18))),"")</x:f>
        <x:v>83.46207046508789</x:v>
      </x:c>
      <x:c r="AJ9" s="33" t="n">
        <x:f>IF(ISNUMBER(R9),100*MAX(0,MIN(1,('Anchors'!$H$19-R9)/('Anchors'!$H$19-'Anchors'!$G$19))),"")</x:f>
        <x:v>52.06838149191493</x:v>
      </x:c>
      <x:c r="AK9" s="33" t="n">
        <x:f>IF(ISNUMBER(S9),100*MAX(0,MIN(1,('Anchors'!$H$20-S9)/('Anchors'!$H$20-'Anchors'!$G$20))),"")</x:f>
        <x:v>47.507340539600165</x:v>
      </x:c>
      <x:c r="AL9" s="33" t="n">
        <x:f>IF(ISNUMBER(T9),100*MAX(0,MIN(1,('Anchors'!$H$21-T9)/('Anchors'!$H$21-'Anchors'!$G$21))),"")</x:f>
        <x:v>54.72727272727271</x:v>
      </x:c>
      <x:c r="AM9" s="33" t="n">
        <x:f>IF(ISNUMBER(U9),100*MAX(0,MIN(1,('Anchors'!$H$22-U9)/('Anchors'!$H$22-'Anchors'!$G$22))),"")</x:f>
        <x:v>27.461435002618884</x:v>
      </x:c>
      <x:c r="AN9" s="33" t="n">
        <x:f>IF(ISNUMBER(V9),100*MAX(0,MIN(1,('Anchors'!$H$23-V9)/('Anchors'!$H$23-'Anchors'!$G$23))),"")</x:f>
        <x:v>88.8105026850925</x:v>
      </x:c>
      <x:c r="AO9" s="27" t="n">
        <x:f>IF(ISNUMBER(W9),IF('Scoring Setup'!$L$9=1,1-'Scoring Setup'!$B$5*(1-MAX(0,MIN(1,(W9-'Scoring Setup'!$K$9)/(100-'Scoring Setup'!$K$9)))),1),"")</x:f>
        <x:v>0.8985714285714286</x:v>
      </x:c>
      <x:c r="AP9" s="27" t="n">
        <x:f>IF(ISNUMBER(X9),IF('Scoring Setup'!$L$10=1,1-'Scoring Setup'!$B$5*(1-MAX(0,MIN(1,(X9-'Scoring Setup'!$K$10)/(100-'Scoring Setup'!$K$10)))),1),"")</x:f>
        <x:v>0.8842114568599717</x:v>
      </x:c>
      <x:c r="AQ9" s="27" t="n">
        <x:f>IF(ISNUMBER(Y9),IF('Scoring Setup'!$L$11=1,1-'Scoring Setup'!$B$5*(1-MAX(0,MIN(1,(Y9-'Scoring Setup'!$K$11)/(100-'Scoring Setup'!$K$11)))),1),"")</x:f>
        <x:v>0.9101475825345775</x:v>
      </x:c>
      <x:c r="AR9" s="27" t="n">
        <x:f>IF(ISNUMBER(Z9),IF('Scoring Setup'!$L$12=1,1-'Scoring Setup'!$B$5*(1-MAX(0,MIN(1,(Z9-'Scoring Setup'!$K$12)/(100-'Scoring Setup'!$K$12)))),1),"")</x:f>
        <x:v>0.8902770181333333</x:v>
      </x:c>
      <x:c r="AS9" s="27" t="n">
        <x:f>IF(ISNUMBER(AA9),IF('Scoring Setup'!$L$13=1,1-'Scoring Setup'!$B$5*(1-MAX(0,MIN(1,(AA9-'Scoring Setup'!$K$13)/(100-'Scoring Setup'!$K$13)))),1),"")</x:f>
        <x:v>0.9946690346075155</x:v>
      </x:c>
      <x:c r="AT9" s="27" t="n">
        <x:f>IF(ISNUMBER(AB9),IF('Scoring Setup'!$L$14=1,1-'Scoring Setup'!$B$5*(1-MAX(0,MIN(1,(AB9-'Scoring Setup'!$K$14)/(100-'Scoring Setup'!$K$14)))),1),"")</x:f>
        <x:v>0.9998190291835869</x:v>
      </x:c>
      <x:c r="AU9" s="27" t="n">
        <x:f>IF(ISNUMBER(AC9),IF('Scoring Setup'!$L$15=1,1-'Scoring Setup'!$B$5*(1-MAX(0,MIN(1,(AC9-'Scoring Setup'!$K$15)/(100-'Scoring Setup'!$K$15)))),1),"")</x:f>
        <x:v>0.9998760055801147</x:v>
      </x:c>
      <x:c r="AV9" s="27" t="n">
        <x:f>IF(ISNUMBER(AD9),IF('Scoring Setup'!$L$16=1,1-'Scoring Setup'!$B$5*(1-MAX(0,MIN(1,(AD9-'Scoring Setup'!$K$16)/(100-'Scoring Setup'!$K$16)))),1),"")</x:f>
        <x:v>0.8545607997142857</x:v>
      </x:c>
      <x:c r="AW9" s="27" t="n">
        <x:f>IF(ISNUMBER(AE9),IF('Scoring Setup'!$L$17=1,1-'Scoring Setup'!$B$5*(1-MAX(0,MIN(1,(AE9-'Scoring Setup'!$K$17)/(100-'Scoring Setup'!$K$17)))),1),"")</x:f>
        <x:v>0.87218885925</x:v>
      </x:c>
      <x:c r="AX9" s="27" t="n">
        <x:f>IF(ISNUMBER(AF9),IF('Scoring Setup'!$L$18=1,1-'Scoring Setup'!$B$5*(1-MAX(0,MIN(1,(AF9-'Scoring Setup'!$K$18)/(100-'Scoring Setup'!$K$18)))),1),"")</x:f>
        <x:v>0.8935123441181395</x:v>
      </x:c>
      <x:c r="AY9" s="27" t="n">
        <x:f>IF(ISNUMBER(AG9),IF('Scoring Setup'!$L$19=1,1-'Scoring Setup'!$B$5*(1-MAX(0,MIN(1,(AG9-'Scoring Setup'!$K$19)/(100-'Scoring Setup'!$K$19)))),1),"")</x:f>
        <x:v>0.9217333333333333</x:v>
      </x:c>
      <x:c r="AZ9" s="27" t="n">
        <x:f>IF(ISNUMBER(AH9),IF('Scoring Setup'!$L$20=1,1-'Scoring Setup'!$B$5*(1-MAX(0,MIN(1,(AH9-'Scoring Setup'!$K$20)/(100-'Scoring Setup'!$K$20)))),1),"")</x:f>
        <x:v>0.970546566297743</x:v>
      </x:c>
      <x:c r="BA9" s="27" t="n">
        <x:f>IF(ISNUMBER(AI9),IF('Scoring Setup'!$L$21=1,1-'Scoring Setup'!$B$5*(1-MAX(0,MIN(1,(AI9-'Scoring Setup'!$K$21)/(100-'Scoring Setup'!$K$21)))),1),"")</x:f>
        <x:v>0.9669241409301758</x:v>
      </x:c>
      <x:c r="BB9" s="27" t="n">
        <x:f>IF(ISNUMBER(AJ9),IF('Scoring Setup'!$L$22=1,1-'Scoring Setup'!$B$5*(1-MAX(0,MIN(1,(AJ9-'Scoring Setup'!$K$22)/(100-'Scoring Setup'!$K$22)))),1),"")</x:f>
        <x:v>0.9041367629838298</x:v>
      </x:c>
      <x:c r="BC9" s="27" t="n">
        <x:f>IF(ISNUMBER(AK9),IF('Scoring Setup'!$L$23=1,1-'Scoring Setup'!$B$5*(1-MAX(0,MIN(1,(AK9-'Scoring Setup'!$K$23)/(100-'Scoring Setup'!$K$23)))),1),"")</x:f>
        <x:v>0.8950146810792003</x:v>
      </x:c>
      <x:c r="BD9" s="27" t="n">
        <x:f>IF(ISNUMBER(AL9),IF('Scoring Setup'!$L$24=1,1-'Scoring Setup'!$B$5*(1-MAX(0,MIN(1,(AL9-'Scoring Setup'!$K$24)/(100-'Scoring Setup'!$K$24)))),1),"")</x:f>
        <x:v>0.9094545454545454</x:v>
      </x:c>
      <x:c r="BE9" s="27" t="n">
        <x:f>IF(ISNUMBER(AM9),IF('Scoring Setup'!$L$25=1,1-'Scoring Setup'!$B$5*(1-MAX(0,MIN(1,(AM9-'Scoring Setup'!$K$25)/(100-'Scoring Setup'!$K$25)))),1),"")</x:f>
        <x:v>0.8549228700052378</x:v>
      </x:c>
      <x:c r="BF9" s="27" t="n">
        <x:f>IF(ISNUMBER(AN9),IF('Scoring Setup'!$L$26=1,1-'Scoring Setup'!$B$5*(1-MAX(0,MIN(1,(AN9-'Scoring Setup'!$K$26)/(100-'Scoring Setup'!$K$26)))),1),"")</x:f>
        <x:v>0.977621005370185</x:v>
      </x:c>
      <x:c r="BG9" s="34" t="n">
        <x:f>IF(COUNT(W9,X9)=2,AVERAGE(W9,X9),"")</x:f>
        <x:v>45.695721357850076</x:v>
      </x:c>
      <x:c r="BH9" s="34" t="n">
        <x:f>IF(COUNT(Y9,Z9)=2,AVERAGE(Y9,Z9),"")</x:f>
        <x:v>50.10615016697769</x:v>
      </x:c>
      <x:c r="BI9" s="34" t="n">
        <x:f>IF(COUNT(AA9,AB9,AC9)=3,AVERAGE(AA9,AB9,AC9),"")</x:f>
        <x:v>99.06067822853618</x:v>
      </x:c>
      <x:c r="BJ9" s="34" t="n">
        <x:f>IF(COUNT(AD9,AE9)=2,AVERAGE(AD9,AE9),"")</x:f>
        <x:v>31.687414741071425</x:v>
      </x:c>
      <x:c r="BK9" s="34" t="n">
        <x:f>IF(COUNT(AF9,AG9)=2,AVERAGE(AF9,AG9),"")</x:f>
        <x:v>53.81141936286822</x:v>
      </x:c>
      <x:c r="BL9" s="34" t="n">
        <x:f>IF(COUNT(AH9,AI9)=2,AVERAGE(AH9,AI9),"")</x:f>
        <x:v>84.3676768069797</x:v>
      </x:c>
      <x:c r="BM9" s="34" t="n">
        <x:f>IF(COUNT(AJ9,AK9)=2,AVERAGE(AJ9,AK9),"")</x:f>
        <x:v>49.78786101575754</x:v>
      </x:c>
      <x:c r="BN9" s="34" t="n">
        <x:f>IF(COUNT(AL9,AM9,AN9)=3,AVERAGE(AL9,AM9,AN9),"")</x:f>
        <x:v>56.999736804994704</x:v>
      </x:c>
      <x:c r="BO9" s="35" t="n">
        <x:f>IF(AND(COUNT(BG9:BN9)=8,ABS('Scoring Setup'!$C$17-1)&lt;0.000001),BG9*'Scoring Setup'!$C$9+BH9*'Scoring Setup'!$C$10+BI9*'Scoring Setup'!$C$11+BJ9*'Scoring Setup'!$C$12+BK9*'Scoring Setup'!$C$13+BL9*'Scoring Setup'!$C$14+BM9*'Scoring Setup'!$C$15+BN9*'Scoring Setup'!$C$16,"")</x:f>
        <x:v>56.8544513350634</x:v>
      </x:c>
      <x:c r="BP9" s="36" t="n">
        <x:f>IF(COUNT(AO9:BF9)=18,MIN(AO9:BF9),"")</x:f>
        <x:v>0.8545607997142857</x:v>
      </x:c>
      <x:c r="BQ9" s="35" t="n">
        <x:f>IF(AND(ISNUMBER(BO9),ISNUMBER(BP9)),BO9*BP9,"")</x:f>
        <x:v>48.585585400208714</x:v>
      </x:c>
      <x:c r="BR9" s="17" t="str">
        <x:f>IF(COUNT(AO9:BF9)=18,INDEX('Scoring Setup'!$F$9:$F$26,MATCH(MIN(AO9:BF9),AO9:BF9,0),1),"")</x:f>
        <x:v>商业光纤100/20覆盖率</x:v>
      </x:c>
    </x:row>
    <x:row r="10">
      <x:c r="A10" s="28" t="str">
        <x:v>51011</x:v>
      </x:c>
      <x:c r="B10" s="28" t="str">
        <x:v>Appomattox County</x:v>
      </x:c>
      <x:c r="C10" s="28" t="str">
        <x:v>VA</x:v>
      </x:c>
      <x:c r="D10" s="31" t="n">
        <x:v>865.635287</x:v>
      </x:c>
      <x:c r="E10" s="32" t="n">
        <x:v>0.393</x:v>
      </x:c>
      <x:c r="F10" s="32" t="n">
        <x:v>0.273824257425743</x:v>
      </x:c>
      <x:c r="G10" s="32" t="n">
        <x:v>2.704260960406444</x:v>
      </x:c>
      <x:c r="H10" s="32" t="n">
        <x:v>3.0273548989899224</x:v>
      </x:c>
      <x:c r="I10" s="32" t="n">
        <x:v>0.9559626371067665</x:v>
      </x:c>
      <x:c r="J10" s="32" t="n">
        <x:v>0.0018498687767584893</x:v>
      </x:c>
      <x:c r="K10" s="32" t="n">
        <x:v>0.009267960050892702</x:v>
      </x:c>
      <x:c r="L10" s="32" t="n">
        <x:v>0.552458645</x:v>
      </x:c>
      <x:c r="M10" s="32" t="n">
        <x:v>0.552458645</x:v>
      </x:c>
      <x:c r="N10" s="32" t="n">
        <x:v>7925</x:v>
      </x:c>
      <x:c r="O10" s="32" t="n">
        <x:v>0.1441</x:v>
      </x:c>
      <x:c r="P10" s="32" t="n">
        <x:v>1100.909891764323</x:v>
      </x:c>
      <x:c r="Q10" s="32" t="n">
        <x:v>22.787036768595375</x:v>
      </x:c>
      <x:c r="R10" s="32" t="n">
        <x:v>67.78833189643925</x:v>
      </x:c>
      <x:c r="S10" s="32" t="n">
        <x:v>2.3559167773053025</x:v>
      </x:c>
      <x:c r="T10" s="32" t="n">
        <x:v>89.9</x:v>
      </x:c>
      <x:c r="U10" s="32" t="n">
        <x:v>245.07712999476223</x:v>
      </x:c>
      <x:c r="V10" s="32" t="n">
        <x:v>244.75798925963002</x:v>
      </x:c>
      <x:c r="W10" s="33" t="n">
        <x:f>IF(ISNUMBER(E10),100*MAX(0,MIN(1,('Anchors'!$H$6-E10)/('Anchors'!$H$6-'Anchors'!$G$6))),"")</x:f>
        <x:v>72.42857142857143</x:v>
      </x:c>
      <x:c r="X10" s="33" t="n">
        <x:f>IF(ISNUMBER(F10),100*MAX(0,MIN(1,('Anchors'!$H$7-F10)/('Anchors'!$H$7-'Anchors'!$G$7))),"")</x:f>
        <x:v>75.16796322489385</x:v>
      </x:c>
      <x:c r="Y10" s="33" t="n">
        <x:f>IF(ISNUMBER(G10),100*MAX(0,MIN(1,('Anchors'!$H$8-G10)/('Anchors'!$H$8-'Anchors'!$G$8))),"")</x:f>
        <x:v>43.19130131978521</x:v>
      </x:c>
      <x:c r="Z10" s="33" t="n">
        <x:f>IF(ISNUMBER(H10),100*MAX(0,MIN(1,('Anchors'!$H$9-H10)/('Anchors'!$H$9-'Anchors'!$G$9))),"")</x:f>
        <x:v>32.421503367002586</x:v>
      </x:c>
      <x:c r="AA10" s="33" t="n">
        <x:f>IF(ISNUMBER(I10),100*MAX(0,MIN(1,(I10-'Anchors'!$H$10)/('Anchors'!$G$10-'Anchors'!$H$10))),"")</x:f>
        <x:v>96.70721056257076</x:v>
      </x:c>
      <x:c r="AB10" s="33" t="n">
        <x:f>IF(ISNUMBER(J10),100*MAX(0,MIN(1,('Anchors'!$H$11-J10)/('Anchors'!$H$11-'Anchors'!$G$11))),"")</x:f>
        <x:v>99.2600524892966</x:v>
      </x:c>
      <x:c r="AC10" s="33" t="n">
        <x:f>IF(ISNUMBER(K10),100*MAX(0,MIN(1,('Anchors'!$H$12-K10)/('Anchors'!$H$12-'Anchors'!$G$12))),"")</x:f>
        <x:v>97.68300998727682</x:v>
      </x:c>
      <x:c r="AD10" s="33" t="n">
        <x:f>IF(ISNUMBER(L10),100*MAX(0,MIN(1,(L10-'Anchors'!$H$13)/('Anchors'!$G$13-'Anchors'!$H$13))),"")</x:f>
        <x:v>50.351234999999996</x:v>
      </x:c>
      <x:c r="AE10" s="33" t="n">
        <x:f>IF(ISNUMBER(M10),100*MAX(0,MIN(1,(M10-'Anchors'!$H$14)/('Anchors'!$G$14-'Anchors'!$H$14))),"")</x:f>
        <x:v>56.55733062499999</x:v>
      </x:c>
      <x:c r="AF10" s="33" t="n">
        <x:f>IF(ISNUMBER(N10),100*MAX(0,MIN(1,(LN(1+N10)-LN(1+'Anchors'!$H$15))/(LN(1+'Anchors'!$G$15)-LN(1+'Anchors'!$H$15)))),"")</x:f>
        <x:v>31.885639650118904</x:v>
      </x:c>
      <x:c r="AG10" s="33" t="n">
        <x:f>IF(ISNUMBER(O10),100*MAX(0,MIN(1,('Anchors'!$H$16-O10)/('Anchors'!$H$16-'Anchors'!$G$16))),"")</x:f>
        <x:v>89.54444444444445</x:v>
      </x:c>
      <x:c r="AH10" s="33" t="n">
        <x:f>IF(ISNUMBER(P10),100*MAX(0,MIN(1,('Anchors'!$H$17-P10)/('Anchors'!$H$17-'Anchors'!$G$17))),"")</x:f>
        <x:v>73.27267388237847</x:v>
      </x:c>
      <x:c r="AI10" s="33" t="n">
        <x:f>IF(ISNUMBER(Q10),100*MAX(0,MIN(1,('Anchors'!$H$18-Q10)/('Anchors'!$H$18-'Anchors'!$G$18))),"")</x:f>
        <x:v>74.58994747343517</x:v>
      </x:c>
      <x:c r="AJ10" s="33" t="n">
        <x:f>IF(ISNUMBER(R10),100*MAX(0,MIN(1,('Anchors'!$H$19-R10)/('Anchors'!$H$19-'Anchors'!$G$19))),"")</x:f>
        <x:v>0</x:v>
      </x:c>
      <x:c r="AK10" s="33" t="n">
        <x:f>IF(ISNUMBER(S10),100*MAX(0,MIN(1,('Anchors'!$H$20-S10)/('Anchors'!$H$20-'Anchors'!$G$20))),"")</x:f>
        <x:v>92.86359590891946</x:v>
      </x:c>
      <x:c r="AL10" s="33" t="n">
        <x:f>IF(ISNUMBER(T10),100*MAX(0,MIN(1,('Anchors'!$H$21-T10)/('Anchors'!$H$21-'Anchors'!$G$21))),"")</x:f>
        <x:v>54.72727272727271</x:v>
      </x:c>
      <x:c r="AM10" s="33" t="n">
        <x:f>IF(ISNUMBER(U10),100*MAX(0,MIN(1,('Anchors'!$H$22-U10)/('Anchors'!$H$22-'Anchors'!$G$22))),"")</x:f>
        <x:v>27.461435002618884</x:v>
      </x:c>
      <x:c r="AN10" s="33" t="n">
        <x:f>IF(ISNUMBER(V10),100*MAX(0,MIN(1,('Anchors'!$H$23-V10)/('Anchors'!$H$23-'Anchors'!$G$23))),"")</x:f>
        <x:v>88.8105026850925</x:v>
      </x:c>
      <x:c r="AO10" s="27" t="n">
        <x:f>IF(ISNUMBER(W10),IF('Scoring Setup'!$L$9=1,1-'Scoring Setup'!$B$5*(1-MAX(0,MIN(1,(W10-'Scoring Setup'!$K$9)/(100-'Scoring Setup'!$K$9)))),1),"")</x:f>
        <x:v>0.9448571428571428</x:v>
      </x:c>
      <x:c r="AP10" s="27" t="n">
        <x:f>IF(ISNUMBER(X10),IF('Scoring Setup'!$L$10=1,1-'Scoring Setup'!$B$5*(1-MAX(0,MIN(1,(X10-'Scoring Setup'!$K$10)/(100-'Scoring Setup'!$K$10)))),1),"")</x:f>
        <x:v>0.9503359264497877</x:v>
      </x:c>
      <x:c r="AQ10" s="27" t="n">
        <x:f>IF(ISNUMBER(Y10),IF('Scoring Setup'!$L$11=1,1-'Scoring Setup'!$B$5*(1-MAX(0,MIN(1,(Y10-'Scoring Setup'!$K$11)/(100-'Scoring Setup'!$K$11)))),1),"")</x:f>
        <x:v>0.8863826026395705</x:v>
      </x:c>
      <x:c r="AR10" s="27" t="n">
        <x:f>IF(ISNUMBER(Z10),IF('Scoring Setup'!$L$12=1,1-'Scoring Setup'!$B$5*(1-MAX(0,MIN(1,(Z10-'Scoring Setup'!$K$12)/(100-'Scoring Setup'!$K$12)))),1),"")</x:f>
        <x:v>0.8648430067340052</x:v>
      </x:c>
      <x:c r="AS10" s="27" t="n">
        <x:f>IF(ISNUMBER(AA10),IF('Scoring Setup'!$L$13=1,1-'Scoring Setup'!$B$5*(1-MAX(0,MIN(1,(AA10-'Scoring Setup'!$K$13)/(100-'Scoring Setup'!$K$13)))),1),"")</x:f>
        <x:v>0.9934144211251416</x:v>
      </x:c>
      <x:c r="AT10" s="27" t="n">
        <x:f>IF(ISNUMBER(AB10),IF('Scoring Setup'!$L$14=1,1-'Scoring Setup'!$B$5*(1-MAX(0,MIN(1,(AB10-'Scoring Setup'!$K$14)/(100-'Scoring Setup'!$K$14)))),1),"")</x:f>
        <x:v>0.9985201049785932</x:v>
      </x:c>
      <x:c r="AU10" s="27" t="n">
        <x:f>IF(ISNUMBER(AC10),IF('Scoring Setup'!$L$15=1,1-'Scoring Setup'!$B$5*(1-MAX(0,MIN(1,(AC10-'Scoring Setup'!$K$15)/(100-'Scoring Setup'!$K$15)))),1),"")</x:f>
        <x:v>0.9953660199745537</x:v>
      </x:c>
      <x:c r="AV10" s="27" t="n">
        <x:f>IF(ISNUMBER(AD10),IF('Scoring Setup'!$L$16=1,1-'Scoring Setup'!$B$5*(1-MAX(0,MIN(1,(AD10-'Scoring Setup'!$K$16)/(100-'Scoring Setup'!$K$16)))),1),"")</x:f>
        <x:v>0.9007024699999999</x:v>
      </x:c>
      <x:c r="AW10" s="27" t="n">
        <x:f>IF(ISNUMBER(AE10),IF('Scoring Setup'!$L$17=1,1-'Scoring Setup'!$B$5*(1-MAX(0,MIN(1,(AE10-'Scoring Setup'!$K$17)/(100-'Scoring Setup'!$K$17)))),1),"")</x:f>
        <x:v>0.91311466125</x:v>
      </x:c>
      <x:c r="AX10" s="27" t="n">
        <x:f>IF(ISNUMBER(AF10),IF('Scoring Setup'!$L$18=1,1-'Scoring Setup'!$B$5*(1-MAX(0,MIN(1,(AF10-'Scoring Setup'!$K$18)/(100-'Scoring Setup'!$K$18)))),1),"")</x:f>
        <x:v>0.8637712793002378</x:v>
      </x:c>
      <x:c r="AY10" s="27" t="n">
        <x:f>IF(ISNUMBER(AG10),IF('Scoring Setup'!$L$19=1,1-'Scoring Setup'!$B$5*(1-MAX(0,MIN(1,(AG10-'Scoring Setup'!$K$19)/(100-'Scoring Setup'!$K$19)))),1),"")</x:f>
        <x:v>0.9790888888888889</x:v>
      </x:c>
      <x:c r="AZ10" s="27" t="n">
        <x:f>IF(ISNUMBER(AH10),IF('Scoring Setup'!$L$20=1,1-'Scoring Setup'!$B$5*(1-MAX(0,MIN(1,(AH10-'Scoring Setup'!$K$20)/(100-'Scoring Setup'!$K$20)))),1),"")</x:f>
        <x:v>0.946545347764757</x:v>
      </x:c>
      <x:c r="BA10" s="27" t="n">
        <x:f>IF(ISNUMBER(AI10),IF('Scoring Setup'!$L$21=1,1-'Scoring Setup'!$B$5*(1-MAX(0,MIN(1,(AI10-'Scoring Setup'!$K$21)/(100-'Scoring Setup'!$K$21)))),1),"")</x:f>
        <x:v>0.9491798949468704</x:v>
      </x:c>
      <x:c r="BB10" s="27" t="n">
        <x:f>IF(ISNUMBER(AJ10),IF('Scoring Setup'!$L$22=1,1-'Scoring Setup'!$B$5*(1-MAX(0,MIN(1,(AJ10-'Scoring Setup'!$K$22)/(100-'Scoring Setup'!$K$22)))),1),"")</x:f>
        <x:v>0.8</x:v>
      </x:c>
      <x:c r="BC10" s="27" t="n">
        <x:f>IF(ISNUMBER(AK10),IF('Scoring Setup'!$L$23=1,1-'Scoring Setup'!$B$5*(1-MAX(0,MIN(1,(AK10-'Scoring Setup'!$K$23)/(100-'Scoring Setup'!$K$23)))),1),"")</x:f>
        <x:v>0.985727191817839</x:v>
      </x:c>
      <x:c r="BD10" s="27" t="n">
        <x:f>IF(ISNUMBER(AL10),IF('Scoring Setup'!$L$24=1,1-'Scoring Setup'!$B$5*(1-MAX(0,MIN(1,(AL10-'Scoring Setup'!$K$24)/(100-'Scoring Setup'!$K$24)))),1),"")</x:f>
        <x:v>0.9094545454545454</x:v>
      </x:c>
      <x:c r="BE10" s="27" t="n">
        <x:f>IF(ISNUMBER(AM10),IF('Scoring Setup'!$L$25=1,1-'Scoring Setup'!$B$5*(1-MAX(0,MIN(1,(AM10-'Scoring Setup'!$K$25)/(100-'Scoring Setup'!$K$25)))),1),"")</x:f>
        <x:v>0.8549228700052378</x:v>
      </x:c>
      <x:c r="BF10" s="27" t="n">
        <x:f>IF(ISNUMBER(AN10),IF('Scoring Setup'!$L$26=1,1-'Scoring Setup'!$B$5*(1-MAX(0,MIN(1,(AN10-'Scoring Setup'!$K$26)/(100-'Scoring Setup'!$K$26)))),1),"")</x:f>
        <x:v>0.977621005370185</x:v>
      </x:c>
      <x:c r="BG10" s="34" t="n">
        <x:f>IF(COUNT(W10,X10)=2,AVERAGE(W10,X10),"")</x:f>
        <x:v>73.79826732673264</x:v>
      </x:c>
      <x:c r="BH10" s="34" t="n">
        <x:f>IF(COUNT(Y10,Z10)=2,AVERAGE(Y10,Z10),"")</x:f>
        <x:v>37.8064023433939</x:v>
      </x:c>
      <x:c r="BI10" s="34" t="n">
        <x:f>IF(COUNT(AA10,AB10,AC10)=3,AVERAGE(AA10,AB10,AC10),"")</x:f>
        <x:v>97.88342434638139</x:v>
      </x:c>
      <x:c r="BJ10" s="34" t="n">
        <x:f>IF(COUNT(AD10,AE10)=2,AVERAGE(AD10,AE10),"")</x:f>
        <x:v>53.4542828125</x:v>
      </x:c>
      <x:c r="BK10" s="34" t="n">
        <x:f>IF(COUNT(AF10,AG10)=2,AVERAGE(AF10,AG10),"")</x:f>
        <x:v>60.71504204728168</x:v>
      </x:c>
      <x:c r="BL10" s="34" t="n">
        <x:f>IF(COUNT(AH10,AI10)=2,AVERAGE(AH10,AI10),"")</x:f>
        <x:v>73.93131067790682</x:v>
      </x:c>
      <x:c r="BM10" s="34" t="n">
        <x:f>IF(COUNT(AJ10,AK10)=2,AVERAGE(AJ10,AK10),"")</x:f>
        <x:v>46.43179795445973</x:v>
      </x:c>
      <x:c r="BN10" s="34" t="n">
        <x:f>IF(COUNT(AL10,AM10,AN10)=3,AVERAGE(AL10,AM10,AN10),"")</x:f>
        <x:v>56.999736804994704</x:v>
      </x:c>
      <x:c r="BO10" s="35" t="n">
        <x:f>IF(AND(COUNT(BG10:BN10)=8,ABS('Scoring Setup'!$C$17-1)&lt;0.000001),BG10*'Scoring Setup'!$C$9+BH10*'Scoring Setup'!$C$10+BI10*'Scoring Setup'!$C$11+BJ10*'Scoring Setup'!$C$12+BK10*'Scoring Setup'!$C$13+BL10*'Scoring Setup'!$C$14+BM10*'Scoring Setup'!$C$15+BN10*'Scoring Setup'!$C$16,"")</x:f>
        <x:v>59.264458595085095</x:v>
      </x:c>
      <x:c r="BP10" s="36" t="n">
        <x:f>IF(COUNT(AO10:BF10)=18,MIN(AO10:BF10),"")</x:f>
        <x:v>0.8</x:v>
      </x:c>
      <x:c r="BQ10" s="35" t="n">
        <x:f>IF(AND(ISNUMBER(BO10),ISNUMBER(BP10)),BO10*BP10,"")</x:f>
        <x:v>47.41156687606808</x:v>
      </x:c>
      <x:c r="BR10" s="17" t="str">
        <x:f>IF(COUNT(AO10:BF10)=18,INDEX('Scoring Setup'!$F$9:$F$26,MATCH(MIN(AO10:BF10),AO10:BF10,0),1),"")</x:f>
        <x:v>到Interstate距离</x:v>
      </x:c>
    </x:row>
    <x:row r="11">
      <x:c r="A11" s="28" t="str">
        <x:v>51013</x:v>
      </x:c>
      <x:c r="B11" s="28" t="str">
        <x:v>Arlington County</x:v>
      </x:c>
      <x:c r="C11" s="28" t="str">
        <x:v>VA</x:v>
      </x:c>
      <x:c r="D11" s="31" t="n">
        <x:v>67.332991</x:v>
      </x:c>
      <x:c r="E11" s="32" t="n">
        <x:v>0.086</x:v>
      </x:c>
      <x:c r="F11" s="32" t="n">
        <x:v>0.129641089108911</x:v>
      </x:c>
      <x:c r="G11" s="32" t="n">
        <x:v>2.054873264952013</x:v>
      </x:c>
      <x:c r="H11" s="32" t="n">
        <x:v>2.459404682121931</x:v>
      </x:c>
      <x:c r="I11" s="32" t="n">
        <x:v>0.1312064794643215</x:v>
      </x:c>
      <x:c r="J11" s="32" t="n">
        <x:v>0</x:v>
      </x:c>
      <x:c r="K11" s="32" t="n">
        <x:v>0.0020716109113751487</x:v>
      </x:c>
      <x:c r="L11" s="32" t="n">
        <x:v>0.878167159</x:v>
      </x:c>
      <x:c r="M11" s="32" t="n">
        <x:v>0.651512732</x:v>
      </x:c>
      <x:c r="N11" s="32" t="n">
        <x:v>154277</x:v>
      </x:c>
      <x:c r="O11" s="32" t="n">
        <x:v>0.1597</x:v>
      </x:c>
      <x:c r="P11" s="32" t="n">
        <x:v>1289.9500447591147</x:v>
      </x:c>
      <x:c r="Q11" s="32" t="n">
        <x:v>23.291953341166177</x:v>
      </x:c>
      <x:c r="R11" s="32" t="n">
        <x:v>1.3818187902358303</x:v>
      </x:c>
      <x:c r="S11" s="32" t="n">
        <x:v>3.318861211719045</x:v>
      </x:c>
      <x:c r="T11" s="32" t="n">
        <x:v>89.9</x:v>
      </x:c>
      <x:c r="U11" s="32" t="n">
        <x:v>245.07712999476223</x:v>
      </x:c>
      <x:c r="V11" s="32" t="n">
        <x:v>244.75798925963002</x:v>
      </x:c>
      <x:c r="W11" s="33" t="n">
        <x:f>IF(ISNUMBER(E11),100*MAX(0,MIN(1,('Anchors'!$H$6-E11)/('Anchors'!$H$6-'Anchors'!$G$6))),"")</x:f>
        <x:v>100</x:v>
      </x:c>
      <x:c r="X11" s="33" t="n">
        <x:f>IF(ISNUMBER(F11),100*MAX(0,MIN(1,('Anchors'!$H$7-F11)/('Anchors'!$H$7-'Anchors'!$G$7))),"")</x:f>
        <x:v>95.76555869872699</x:v>
      </x:c>
      <x:c r="Y11" s="33" t="n">
        <x:f>IF(ISNUMBER(G11),100*MAX(0,MIN(1,('Anchors'!$H$8-G11)/('Anchors'!$H$8-'Anchors'!$G$8))),"")</x:f>
        <x:v>64.83755783493291</x:v>
      </x:c>
      <x:c r="Z11" s="33" t="n">
        <x:f>IF(ISNUMBER(H11),100*MAX(0,MIN(1,('Anchors'!$H$9-H11)/('Anchors'!$H$9-'Anchors'!$G$9))),"")</x:f>
        <x:v>51.3531772626023</x:v>
      </x:c>
      <x:c r="AA11" s="33" t="n">
        <x:f>IF(ISNUMBER(I11),100*MAX(0,MIN(1,(I11-'Anchors'!$H$10)/('Anchors'!$G$10-'Anchors'!$H$10))),"")</x:f>
        <x:v>0</x:v>
      </x:c>
      <x:c r="AB11" s="33" t="n">
        <x:f>IF(ISNUMBER(J11),100*MAX(0,MIN(1,('Anchors'!$H$11-J11)/('Anchors'!$H$11-'Anchors'!$G$11))),"")</x:f>
        <x:v>100</x:v>
      </x:c>
      <x:c r="AC11" s="33" t="n">
        <x:f>IF(ISNUMBER(K11),100*MAX(0,MIN(1,('Anchors'!$H$12-K11)/('Anchors'!$H$12-'Anchors'!$G$12))),"")</x:f>
        <x:v>99.48209727215621</x:v>
      </x:c>
      <x:c r="AD11" s="33" t="n">
        <x:f>IF(ISNUMBER(L11),100*MAX(0,MIN(1,(L11-'Anchors'!$H$13)/('Anchors'!$G$13-'Anchors'!$H$13))),"")</x:f>
        <x:v>96.88102271428572</x:v>
      </x:c>
      <x:c r="AE11" s="33" t="n">
        <x:f>IF(ISNUMBER(M11),100*MAX(0,MIN(1,(M11-'Anchors'!$H$14)/('Anchors'!$G$14-'Anchors'!$H$14))),"")</x:f>
        <x:v>68.9390915</x:v>
      </x:c>
      <x:c r="AF11" s="33" t="n">
        <x:f>IF(ISNUMBER(N11),100*MAX(0,MIN(1,(LN(1+N11)-LN(1+'Anchors'!$H$15))/(LN(1+'Anchors'!$G$15)-LN(1+'Anchors'!$H$15)))),"")</x:f>
        <x:v>100</x:v>
      </x:c>
      <x:c r="AG11" s="33" t="n">
        <x:f>IF(ISNUMBER(O11),100*MAX(0,MIN(1,('Anchors'!$H$16-O11)/('Anchors'!$H$16-'Anchors'!$G$16))),"")</x:f>
        <x:v>87.81111111111112</x:v>
      </x:c>
      <x:c r="AH11" s="33" t="n">
        <x:f>IF(ISNUMBER(P11),100*MAX(0,MIN(1,('Anchors'!$H$17-P11)/('Anchors'!$H$17-'Anchors'!$G$17))),"")</x:f>
        <x:v>60.66999701605902</x:v>
      </x:c>
      <x:c r="AI11" s="33" t="n">
        <x:f>IF(ISNUMBER(Q11),100*MAX(0,MIN(1,('Anchors'!$H$18-Q11)/('Anchors'!$H$18-'Anchors'!$G$18))),"")</x:f>
        <x:v>73.86863808404833</x:v>
      </x:c>
      <x:c r="AJ11" s="33" t="n">
        <x:f>IF(ISNUMBER(R11),100*MAX(0,MIN(1,('Anchors'!$H$19-R11)/('Anchors'!$H$19-'Anchors'!$G$19))),"")</x:f>
        <x:v>100</x:v>
      </x:c>
      <x:c r="AK11" s="33" t="n">
        <x:f>IF(ISNUMBER(S11),100*MAX(0,MIN(1,('Anchors'!$H$20-S11)/('Anchors'!$H$20-'Anchors'!$G$20))),"")</x:f>
        <x:v>87.79546730674186</x:v>
      </x:c>
      <x:c r="AL11" s="33" t="n">
        <x:f>IF(ISNUMBER(T11),100*MAX(0,MIN(1,('Anchors'!$H$21-T11)/('Anchors'!$H$21-'Anchors'!$G$21))),"")</x:f>
        <x:v>54.72727272727271</x:v>
      </x:c>
      <x:c r="AM11" s="33" t="n">
        <x:f>IF(ISNUMBER(U11),100*MAX(0,MIN(1,('Anchors'!$H$22-U11)/('Anchors'!$H$22-'Anchors'!$G$22))),"")</x:f>
        <x:v>27.461435002618884</x:v>
      </x:c>
      <x:c r="AN11" s="33" t="n">
        <x:f>IF(ISNUMBER(V11),100*MAX(0,MIN(1,('Anchors'!$H$23-V11)/('Anchors'!$H$23-'Anchors'!$G$23))),"")</x:f>
        <x:v>88.8105026850925</x:v>
      </x:c>
      <x:c r="AO11" s="27" t="n">
        <x:f>IF(ISNUMBER(W11),IF('Scoring Setup'!$L$9=1,1-'Scoring Setup'!$B$5*(1-MAX(0,MIN(1,(W11-'Scoring Setup'!$K$9)/(100-'Scoring Setup'!$K$9)))),1),"")</x:f>
        <x:v>1</x:v>
      </x:c>
      <x:c r="AP11" s="27" t="n">
        <x:f>IF(ISNUMBER(X11),IF('Scoring Setup'!$L$10=1,1-'Scoring Setup'!$B$5*(1-MAX(0,MIN(1,(X11-'Scoring Setup'!$K$10)/(100-'Scoring Setup'!$K$10)))),1),"")</x:f>
        <x:v>0.991531117397454</x:v>
      </x:c>
      <x:c r="AQ11" s="27" t="n">
        <x:f>IF(ISNUMBER(Y11),IF('Scoring Setup'!$L$11=1,1-'Scoring Setup'!$B$5*(1-MAX(0,MIN(1,(Y11-'Scoring Setup'!$K$11)/(100-'Scoring Setup'!$K$11)))),1),"")</x:f>
        <x:v>0.9296751156698658</x:v>
      </x:c>
      <x:c r="AR11" s="27" t="n">
        <x:f>IF(ISNUMBER(Z11),IF('Scoring Setup'!$L$12=1,1-'Scoring Setup'!$B$5*(1-MAX(0,MIN(1,(Z11-'Scoring Setup'!$K$12)/(100-'Scoring Setup'!$K$12)))),1),"")</x:f>
        <x:v>0.9027063545252045</x:v>
      </x:c>
      <x:c r="AS11" s="27" t="n">
        <x:f>IF(ISNUMBER(AA11),IF('Scoring Setup'!$L$13=1,1-'Scoring Setup'!$B$5*(1-MAX(0,MIN(1,(AA11-'Scoring Setup'!$K$13)/(100-'Scoring Setup'!$K$13)))),1),"")</x:f>
        <x:v>0.8</x:v>
      </x:c>
      <x:c r="AT11" s="27" t="n">
        <x:f>IF(ISNUMBER(AB11),IF('Scoring Setup'!$L$14=1,1-'Scoring Setup'!$B$5*(1-MAX(0,MIN(1,(AB11-'Scoring Setup'!$K$14)/(100-'Scoring Setup'!$K$14)))),1),"")</x:f>
        <x:v>1</x:v>
      </x:c>
      <x:c r="AU11" s="27" t="n">
        <x:f>IF(ISNUMBER(AC11),IF('Scoring Setup'!$L$15=1,1-'Scoring Setup'!$B$5*(1-MAX(0,MIN(1,(AC11-'Scoring Setup'!$K$15)/(100-'Scoring Setup'!$K$15)))),1),"")</x:f>
        <x:v>0.9989641945443124</x:v>
      </x:c>
      <x:c r="AV11" s="27" t="n">
        <x:f>IF(ISNUMBER(AD11),IF('Scoring Setup'!$L$16=1,1-'Scoring Setup'!$B$5*(1-MAX(0,MIN(1,(AD11-'Scoring Setup'!$K$16)/(100-'Scoring Setup'!$K$16)))),1),"")</x:f>
        <x:v>0.9937620454285715</x:v>
      </x:c>
      <x:c r="AW11" s="27" t="n">
        <x:f>IF(ISNUMBER(AE11),IF('Scoring Setup'!$L$17=1,1-'Scoring Setup'!$B$5*(1-MAX(0,MIN(1,(AE11-'Scoring Setup'!$K$17)/(100-'Scoring Setup'!$K$17)))),1),"")</x:f>
        <x:v>0.937878183</x:v>
      </x:c>
      <x:c r="AX11" s="27" t="n">
        <x:f>IF(ISNUMBER(AF11),IF('Scoring Setup'!$L$18=1,1-'Scoring Setup'!$B$5*(1-MAX(0,MIN(1,(AF11-'Scoring Setup'!$K$18)/(100-'Scoring Setup'!$K$18)))),1),"")</x:f>
        <x:v>1</x:v>
      </x:c>
      <x:c r="AY11" s="27" t="n">
        <x:f>IF(ISNUMBER(AG11),IF('Scoring Setup'!$L$19=1,1-'Scoring Setup'!$B$5*(1-MAX(0,MIN(1,(AG11-'Scoring Setup'!$K$19)/(100-'Scoring Setup'!$K$19)))),1),"")</x:f>
        <x:v>0.9756222222222223</x:v>
      </x:c>
      <x:c r="AZ11" s="27" t="n">
        <x:f>IF(ISNUMBER(AH11),IF('Scoring Setup'!$L$20=1,1-'Scoring Setup'!$B$5*(1-MAX(0,MIN(1,(AH11-'Scoring Setup'!$K$20)/(100-'Scoring Setup'!$K$20)))),1),"")</x:f>
        <x:v>0.9213399940321181</x:v>
      </x:c>
      <x:c r="BA11" s="27" t="n">
        <x:f>IF(ISNUMBER(AI11),IF('Scoring Setup'!$L$21=1,1-'Scoring Setup'!$B$5*(1-MAX(0,MIN(1,(AI11-'Scoring Setup'!$K$21)/(100-'Scoring Setup'!$K$21)))),1),"")</x:f>
        <x:v>0.9477372761680967</x:v>
      </x:c>
      <x:c r="BB11" s="27" t="n">
        <x:f>IF(ISNUMBER(AJ11),IF('Scoring Setup'!$L$22=1,1-'Scoring Setup'!$B$5*(1-MAX(0,MIN(1,(AJ11-'Scoring Setup'!$K$22)/(100-'Scoring Setup'!$K$22)))),1),"")</x:f>
        <x:v>1</x:v>
      </x:c>
      <x:c r="BC11" s="27" t="n">
        <x:f>IF(ISNUMBER(AK11),IF('Scoring Setup'!$L$23=1,1-'Scoring Setup'!$B$5*(1-MAX(0,MIN(1,(AK11-'Scoring Setup'!$K$23)/(100-'Scoring Setup'!$K$23)))),1),"")</x:f>
        <x:v>0.9755909346134837</x:v>
      </x:c>
      <x:c r="BD11" s="27" t="n">
        <x:f>IF(ISNUMBER(AL11),IF('Scoring Setup'!$L$24=1,1-'Scoring Setup'!$B$5*(1-MAX(0,MIN(1,(AL11-'Scoring Setup'!$K$24)/(100-'Scoring Setup'!$K$24)))),1),"")</x:f>
        <x:v>0.9094545454545454</x:v>
      </x:c>
      <x:c r="BE11" s="27" t="n">
        <x:f>IF(ISNUMBER(AM11),IF('Scoring Setup'!$L$25=1,1-'Scoring Setup'!$B$5*(1-MAX(0,MIN(1,(AM11-'Scoring Setup'!$K$25)/(100-'Scoring Setup'!$K$25)))),1),"")</x:f>
        <x:v>0.8549228700052378</x:v>
      </x:c>
      <x:c r="BF11" s="27" t="n">
        <x:f>IF(ISNUMBER(AN11),IF('Scoring Setup'!$L$26=1,1-'Scoring Setup'!$B$5*(1-MAX(0,MIN(1,(AN11-'Scoring Setup'!$K$26)/(100-'Scoring Setup'!$K$26)))),1),"")</x:f>
        <x:v>0.977621005370185</x:v>
      </x:c>
      <x:c r="BG11" s="34" t="n">
        <x:f>IF(COUNT(W11,X11)=2,AVERAGE(W11,X11),"")</x:f>
        <x:v>97.88277934936349</x:v>
      </x:c>
      <x:c r="BH11" s="34" t="n">
        <x:f>IF(COUNT(Y11,Z11)=2,AVERAGE(Y11,Z11),"")</x:f>
        <x:v>58.095367548767605</x:v>
      </x:c>
      <x:c r="BI11" s="34" t="n">
        <x:f>IF(COUNT(AA11,AB11,AC11)=3,AVERAGE(AA11,AB11,AC11),"")</x:f>
        <x:v>66.49403242405207</x:v>
      </x:c>
      <x:c r="BJ11" s="34" t="n">
        <x:f>IF(COUNT(AD11,AE11)=2,AVERAGE(AD11,AE11),"")</x:f>
        <x:v>82.91005710714286</x:v>
      </x:c>
      <x:c r="BK11" s="34" t="n">
        <x:f>IF(COUNT(AF11,AG11)=2,AVERAGE(AF11,AG11),"")</x:f>
        <x:v>93.90555555555557</x:v>
      </x:c>
      <x:c r="BL11" s="34" t="n">
        <x:f>IF(COUNT(AH11,AI11)=2,AVERAGE(AH11,AI11),"")</x:f>
        <x:v>67.26931755005367</x:v>
      </x:c>
      <x:c r="BM11" s="34" t="n">
        <x:f>IF(COUNT(AJ11,AK11)=2,AVERAGE(AJ11,AK11),"")</x:f>
        <x:v>93.89773365337092</x:v>
      </x:c>
      <x:c r="BN11" s="34" t="n">
        <x:f>IF(COUNT(AL11,AM11,AN11)=3,AVERAGE(AL11,AM11,AN11),"")</x:f>
        <x:v>56.999736804994704</x:v>
      </x:c>
      <x:c r="BO11" s="35" t="n">
        <x:f>IF(AND(COUNT(BG11:BN11)=8,ABS('Scoring Setup'!$C$17-1)&lt;0.000001),BG11*'Scoring Setup'!$C$9+BH11*'Scoring Setup'!$C$10+BI11*'Scoring Setup'!$C$11+BJ11*'Scoring Setup'!$C$12+BK11*'Scoring Setup'!$C$13+BL11*'Scoring Setup'!$C$14+BM11*'Scoring Setup'!$C$15+BN11*'Scoring Setup'!$C$16,"")</x:f>
        <x:v>70.89658955503457</x:v>
      </x:c>
      <x:c r="BP11" s="36" t="n">
        <x:f>IF(COUNT(AO11:BF11)=18,MIN(AO11:BF11),"")</x:f>
        <x:v>0.8</x:v>
      </x:c>
      <x:c r="BQ11" s="35" t="n">
        <x:f>IF(AND(ISNUMBER(BO11),ISNUMBER(BP11)),BO11*BP11,"")</x:f>
        <x:v>56.717271644027655</x:v>
      </x:c>
      <x:c r="BR11" s="17" t="str">
        <x:f>IF(COUNT(AO11:BF11)=18,INDEX('Scoring Setup'!$F$9:$F$26,MATCH(MIN(AO11:BF11),AO11:BF11,0),1),"")</x:f>
        <x:v>低不透水土地比例</x:v>
      </x:c>
    </x:row>
    <x:row r="12">
      <x:c r="A12" s="28" t="str">
        <x:v>51015</x:v>
      </x:c>
      <x:c r="B12" s="28" t="str">
        <x:v>Augusta County</x:v>
      </x:c>
      <x:c r="C12" s="28" t="str">
        <x:v>VA</x:v>
      </x:c>
      <x:c r="D12" s="31" t="n">
        <x:v>2504.708863</x:v>
      </x:c>
      <x:c r="E12" s="32" t="n">
        <x:v>0.572</x:v>
      </x:c>
      <x:c r="F12" s="32" t="n">
        <x:v>0.6330445544554449</x:v>
      </x:c>
      <x:c r="G12" s="32" t="n">
        <x:v>2.6948104602427287</x:v>
      </x:c>
      <x:c r="H12" s="32" t="n">
        <x:v>2.955861219928874</x:v>
      </x:c>
      <x:c r="I12" s="32" t="n">
        <x:v>0.9400577929704921</x:v>
      </x:c>
      <x:c r="J12" s="32" t="n">
        <x:v>0.08855550585952911</x:v>
      </x:c>
      <x:c r="K12" s="32" t="n">
        <x:v>0.0006103831766360795</x:v>
      </x:c>
      <x:c r="L12" s="32" t="n">
        <x:v>0.207649363</x:v>
      </x:c>
      <x:c r="M12" s="32" t="n">
        <x:v>0.177151904</x:v>
      </x:c>
      <x:c r="N12" s="32" t="n">
        <x:v>40673</x:v>
      </x:c>
      <x:c r="O12" s="32" t="n">
        <x:v>0.2129</x:v>
      </x:c>
      <x:c r="P12" s="32" t="n">
        <x:v>605.9509562174479</x:v>
      </x:c>
      <x:c r="Q12" s="32" t="n">
        <x:v>6.38779649734497</x:v>
      </x:c>
      <x:c r="R12" s="32" t="n">
        <x:v>9.851300825923598</x:v>
      </x:c>
      <x:c r="S12" s="32" t="n">
        <x:v>3.2204022895311195</x:v>
      </x:c>
      <x:c r="T12" s="32" t="n">
        <x:v>89.9</x:v>
      </x:c>
      <x:c r="U12" s="32" t="n">
        <x:v>245.07712999476223</x:v>
      </x:c>
      <x:c r="V12" s="32" t="n">
        <x:v>244.75798925963002</x:v>
      </x:c>
      <x:c r="W12" s="33" t="n">
        <x:f>IF(ISNUMBER(E12),100*MAX(0,MIN(1,('Anchors'!$H$6-E12)/('Anchors'!$H$6-'Anchors'!$G$6))),"")</x:f>
        <x:v>46.85714285714287</x:v>
      </x:c>
      <x:c r="X12" s="33" t="n">
        <x:f>IF(ISNUMBER(F12),100*MAX(0,MIN(1,('Anchors'!$H$7-F12)/('Anchors'!$H$7-'Anchors'!$G$7))),"")</x:f>
        <x:v>23.85077793493644</x:v>
      </x:c>
      <x:c r="Y12" s="33" t="n">
        <x:f>IF(ISNUMBER(G12),100*MAX(0,MIN(1,('Anchors'!$H$8-G12)/('Anchors'!$H$8-'Anchors'!$G$8))),"")</x:f>
        <x:v>43.50631799190904</x:v>
      </x:c>
      <x:c r="Z12" s="33" t="n">
        <x:f>IF(ISNUMBER(H12),100*MAX(0,MIN(1,('Anchors'!$H$9-H12)/('Anchors'!$H$9-'Anchors'!$G$9))),"")</x:f>
        <x:v>34.80462600237087</x:v>
      </x:c>
      <x:c r="AA12" s="33" t="n">
        <x:f>IF(ISNUMBER(I12),100*MAX(0,MIN(1,(I12-'Anchors'!$H$10)/('Anchors'!$G$10-'Anchors'!$H$10))),"")</x:f>
        <x:v>94.52846479047837</x:v>
      </x:c>
      <x:c r="AB12" s="33" t="n">
        <x:f>IF(ISNUMBER(J12),100*MAX(0,MIN(1,('Anchors'!$H$11-J12)/('Anchors'!$H$11-'Anchors'!$G$11))),"")</x:f>
        <x:v>64.57779765618837</x:v>
      </x:c>
      <x:c r="AC12" s="33" t="n">
        <x:f>IF(ISNUMBER(K12),100*MAX(0,MIN(1,('Anchors'!$H$12-K12)/('Anchors'!$H$12-'Anchors'!$G$12))),"")</x:f>
        <x:v>99.84740420584099</x:v>
      </x:c>
      <x:c r="AD12" s="33" t="n">
        <x:f>IF(ISNUMBER(L12),100*MAX(0,MIN(1,(L12-'Anchors'!$H$13)/('Anchors'!$G$13-'Anchors'!$H$13))),"")</x:f>
        <x:v>1.0927661428571418</x:v>
      </x:c>
      <x:c r="AE12" s="33" t="n">
        <x:f>IF(ISNUMBER(M12),100*MAX(0,MIN(1,(M12-'Anchors'!$H$14)/('Anchors'!$G$14-'Anchors'!$H$14))),"")</x:f>
        <x:v>9.643987999999998</x:v>
      </x:c>
      <x:c r="AF12" s="33" t="n">
        <x:f>IF(ISNUMBER(N12),100*MAX(0,MIN(1,(LN(1+N12)-LN(1+'Anchors'!$H$15))/(LN(1+'Anchors'!$G$15)-LN(1+'Anchors'!$H$15)))),"")</x:f>
        <x:v>69.76941317419126</x:v>
      </x:c>
      <x:c r="AG12" s="33" t="n">
        <x:f>IF(ISNUMBER(O12),100*MAX(0,MIN(1,('Anchors'!$H$16-O12)/('Anchors'!$H$16-'Anchors'!$G$16))),"")</x:f>
        <x:v>81.9</x:v>
      </x:c>
      <x:c r="AH12" s="33" t="n">
        <x:f>IF(ISNUMBER(P12),100*MAX(0,MIN(1,('Anchors'!$H$17-P12)/('Anchors'!$H$17-'Anchors'!$G$17))),"")</x:f>
        <x:v>100</x:v>
      </x:c>
      <x:c r="AI12" s="33" t="n">
        <x:f>IF(ISNUMBER(Q12),100*MAX(0,MIN(1,('Anchors'!$H$18-Q12)/('Anchors'!$H$18-'Anchors'!$G$18))),"")</x:f>
        <x:v>98.01743357522147</x:v>
      </x:c>
      <x:c r="AJ12" s="33" t="n">
        <x:f>IF(ISNUMBER(R12),100*MAX(0,MIN(1,('Anchors'!$H$19-R12)/('Anchors'!$H$19-'Anchors'!$G$19))),"")</x:f>
        <x:v>89.21933149794755</x:v>
      </x:c>
      <x:c r="AK12" s="33" t="n">
        <x:f>IF(ISNUMBER(S12),100*MAX(0,MIN(1,('Anchors'!$H$20-S12)/('Anchors'!$H$20-'Anchors'!$G$20))),"")</x:f>
        <x:v>88.31367216036253</x:v>
      </x:c>
      <x:c r="AL12" s="33" t="n">
        <x:f>IF(ISNUMBER(T12),100*MAX(0,MIN(1,('Anchors'!$H$21-T12)/('Anchors'!$H$21-'Anchors'!$G$21))),"")</x:f>
        <x:v>54.72727272727271</x:v>
      </x:c>
      <x:c r="AM12" s="33" t="n">
        <x:f>IF(ISNUMBER(U12),100*MAX(0,MIN(1,('Anchors'!$H$22-U12)/('Anchors'!$H$22-'Anchors'!$G$22))),"")</x:f>
        <x:v>27.461435002618884</x:v>
      </x:c>
      <x:c r="AN12" s="33" t="n">
        <x:f>IF(ISNUMBER(V12),100*MAX(0,MIN(1,('Anchors'!$H$23-V12)/('Anchors'!$H$23-'Anchors'!$G$23))),"")</x:f>
        <x:v>88.8105026850925</x:v>
      </x:c>
      <x:c r="AO12" s="27" t="n">
        <x:f>IF(ISNUMBER(W12),IF('Scoring Setup'!$L$9=1,1-'Scoring Setup'!$B$5*(1-MAX(0,MIN(1,(W12-'Scoring Setup'!$K$9)/(100-'Scoring Setup'!$K$9)))),1),"")</x:f>
        <x:v>0.8937142857142857</x:v>
      </x:c>
      <x:c r="AP12" s="27" t="n">
        <x:f>IF(ISNUMBER(X12),IF('Scoring Setup'!$L$10=1,1-'Scoring Setup'!$B$5*(1-MAX(0,MIN(1,(X12-'Scoring Setup'!$K$10)/(100-'Scoring Setup'!$K$10)))),1),"")</x:f>
        <x:v>0.8477015558698728</x:v>
      </x:c>
      <x:c r="AQ12" s="27" t="n">
        <x:f>IF(ISNUMBER(Y12),IF('Scoring Setup'!$L$11=1,1-'Scoring Setup'!$B$5*(1-MAX(0,MIN(1,(Y12-'Scoring Setup'!$K$11)/(100-'Scoring Setup'!$K$11)))),1),"")</x:f>
        <x:v>0.8870126359838181</x:v>
      </x:c>
      <x:c r="AR12" s="27" t="n">
        <x:f>IF(ISNUMBER(Z12),IF('Scoring Setup'!$L$12=1,1-'Scoring Setup'!$B$5*(1-MAX(0,MIN(1,(Z12-'Scoring Setup'!$K$12)/(100-'Scoring Setup'!$K$12)))),1),"")</x:f>
        <x:v>0.8696092520047417</x:v>
      </x:c>
      <x:c r="AS12" s="27" t="n">
        <x:f>IF(ISNUMBER(AA12),IF('Scoring Setup'!$L$13=1,1-'Scoring Setup'!$B$5*(1-MAX(0,MIN(1,(AA12-'Scoring Setup'!$K$13)/(100-'Scoring Setup'!$K$13)))),1),"")</x:f>
        <x:v>0.9890569295809567</x:v>
      </x:c>
      <x:c r="AT12" s="27" t="n">
        <x:f>IF(ISNUMBER(AB12),IF('Scoring Setup'!$L$14=1,1-'Scoring Setup'!$B$5*(1-MAX(0,MIN(1,(AB12-'Scoring Setup'!$K$14)/(100-'Scoring Setup'!$K$14)))),1),"")</x:f>
        <x:v>0.9291555953123767</x:v>
      </x:c>
      <x:c r="AU12" s="27" t="n">
        <x:f>IF(ISNUMBER(AC12),IF('Scoring Setup'!$L$15=1,1-'Scoring Setup'!$B$5*(1-MAX(0,MIN(1,(AC12-'Scoring Setup'!$K$15)/(100-'Scoring Setup'!$K$15)))),1),"")</x:f>
        <x:v>0.999694808411682</x:v>
      </x:c>
      <x:c r="AV12" s="27" t="n">
        <x:f>IF(ISNUMBER(AD12),IF('Scoring Setup'!$L$16=1,1-'Scoring Setup'!$B$5*(1-MAX(0,MIN(1,(AD12-'Scoring Setup'!$K$16)/(100-'Scoring Setup'!$K$16)))),1),"")</x:f>
        <x:v>0.8021855322857143</x:v>
      </x:c>
      <x:c r="AW12" s="27" t="n">
        <x:f>IF(ISNUMBER(AE12),IF('Scoring Setup'!$L$17=1,1-'Scoring Setup'!$B$5*(1-MAX(0,MIN(1,(AE12-'Scoring Setup'!$K$17)/(100-'Scoring Setup'!$K$17)))),1),"")</x:f>
        <x:v>0.819287976</x:v>
      </x:c>
      <x:c r="AX12" s="27" t="n">
        <x:f>IF(ISNUMBER(AF12),IF('Scoring Setup'!$L$18=1,1-'Scoring Setup'!$B$5*(1-MAX(0,MIN(1,(AF12-'Scoring Setup'!$K$18)/(100-'Scoring Setup'!$K$18)))),1),"")</x:f>
        <x:v>0.9395388263483825</x:v>
      </x:c>
      <x:c r="AY12" s="27" t="n">
        <x:f>IF(ISNUMBER(AG12),IF('Scoring Setup'!$L$19=1,1-'Scoring Setup'!$B$5*(1-MAX(0,MIN(1,(AG12-'Scoring Setup'!$K$19)/(100-'Scoring Setup'!$K$19)))),1),"")</x:f>
        <x:v>0.9638</x:v>
      </x:c>
      <x:c r="AZ12" s="27" t="n">
        <x:f>IF(ISNUMBER(AH12),IF('Scoring Setup'!$L$20=1,1-'Scoring Setup'!$B$5*(1-MAX(0,MIN(1,(AH12-'Scoring Setup'!$K$20)/(100-'Scoring Setup'!$K$20)))),1),"")</x:f>
        <x:v>1</x:v>
      </x:c>
      <x:c r="BA12" s="27" t="n">
        <x:f>IF(ISNUMBER(AI12),IF('Scoring Setup'!$L$21=1,1-'Scoring Setup'!$B$5*(1-MAX(0,MIN(1,(AI12-'Scoring Setup'!$K$21)/(100-'Scoring Setup'!$K$21)))),1),"")</x:f>
        <x:v>0.996034867150443</x:v>
      </x:c>
      <x:c r="BB12" s="27" t="n">
        <x:f>IF(ISNUMBER(AJ12),IF('Scoring Setup'!$L$22=1,1-'Scoring Setup'!$B$5*(1-MAX(0,MIN(1,(AJ12-'Scoring Setup'!$K$22)/(100-'Scoring Setup'!$K$22)))),1),"")</x:f>
        <x:v>0.9784386629958951</x:v>
      </x:c>
      <x:c r="BC12" s="27" t="n">
        <x:f>IF(ISNUMBER(AK12),IF('Scoring Setup'!$L$23=1,1-'Scoring Setup'!$B$5*(1-MAX(0,MIN(1,(AK12-'Scoring Setup'!$K$23)/(100-'Scoring Setup'!$K$23)))),1),"")</x:f>
        <x:v>0.9766273443207251</x:v>
      </x:c>
      <x:c r="BD12" s="27" t="n">
        <x:f>IF(ISNUMBER(AL12),IF('Scoring Setup'!$L$24=1,1-'Scoring Setup'!$B$5*(1-MAX(0,MIN(1,(AL12-'Scoring Setup'!$K$24)/(100-'Scoring Setup'!$K$24)))),1),"")</x:f>
        <x:v>0.9094545454545454</x:v>
      </x:c>
      <x:c r="BE12" s="27" t="n">
        <x:f>IF(ISNUMBER(AM12),IF('Scoring Setup'!$L$25=1,1-'Scoring Setup'!$B$5*(1-MAX(0,MIN(1,(AM12-'Scoring Setup'!$K$25)/(100-'Scoring Setup'!$K$25)))),1),"")</x:f>
        <x:v>0.8549228700052378</x:v>
      </x:c>
      <x:c r="BF12" s="27" t="n">
        <x:f>IF(ISNUMBER(AN12),IF('Scoring Setup'!$L$26=1,1-'Scoring Setup'!$B$5*(1-MAX(0,MIN(1,(AN12-'Scoring Setup'!$K$26)/(100-'Scoring Setup'!$K$26)))),1),"")</x:f>
        <x:v>0.977621005370185</x:v>
      </x:c>
      <x:c r="BG12" s="34" t="n">
        <x:f>IF(COUNT(W12,X12)=2,AVERAGE(W12,X12),"")</x:f>
        <x:v>35.35396039603965</x:v>
      </x:c>
      <x:c r="BH12" s="34" t="n">
        <x:f>IF(COUNT(Y12,Z12)=2,AVERAGE(Y12,Z12),"")</x:f>
        <x:v>39.155471997139955</x:v>
      </x:c>
      <x:c r="BI12" s="34" t="n">
        <x:f>IF(COUNT(AA12,AB12,AC12)=3,AVERAGE(AA12,AB12,AC12),"")</x:f>
        <x:v>86.31788888416924</x:v>
      </x:c>
      <x:c r="BJ12" s="34" t="n">
        <x:f>IF(COUNT(AD12,AE12)=2,AVERAGE(AD12,AE12),"")</x:f>
        <x:v>5.36837707142857</x:v>
      </x:c>
      <x:c r="BK12" s="34" t="n">
        <x:f>IF(COUNT(AF12,AG12)=2,AVERAGE(AF12,AG12),"")</x:f>
        <x:v>75.83470658709564</x:v>
      </x:c>
      <x:c r="BL12" s="34" t="n">
        <x:f>IF(COUNT(AH12,AI12)=2,AVERAGE(AH12,AI12),"")</x:f>
        <x:v>99.00871678761074</x:v>
      </x:c>
      <x:c r="BM12" s="34" t="n">
        <x:f>IF(COUNT(AJ12,AK12)=2,AVERAGE(AJ12,AK12),"")</x:f>
        <x:v>88.76650182915503</x:v>
      </x:c>
      <x:c r="BN12" s="34" t="n">
        <x:f>IF(COUNT(AL12,AM12,AN12)=3,AVERAGE(AL12,AM12,AN12),"")</x:f>
        <x:v>56.999736804994704</x:v>
      </x:c>
      <x:c r="BO12" s="35" t="n">
        <x:f>IF(AND(COUNT(BG12:BN12)=8,ABS('Scoring Setup'!$C$17-1)&lt;0.000001),BG12*'Scoring Setup'!$C$9+BH12*'Scoring Setup'!$C$10+BI12*'Scoring Setup'!$C$11+BJ12*'Scoring Setup'!$C$12+BK12*'Scoring Setup'!$C$13+BL12*'Scoring Setup'!$C$14+BM12*'Scoring Setup'!$C$15+BN12*'Scoring Setup'!$C$16,"")</x:f>
        <x:v>54.607269665638</x:v>
      </x:c>
      <x:c r="BP12" s="36" t="n">
        <x:f>IF(COUNT(AO12:BF12)=18,MIN(AO12:BF12),"")</x:f>
        <x:v>0.8021855322857143</x:v>
      </x:c>
      <x:c r="BQ12" s="35" t="n">
        <x:f>IF(AND(ISNUMBER(BO12),ISNUMBER(BP12)),BO12*BP12,"")</x:f>
        <x:v>43.80516168339936</x:v>
      </x:c>
      <x:c r="BR12" s="17" t="str">
        <x:f>IF(COUNT(AO12:BF12)=18,INDEX('Scoring Setup'!$F$9:$F$26,MATCH(MIN(AO12:BF12),AO12:BF12,0),1),"")</x:f>
        <x:v>商业光纤100/20覆盖率</x:v>
      </x:c>
    </x:row>
    <x:row r="13">
      <x:c r="A13" s="28" t="str">
        <x:v>51017</x:v>
      </x:c>
      <x:c r="B13" s="28" t="str">
        <x:v>Bath County</x:v>
      </x:c>
      <x:c r="C13" s="28" t="str">
        <x:v>VA</x:v>
      </x:c>
      <x:c r="D13" s="31" t="n">
        <x:v>1370.626044</x:v>
      </x:c>
      <x:c r="E13" s="32" t="n">
        <x:v>0.633</x:v>
      </x:c>
      <x:c r="F13" s="32" t="n">
        <x:v>0.898514851485149</x:v>
      </x:c>
      <x:c r="G13" s="32" t="n">
        <x:v>2.344844916311251</x:v>
      </x:c>
      <x:c r="H13" s="32" t="n">
        <x:v>2.6428136946393774</x:v>
      </x:c>
      <x:c r="I13" s="32" t="n">
        <x:v>0.9895568758477306</x:v>
      </x:c>
      <x:c r="J13" s="32" t="n">
        <x:v>0.11979346783113633</x:v>
      </x:c>
      <x:c r="K13" s="32" t="n">
        <x:v>0.000819581987001901</x:v>
      </x:c>
      <x:c r="L13" s="32" t="n">
        <x:v>0.824792058</x:v>
      </x:c>
      <x:c r="M13" s="32" t="n">
        <x:v>0.824523746</x:v>
      </x:c>
      <x:c r="N13" s="32" t="n">
        <x:v>2227</x:v>
      </x:c>
      <x:c r="O13" s="32" t="n">
        <x:v>0.1674</x:v>
      </x:c>
      <x:c r="P13" s="32" t="n">
        <x:v>463.05120849609375</x:v>
      </x:c>
      <x:c r="Q13" s="32" t="n">
        <x:v>3.2645129919052125</x:v>
      </x:c>
      <x:c r="R13" s="32" t="n">
        <x:v>23.349897205347105</x:v>
      </x:c>
      <x:c r="S13" s="32" t="n">
        <x:v>14.690310861723944</x:v>
      </x:c>
      <x:c r="T13" s="32" t="n">
        <x:v>89.9</x:v>
      </x:c>
      <x:c r="U13" s="32" t="n">
        <x:v>245.07712999476223</x:v>
      </x:c>
      <x:c r="V13" s="32" t="n">
        <x:v>244.75798925963002</x:v>
      </x:c>
      <x:c r="W13" s="33" t="n">
        <x:f>IF(ISNUMBER(E13),100*MAX(0,MIN(1,('Anchors'!$H$6-E13)/('Anchors'!$H$6-'Anchors'!$G$6))),"")</x:f>
        <x:v>38.142857142857146</x:v>
      </x:c>
      <x:c r="X13" s="33" t="n">
        <x:f>IF(ISNUMBER(F13),100*MAX(0,MIN(1,('Anchors'!$H$7-F13)/('Anchors'!$H$7-'Anchors'!$G$7))),"")</x:f>
        <x:v>0</x:v>
      </x:c>
      <x:c r="Y13" s="33" t="n">
        <x:f>IF(ISNUMBER(G13),100*MAX(0,MIN(1,('Anchors'!$H$8-G13)/('Anchors'!$H$8-'Anchors'!$G$8))),"")</x:f>
        <x:v>55.1718361229583</x:v>
      </x:c>
      <x:c r="Z13" s="33" t="n">
        <x:f>IF(ISNUMBER(H13),100*MAX(0,MIN(1,('Anchors'!$H$9-H13)/('Anchors'!$H$9-'Anchors'!$G$9))),"")</x:f>
        <x:v>45.23954351202075</x:v>
      </x:c>
      <x:c r="AA13" s="33" t="n">
        <x:f>IF(ISNUMBER(I13),100*MAX(0,MIN(1,(I13-'Anchors'!$H$10)/('Anchors'!$G$10-'Anchors'!$H$10))),"")</x:f>
        <x:v>100</x:v>
      </x:c>
      <x:c r="AB13" s="33" t="n">
        <x:f>IF(ISNUMBER(J13),100*MAX(0,MIN(1,('Anchors'!$H$11-J13)/('Anchors'!$H$11-'Anchors'!$G$11))),"")</x:f>
        <x:v>52.08261286754548</x:v>
      </x:c>
      <x:c r="AC13" s="33" t="n">
        <x:f>IF(ISNUMBER(K13),100*MAX(0,MIN(1,('Anchors'!$H$12-K13)/('Anchors'!$H$12-'Anchors'!$G$12))),"")</x:f>
        <x:v>99.79510450324953</x:v>
      </x:c>
      <x:c r="AD13" s="33" t="n">
        <x:f>IF(ISNUMBER(L13),100*MAX(0,MIN(1,(L13-'Anchors'!$H$13)/('Anchors'!$G$13-'Anchors'!$H$13))),"")</x:f>
        <x:v>89.25600828571429</x:v>
      </x:c>
      <x:c r="AE13" s="33" t="n">
        <x:f>IF(ISNUMBER(M13),100*MAX(0,MIN(1,(M13-'Anchors'!$H$14)/('Anchors'!$G$14-'Anchors'!$H$14))),"")</x:f>
        <x:v>90.56546825000001</x:v>
      </x:c>
      <x:c r="AF13" s="33" t="n">
        <x:f>IF(ISNUMBER(N13),100*MAX(0,MIN(1,(LN(1+N13)-LN(1+'Anchors'!$H$15))/(LN(1+'Anchors'!$G$15)-LN(1+'Anchors'!$H$15)))),"")</x:f>
        <x:v>2.4891682483924344</x:v>
      </x:c>
      <x:c r="AG13" s="33" t="n">
        <x:f>IF(ISNUMBER(O13),100*MAX(0,MIN(1,('Anchors'!$H$16-O13)/('Anchors'!$H$16-'Anchors'!$G$16))),"")</x:f>
        <x:v>86.95555555555556</x:v>
      </x:c>
      <x:c r="AH13" s="33" t="n">
        <x:f>IF(ISNUMBER(P13),100*MAX(0,MIN(1,('Anchors'!$H$17-P13)/('Anchors'!$H$17-'Anchors'!$G$17))),"")</x:f>
        <x:v>100</x:v>
      </x:c>
      <x:c r="AI13" s="33" t="n">
        <x:f>IF(ISNUMBER(Q13),100*MAX(0,MIN(1,('Anchors'!$H$18-Q13)/('Anchors'!$H$18-'Anchors'!$G$18))),"")</x:f>
        <x:v>100</x:v>
      </x:c>
      <x:c r="AJ13" s="33" t="n">
        <x:f>IF(ISNUMBER(R13),100*MAX(0,MIN(1,('Anchors'!$H$19-R13)/('Anchors'!$H$19-'Anchors'!$G$19))),"")</x:f>
        <x:v>59.22245065478421</x:v>
      </x:c>
      <x:c r="AK13" s="33" t="n">
        <x:f>IF(ISNUMBER(S13),100*MAX(0,MIN(1,('Anchors'!$H$20-S13)/('Anchors'!$H$20-'Anchors'!$G$20))),"")</x:f>
        <x:v>27.94573230671609</x:v>
      </x:c>
      <x:c r="AL13" s="33" t="n">
        <x:f>IF(ISNUMBER(T13),100*MAX(0,MIN(1,('Anchors'!$H$21-T13)/('Anchors'!$H$21-'Anchors'!$G$21))),"")</x:f>
        <x:v>54.72727272727271</x:v>
      </x:c>
      <x:c r="AM13" s="33" t="n">
        <x:f>IF(ISNUMBER(U13),100*MAX(0,MIN(1,('Anchors'!$H$22-U13)/('Anchors'!$H$22-'Anchors'!$G$22))),"")</x:f>
        <x:v>27.461435002618884</x:v>
      </x:c>
      <x:c r="AN13" s="33" t="n">
        <x:f>IF(ISNUMBER(V13),100*MAX(0,MIN(1,('Anchors'!$H$23-V13)/('Anchors'!$H$23-'Anchors'!$G$23))),"")</x:f>
        <x:v>88.8105026850925</x:v>
      </x:c>
      <x:c r="AO13" s="27" t="n">
        <x:f>IF(ISNUMBER(W13),IF('Scoring Setup'!$L$9=1,1-'Scoring Setup'!$B$5*(1-MAX(0,MIN(1,(W13-'Scoring Setup'!$K$9)/(100-'Scoring Setup'!$K$9)))),1),"")</x:f>
        <x:v>0.8762857142857143</x:v>
      </x:c>
      <x:c r="AP13" s="27" t="n">
        <x:f>IF(ISNUMBER(X13),IF('Scoring Setup'!$L$10=1,1-'Scoring Setup'!$B$5*(1-MAX(0,MIN(1,(X13-'Scoring Setup'!$K$10)/(100-'Scoring Setup'!$K$10)))),1),"")</x:f>
        <x:v>0.8</x:v>
      </x:c>
      <x:c r="AQ13" s="27" t="n">
        <x:f>IF(ISNUMBER(Y13),IF('Scoring Setup'!$L$11=1,1-'Scoring Setup'!$B$5*(1-MAX(0,MIN(1,(Y13-'Scoring Setup'!$K$11)/(100-'Scoring Setup'!$K$11)))),1),"")</x:f>
        <x:v>0.9103436722459166</x:v>
      </x:c>
      <x:c r="AR13" s="27" t="n">
        <x:f>IF(ISNUMBER(Z13),IF('Scoring Setup'!$L$12=1,1-'Scoring Setup'!$B$5*(1-MAX(0,MIN(1,(Z13-'Scoring Setup'!$K$12)/(100-'Scoring Setup'!$K$12)))),1),"")</x:f>
        <x:v>0.8904790870240415</x:v>
      </x:c>
      <x:c r="AS13" s="27" t="n">
        <x:f>IF(ISNUMBER(AA13),IF('Scoring Setup'!$L$13=1,1-'Scoring Setup'!$B$5*(1-MAX(0,MIN(1,(AA13-'Scoring Setup'!$K$13)/(100-'Scoring Setup'!$K$13)))),1),"")</x:f>
        <x:v>1</x:v>
      </x:c>
      <x:c r="AT13" s="27" t="n">
        <x:f>IF(ISNUMBER(AB13),IF('Scoring Setup'!$L$14=1,1-'Scoring Setup'!$B$5*(1-MAX(0,MIN(1,(AB13-'Scoring Setup'!$K$14)/(100-'Scoring Setup'!$K$14)))),1),"")</x:f>
        <x:v>0.904165225735091</x:v>
      </x:c>
      <x:c r="AU13" s="27" t="n">
        <x:f>IF(ISNUMBER(AC13),IF('Scoring Setup'!$L$15=1,1-'Scoring Setup'!$B$5*(1-MAX(0,MIN(1,(AC13-'Scoring Setup'!$K$15)/(100-'Scoring Setup'!$K$15)))),1),"")</x:f>
        <x:v>0.9995902090064991</x:v>
      </x:c>
      <x:c r="AV13" s="27" t="n">
        <x:f>IF(ISNUMBER(AD13),IF('Scoring Setup'!$L$16=1,1-'Scoring Setup'!$B$5*(1-MAX(0,MIN(1,(AD13-'Scoring Setup'!$K$16)/(100-'Scoring Setup'!$K$16)))),1),"")</x:f>
        <x:v>0.9785120165714286</x:v>
      </x:c>
      <x:c r="AW13" s="27" t="n">
        <x:f>IF(ISNUMBER(AE13),IF('Scoring Setup'!$L$17=1,1-'Scoring Setup'!$B$5*(1-MAX(0,MIN(1,(AE13-'Scoring Setup'!$K$17)/(100-'Scoring Setup'!$K$17)))),1),"")</x:f>
        <x:v>0.9811309365</x:v>
      </x:c>
      <x:c r="AX13" s="27" t="n">
        <x:f>IF(ISNUMBER(AF13),IF('Scoring Setup'!$L$18=1,1-'Scoring Setup'!$B$5*(1-MAX(0,MIN(1,(AF13-'Scoring Setup'!$K$18)/(100-'Scoring Setup'!$K$18)))),1),"")</x:f>
        <x:v>0.8049783364967849</x:v>
      </x:c>
      <x:c r="AY13" s="27" t="n">
        <x:f>IF(ISNUMBER(AG13),IF('Scoring Setup'!$L$19=1,1-'Scoring Setup'!$B$5*(1-MAX(0,MIN(1,(AG13-'Scoring Setup'!$K$19)/(100-'Scoring Setup'!$K$19)))),1),"")</x:f>
        <x:v>0.9739111111111112</x:v>
      </x:c>
      <x:c r="AZ13" s="27" t="n">
        <x:f>IF(ISNUMBER(AH13),IF('Scoring Setup'!$L$20=1,1-'Scoring Setup'!$B$5*(1-MAX(0,MIN(1,(AH13-'Scoring Setup'!$K$20)/(100-'Scoring Setup'!$K$20)))),1),"")</x:f>
        <x:v>1</x:v>
      </x:c>
      <x:c r="BA13" s="27" t="n">
        <x:f>IF(ISNUMBER(AI13),IF('Scoring Setup'!$L$21=1,1-'Scoring Setup'!$B$5*(1-MAX(0,MIN(1,(AI13-'Scoring Setup'!$K$21)/(100-'Scoring Setup'!$K$21)))),1),"")</x:f>
        <x:v>1</x:v>
      </x:c>
      <x:c r="BB13" s="27" t="n">
        <x:f>IF(ISNUMBER(AJ13),IF('Scoring Setup'!$L$22=1,1-'Scoring Setup'!$B$5*(1-MAX(0,MIN(1,(AJ13-'Scoring Setup'!$K$22)/(100-'Scoring Setup'!$K$22)))),1),"")</x:f>
        <x:v>0.9184449013095684</x:v>
      </x:c>
      <x:c r="BC13" s="27" t="n">
        <x:f>IF(ISNUMBER(AK13),IF('Scoring Setup'!$L$23=1,1-'Scoring Setup'!$B$5*(1-MAX(0,MIN(1,(AK13-'Scoring Setup'!$K$23)/(100-'Scoring Setup'!$K$23)))),1),"")</x:f>
        <x:v>0.8558914646134321</x:v>
      </x:c>
      <x:c r="BD13" s="27" t="n">
        <x:f>IF(ISNUMBER(AL13),IF('Scoring Setup'!$L$24=1,1-'Scoring Setup'!$B$5*(1-MAX(0,MIN(1,(AL13-'Scoring Setup'!$K$24)/(100-'Scoring Setup'!$K$24)))),1),"")</x:f>
        <x:v>0.9094545454545454</x:v>
      </x:c>
      <x:c r="BE13" s="27" t="n">
        <x:f>IF(ISNUMBER(AM13),IF('Scoring Setup'!$L$25=1,1-'Scoring Setup'!$B$5*(1-MAX(0,MIN(1,(AM13-'Scoring Setup'!$K$25)/(100-'Scoring Setup'!$K$25)))),1),"")</x:f>
        <x:v>0.8549228700052378</x:v>
      </x:c>
      <x:c r="BF13" s="27" t="n">
        <x:f>IF(ISNUMBER(AN13),IF('Scoring Setup'!$L$26=1,1-'Scoring Setup'!$B$5*(1-MAX(0,MIN(1,(AN13-'Scoring Setup'!$K$26)/(100-'Scoring Setup'!$K$26)))),1),"")</x:f>
        <x:v>0.977621005370185</x:v>
      </x:c>
      <x:c r="BG13" s="34" t="n">
        <x:f>IF(COUNT(W13,X13)=2,AVERAGE(W13,X13),"")</x:f>
        <x:v>19.071428571428573</x:v>
      </x:c>
      <x:c r="BH13" s="34" t="n">
        <x:f>IF(COUNT(Y13,Z13)=2,AVERAGE(Y13,Z13),"")</x:f>
        <x:v>50.20568981748953</x:v>
      </x:c>
      <x:c r="BI13" s="34" t="n">
        <x:f>IF(COUNT(AA13,AB13,AC13)=3,AVERAGE(AA13,AB13,AC13),"")</x:f>
        <x:v>83.95923912359835</x:v>
      </x:c>
      <x:c r="BJ13" s="34" t="n">
        <x:f>IF(COUNT(AD13,AE13)=2,AVERAGE(AD13,AE13),"")</x:f>
        <x:v>89.91073826785714</x:v>
      </x:c>
      <x:c r="BK13" s="34" t="n">
        <x:f>IF(COUNT(AF13,AG13)=2,AVERAGE(AF13,AG13),"")</x:f>
        <x:v>44.722361901974</x:v>
      </x:c>
      <x:c r="BL13" s="34" t="n">
        <x:f>IF(COUNT(AH13,AI13)=2,AVERAGE(AH13,AI13),"")</x:f>
        <x:v>100</x:v>
      </x:c>
      <x:c r="BM13" s="34" t="n">
        <x:f>IF(COUNT(AJ13,AK13)=2,AVERAGE(AJ13,AK13),"")</x:f>
        <x:v>43.584091480750146</x:v>
      </x:c>
      <x:c r="BN13" s="34" t="n">
        <x:f>IF(COUNT(AL13,AM13,AN13)=3,AVERAGE(AL13,AM13,AN13),"")</x:f>
        <x:v>56.999736804994704</x:v>
      </x:c>
      <x:c r="BO13" s="35" t="n">
        <x:f>IF(AND(COUNT(BG13:BN13)=8,ABS('Scoring Setup'!$C$17-1)&lt;0.000001),BG13*'Scoring Setup'!$C$9+BH13*'Scoring Setup'!$C$10+BI13*'Scoring Setup'!$C$11+BJ13*'Scoring Setup'!$C$12+BK13*'Scoring Setup'!$C$13+BL13*'Scoring Setup'!$C$14+BM13*'Scoring Setup'!$C$15+BN13*'Scoring Setup'!$C$16,"")</x:f>
        <x:v>58.086640365519635</x:v>
      </x:c>
      <x:c r="BP13" s="36" t="n">
        <x:f>IF(COUNT(AO13:BF13)=18,MIN(AO13:BF13),"")</x:f>
        <x:v>0.8</x:v>
      </x:c>
      <x:c r="BQ13" s="35" t="n">
        <x:f>IF(AND(ISNUMBER(BO13),ISNUMBER(BP13)),BO13*BP13,"")</x:f>
        <x:v>46.46931229241571</x:v>
      </x:c>
      <x:c r="BR13" s="17" t="str">
        <x:f>IF(COUNT(AO13:BF13)=18,INDEX('Scoring Setup'!$F$9:$F$26,MATCH(MIN(AO13:BF13),AO13:BF13,0),1),"")</x:f>
        <x:v>洪水损失率全国百分位</x:v>
      </x:c>
    </x:row>
    <x:row r="14">
      <x:c r="A14" s="28" t="str">
        <x:v>51019</x:v>
      </x:c>
      <x:c r="B14" s="28" t="str">
        <x:v>Bedford County</x:v>
      </x:c>
      <x:c r="C14" s="28" t="str">
        <x:v>VA</x:v>
      </x:c>
      <x:c r="D14" s="31" t="n">
        <x:v>1968.69131</x:v>
      </x:c>
      <x:c r="E14" s="32" t="n">
        <x:v>0.508</x:v>
      </x:c>
      <x:c r="F14" s="32" t="n">
        <x:v>0.527227722772277</x:v>
      </x:c>
      <x:c r="G14" s="32" t="n">
        <x:v>2.7111303374500344</x:v>
      </x:c>
      <x:c r="H14" s="32" t="n">
        <x:v>3.0843331054445926</x:v>
      </x:c>
      <x:c r="I14" s="32" t="n">
        <x:v>0.9417486580123711</x:v>
      </x:c>
      <x:c r="J14" s="32" t="n">
        <x:v>0.013509257071560152</x:v>
      </x:c>
      <x:c r="K14" s="32" t="n">
        <x:v>0.000133217877839206</x:v>
      </x:c>
      <x:c r="L14" s="32" t="n">
        <x:v>0.662832857</x:v>
      </x:c>
      <x:c r="M14" s="32" t="n">
        <x:v>0.30775326</x:v>
      </x:c>
      <x:c r="N14" s="32" t="n">
        <x:v>38193</x:v>
      </x:c>
      <x:c r="O14" s="32" t="n">
        <x:v>0.0853</x:v>
      </x:c>
      <x:c r="P14" s="32" t="n">
        <x:v>991.7323303222656</x:v>
      </x:c>
      <x:c r="Q14" s="32" t="n">
        <x:v>16.741791756947837</x:v>
      </x:c>
      <x:c r="R14" s="32" t="n">
        <x:v>28.240638716691205</x:v>
      </x:c>
      <x:c r="S14" s="32" t="n">
        <x:v>2.6543279414508034</x:v>
      </x:c>
      <x:c r="T14" s="32" t="n">
        <x:v>89.9</x:v>
      </x:c>
      <x:c r="U14" s="32" t="n">
        <x:v>245.07712999476223</x:v>
      </x:c>
      <x:c r="V14" s="32" t="n">
        <x:v>244.75798925963002</x:v>
      </x:c>
      <x:c r="W14" s="33" t="n">
        <x:f>IF(ISNUMBER(E14),100*MAX(0,MIN(1,('Anchors'!$H$6-E14)/('Anchors'!$H$6-'Anchors'!$G$6))),"")</x:f>
        <x:v>56.00000000000001</x:v>
      </x:c>
      <x:c r="X14" s="33" t="n">
        <x:f>IF(ISNUMBER(F14),100*MAX(0,MIN(1,('Anchors'!$H$7-F14)/('Anchors'!$H$7-'Anchors'!$G$7))),"")</x:f>
        <x:v>38.967468175388994</x:v>
      </x:c>
      <x:c r="Y14" s="33" t="n">
        <x:f>IF(ISNUMBER(G14),100*MAX(0,MIN(1,('Anchors'!$H$8-G14)/('Anchors'!$H$8-'Anchors'!$G$8))),"")</x:f>
        <x:v>42.96232208499885</x:v>
      </x:c>
      <x:c r="Z14" s="33" t="n">
        <x:f>IF(ISNUMBER(H14),100*MAX(0,MIN(1,('Anchors'!$H$9-H14)/('Anchors'!$H$9-'Anchors'!$G$9))),"")</x:f>
        <x:v>30.52222981851358</x:v>
      </x:c>
      <x:c r="AA14" s="33" t="n">
        <x:f>IF(ISNUMBER(I14),100*MAX(0,MIN(1,(I14-'Anchors'!$H$10)/('Anchors'!$G$10-'Anchors'!$H$10))),"")</x:f>
        <x:v>94.76009013868098</x:v>
      </x:c>
      <x:c r="AB14" s="33" t="n">
        <x:f>IF(ISNUMBER(J14),100*MAX(0,MIN(1,('Anchors'!$H$11-J14)/('Anchors'!$H$11-'Anchors'!$G$11))),"")</x:f>
        <x:v>94.59629717137594</x:v>
      </x:c>
      <x:c r="AC14" s="33" t="n">
        <x:f>IF(ISNUMBER(K14),100*MAX(0,MIN(1,('Anchors'!$H$12-K14)/('Anchors'!$H$12-'Anchors'!$G$12))),"")</x:f>
        <x:v>99.96669553054019</x:v>
      </x:c>
      <x:c r="AD14" s="33" t="n">
        <x:f>IF(ISNUMBER(L14),100*MAX(0,MIN(1,(L14-'Anchors'!$H$13)/('Anchors'!$G$13-'Anchors'!$H$13))),"")</x:f>
        <x:v>66.11897957142858</x:v>
      </x:c>
      <x:c r="AE14" s="33" t="n">
        <x:f>IF(ISNUMBER(M14),100*MAX(0,MIN(1,(M14-'Anchors'!$H$14)/('Anchors'!$G$14-'Anchors'!$H$14))),"")</x:f>
        <x:v>25.969157499999994</x:v>
      </x:c>
      <x:c r="AF14" s="33" t="n">
        <x:f>IF(ISNUMBER(N14),100*MAX(0,MIN(1,(LN(1+N14)-LN(1+'Anchors'!$H$15))/(LN(1+'Anchors'!$G$15)-LN(1+'Anchors'!$H$15)))),"")</x:f>
        <x:v>68.31213481630459</x:v>
      </x:c>
      <x:c r="AG14" s="33" t="n">
        <x:f>IF(ISNUMBER(O14),100*MAX(0,MIN(1,('Anchors'!$H$16-O14)/('Anchors'!$H$16-'Anchors'!$G$16))),"")</x:f>
        <x:v>96.07777777777777</x:v>
      </x:c>
      <x:c r="AH14" s="33" t="n">
        <x:f>IF(ISNUMBER(P14),100*MAX(0,MIN(1,('Anchors'!$H$17-P14)/('Anchors'!$H$17-'Anchors'!$G$17))),"")</x:f>
        <x:v>80.55117797851562</x:v>
      </x:c>
      <x:c r="AI14" s="33" t="n">
        <x:f>IF(ISNUMBER(Q14),100*MAX(0,MIN(1,('Anchors'!$H$18-Q14)/('Anchors'!$H$18-'Anchors'!$G$18))),"")</x:f>
        <x:v>83.2260117757888</x:v>
      </x:c>
      <x:c r="AJ14" s="33" t="n">
        <x:f>IF(ISNUMBER(R14),100*MAX(0,MIN(1,('Anchors'!$H$19-R14)/('Anchors'!$H$19-'Anchors'!$G$19))),"")</x:f>
        <x:v>48.354136185130656</x:v>
      </x:c>
      <x:c r="AK14" s="33" t="n">
        <x:f>IF(ISNUMBER(S14),100*MAX(0,MIN(1,('Anchors'!$H$20-S14)/('Anchors'!$H$20-'Anchors'!$G$20))),"")</x:f>
        <x:v>91.29301083446947</x:v>
      </x:c>
      <x:c r="AL14" s="33" t="n">
        <x:f>IF(ISNUMBER(T14),100*MAX(0,MIN(1,('Anchors'!$H$21-T14)/('Anchors'!$H$21-'Anchors'!$G$21))),"")</x:f>
        <x:v>54.72727272727271</x:v>
      </x:c>
      <x:c r="AM14" s="33" t="n">
        <x:f>IF(ISNUMBER(U14),100*MAX(0,MIN(1,('Anchors'!$H$22-U14)/('Anchors'!$H$22-'Anchors'!$G$22))),"")</x:f>
        <x:v>27.461435002618884</x:v>
      </x:c>
      <x:c r="AN14" s="33" t="n">
        <x:f>IF(ISNUMBER(V14),100*MAX(0,MIN(1,('Anchors'!$H$23-V14)/('Anchors'!$H$23-'Anchors'!$G$23))),"")</x:f>
        <x:v>88.8105026850925</x:v>
      </x:c>
      <x:c r="AO14" s="27" t="n">
        <x:f>IF(ISNUMBER(W14),IF('Scoring Setup'!$L$9=1,1-'Scoring Setup'!$B$5*(1-MAX(0,MIN(1,(W14-'Scoring Setup'!$K$9)/(100-'Scoring Setup'!$K$9)))),1),"")</x:f>
        <x:v>0.912</x:v>
      </x:c>
      <x:c r="AP14" s="27" t="n">
        <x:f>IF(ISNUMBER(X14),IF('Scoring Setup'!$L$10=1,1-'Scoring Setup'!$B$5*(1-MAX(0,MIN(1,(X14-'Scoring Setup'!$K$10)/(100-'Scoring Setup'!$K$10)))),1),"")</x:f>
        <x:v>0.877934936350778</x:v>
      </x:c>
      <x:c r="AQ14" s="27" t="n">
        <x:f>IF(ISNUMBER(Y14),IF('Scoring Setup'!$L$11=1,1-'Scoring Setup'!$B$5*(1-MAX(0,MIN(1,(Y14-'Scoring Setup'!$K$11)/(100-'Scoring Setup'!$K$11)))),1),"")</x:f>
        <x:v>0.8859246441699977</x:v>
      </x:c>
      <x:c r="AR14" s="27" t="n">
        <x:f>IF(ISNUMBER(Z14),IF('Scoring Setup'!$L$12=1,1-'Scoring Setup'!$B$5*(1-MAX(0,MIN(1,(Z14-'Scoring Setup'!$K$12)/(100-'Scoring Setup'!$K$12)))),1),"")</x:f>
        <x:v>0.8610444596370271</x:v>
      </x:c>
      <x:c r="AS14" s="27" t="n">
        <x:f>IF(ISNUMBER(AA14),IF('Scoring Setup'!$L$13=1,1-'Scoring Setup'!$B$5*(1-MAX(0,MIN(1,(AA14-'Scoring Setup'!$K$13)/(100-'Scoring Setup'!$K$13)))),1),"")</x:f>
        <x:v>0.989520180277362</x:v>
      </x:c>
      <x:c r="AT14" s="27" t="n">
        <x:f>IF(ISNUMBER(AB14),IF('Scoring Setup'!$L$14=1,1-'Scoring Setup'!$B$5*(1-MAX(0,MIN(1,(AB14-'Scoring Setup'!$K$14)/(100-'Scoring Setup'!$K$14)))),1),"")</x:f>
        <x:v>0.9891925943427519</x:v>
      </x:c>
      <x:c r="AU14" s="27" t="n">
        <x:f>IF(ISNUMBER(AC14),IF('Scoring Setup'!$L$15=1,1-'Scoring Setup'!$B$5*(1-MAX(0,MIN(1,(AC14-'Scoring Setup'!$K$15)/(100-'Scoring Setup'!$K$15)))),1),"")</x:f>
        <x:v>0.9999333910610804</x:v>
      </x:c>
      <x:c r="AV14" s="27" t="n">
        <x:f>IF(ISNUMBER(AD14),IF('Scoring Setup'!$L$16=1,1-'Scoring Setup'!$B$5*(1-MAX(0,MIN(1,(AD14-'Scoring Setup'!$K$16)/(100-'Scoring Setup'!$K$16)))),1),"")</x:f>
        <x:v>0.9322379591428571</x:v>
      </x:c>
      <x:c r="AW14" s="27" t="n">
        <x:f>IF(ISNUMBER(AE14),IF('Scoring Setup'!$L$17=1,1-'Scoring Setup'!$B$5*(1-MAX(0,MIN(1,(AE14-'Scoring Setup'!$K$17)/(100-'Scoring Setup'!$K$17)))),1),"")</x:f>
        <x:v>0.851938315</x:v>
      </x:c>
      <x:c r="AX14" s="27" t="n">
        <x:f>IF(ISNUMBER(AF14),IF('Scoring Setup'!$L$18=1,1-'Scoring Setup'!$B$5*(1-MAX(0,MIN(1,(AF14-'Scoring Setup'!$K$18)/(100-'Scoring Setup'!$K$18)))),1),"")</x:f>
        <x:v>0.9366242696326091</x:v>
      </x:c>
      <x:c r="AY14" s="27" t="n">
        <x:f>IF(ISNUMBER(AG14),IF('Scoring Setup'!$L$19=1,1-'Scoring Setup'!$B$5*(1-MAX(0,MIN(1,(AG14-'Scoring Setup'!$K$19)/(100-'Scoring Setup'!$K$19)))),1),"")</x:f>
        <x:v>0.9921555555555556</x:v>
      </x:c>
      <x:c r="AZ14" s="27" t="n">
        <x:f>IF(ISNUMBER(AH14),IF('Scoring Setup'!$L$20=1,1-'Scoring Setup'!$B$5*(1-MAX(0,MIN(1,(AH14-'Scoring Setup'!$K$20)/(100-'Scoring Setup'!$K$20)))),1),"")</x:f>
        <x:v>0.9611023559570312</x:v>
      </x:c>
      <x:c r="BA14" s="27" t="n">
        <x:f>IF(ISNUMBER(AI14),IF('Scoring Setup'!$L$21=1,1-'Scoring Setup'!$B$5*(1-MAX(0,MIN(1,(AI14-'Scoring Setup'!$K$21)/(100-'Scoring Setup'!$K$21)))),1),"")</x:f>
        <x:v>0.9664520235515777</x:v>
      </x:c>
      <x:c r="BB14" s="27" t="n">
        <x:f>IF(ISNUMBER(AJ14),IF('Scoring Setup'!$L$22=1,1-'Scoring Setup'!$B$5*(1-MAX(0,MIN(1,(AJ14-'Scoring Setup'!$K$22)/(100-'Scoring Setup'!$K$22)))),1),"")</x:f>
        <x:v>0.8967082723702613</x:v>
      </x:c>
      <x:c r="BC14" s="27" t="n">
        <x:f>IF(ISNUMBER(AK14),IF('Scoring Setup'!$L$23=1,1-'Scoring Setup'!$B$5*(1-MAX(0,MIN(1,(AK14-'Scoring Setup'!$K$23)/(100-'Scoring Setup'!$K$23)))),1),"")</x:f>
        <x:v>0.9825860216689389</x:v>
      </x:c>
      <x:c r="BD14" s="27" t="n">
        <x:f>IF(ISNUMBER(AL14),IF('Scoring Setup'!$L$24=1,1-'Scoring Setup'!$B$5*(1-MAX(0,MIN(1,(AL14-'Scoring Setup'!$K$24)/(100-'Scoring Setup'!$K$24)))),1),"")</x:f>
        <x:v>0.9094545454545454</x:v>
      </x:c>
      <x:c r="BE14" s="27" t="n">
        <x:f>IF(ISNUMBER(AM14),IF('Scoring Setup'!$L$25=1,1-'Scoring Setup'!$B$5*(1-MAX(0,MIN(1,(AM14-'Scoring Setup'!$K$25)/(100-'Scoring Setup'!$K$25)))),1),"")</x:f>
        <x:v>0.8549228700052378</x:v>
      </x:c>
      <x:c r="BF14" s="27" t="n">
        <x:f>IF(ISNUMBER(AN14),IF('Scoring Setup'!$L$26=1,1-'Scoring Setup'!$B$5*(1-MAX(0,MIN(1,(AN14-'Scoring Setup'!$K$26)/(100-'Scoring Setup'!$K$26)))),1),"")</x:f>
        <x:v>0.977621005370185</x:v>
      </x:c>
      <x:c r="BG14" s="34" t="n">
        <x:f>IF(COUNT(W14,X14)=2,AVERAGE(W14,X14),"")</x:f>
        <x:v>47.4837340876945</x:v>
      </x:c>
      <x:c r="BH14" s="34" t="n">
        <x:f>IF(COUNT(Y14,Z14)=2,AVERAGE(Y14,Z14),"")</x:f>
        <x:v>36.74227595175621</x:v>
      </x:c>
      <x:c r="BI14" s="34" t="n">
        <x:f>IF(COUNT(AA14,AB14,AC14)=3,AVERAGE(AA14,AB14,AC14),"")</x:f>
        <x:v>96.44102761353236</x:v>
      </x:c>
      <x:c r="BJ14" s="34" t="n">
        <x:f>IF(COUNT(AD14,AE14)=2,AVERAGE(AD14,AE14),"")</x:f>
        <x:v>46.04406853571429</x:v>
      </x:c>
      <x:c r="BK14" s="34" t="n">
        <x:f>IF(COUNT(AF14,AG14)=2,AVERAGE(AF14,AG14),"")</x:f>
        <x:v>82.19495629704119</x:v>
      </x:c>
      <x:c r="BL14" s="34" t="n">
        <x:f>IF(COUNT(AH14,AI14)=2,AVERAGE(AH14,AI14),"")</x:f>
        <x:v>81.88859487715222</x:v>
      </x:c>
      <x:c r="BM14" s="34" t="n">
        <x:f>IF(COUNT(AJ14,AK14)=2,AVERAGE(AJ14,AK14),"")</x:f>
        <x:v>69.82357350980007</x:v>
      </x:c>
      <x:c r="BN14" s="34" t="n">
        <x:f>IF(COUNT(AL14,AM14,AN14)=3,AVERAGE(AL14,AM14,AN14),"")</x:f>
        <x:v>56.999736804994704</x:v>
      </x:c>
      <x:c r="BO14" s="35" t="n">
        <x:f>IF(AND(COUNT(BG14:BN14)=8,ABS('Scoring Setup'!$C$17-1)&lt;0.000001),BG14*'Scoring Setup'!$C$9+BH14*'Scoring Setup'!$C$10+BI14*'Scoring Setup'!$C$11+BJ14*'Scoring Setup'!$C$12+BK14*'Scoring Setup'!$C$13+BL14*'Scoring Setup'!$C$14+BM14*'Scoring Setup'!$C$15+BN14*'Scoring Setup'!$C$16,"")</x:f>
        <x:v>59.2503633045955</x:v>
      </x:c>
      <x:c r="BP14" s="36" t="n">
        <x:f>IF(COUNT(AO14:BF14)=18,MIN(AO14:BF14),"")</x:f>
        <x:v>0.851938315</x:v>
      </x:c>
      <x:c r="BQ14" s="35" t="n">
        <x:f>IF(AND(ISNUMBER(BO14),ISNUMBER(BP14)),BO14*BP14,"")</x:f>
        <x:v>50.47765467685492</x:v>
      </x:c>
      <x:c r="BR14" s="17" t="str">
        <x:f>IF(COUNT(AO14:BF14)=18,INDEX('Scoring Setup'!$F$9:$F$26,MATCH(MIN(AO14:BF14),AO14:BF14,0),1),"")</x:f>
        <x:v>商业光纤1000/100覆盖率</x:v>
      </x:c>
    </x:row>
    <x:row r="15">
      <x:c r="A15" s="28" t="str">
        <x:v>51021</x:v>
      </x:c>
      <x:c r="B15" s="28" t="str">
        <x:v>Bland County</x:v>
      </x:c>
      <x:c r="C15" s="28" t="str">
        <x:v>VA</x:v>
      </x:c>
      <x:c r="D15" s="31" t="n">
        <x:v>926.296565</x:v>
      </x:c>
      <x:c r="E15" s="32" t="n">
        <x:v>0.68</x:v>
      </x:c>
      <x:c r="F15" s="32" t="n">
        <x:v>0.9854579207920791</x:v>
      </x:c>
      <x:c r="G15" s="32" t="n">
        <x:v>1.8039625546390905</x:v>
      </x:c>
      <x:c r="H15" s="32" t="n">
        <x:v>2.181944094272481</x:v>
      </x:c>
      <x:c r="I15" s="32" t="n">
        <x:v>0.9832995259864299</x:v>
      </x:c>
      <x:c r="J15" s="32" t="n">
        <x:v>0.09325843547986352</x:v>
      </x:c>
      <x:c r="K15" s="32" t="n">
        <x:v>0.0005824619824834977</x:v>
      </x:c>
      <x:c r="L15" s="32" t="n">
        <x:v>0.165452653</x:v>
      </x:c>
      <x:c r="M15" s="32" t="n">
        <x:v>0.165452653</x:v>
      </x:c>
      <x:c r="N15" s="32" t="n">
        <x:v>2654</x:v>
      </x:c>
      <x:c r="O15" s="32" t="n">
        <x:v>0.0974</x:v>
      </x:c>
      <x:c r="P15" s="32" t="n">
        <x:v>372.3394755045573</x:v>
      </x:c>
      <x:c r="Q15" s="32" t="n">
        <x:v>0.5354177872339885</x:v>
      </x:c>
      <x:c r="R15" s="32" t="n">
        <x:v>0.4659493951410033</x:v>
      </x:c>
      <x:c r="S15" s="32" t="n">
        <x:v>17.447338398510915</x:v>
      </x:c>
      <x:c r="T15" s="32" t="n">
        <x:v>89.9</x:v>
      </x:c>
      <x:c r="U15" s="32" t="n">
        <x:v>245.07712999476223</x:v>
      </x:c>
      <x:c r="V15" s="32" t="n">
        <x:v>244.75798925963002</x:v>
      </x:c>
      <x:c r="W15" s="33" t="n">
        <x:f>IF(ISNUMBER(E15),100*MAX(0,MIN(1,('Anchors'!$H$6-E15)/('Anchors'!$H$6-'Anchors'!$G$6))),"")</x:f>
        <x:v>31.428571428571427</x:v>
      </x:c>
      <x:c r="X15" s="33" t="n">
        <x:f>IF(ISNUMBER(F15),100*MAX(0,MIN(1,('Anchors'!$H$7-F15)/('Anchors'!$H$7-'Anchors'!$G$7))),"")</x:f>
        <x:v>0</x:v>
      </x:c>
      <x:c r="Y15" s="33" t="n">
        <x:f>IF(ISNUMBER(G15),100*MAX(0,MIN(1,('Anchors'!$H$8-G15)/('Anchors'!$H$8-'Anchors'!$G$8))),"")</x:f>
        <x:v>73.20124817869699</x:v>
      </x:c>
      <x:c r="Z15" s="33" t="n">
        <x:f>IF(ISNUMBER(H15),100*MAX(0,MIN(1,('Anchors'!$H$9-H15)/('Anchors'!$H$9-'Anchors'!$G$9))),"")</x:f>
        <x:v>60.60186352425063</x:v>
      </x:c>
      <x:c r="AA15" s="33" t="n">
        <x:f>IF(ISNUMBER(I15),100*MAX(0,MIN(1,(I15-'Anchors'!$H$10)/('Anchors'!$G$10-'Anchors'!$H$10))),"")</x:f>
        <x:v>100</x:v>
      </x:c>
      <x:c r="AB15" s="33" t="n">
        <x:f>IF(ISNUMBER(J15),100*MAX(0,MIN(1,('Anchors'!$H$11-J15)/('Anchors'!$H$11-'Anchors'!$G$11))),"")</x:f>
        <x:v>62.6966258080546</x:v>
      </x:c>
      <x:c r="AC15" s="33" t="n">
        <x:f>IF(ISNUMBER(K15),100*MAX(0,MIN(1,('Anchors'!$H$12-K15)/('Anchors'!$H$12-'Anchors'!$G$12))),"")</x:f>
        <x:v>99.85438450437913</x:v>
      </x:c>
      <x:c r="AD15" s="33" t="n">
        <x:f>IF(ISNUMBER(L15),100*MAX(0,MIN(1,(L15-'Anchors'!$H$13)/('Anchors'!$G$13-'Anchors'!$H$13))),"")</x:f>
        <x:v>0</x:v>
      </x:c>
      <x:c r="AE15" s="33" t="n">
        <x:f>IF(ISNUMBER(M15),100*MAX(0,MIN(1,(M15-'Anchors'!$H$14)/('Anchors'!$G$14-'Anchors'!$H$14))),"")</x:f>
        <x:v>8.181581625</x:v>
      </x:c>
      <x:c r="AF15" s="33" t="n">
        <x:f>IF(ISNUMBER(N15),100*MAX(0,MIN(1,(LN(1+N15)-LN(1+'Anchors'!$H$15))/(LN(1+'Anchors'!$G$15)-LN(1+'Anchors'!$H$15)))),"")</x:f>
        <x:v>6.550797610524247</x:v>
      </x:c>
      <x:c r="AG15" s="33" t="n">
        <x:f>IF(ISNUMBER(O15),100*MAX(0,MIN(1,('Anchors'!$H$16-O15)/('Anchors'!$H$16-'Anchors'!$G$16))),"")</x:f>
        <x:v>94.73333333333333</x:v>
      </x:c>
      <x:c r="AH15" s="33" t="n">
        <x:f>IF(ISNUMBER(P15),100*MAX(0,MIN(1,('Anchors'!$H$17-P15)/('Anchors'!$H$17-'Anchors'!$G$17))),"")</x:f>
        <x:v>100</x:v>
      </x:c>
      <x:c r="AI15" s="33" t="n">
        <x:f>IF(ISNUMBER(Q15),100*MAX(0,MIN(1,('Anchors'!$H$18-Q15)/('Anchors'!$H$18-'Anchors'!$G$18))),"")</x:f>
        <x:v>100</x:v>
      </x:c>
      <x:c r="AJ15" s="33" t="n">
        <x:f>IF(ISNUMBER(R15),100*MAX(0,MIN(1,('Anchors'!$H$19-R15)/('Anchors'!$H$19-'Anchors'!$G$19))),"")</x:f>
        <x:v>100</x:v>
      </x:c>
      <x:c r="AK15" s="33" t="n">
        <x:f>IF(ISNUMBER(S15),100*MAX(0,MIN(1,('Anchors'!$H$20-S15)/('Anchors'!$H$20-'Anchors'!$G$20))),"")</x:f>
        <x:v>13.435061060468867</x:v>
      </x:c>
      <x:c r="AL15" s="33" t="n">
        <x:f>IF(ISNUMBER(T15),100*MAX(0,MIN(1,('Anchors'!$H$21-T15)/('Anchors'!$H$21-'Anchors'!$G$21))),"")</x:f>
        <x:v>54.72727272727271</x:v>
      </x:c>
      <x:c r="AM15" s="33" t="n">
        <x:f>IF(ISNUMBER(U15),100*MAX(0,MIN(1,('Anchors'!$H$22-U15)/('Anchors'!$H$22-'Anchors'!$G$22))),"")</x:f>
        <x:v>27.461435002618884</x:v>
      </x:c>
      <x:c r="AN15" s="33" t="n">
        <x:f>IF(ISNUMBER(V15),100*MAX(0,MIN(1,('Anchors'!$H$23-V15)/('Anchors'!$H$23-'Anchors'!$G$23))),"")</x:f>
        <x:v>88.8105026850925</x:v>
      </x:c>
      <x:c r="AO15" s="27" t="n">
        <x:f>IF(ISNUMBER(W15),IF('Scoring Setup'!$L$9=1,1-'Scoring Setup'!$B$5*(1-MAX(0,MIN(1,(W15-'Scoring Setup'!$K$9)/(100-'Scoring Setup'!$K$9)))),1),"")</x:f>
        <x:v>0.8628571428571429</x:v>
      </x:c>
      <x:c r="AP15" s="27" t="n">
        <x:f>IF(ISNUMBER(X15),IF('Scoring Setup'!$L$10=1,1-'Scoring Setup'!$B$5*(1-MAX(0,MIN(1,(X15-'Scoring Setup'!$K$10)/(100-'Scoring Setup'!$K$10)))),1),"")</x:f>
        <x:v>0.8</x:v>
      </x:c>
      <x:c r="AQ15" s="27" t="n">
        <x:f>IF(ISNUMBER(Y15),IF('Scoring Setup'!$L$11=1,1-'Scoring Setup'!$B$5*(1-MAX(0,MIN(1,(Y15-'Scoring Setup'!$K$11)/(100-'Scoring Setup'!$K$11)))),1),"")</x:f>
        <x:v>0.9464024963573939</x:v>
      </x:c>
      <x:c r="AR15" s="27" t="n">
        <x:f>IF(ISNUMBER(Z15),IF('Scoring Setup'!$L$12=1,1-'Scoring Setup'!$B$5*(1-MAX(0,MIN(1,(Z15-'Scoring Setup'!$K$12)/(100-'Scoring Setup'!$K$12)))),1),"")</x:f>
        <x:v>0.9212037270485013</x:v>
      </x:c>
      <x:c r="AS15" s="27" t="n">
        <x:f>IF(ISNUMBER(AA15),IF('Scoring Setup'!$L$13=1,1-'Scoring Setup'!$B$5*(1-MAX(0,MIN(1,(AA15-'Scoring Setup'!$K$13)/(100-'Scoring Setup'!$K$13)))),1),"")</x:f>
        <x:v>1</x:v>
      </x:c>
      <x:c r="AT15" s="27" t="n">
        <x:f>IF(ISNUMBER(AB15),IF('Scoring Setup'!$L$14=1,1-'Scoring Setup'!$B$5*(1-MAX(0,MIN(1,(AB15-'Scoring Setup'!$K$14)/(100-'Scoring Setup'!$K$14)))),1),"")</x:f>
        <x:v>0.9253932516161092</x:v>
      </x:c>
      <x:c r="AU15" s="27" t="n">
        <x:f>IF(ISNUMBER(AC15),IF('Scoring Setup'!$L$15=1,1-'Scoring Setup'!$B$5*(1-MAX(0,MIN(1,(AC15-'Scoring Setup'!$K$15)/(100-'Scoring Setup'!$K$15)))),1),"")</x:f>
        <x:v>0.9997087690087583</x:v>
      </x:c>
      <x:c r="AV15" s="27" t="n">
        <x:f>IF(ISNUMBER(AD15),IF('Scoring Setup'!$L$16=1,1-'Scoring Setup'!$B$5*(1-MAX(0,MIN(1,(AD15-'Scoring Setup'!$K$16)/(100-'Scoring Setup'!$K$16)))),1),"")</x:f>
        <x:v>0.8</x:v>
      </x:c>
      <x:c r="AW15" s="27" t="n">
        <x:f>IF(ISNUMBER(AE15),IF('Scoring Setup'!$L$17=1,1-'Scoring Setup'!$B$5*(1-MAX(0,MIN(1,(AE15-'Scoring Setup'!$K$17)/(100-'Scoring Setup'!$K$17)))),1),"")</x:f>
        <x:v>0.81636316325</x:v>
      </x:c>
      <x:c r="AX15" s="27" t="n">
        <x:f>IF(ISNUMBER(AF15),IF('Scoring Setup'!$L$18=1,1-'Scoring Setup'!$B$5*(1-MAX(0,MIN(1,(AF15-'Scoring Setup'!$K$18)/(100-'Scoring Setup'!$K$18)))),1),"")</x:f>
        <x:v>0.8131015952210485</x:v>
      </x:c>
      <x:c r="AY15" s="27" t="n">
        <x:f>IF(ISNUMBER(AG15),IF('Scoring Setup'!$L$19=1,1-'Scoring Setup'!$B$5*(1-MAX(0,MIN(1,(AG15-'Scoring Setup'!$K$19)/(100-'Scoring Setup'!$K$19)))),1),"")</x:f>
        <x:v>0.9894666666666667</x:v>
      </x:c>
      <x:c r="AZ15" s="27" t="n">
        <x:f>IF(ISNUMBER(AH15),IF('Scoring Setup'!$L$20=1,1-'Scoring Setup'!$B$5*(1-MAX(0,MIN(1,(AH15-'Scoring Setup'!$K$20)/(100-'Scoring Setup'!$K$20)))),1),"")</x:f>
        <x:v>1</x:v>
      </x:c>
      <x:c r="BA15" s="27" t="n">
        <x:f>IF(ISNUMBER(AI15),IF('Scoring Setup'!$L$21=1,1-'Scoring Setup'!$B$5*(1-MAX(0,MIN(1,(AI15-'Scoring Setup'!$K$21)/(100-'Scoring Setup'!$K$21)))),1),"")</x:f>
        <x:v>1</x:v>
      </x:c>
      <x:c r="BB15" s="27" t="n">
        <x:f>IF(ISNUMBER(AJ15),IF('Scoring Setup'!$L$22=1,1-'Scoring Setup'!$B$5*(1-MAX(0,MIN(1,(AJ15-'Scoring Setup'!$K$22)/(100-'Scoring Setup'!$K$22)))),1),"")</x:f>
        <x:v>1</x:v>
      </x:c>
      <x:c r="BC15" s="27" t="n">
        <x:f>IF(ISNUMBER(AK15),IF('Scoring Setup'!$L$23=1,1-'Scoring Setup'!$B$5*(1-MAX(0,MIN(1,(AK15-'Scoring Setup'!$K$23)/(100-'Scoring Setup'!$K$23)))),1),"")</x:f>
        <x:v>0.8268701221209377</x:v>
      </x:c>
      <x:c r="BD15" s="27" t="n">
        <x:f>IF(ISNUMBER(AL15),IF('Scoring Setup'!$L$24=1,1-'Scoring Setup'!$B$5*(1-MAX(0,MIN(1,(AL15-'Scoring Setup'!$K$24)/(100-'Scoring Setup'!$K$24)))),1),"")</x:f>
        <x:v>0.9094545454545454</x:v>
      </x:c>
      <x:c r="BE15" s="27" t="n">
        <x:f>IF(ISNUMBER(AM15),IF('Scoring Setup'!$L$25=1,1-'Scoring Setup'!$B$5*(1-MAX(0,MIN(1,(AM15-'Scoring Setup'!$K$25)/(100-'Scoring Setup'!$K$25)))),1),"")</x:f>
        <x:v>0.8549228700052378</x:v>
      </x:c>
      <x:c r="BF15" s="27" t="n">
        <x:f>IF(ISNUMBER(AN15),IF('Scoring Setup'!$L$26=1,1-'Scoring Setup'!$B$5*(1-MAX(0,MIN(1,(AN15-'Scoring Setup'!$K$26)/(100-'Scoring Setup'!$K$26)))),1),"")</x:f>
        <x:v>0.977621005370185</x:v>
      </x:c>
      <x:c r="BG15" s="34" t="n">
        <x:f>IF(COUNT(W15,X15)=2,AVERAGE(W15,X15),"")</x:f>
        <x:v>15.714285714285714</x:v>
      </x:c>
      <x:c r="BH15" s="34" t="n">
        <x:f>IF(COUNT(Y15,Z15)=2,AVERAGE(Y15,Z15),"")</x:f>
        <x:v>66.9015558514738</x:v>
      </x:c>
      <x:c r="BI15" s="34" t="n">
        <x:f>IF(COUNT(AA15,AB15,AC15)=3,AVERAGE(AA15,AB15,AC15),"")</x:f>
        <x:v>87.51700343747791</x:v>
      </x:c>
      <x:c r="BJ15" s="34" t="n">
        <x:f>IF(COUNT(AD15,AE15)=2,AVERAGE(AD15,AE15),"")</x:f>
        <x:v>4.0907908125</x:v>
      </x:c>
      <x:c r="BK15" s="34" t="n">
        <x:f>IF(COUNT(AF15,AG15)=2,AVERAGE(AF15,AG15),"")</x:f>
        <x:v>50.64206547192879</x:v>
      </x:c>
      <x:c r="BL15" s="34" t="n">
        <x:f>IF(COUNT(AH15,AI15)=2,AVERAGE(AH15,AI15),"")</x:f>
        <x:v>100</x:v>
      </x:c>
      <x:c r="BM15" s="34" t="n">
        <x:f>IF(COUNT(AJ15,AK15)=2,AVERAGE(AJ15,AK15),"")</x:f>
        <x:v>56.717530530234434</x:v>
      </x:c>
      <x:c r="BN15" s="34" t="n">
        <x:f>IF(COUNT(AL15,AM15,AN15)=3,AVERAGE(AL15,AM15,AN15),"")</x:f>
        <x:v>56.999736804994704</x:v>
      </x:c>
      <x:c r="BO15" s="35" t="n">
        <x:f>IF(AND(COUNT(BG15:BN15)=8,ABS('Scoring Setup'!$C$17-1)&lt;0.000001),BG15*'Scoring Setup'!$C$9+BH15*'Scoring Setup'!$C$10+BI15*'Scoring Setup'!$C$11+BJ15*'Scoring Setup'!$C$12+BK15*'Scoring Setup'!$C$13+BL15*'Scoring Setup'!$C$14+BM15*'Scoring Setup'!$C$15+BN15*'Scoring Setup'!$C$16,"")</x:f>
        <x:v>54.11252328192413</x:v>
      </x:c>
      <x:c r="BP15" s="36" t="n">
        <x:f>IF(COUNT(AO15:BF15)=18,MIN(AO15:BF15),"")</x:f>
        <x:v>0.8</x:v>
      </x:c>
      <x:c r="BQ15" s="35" t="n">
        <x:f>IF(AND(ISNUMBER(BO15),ISNUMBER(BP15)),BO15*BP15,"")</x:f>
        <x:v>43.29001862553931</x:v>
      </x:c>
      <x:c r="BR15" s="17" t="str">
        <x:f>IF(COUNT(AO15:BF15)=18,INDEX('Scoring Setup'!$F$9:$F$26,MATCH(MIN(AO15:BF15),AO15:BF15,0),1),"")</x:f>
        <x:v>洪水损失率全国百分位</x:v>
      </x:c>
    </x:row>
    <x:row r="16">
      <x:c r="A16" s="28" t="str">
        <x:v>51023</x:v>
      </x:c>
      <x:c r="B16" s="28" t="str">
        <x:v>Botetourt County</x:v>
      </x:c>
      <x:c r="C16" s="28" t="str">
        <x:v>VA</x:v>
      </x:c>
      <x:c r="D16" s="31" t="n">
        <x:v>1401.898973</x:v>
      </x:c>
      <x:c r="E16" s="32" t="n">
        <x:v>0.618</x:v>
      </x:c>
      <x:c r="F16" s="32" t="n">
        <x:v>0.59529702970297</x:v>
      </x:c>
      <x:c r="G16" s="32" t="n">
        <x:v>2.4020355088370846</x:v>
      </x:c>
      <x:c r="H16" s="32" t="n">
        <x:v>2.7114536905340274</x:v>
      </x:c>
      <x:c r="I16" s="32" t="n">
        <x:v>0.9528392753030503</x:v>
      </x:c>
      <x:c r="J16" s="32" t="n">
        <x:v>0.01391799227187217</x:v>
      </x:c>
      <x:c r="K16" s="32" t="n">
        <x:v>0.0008998232992795653</x:v>
      </x:c>
      <x:c r="L16" s="32" t="n">
        <x:v>0.151574442</x:v>
      </x:c>
      <x:c r="M16" s="32" t="n">
        <x:v>0.11103638</x:v>
      </x:c>
      <x:c r="N16" s="32" t="n">
        <x:v>17151</x:v>
      </x:c>
      <x:c r="O16" s="32" t="n">
        <x:v>0.013</x:v>
      </x:c>
      <x:c r="P16" s="32" t="n">
        <x:v>809.0045572916666</x:v>
      </x:c>
      <x:c r="Q16" s="32" t="n">
        <x:v>12.352752590179444</x:v>
      </x:c>
      <x:c r="R16" s="32" t="n">
        <x:v>7.897200461818425</x:v>
      </x:c>
      <x:c r="S16" s="32" t="n">
        <x:v>3.8566901296297975</x:v>
      </x:c>
      <x:c r="T16" s="32" t="n">
        <x:v>89.9</x:v>
      </x:c>
      <x:c r="U16" s="32" t="n">
        <x:v>245.07712999476223</x:v>
      </x:c>
      <x:c r="V16" s="32" t="n">
        <x:v>244.75798925963002</x:v>
      </x:c>
      <x:c r="W16" s="33" t="n">
        <x:f>IF(ISNUMBER(E16),100*MAX(0,MIN(1,('Anchors'!$H$6-E16)/('Anchors'!$H$6-'Anchors'!$G$6))),"")</x:f>
        <x:v>40.28571428571429</x:v>
      </x:c>
      <x:c r="X16" s="33" t="n">
        <x:f>IF(ISNUMBER(F16),100*MAX(0,MIN(1,('Anchors'!$H$7-F16)/('Anchors'!$H$7-'Anchors'!$G$7))),"")</x:f>
        <x:v>29.243281471004284</x:v>
      </x:c>
      <x:c r="Y16" s="33" t="n">
        <x:f>IF(ISNUMBER(G16),100*MAX(0,MIN(1,('Anchors'!$H$8-G16)/('Anchors'!$H$8-'Anchors'!$G$8))),"")</x:f>
        <x:v>53.26548303876385</x:v>
      </x:c>
      <x:c r="Z16" s="33" t="n">
        <x:f>IF(ISNUMBER(H16),100*MAX(0,MIN(1,('Anchors'!$H$9-H16)/('Anchors'!$H$9-'Anchors'!$G$9))),"")</x:f>
        <x:v>42.95154364886575</x:v>
      </x:c>
      <x:c r="AA16" s="33" t="n">
        <x:f>IF(ISNUMBER(I16),100*MAX(0,MIN(1,(I16-'Anchors'!$H$10)/('Anchors'!$G$10-'Anchors'!$H$10))),"")</x:f>
        <x:v>96.27935278123978</x:v>
      </x:c>
      <x:c r="AB16" s="33" t="n">
        <x:f>IF(ISNUMBER(J16),100*MAX(0,MIN(1,('Anchors'!$H$11-J16)/('Anchors'!$H$11-'Anchors'!$G$11))),"")</x:f>
        <x:v>94.43280309125113</x:v>
      </x:c>
      <x:c r="AC16" s="33" t="n">
        <x:f>IF(ISNUMBER(K16),100*MAX(0,MIN(1,('Anchors'!$H$12-K16)/('Anchors'!$H$12-'Anchors'!$G$12))),"")</x:f>
        <x:v>99.7750441751801</x:v>
      </x:c>
      <x:c r="AD16" s="33" t="n">
        <x:f>IF(ISNUMBER(L16),100*MAX(0,MIN(1,(L16-'Anchors'!$H$13)/('Anchors'!$G$13-'Anchors'!$H$13))),"")</x:f>
        <x:v>0</x:v>
      </x:c>
      <x:c r="AE16" s="33" t="n">
        <x:f>IF(ISNUMBER(M16),100*MAX(0,MIN(1,(M16-'Anchors'!$H$14)/('Anchors'!$G$14-'Anchors'!$H$14))),"")</x:f>
        <x:v>1.3795474999999997</x:v>
      </x:c>
      <x:c r="AF16" s="33" t="n">
        <x:f>IF(ISNUMBER(N16),100*MAX(0,MIN(1,(LN(1+N16)-LN(1+'Anchors'!$H$15))/(LN(1+'Anchors'!$G$15)-LN(1+'Anchors'!$H$15)))),"")</x:f>
        <x:v>49.767668864496045</x:v>
      </x:c>
      <x:c r="AG16" s="33" t="n">
        <x:f>IF(ISNUMBER(O16),100*MAX(0,MIN(1,('Anchors'!$H$16-O16)/('Anchors'!$H$16-'Anchors'!$G$16))),"")</x:f>
        <x:v>100</x:v>
      </x:c>
      <x:c r="AH16" s="33" t="n">
        <x:f>IF(ISNUMBER(P16),100*MAX(0,MIN(1,('Anchors'!$H$17-P16)/('Anchors'!$H$17-'Anchors'!$G$17))),"")</x:f>
        <x:v>92.7330295138889</x:v>
      </x:c>
      <x:c r="AI16" s="33" t="n">
        <x:f>IF(ISNUMBER(Q16),100*MAX(0,MIN(1,('Anchors'!$H$18-Q16)/('Anchors'!$H$18-'Anchors'!$G$18))),"")</x:f>
        <x:v>89.49606772831508</x:v>
      </x:c>
      <x:c r="AJ16" s="33" t="n">
        <x:f>IF(ISNUMBER(R16),100*MAX(0,MIN(1,('Anchors'!$H$19-R16)/('Anchors'!$H$19-'Anchors'!$G$19))),"")</x:f>
        <x:v>93.5617767515146</x:v>
      </x:c>
      <x:c r="AK16" s="33" t="n">
        <x:f>IF(ISNUMBER(S16),100*MAX(0,MIN(1,('Anchors'!$H$20-S16)/('Anchors'!$H$20-'Anchors'!$G$20))),"")</x:f>
        <x:v>84.96478879142212</x:v>
      </x:c>
      <x:c r="AL16" s="33" t="n">
        <x:f>IF(ISNUMBER(T16),100*MAX(0,MIN(1,('Anchors'!$H$21-T16)/('Anchors'!$H$21-'Anchors'!$G$21))),"")</x:f>
        <x:v>54.72727272727271</x:v>
      </x:c>
      <x:c r="AM16" s="33" t="n">
        <x:f>IF(ISNUMBER(U16),100*MAX(0,MIN(1,('Anchors'!$H$22-U16)/('Anchors'!$H$22-'Anchors'!$G$22))),"")</x:f>
        <x:v>27.461435002618884</x:v>
      </x:c>
      <x:c r="AN16" s="33" t="n">
        <x:f>IF(ISNUMBER(V16),100*MAX(0,MIN(1,('Anchors'!$H$23-V16)/('Anchors'!$H$23-'Anchors'!$G$23))),"")</x:f>
        <x:v>88.8105026850925</x:v>
      </x:c>
      <x:c r="AO16" s="27" t="n">
        <x:f>IF(ISNUMBER(W16),IF('Scoring Setup'!$L$9=1,1-'Scoring Setup'!$B$5*(1-MAX(0,MIN(1,(W16-'Scoring Setup'!$K$9)/(100-'Scoring Setup'!$K$9)))),1),"")</x:f>
        <x:v>0.8805714285714286</x:v>
      </x:c>
      <x:c r="AP16" s="27" t="n">
        <x:f>IF(ISNUMBER(X16),IF('Scoring Setup'!$L$10=1,1-'Scoring Setup'!$B$5*(1-MAX(0,MIN(1,(X16-'Scoring Setup'!$K$10)/(100-'Scoring Setup'!$K$10)))),1),"")</x:f>
        <x:v>0.8584865629420085</x:v>
      </x:c>
      <x:c r="AQ16" s="27" t="n">
        <x:f>IF(ISNUMBER(Y16),IF('Scoring Setup'!$L$11=1,1-'Scoring Setup'!$B$5*(1-MAX(0,MIN(1,(Y16-'Scoring Setup'!$K$11)/(100-'Scoring Setup'!$K$11)))),1),"")</x:f>
        <x:v>0.9065309660775277</x:v>
      </x:c>
      <x:c r="AR16" s="27" t="n">
        <x:f>IF(ISNUMBER(Z16),IF('Scoring Setup'!$L$12=1,1-'Scoring Setup'!$B$5*(1-MAX(0,MIN(1,(Z16-'Scoring Setup'!$K$12)/(100-'Scoring Setup'!$K$12)))),1),"")</x:f>
        <x:v>0.8859030872977315</x:v>
      </x:c>
      <x:c r="AS16" s="27" t="n">
        <x:f>IF(ISNUMBER(AA16),IF('Scoring Setup'!$L$13=1,1-'Scoring Setup'!$B$5*(1-MAX(0,MIN(1,(AA16-'Scoring Setup'!$K$13)/(100-'Scoring Setup'!$K$13)))),1),"")</x:f>
        <x:v>0.9925587055624796</x:v>
      </x:c>
      <x:c r="AT16" s="27" t="n">
        <x:f>IF(ISNUMBER(AB16),IF('Scoring Setup'!$L$14=1,1-'Scoring Setup'!$B$5*(1-MAX(0,MIN(1,(AB16-'Scoring Setup'!$K$14)/(100-'Scoring Setup'!$K$14)))),1),"")</x:f>
        <x:v>0.9888656061825023</x:v>
      </x:c>
      <x:c r="AU16" s="27" t="n">
        <x:f>IF(ISNUMBER(AC16),IF('Scoring Setup'!$L$15=1,1-'Scoring Setup'!$B$5*(1-MAX(0,MIN(1,(AC16-'Scoring Setup'!$K$15)/(100-'Scoring Setup'!$K$15)))),1),"")</x:f>
        <x:v>0.9995500883503602</x:v>
      </x:c>
      <x:c r="AV16" s="27" t="n">
        <x:f>IF(ISNUMBER(AD16),IF('Scoring Setup'!$L$16=1,1-'Scoring Setup'!$B$5*(1-MAX(0,MIN(1,(AD16-'Scoring Setup'!$K$16)/(100-'Scoring Setup'!$K$16)))),1),"")</x:f>
        <x:v>0.8</x:v>
      </x:c>
      <x:c r="AW16" s="27" t="n">
        <x:f>IF(ISNUMBER(AE16),IF('Scoring Setup'!$L$17=1,1-'Scoring Setup'!$B$5*(1-MAX(0,MIN(1,(AE16-'Scoring Setup'!$K$17)/(100-'Scoring Setup'!$K$17)))),1),"")</x:f>
        <x:v>0.802759095</x:v>
      </x:c>
      <x:c r="AX16" s="27" t="n">
        <x:f>IF(ISNUMBER(AF16),IF('Scoring Setup'!$L$18=1,1-'Scoring Setup'!$B$5*(1-MAX(0,MIN(1,(AF16-'Scoring Setup'!$K$18)/(100-'Scoring Setup'!$K$18)))),1),"")</x:f>
        <x:v>0.8995353377289921</x:v>
      </x:c>
      <x:c r="AY16" s="27" t="n">
        <x:f>IF(ISNUMBER(AG16),IF('Scoring Setup'!$L$19=1,1-'Scoring Setup'!$B$5*(1-MAX(0,MIN(1,(AG16-'Scoring Setup'!$K$19)/(100-'Scoring Setup'!$K$19)))),1),"")</x:f>
        <x:v>1</x:v>
      </x:c>
      <x:c r="AZ16" s="27" t="n">
        <x:f>IF(ISNUMBER(AH16),IF('Scoring Setup'!$L$20=1,1-'Scoring Setup'!$B$5*(1-MAX(0,MIN(1,(AH16-'Scoring Setup'!$K$20)/(100-'Scoring Setup'!$K$20)))),1),"")</x:f>
        <x:v>0.9854660590277778</x:v>
      </x:c>
      <x:c r="BA16" s="27" t="n">
        <x:f>IF(ISNUMBER(AI16),IF('Scoring Setup'!$L$21=1,1-'Scoring Setup'!$B$5*(1-MAX(0,MIN(1,(AI16-'Scoring Setup'!$K$21)/(100-'Scoring Setup'!$K$21)))),1),"")</x:f>
        <x:v>0.9789921354566302</x:v>
      </x:c>
      <x:c r="BB16" s="27" t="n">
        <x:f>IF(ISNUMBER(AJ16),IF('Scoring Setup'!$L$22=1,1-'Scoring Setup'!$B$5*(1-MAX(0,MIN(1,(AJ16-'Scoring Setup'!$K$22)/(100-'Scoring Setup'!$K$22)))),1),"")</x:f>
        <x:v>0.9871235535030292</x:v>
      </x:c>
      <x:c r="BC16" s="27" t="n">
        <x:f>IF(ISNUMBER(AK16),IF('Scoring Setup'!$L$23=1,1-'Scoring Setup'!$B$5*(1-MAX(0,MIN(1,(AK16-'Scoring Setup'!$K$23)/(100-'Scoring Setup'!$K$23)))),1),"")</x:f>
        <x:v>0.9699295775828443</x:v>
      </x:c>
      <x:c r="BD16" s="27" t="n">
        <x:f>IF(ISNUMBER(AL16),IF('Scoring Setup'!$L$24=1,1-'Scoring Setup'!$B$5*(1-MAX(0,MIN(1,(AL16-'Scoring Setup'!$K$24)/(100-'Scoring Setup'!$K$24)))),1),"")</x:f>
        <x:v>0.9094545454545454</x:v>
      </x:c>
      <x:c r="BE16" s="27" t="n">
        <x:f>IF(ISNUMBER(AM16),IF('Scoring Setup'!$L$25=1,1-'Scoring Setup'!$B$5*(1-MAX(0,MIN(1,(AM16-'Scoring Setup'!$K$25)/(100-'Scoring Setup'!$K$25)))),1),"")</x:f>
        <x:v>0.8549228700052378</x:v>
      </x:c>
      <x:c r="BF16" s="27" t="n">
        <x:f>IF(ISNUMBER(AN16),IF('Scoring Setup'!$L$26=1,1-'Scoring Setup'!$B$5*(1-MAX(0,MIN(1,(AN16-'Scoring Setup'!$K$26)/(100-'Scoring Setup'!$K$26)))),1),"")</x:f>
        <x:v>0.977621005370185</x:v>
      </x:c>
      <x:c r="BG16" s="34" t="n">
        <x:f>IF(COUNT(W16,X16)=2,AVERAGE(W16,X16),"")</x:f>
        <x:v>34.764497878359286</x:v>
      </x:c>
      <x:c r="BH16" s="34" t="n">
        <x:f>IF(COUNT(Y16,Z16)=2,AVERAGE(Y16,Z16),"")</x:f>
        <x:v>48.1085133438148</x:v>
      </x:c>
      <x:c r="BI16" s="34" t="n">
        <x:f>IF(COUNT(AA16,AB16,AC16)=3,AVERAGE(AA16,AB16,AC16),"")</x:f>
        <x:v>96.82906668255701</x:v>
      </x:c>
      <x:c r="BJ16" s="34" t="n">
        <x:f>IF(COUNT(AD16,AE16)=2,AVERAGE(AD16,AE16),"")</x:f>
        <x:v>0.6897737499999999</x:v>
      </x:c>
      <x:c r="BK16" s="34" t="n">
        <x:f>IF(COUNT(AF16,AG16)=2,AVERAGE(AF16,AG16),"")</x:f>
        <x:v>74.88383443224802</x:v>
      </x:c>
      <x:c r="BL16" s="34" t="n">
        <x:f>IF(COUNT(AH16,AI16)=2,AVERAGE(AH16,AI16),"")</x:f>
        <x:v>91.11454862110199</x:v>
      </x:c>
      <x:c r="BM16" s="34" t="n">
        <x:f>IF(COUNT(AJ16,AK16)=2,AVERAGE(AJ16,AK16),"")</x:f>
        <x:v>89.26328277146837</x:v>
      </x:c>
      <x:c r="BN16" s="34" t="n">
        <x:f>IF(COUNT(AL16,AM16,AN16)=3,AVERAGE(AL16,AM16,AN16),"")</x:f>
        <x:v>56.999736804994704</x:v>
      </x:c>
      <x:c r="BO16" s="35" t="n">
        <x:f>IF(AND(COUNT(BG16:BN16)=8,ABS('Scoring Setup'!$C$17-1)&lt;0.000001),BG16*'Scoring Setup'!$C$9+BH16*'Scoring Setup'!$C$10+BI16*'Scoring Setup'!$C$11+BJ16*'Scoring Setup'!$C$12+BK16*'Scoring Setup'!$C$13+BL16*'Scoring Setup'!$C$14+BM16*'Scoring Setup'!$C$15+BN16*'Scoring Setup'!$C$16,"")</x:f>
        <x:v>56.45723255420632</x:v>
      </x:c>
      <x:c r="BP16" s="36" t="n">
        <x:f>IF(COUNT(AO16:BF16)=18,MIN(AO16:BF16),"")</x:f>
        <x:v>0.8</x:v>
      </x:c>
      <x:c r="BQ16" s="35" t="n">
        <x:f>IF(AND(ISNUMBER(BO16),ISNUMBER(BP16)),BO16*BP16,"")</x:f>
        <x:v>45.16578604336506</x:v>
      </x:c>
      <x:c r="BR16" s="17" t="str">
        <x:f>IF(COUNT(AO16:BF16)=18,INDEX('Scoring Setup'!$F$9:$F$26,MATCH(MIN(AO16:BF16),AO16:BF16,0),1),"")</x:f>
        <x:v>商业光纤100/20覆盖率</x:v>
      </x:c>
    </x:row>
    <x:row r="17">
      <x:c r="A17" s="28" t="str">
        <x:v>51025</x:v>
      </x:c>
      <x:c r="B17" s="28" t="str">
        <x:v>Brunswick County</x:v>
      </x:c>
      <x:c r="C17" s="28" t="str">
        <x:v>VA</x:v>
      </x:c>
      <x:c r="D17" s="31" t="n">
        <x:v>1466.842628</x:v>
      </x:c>
      <x:c r="E17" s="32" t="n">
        <x:v>0.326</x:v>
      </x:c>
      <x:c r="F17" s="32" t="n">
        <x:v>0.382735148514851</x:v>
      </x:c>
      <x:c r="G17" s="32" t="n">
        <x:v>3.6084219208604997</x:v>
      </x:c>
      <x:c r="H17" s="32" t="n">
        <x:v>3.9515309660801954</x:v>
      </x:c>
      <x:c r="I17" s="32" t="n">
        <x:v>0.9577715044223881</x:v>
      </x:c>
      <x:c r="J17" s="32" t="n">
        <x:v>0.0000840847789704162</x:v>
      </x:c>
      <x:c r="K17" s="32" t="n">
        <x:v>0.04069174180571945</x:v>
      </x:c>
      <x:c r="L17" s="32" t="n">
        <x:v>0.360050622</x:v>
      </x:c>
      <x:c r="M17" s="32" t="n">
        <x:v>0.360050622</x:v>
      </x:c>
      <x:c r="N17" s="32" t="n">
        <x:v>6696</x:v>
      </x:c>
      <x:c r="O17" s="32" t="n">
        <x:v>0.8311</x:v>
      </x:c>
      <x:c r="P17" s="32" t="n">
        <x:v>1264.3280680338542</x:v>
      </x:c>
      <x:c r="Q17" s="32" t="n">
        <x:v>31.19815813700358</x:v>
      </x:c>
      <x:c r="R17" s="32" t="n">
        <x:v>9.53928979679906</x:v>
      </x:c>
      <x:c r="S17" s="32" t="n">
        <x:v>0.5272323390107743</x:v>
      </x:c>
      <x:c r="T17" s="32" t="n">
        <x:v>89.9</x:v>
      </x:c>
      <x:c r="U17" s="32" t="n">
        <x:v>245.07712999476223</x:v>
      </x:c>
      <x:c r="V17" s="32" t="n">
        <x:v>244.75798925963002</x:v>
      </x:c>
      <x:c r="W17" s="33" t="n">
        <x:f>IF(ISNUMBER(E17),100*MAX(0,MIN(1,('Anchors'!$H$6-E17)/('Anchors'!$H$6-'Anchors'!$G$6))),"")</x:f>
        <x:v>82.00000000000001</x:v>
      </x:c>
      <x:c r="X17" s="33" t="n">
        <x:f>IF(ISNUMBER(F17),100*MAX(0,MIN(1,('Anchors'!$H$7-F17)/('Anchors'!$H$7-'Anchors'!$G$7))),"")</x:f>
        <x:v>59.60926449787842</x:v>
      </x:c>
      <x:c r="Y17" s="33" t="n">
        <x:f>IF(ISNUMBER(G17),100*MAX(0,MIN(1,('Anchors'!$H$8-G17)/('Anchors'!$H$8-'Anchors'!$G$8))),"")</x:f>
        <x:v>13.052602637983343</x:v>
      </x:c>
      <x:c r="Z17" s="33" t="n">
        <x:f>IF(ISNUMBER(H17),100*MAX(0,MIN(1,('Anchors'!$H$9-H17)/('Anchors'!$H$9-'Anchors'!$G$9))),"")</x:f>
        <x:v>1.6156344639934872</x:v>
      </x:c>
      <x:c r="AA17" s="33" t="n">
        <x:f>IF(ISNUMBER(I17),100*MAX(0,MIN(1,(I17-'Anchors'!$H$10)/('Anchors'!$G$10-'Anchors'!$H$10))),"")</x:f>
        <x:v>96.95500060580659</x:v>
      </x:c>
      <x:c r="AB17" s="33" t="n">
        <x:f>IF(ISNUMBER(J17),100*MAX(0,MIN(1,('Anchors'!$H$11-J17)/('Anchors'!$H$11-'Anchors'!$G$11))),"")</x:f>
        <x:v>99.96636608841183</x:v>
      </x:c>
      <x:c r="AC17" s="33" t="n">
        <x:f>IF(ISNUMBER(K17),100*MAX(0,MIN(1,('Anchors'!$H$12-K17)/('Anchors'!$H$12-'Anchors'!$G$12))),"")</x:f>
        <x:v>89.82706454857015</x:v>
      </x:c>
      <x:c r="AD17" s="33" t="n">
        <x:f>IF(ISNUMBER(L17),100*MAX(0,MIN(1,(L17-'Anchors'!$H$13)/('Anchors'!$G$13-'Anchors'!$H$13))),"")</x:f>
        <x:v>22.86437457142857</x:v>
      </x:c>
      <x:c r="AE17" s="33" t="n">
        <x:f>IF(ISNUMBER(M17),100*MAX(0,MIN(1,(M17-'Anchors'!$H$14)/('Anchors'!$G$14-'Anchors'!$H$14))),"")</x:f>
        <x:v>32.50632774999999</x:v>
      </x:c>
      <x:c r="AF17" s="33" t="n">
        <x:f>IF(ISNUMBER(N17),100*MAX(0,MIN(1,(LN(1+N17)-LN(1+'Anchors'!$H$15))/(LN(1+'Anchors'!$G$15)-LN(1+'Anchors'!$H$15)))),"")</x:f>
        <x:v>27.9827202920313</x:v>
      </x:c>
      <x:c r="AG17" s="33" t="n">
        <x:f>IF(ISNUMBER(O17),100*MAX(0,MIN(1,('Anchors'!$H$16-O17)/('Anchors'!$H$16-'Anchors'!$G$16))),"")</x:f>
        <x:v>13.211111111111112</x:v>
      </x:c>
      <x:c r="AH17" s="33" t="n">
        <x:f>IF(ISNUMBER(P17),100*MAX(0,MIN(1,('Anchors'!$H$17-P17)/('Anchors'!$H$17-'Anchors'!$G$17))),"")</x:f>
        <x:v>62.37812879774306</x:v>
      </x:c>
      <x:c r="AI17" s="33" t="n">
        <x:f>IF(ISNUMBER(Q17),100*MAX(0,MIN(1,('Anchors'!$H$18-Q17)/('Anchors'!$H$18-'Anchors'!$G$18))),"")</x:f>
        <x:v>62.5740598042806</x:v>
      </x:c>
      <x:c r="AJ17" s="33" t="n">
        <x:f>IF(ISNUMBER(R17),100*MAX(0,MIN(1,('Anchors'!$H$19-R17)/('Anchors'!$H$19-'Anchors'!$G$19))),"")</x:f>
        <x:v>89.91268934044653</x:v>
      </x:c>
      <x:c r="AK17" s="33" t="n">
        <x:f>IF(ISNUMBER(S17),100*MAX(0,MIN(1,('Anchors'!$H$20-S17)/('Anchors'!$H$20-'Anchors'!$G$20))),"")</x:f>
        <x:v>100</x:v>
      </x:c>
      <x:c r="AL17" s="33" t="n">
        <x:f>IF(ISNUMBER(T17),100*MAX(0,MIN(1,('Anchors'!$H$21-T17)/('Anchors'!$H$21-'Anchors'!$G$21))),"")</x:f>
        <x:v>54.72727272727271</x:v>
      </x:c>
      <x:c r="AM17" s="33" t="n">
        <x:f>IF(ISNUMBER(U17),100*MAX(0,MIN(1,('Anchors'!$H$22-U17)/('Anchors'!$H$22-'Anchors'!$G$22))),"")</x:f>
        <x:v>27.461435002618884</x:v>
      </x:c>
      <x:c r="AN17" s="33" t="n">
        <x:f>IF(ISNUMBER(V17),100*MAX(0,MIN(1,('Anchors'!$H$23-V17)/('Anchors'!$H$23-'Anchors'!$G$23))),"")</x:f>
        <x:v>88.8105026850925</x:v>
      </x:c>
      <x:c r="AO17" s="27" t="n">
        <x:f>IF(ISNUMBER(W17),IF('Scoring Setup'!$L$9=1,1-'Scoring Setup'!$B$5*(1-MAX(0,MIN(1,(W17-'Scoring Setup'!$K$9)/(100-'Scoring Setup'!$K$9)))),1),"")</x:f>
        <x:v>0.9640000000000001</x:v>
      </x:c>
      <x:c r="AP17" s="27" t="n">
        <x:f>IF(ISNUMBER(X17),IF('Scoring Setup'!$L$10=1,1-'Scoring Setup'!$B$5*(1-MAX(0,MIN(1,(X17-'Scoring Setup'!$K$10)/(100-'Scoring Setup'!$K$10)))),1),"")</x:f>
        <x:v>0.9192185289957568</x:v>
      </x:c>
      <x:c r="AQ17" s="27" t="n">
        <x:f>IF(ISNUMBER(Y17),IF('Scoring Setup'!$L$11=1,1-'Scoring Setup'!$B$5*(1-MAX(0,MIN(1,(Y17-'Scoring Setup'!$K$11)/(100-'Scoring Setup'!$K$11)))),1),"")</x:f>
        <x:v>0.8261052052759666</x:v>
      </x:c>
      <x:c r="AR17" s="27" t="n">
        <x:f>IF(ISNUMBER(Z17),IF('Scoring Setup'!$L$12=1,1-'Scoring Setup'!$B$5*(1-MAX(0,MIN(1,(Z17-'Scoring Setup'!$K$12)/(100-'Scoring Setup'!$K$12)))),1),"")</x:f>
        <x:v>0.803231268927987</x:v>
      </x:c>
      <x:c r="AS17" s="27" t="n">
        <x:f>IF(ISNUMBER(AA17),IF('Scoring Setup'!$L$13=1,1-'Scoring Setup'!$B$5*(1-MAX(0,MIN(1,(AA17-'Scoring Setup'!$K$13)/(100-'Scoring Setup'!$K$13)))),1),"")</x:f>
        <x:v>0.9939100012116132</x:v>
      </x:c>
      <x:c r="AT17" s="27" t="n">
        <x:f>IF(ISNUMBER(AB17),IF('Scoring Setup'!$L$14=1,1-'Scoring Setup'!$B$5*(1-MAX(0,MIN(1,(AB17-'Scoring Setup'!$K$14)/(100-'Scoring Setup'!$K$14)))),1),"")</x:f>
        <x:v>0.9999327321768237</x:v>
      </x:c>
      <x:c r="AU17" s="27" t="n">
        <x:f>IF(ISNUMBER(AC17),IF('Scoring Setup'!$L$15=1,1-'Scoring Setup'!$B$5*(1-MAX(0,MIN(1,(AC17-'Scoring Setup'!$K$15)/(100-'Scoring Setup'!$K$15)))),1),"")</x:f>
        <x:v>0.9796541290971403</x:v>
      </x:c>
      <x:c r="AV17" s="27" t="n">
        <x:f>IF(ISNUMBER(AD17),IF('Scoring Setup'!$L$16=1,1-'Scoring Setup'!$B$5*(1-MAX(0,MIN(1,(AD17-'Scoring Setup'!$K$16)/(100-'Scoring Setup'!$K$16)))),1),"")</x:f>
        <x:v>0.8457287491428571</x:v>
      </x:c>
      <x:c r="AW17" s="27" t="n">
        <x:f>IF(ISNUMBER(AE17),IF('Scoring Setup'!$L$17=1,1-'Scoring Setup'!$B$5*(1-MAX(0,MIN(1,(AE17-'Scoring Setup'!$K$17)/(100-'Scoring Setup'!$K$17)))),1),"")</x:f>
        <x:v>0.8650126555</x:v>
      </x:c>
      <x:c r="AX17" s="27" t="n">
        <x:f>IF(ISNUMBER(AF17),IF('Scoring Setup'!$L$18=1,1-'Scoring Setup'!$B$5*(1-MAX(0,MIN(1,(AF17-'Scoring Setup'!$K$18)/(100-'Scoring Setup'!$K$18)))),1),"")</x:f>
        <x:v>0.8559654405840627</x:v>
      </x:c>
      <x:c r="AY17" s="27" t="n">
        <x:f>IF(ISNUMBER(AG17),IF('Scoring Setup'!$L$19=1,1-'Scoring Setup'!$B$5*(1-MAX(0,MIN(1,(AG17-'Scoring Setup'!$K$19)/(100-'Scoring Setup'!$K$19)))),1),"")</x:f>
        <x:v>0.8264222222222222</x:v>
      </x:c>
      <x:c r="AZ17" s="27" t="n">
        <x:f>IF(ISNUMBER(AH17),IF('Scoring Setup'!$L$20=1,1-'Scoring Setup'!$B$5*(1-MAX(0,MIN(1,(AH17-'Scoring Setup'!$K$20)/(100-'Scoring Setup'!$K$20)))),1),"")</x:f>
        <x:v>0.9247562575954861</x:v>
      </x:c>
      <x:c r="BA17" s="27" t="n">
        <x:f>IF(ISNUMBER(AI17),IF('Scoring Setup'!$L$21=1,1-'Scoring Setup'!$B$5*(1-MAX(0,MIN(1,(AI17-'Scoring Setup'!$K$21)/(100-'Scoring Setup'!$K$21)))),1),"")</x:f>
        <x:v>0.9251481196085612</x:v>
      </x:c>
      <x:c r="BB17" s="27" t="n">
        <x:f>IF(ISNUMBER(AJ17),IF('Scoring Setup'!$L$22=1,1-'Scoring Setup'!$B$5*(1-MAX(0,MIN(1,(AJ17-'Scoring Setup'!$K$22)/(100-'Scoring Setup'!$K$22)))),1),"")</x:f>
        <x:v>0.979825378680893</x:v>
      </x:c>
      <x:c r="BC17" s="27" t="n">
        <x:f>IF(ISNUMBER(AK17),IF('Scoring Setup'!$L$23=1,1-'Scoring Setup'!$B$5*(1-MAX(0,MIN(1,(AK17-'Scoring Setup'!$K$23)/(100-'Scoring Setup'!$K$23)))),1),"")</x:f>
        <x:v>1</x:v>
      </x:c>
      <x:c r="BD17" s="27" t="n">
        <x:f>IF(ISNUMBER(AL17),IF('Scoring Setup'!$L$24=1,1-'Scoring Setup'!$B$5*(1-MAX(0,MIN(1,(AL17-'Scoring Setup'!$K$24)/(100-'Scoring Setup'!$K$24)))),1),"")</x:f>
        <x:v>0.9094545454545454</x:v>
      </x:c>
      <x:c r="BE17" s="27" t="n">
        <x:f>IF(ISNUMBER(AM17),IF('Scoring Setup'!$L$25=1,1-'Scoring Setup'!$B$5*(1-MAX(0,MIN(1,(AM17-'Scoring Setup'!$K$25)/(100-'Scoring Setup'!$K$25)))),1),"")</x:f>
        <x:v>0.8549228700052378</x:v>
      </x:c>
      <x:c r="BF17" s="27" t="n">
        <x:f>IF(ISNUMBER(AN17),IF('Scoring Setup'!$L$26=1,1-'Scoring Setup'!$B$5*(1-MAX(0,MIN(1,(AN17-'Scoring Setup'!$K$26)/(100-'Scoring Setup'!$K$26)))),1),"")</x:f>
        <x:v>0.977621005370185</x:v>
      </x:c>
      <x:c r="BG17" s="34" t="n">
        <x:f>IF(COUNT(W17,X17)=2,AVERAGE(W17,X17),"")</x:f>
        <x:v>70.80463224893921</x:v>
      </x:c>
      <x:c r="BH17" s="34" t="n">
        <x:f>IF(COUNT(Y17,Z17)=2,AVERAGE(Y17,Z17),"")</x:f>
        <x:v>7.334118550988415</x:v>
      </x:c>
      <x:c r="BI17" s="34" t="n">
        <x:f>IF(COUNT(AA17,AB17,AC17)=3,AVERAGE(AA17,AB17,AC17),"")</x:f>
        <x:v>95.58281041426285</x:v>
      </x:c>
      <x:c r="BJ17" s="34" t="n">
        <x:f>IF(COUNT(AD17,AE17)=2,AVERAGE(AD17,AE17),"")</x:f>
        <x:v>27.68535116071428</x:v>
      </x:c>
      <x:c r="BK17" s="34" t="n">
        <x:f>IF(COUNT(AF17,AG17)=2,AVERAGE(AF17,AG17),"")</x:f>
        <x:v>20.596915701571206</x:v>
      </x:c>
      <x:c r="BL17" s="34" t="n">
        <x:f>IF(COUNT(AH17,AI17)=2,AVERAGE(AH17,AI17),"")</x:f>
        <x:v>62.47609430101183</x:v>
      </x:c>
      <x:c r="BM17" s="34" t="n">
        <x:f>IF(COUNT(AJ17,AK17)=2,AVERAGE(AJ17,AK17),"")</x:f>
        <x:v>94.95634467022327</x:v>
      </x:c>
      <x:c r="BN17" s="34" t="n">
        <x:f>IF(COUNT(AL17,AM17,AN17)=3,AVERAGE(AL17,AM17,AN17),"")</x:f>
        <x:v>56.999736804994704</x:v>
      </x:c>
      <x:c r="BO17" s="35" t="n">
        <x:f>IF(AND(COUNT(BG17:BN17)=8,ABS('Scoring Setup'!$C$17-1)&lt;0.000001),BG17*'Scoring Setup'!$C$9+BH17*'Scoring Setup'!$C$10+BI17*'Scoring Setup'!$C$11+BJ17*'Scoring Setup'!$C$12+BK17*'Scoring Setup'!$C$13+BL17*'Scoring Setup'!$C$14+BM17*'Scoring Setup'!$C$15+BN17*'Scoring Setup'!$C$16,"")</x:f>
        <x:v>47.90533765280661</x:v>
      </x:c>
      <x:c r="BP17" s="36" t="n">
        <x:f>IF(COUNT(AO17:BF17)=18,MIN(AO17:BF17),"")</x:f>
        <x:v>0.803231268927987</x:v>
      </x:c>
      <x:c r="BQ17" s="35" t="n">
        <x:f>IF(AND(ISNUMBER(BO17),ISNUMBER(BP17)),BO17*BP17,"")</x:f>
        <x:v>38.47906515128753</x:v>
      </x:c>
      <x:c r="BR17" s="17" t="str">
        <x:f>IF(COUNT(AO17:BF17)=18,INDEX('Scoring Setup'!$F$9:$F$26,MATCH(MIN(AO17:BF17),AO17:BF17,0),1),"")</x:f>
        <x:v>2050 BAU水压力</x:v>
      </x:c>
    </x:row>
    <x:row r="18">
      <x:c r="A18" s="28" t="str">
        <x:v>51027</x:v>
      </x:c>
      <x:c r="B18" s="28" t="str">
        <x:v>Buchanan County</x:v>
      </x:c>
      <x:c r="C18" s="28" t="str">
        <x:v>VA</x:v>
      </x:c>
      <x:c r="D18" s="31" t="n">
        <x:v>1302.387764</x:v>
      </x:c>
      <x:c r="E18" s="32" t="n">
        <x:v>0.912</x:v>
      </x:c>
      <x:c r="F18" s="32" t="n">
        <x:v>0.621596534653465</x:v>
      </x:c>
      <x:c r="G18" s="32" t="n">
        <x:v>2.85421559392595</x:v>
      </x:c>
      <x:c r="H18" s="32" t="n">
        <x:v>2.963370200644107</x:v>
      </x:c>
      <x:c r="I18" s="32" t="n">
        <x:v>0.969007901123205</x:v>
      </x:c>
      <x:c r="J18" s="32" t="n">
        <x:v>0.002017160096096904</x:v>
      </x:c>
      <x:c r="K18" s="32" t="n">
        <x:v>0.000008965226644377734</x:v>
      </x:c>
      <x:c r="L18" s="32" t="n">
        <x:v>0.708456376</x:v>
      </x:c>
      <x:c r="M18" s="32" t="n">
        <x:v>0.708456376</x:v>
      </x:c>
      <x:c r="N18" s="32" t="n">
        <x:v>5948</x:v>
      </x:c>
      <x:c r="O18" s="32" t="n">
        <x:v>0.5975</x:v>
      </x:c>
      <x:c r="P18" s="32" t="n">
        <x:v>633.9737487792969</x:v>
      </x:c>
      <x:c r="Q18" s="32" t="n">
        <x:v>5.61251794497172</x:v>
      </x:c>
      <x:c r="R18" s="32" t="n">
        <x:v>58.89519411197648</x:v>
      </x:c>
      <x:c r="S18" s="32" t="n">
        <x:v>2.819222682145469</x:v>
      </x:c>
      <x:c r="T18" s="32" t="n">
        <x:v>89.9</x:v>
      </x:c>
      <x:c r="U18" s="32" t="n">
        <x:v>245.07712999476223</x:v>
      </x:c>
      <x:c r="V18" s="32" t="n">
        <x:v>244.75798925963002</x:v>
      </x:c>
      <x:c r="W18" s="33" t="n">
        <x:f>IF(ISNUMBER(E18),100*MAX(0,MIN(1,('Anchors'!$H$6-E18)/('Anchors'!$H$6-'Anchors'!$G$6))),"")</x:f>
        <x:v>0</x:v>
      </x:c>
      <x:c r="X18" s="33" t="n">
        <x:f>IF(ISNUMBER(F18),100*MAX(0,MIN(1,('Anchors'!$H$7-F18)/('Anchors'!$H$7-'Anchors'!$G$7))),"")</x:f>
        <x:v>25.48620933521929</x:v>
      </x:c>
      <x:c r="Y18" s="33" t="n">
        <x:f>IF(ISNUMBER(G18),100*MAX(0,MIN(1,('Anchors'!$H$8-G18)/('Anchors'!$H$8-'Anchors'!$G$8))),"")</x:f>
        <x:v>38.19281353580166</x:v>
      </x:c>
      <x:c r="Z18" s="33" t="n">
        <x:f>IF(ISNUMBER(H18),100*MAX(0,MIN(1,('Anchors'!$H$9-H18)/('Anchors'!$H$9-'Anchors'!$G$9))),"")</x:f>
        <x:v>34.55432664519644</x:v>
      </x:c>
      <x:c r="AA18" s="33" t="n">
        <x:f>IF(ISNUMBER(I18),100*MAX(0,MIN(1,(I18-'Anchors'!$H$10)/('Anchors'!$G$10-'Anchors'!$H$10))),"")</x:f>
        <x:v>98.49423303057603</x:v>
      </x:c>
      <x:c r="AB18" s="33" t="n">
        <x:f>IF(ISNUMBER(J18),100*MAX(0,MIN(1,('Anchors'!$H$11-J18)/('Anchors'!$H$11-'Anchors'!$G$11))),"")</x:f>
        <x:v>99.19313596156124</x:v>
      </x:c>
      <x:c r="AC18" s="33" t="n">
        <x:f>IF(ISNUMBER(K18),100*MAX(0,MIN(1,('Anchors'!$H$12-K18)/('Anchors'!$H$12-'Anchors'!$G$12))),"")</x:f>
        <x:v>99.9977586933389</x:v>
      </x:c>
      <x:c r="AD18" s="33" t="n">
        <x:f>IF(ISNUMBER(L18),100*MAX(0,MIN(1,(L18-'Anchors'!$H$13)/('Anchors'!$G$13-'Anchors'!$H$13))),"")</x:f>
        <x:v>72.63662514285716</x:v>
      </x:c>
      <x:c r="AE18" s="33" t="n">
        <x:f>IF(ISNUMBER(M18),100*MAX(0,MIN(1,(M18-'Anchors'!$H$14)/('Anchors'!$G$14-'Anchors'!$H$14))),"")</x:f>
        <x:v>76.057047</x:v>
      </x:c>
      <x:c r="AF18" s="33" t="n">
        <x:f>IF(ISNUMBER(N18),100*MAX(0,MIN(1,(LN(1+N18)-LN(1+'Anchors'!$H$15))/(LN(1+'Anchors'!$G$15)-LN(1+'Anchors'!$H$15)))),"")</x:f>
        <x:v>25.23922558507311</x:v>
      </x:c>
      <x:c r="AG18" s="33" t="n">
        <x:f>IF(ISNUMBER(O18),100*MAX(0,MIN(1,('Anchors'!$H$16-O18)/('Anchors'!$H$16-'Anchors'!$G$16))),"")</x:f>
        <x:v>39.16666666666666</x:v>
      </x:c>
      <x:c r="AH18" s="33" t="n">
        <x:f>IF(ISNUMBER(P18),100*MAX(0,MIN(1,('Anchors'!$H$17-P18)/('Anchors'!$H$17-'Anchors'!$G$17))),"")</x:f>
        <x:v>100</x:v>
      </x:c>
      <x:c r="AI18" s="33" t="n">
        <x:f>IF(ISNUMBER(Q18),100*MAX(0,MIN(1,('Anchors'!$H$18-Q18)/('Anchors'!$H$18-'Anchors'!$G$18))),"")</x:f>
        <x:v>99.12497436432612</x:v>
      </x:c>
      <x:c r="AJ18" s="33" t="n">
        <x:f>IF(ISNUMBER(R18),100*MAX(0,MIN(1,('Anchors'!$H$19-R18)/('Anchors'!$H$19-'Anchors'!$G$19))),"")</x:f>
        <x:v>0</x:v>
      </x:c>
      <x:c r="AK18" s="33" t="n">
        <x:f>IF(ISNUMBER(S18),100*MAX(0,MIN(1,('Anchors'!$H$20-S18)/('Anchors'!$H$20-'Anchors'!$G$20))),"")</x:f>
        <x:v>90.42514377818173</x:v>
      </x:c>
      <x:c r="AL18" s="33" t="n">
        <x:f>IF(ISNUMBER(T18),100*MAX(0,MIN(1,('Anchors'!$H$21-T18)/('Anchors'!$H$21-'Anchors'!$G$21))),"")</x:f>
        <x:v>54.72727272727271</x:v>
      </x:c>
      <x:c r="AM18" s="33" t="n">
        <x:f>IF(ISNUMBER(U18),100*MAX(0,MIN(1,('Anchors'!$H$22-U18)/('Anchors'!$H$22-'Anchors'!$G$22))),"")</x:f>
        <x:v>27.461435002618884</x:v>
      </x:c>
      <x:c r="AN18" s="33" t="n">
        <x:f>IF(ISNUMBER(V18),100*MAX(0,MIN(1,('Anchors'!$H$23-V18)/('Anchors'!$H$23-'Anchors'!$G$23))),"")</x:f>
        <x:v>88.8105026850925</x:v>
      </x:c>
      <x:c r="AO18" s="27" t="n">
        <x:f>IF(ISNUMBER(W18),IF('Scoring Setup'!$L$9=1,1-'Scoring Setup'!$B$5*(1-MAX(0,MIN(1,(W18-'Scoring Setup'!$K$9)/(100-'Scoring Setup'!$K$9)))),1),"")</x:f>
        <x:v>0.8</x:v>
      </x:c>
      <x:c r="AP18" s="27" t="n">
        <x:f>IF(ISNUMBER(X18),IF('Scoring Setup'!$L$10=1,1-'Scoring Setup'!$B$5*(1-MAX(0,MIN(1,(X18-'Scoring Setup'!$K$10)/(100-'Scoring Setup'!$K$10)))),1),"")</x:f>
        <x:v>0.8509724186704386</x:v>
      </x:c>
      <x:c r="AQ18" s="27" t="n">
        <x:f>IF(ISNUMBER(Y18),IF('Scoring Setup'!$L$11=1,1-'Scoring Setup'!$B$5*(1-MAX(0,MIN(1,(Y18-'Scoring Setup'!$K$11)/(100-'Scoring Setup'!$K$11)))),1),"")</x:f>
        <x:v>0.8763856270716033</x:v>
      </x:c>
      <x:c r="AR18" s="27" t="n">
        <x:f>IF(ISNUMBER(Z18),IF('Scoring Setup'!$L$12=1,1-'Scoring Setup'!$B$5*(1-MAX(0,MIN(1,(Z18-'Scoring Setup'!$K$12)/(100-'Scoring Setup'!$K$12)))),1),"")</x:f>
        <x:v>0.8691086532903929</x:v>
      </x:c>
      <x:c r="AS18" s="27" t="n">
        <x:f>IF(ISNUMBER(AA18),IF('Scoring Setup'!$L$13=1,1-'Scoring Setup'!$B$5*(1-MAX(0,MIN(1,(AA18-'Scoring Setup'!$K$13)/(100-'Scoring Setup'!$K$13)))),1),"")</x:f>
        <x:v>0.9969884660611521</x:v>
      </x:c>
      <x:c r="AT18" s="27" t="n">
        <x:f>IF(ISNUMBER(AB18),IF('Scoring Setup'!$L$14=1,1-'Scoring Setup'!$B$5*(1-MAX(0,MIN(1,(AB18-'Scoring Setup'!$K$14)/(100-'Scoring Setup'!$K$14)))),1),"")</x:f>
        <x:v>0.9983862719231225</x:v>
      </x:c>
      <x:c r="AU18" s="27" t="n">
        <x:f>IF(ISNUMBER(AC18),IF('Scoring Setup'!$L$15=1,1-'Scoring Setup'!$B$5*(1-MAX(0,MIN(1,(AC18-'Scoring Setup'!$K$15)/(100-'Scoring Setup'!$K$15)))),1),"")</x:f>
        <x:v>0.9999955173866778</x:v>
      </x:c>
      <x:c r="AV18" s="27" t="n">
        <x:f>IF(ISNUMBER(AD18),IF('Scoring Setup'!$L$16=1,1-'Scoring Setup'!$B$5*(1-MAX(0,MIN(1,(AD18-'Scoring Setup'!$K$16)/(100-'Scoring Setup'!$K$16)))),1),"")</x:f>
        <x:v>0.9452732502857143</x:v>
      </x:c>
      <x:c r="AW18" s="27" t="n">
        <x:f>IF(ISNUMBER(AE18),IF('Scoring Setup'!$L$17=1,1-'Scoring Setup'!$B$5*(1-MAX(0,MIN(1,(AE18-'Scoring Setup'!$K$17)/(100-'Scoring Setup'!$K$17)))),1),"")</x:f>
        <x:v>0.952114094</x:v>
      </x:c>
      <x:c r="AX18" s="27" t="n">
        <x:f>IF(ISNUMBER(AF18),IF('Scoring Setup'!$L$18=1,1-'Scoring Setup'!$B$5*(1-MAX(0,MIN(1,(AF18-'Scoring Setup'!$K$18)/(100-'Scoring Setup'!$K$18)))),1),"")</x:f>
        <x:v>0.8504784511701462</x:v>
      </x:c>
      <x:c r="AY18" s="27" t="n">
        <x:f>IF(ISNUMBER(AG18),IF('Scoring Setup'!$L$19=1,1-'Scoring Setup'!$B$5*(1-MAX(0,MIN(1,(AG18-'Scoring Setup'!$K$19)/(100-'Scoring Setup'!$K$19)))),1),"")</x:f>
        <x:v>0.8783333333333333</x:v>
      </x:c>
      <x:c r="AZ18" s="27" t="n">
        <x:f>IF(ISNUMBER(AH18),IF('Scoring Setup'!$L$20=1,1-'Scoring Setup'!$B$5*(1-MAX(0,MIN(1,(AH18-'Scoring Setup'!$K$20)/(100-'Scoring Setup'!$K$20)))),1),"")</x:f>
        <x:v>1</x:v>
      </x:c>
      <x:c r="BA18" s="27" t="n">
        <x:f>IF(ISNUMBER(AI18),IF('Scoring Setup'!$L$21=1,1-'Scoring Setup'!$B$5*(1-MAX(0,MIN(1,(AI18-'Scoring Setup'!$K$21)/(100-'Scoring Setup'!$K$21)))),1),"")</x:f>
        <x:v>0.9982499487286522</x:v>
      </x:c>
      <x:c r="BB18" s="27" t="n">
        <x:f>IF(ISNUMBER(AJ18),IF('Scoring Setup'!$L$22=1,1-'Scoring Setup'!$B$5*(1-MAX(0,MIN(1,(AJ18-'Scoring Setup'!$K$22)/(100-'Scoring Setup'!$K$22)))),1),"")</x:f>
        <x:v>0.8</x:v>
      </x:c>
      <x:c r="BC18" s="27" t="n">
        <x:f>IF(ISNUMBER(AK18),IF('Scoring Setup'!$L$23=1,1-'Scoring Setup'!$B$5*(1-MAX(0,MIN(1,(AK18-'Scoring Setup'!$K$23)/(100-'Scoring Setup'!$K$23)))),1),"")</x:f>
        <x:v>0.9808502875563635</x:v>
      </x:c>
      <x:c r="BD18" s="27" t="n">
        <x:f>IF(ISNUMBER(AL18),IF('Scoring Setup'!$L$24=1,1-'Scoring Setup'!$B$5*(1-MAX(0,MIN(1,(AL18-'Scoring Setup'!$K$24)/(100-'Scoring Setup'!$K$24)))),1),"")</x:f>
        <x:v>0.9094545454545454</x:v>
      </x:c>
      <x:c r="BE18" s="27" t="n">
        <x:f>IF(ISNUMBER(AM18),IF('Scoring Setup'!$L$25=1,1-'Scoring Setup'!$B$5*(1-MAX(0,MIN(1,(AM18-'Scoring Setup'!$K$25)/(100-'Scoring Setup'!$K$25)))),1),"")</x:f>
        <x:v>0.8549228700052378</x:v>
      </x:c>
      <x:c r="BF18" s="27" t="n">
        <x:f>IF(ISNUMBER(AN18),IF('Scoring Setup'!$L$26=1,1-'Scoring Setup'!$B$5*(1-MAX(0,MIN(1,(AN18-'Scoring Setup'!$K$26)/(100-'Scoring Setup'!$K$26)))),1),"")</x:f>
        <x:v>0.977621005370185</x:v>
      </x:c>
      <x:c r="BG18" s="34" t="n">
        <x:f>IF(COUNT(W18,X18)=2,AVERAGE(W18,X18),"")</x:f>
        <x:v>12.743104667609645</x:v>
      </x:c>
      <x:c r="BH18" s="34" t="n">
        <x:f>IF(COUNT(Y18,Z18)=2,AVERAGE(Y18,Z18),"")</x:f>
        <x:v>36.37357009049905</x:v>
      </x:c>
      <x:c r="BI18" s="34" t="n">
        <x:f>IF(COUNT(AA18,AB18,AC18)=3,AVERAGE(AA18,AB18,AC18),"")</x:f>
        <x:v>99.22837589515872</x:v>
      </x:c>
      <x:c r="BJ18" s="34" t="n">
        <x:f>IF(COUNT(AD18,AE18)=2,AVERAGE(AD18,AE18),"")</x:f>
        <x:v>74.34683607142858</x:v>
      </x:c>
      <x:c r="BK18" s="34" t="n">
        <x:f>IF(COUNT(AF18,AG18)=2,AVERAGE(AF18,AG18),"")</x:f>
        <x:v>32.202946125869886</x:v>
      </x:c>
      <x:c r="BL18" s="34" t="n">
        <x:f>IF(COUNT(AH18,AI18)=2,AVERAGE(AH18,AI18),"")</x:f>
        <x:v>99.56248718216307</x:v>
      </x:c>
      <x:c r="BM18" s="34" t="n">
        <x:f>IF(COUNT(AJ18,AK18)=2,AVERAGE(AJ18,AK18),"")</x:f>
        <x:v>45.21257188909087</x:v>
      </x:c>
      <x:c r="BN18" s="34" t="n">
        <x:f>IF(COUNT(AL18,AM18,AN18)=3,AVERAGE(AL18,AM18,AN18),"")</x:f>
        <x:v>56.999736804994704</x:v>
      </x:c>
      <x:c r="BO18" s="35" t="n">
        <x:f>IF(AND(COUNT(BG18:BN18)=8,ABS('Scoring Setup'!$C$17-1)&lt;0.000001),BG18*'Scoring Setup'!$C$9+BH18*'Scoring Setup'!$C$10+BI18*'Scoring Setup'!$C$11+BJ18*'Scoring Setup'!$C$12+BK18*'Scoring Setup'!$C$13+BL18*'Scoring Setup'!$C$14+BM18*'Scoring Setup'!$C$15+BN18*'Scoring Setup'!$C$16,"")</x:f>
        <x:v>53.46551428916761</x:v>
      </x:c>
      <x:c r="BP18" s="36" t="n">
        <x:f>IF(COUNT(AO18:BF18)=18,MIN(AO18:BF18),"")</x:f>
        <x:v>0.8</x:v>
      </x:c>
      <x:c r="BQ18" s="35" t="n">
        <x:f>IF(AND(ISNUMBER(BO18),ISNUMBER(BP18)),BO18*BP18,"")</x:f>
        <x:v>42.77241143133409</x:v>
      </x:c>
      <x:c r="BR18" s="17" t="str">
        <x:f>IF(COUNT(AO18:BF18)=18,INDEX('Scoring Setup'!$F$9:$F$26,MATCH(MIN(AO18:BF18),AO18:BF18,0),1),"")</x:f>
        <x:v>野火全国百分位</x:v>
      </x:c>
    </x:row>
    <x:row r="19">
      <x:c r="A19" s="28" t="str">
        <x:v>51029</x:v>
      </x:c>
      <x:c r="B19" s="28" t="str">
        <x:v>Buckingham County</x:v>
      </x:c>
      <x:c r="C19" s="28" t="str">
        <x:v>VA</x:v>
      </x:c>
      <x:c r="D19" s="31" t="n">
        <x:v>1501.215443</x:v>
      </x:c>
      <x:c r="E19" s="32" t="n">
        <x:v>0.346</x:v>
      </x:c>
      <x:c r="F19" s="32" t="n">
        <x:v>0.258972772277228</x:v>
      </x:c>
      <x:c r="G19" s="32" t="n">
        <x:v>2.3982770445506527</x:v>
      </x:c>
      <x:c r="H19" s="32" t="n">
        <x:v>2.6961157102289874</x:v>
      </x:c>
      <x:c r="I19" s="32" t="n">
        <x:v>0.972627667272039</x:v>
      </x:c>
      <x:c r="J19" s="32" t="n">
        <x:v>0.012758346143022488</x:v>
      </x:c>
      <x:c r="K19" s="32" t="n">
        <x:v>0.015431004327054392</x:v>
      </x:c>
      <x:c r="L19" s="32" t="n">
        <x:v>0.657941047</x:v>
      </x:c>
      <x:c r="M19" s="32" t="n">
        <x:v>0.657941047</x:v>
      </x:c>
      <x:c r="N19" s="32" t="n">
        <x:v>7063</x:v>
      </x:c>
      <x:c r="O19" s="32" t="n">
        <x:v>0.6758</x:v>
      </x:c>
      <x:c r="P19" s="32" t="n">
        <x:v>1107.0936360677083</x:v>
      </x:c>
      <x:c r="Q19" s="32" t="n">
        <x:v>25.56041202545166</x:v>
      </x:c>
      <x:c r="R19" s="32" t="n">
        <x:v>48.19923849789296</x:v>
      </x:c>
      <x:c r="S19" s="32" t="n">
        <x:v>6.666167008515444</x:v>
      </x:c>
      <x:c r="T19" s="32" t="n">
        <x:v>89.9</x:v>
      </x:c>
      <x:c r="U19" s="32" t="n">
        <x:v>245.07712999476223</x:v>
      </x:c>
      <x:c r="V19" s="32" t="n">
        <x:v>244.75798925963002</x:v>
      </x:c>
      <x:c r="W19" s="33" t="n">
        <x:f>IF(ISNUMBER(E19),100*MAX(0,MIN(1,('Anchors'!$H$6-E19)/('Anchors'!$H$6-'Anchors'!$G$6))),"")</x:f>
        <x:v>79.14285714285715</x:v>
      </x:c>
      <x:c r="X19" s="33" t="n">
        <x:f>IF(ISNUMBER(F19),100*MAX(0,MIN(1,('Anchors'!$H$7-F19)/('Anchors'!$H$7-'Anchors'!$G$7))),"")</x:f>
        <x:v>77.28960396039601</x:v>
      </x:c>
      <x:c r="Y19" s="33" t="n">
        <x:f>IF(ISNUMBER(G19),100*MAX(0,MIN(1,('Anchors'!$H$8-G19)/('Anchors'!$H$8-'Anchors'!$G$8))),"")</x:f>
        <x:v>53.39076518164491</x:v>
      </x:c>
      <x:c r="Z19" s="33" t="n">
        <x:f>IF(ISNUMBER(H19),100*MAX(0,MIN(1,('Anchors'!$H$9-H19)/('Anchors'!$H$9-'Anchors'!$G$9))),"")</x:f>
        <x:v>43.46280965903375</x:v>
      </x:c>
      <x:c r="AA19" s="33" t="n">
        <x:f>IF(ISNUMBER(I19),100*MAX(0,MIN(1,(I19-'Anchors'!$H$10)/('Anchors'!$G$10-'Anchors'!$H$10))),"")</x:f>
        <x:v>98.99009140712863</x:v>
      </x:c>
      <x:c r="AB19" s="33" t="n">
        <x:f>IF(ISNUMBER(J19),100*MAX(0,MIN(1,('Anchors'!$H$11-J19)/('Anchors'!$H$11-'Anchors'!$G$11))),"")</x:f>
        <x:v>94.89666154279101</x:v>
      </x:c>
      <x:c r="AC19" s="33" t="n">
        <x:f>IF(ISNUMBER(K19),100*MAX(0,MIN(1,('Anchors'!$H$12-K19)/('Anchors'!$H$12-'Anchors'!$G$12))),"")</x:f>
        <x:v>96.14224891823639</x:v>
      </x:c>
      <x:c r="AD19" s="33" t="n">
        <x:f>IF(ISNUMBER(L19),100*MAX(0,MIN(1,(L19-'Anchors'!$H$13)/('Anchors'!$G$13-'Anchors'!$H$13))),"")</x:f>
        <x:v>65.42014957142858</x:v>
      </x:c>
      <x:c r="AE19" s="33" t="n">
        <x:f>IF(ISNUMBER(M19),100*MAX(0,MIN(1,(M19-'Anchors'!$H$14)/('Anchors'!$G$14-'Anchors'!$H$14))),"")</x:f>
        <x:v>69.742630875</x:v>
      </x:c>
      <x:c r="AF19" s="33" t="n">
        <x:f>IF(ISNUMBER(N19),100*MAX(0,MIN(1,(LN(1+N19)-LN(1+'Anchors'!$H$15))/(LN(1+'Anchors'!$G$15)-LN(1+'Anchors'!$H$15)))),"")</x:f>
        <x:v>29.218575314937006</x:v>
      </x:c>
      <x:c r="AG19" s="33" t="n">
        <x:f>IF(ISNUMBER(O19),100*MAX(0,MIN(1,('Anchors'!$H$16-O19)/('Anchors'!$H$16-'Anchors'!$G$16))),"")</x:f>
        <x:v>30.46666666666667</x:v>
      </x:c>
      <x:c r="AH19" s="33" t="n">
        <x:f>IF(ISNUMBER(P19),100*MAX(0,MIN(1,('Anchors'!$H$17-P19)/('Anchors'!$H$17-'Anchors'!$G$17))),"")</x:f>
        <x:v>72.86042426215278</x:v>
      </x:c>
      <x:c r="AI19" s="33" t="n">
        <x:f>IF(ISNUMBER(Q19),100*MAX(0,MIN(1,('Anchors'!$H$18-Q19)/('Anchors'!$H$18-'Anchors'!$G$18))),"")</x:f>
        <x:v>70.62798282078334</x:v>
      </x:c>
      <x:c r="AJ19" s="33" t="n">
        <x:f>IF(ISNUMBER(R19),100*MAX(0,MIN(1,('Anchors'!$H$19-R19)/('Anchors'!$H$19-'Anchors'!$G$19))),"")</x:f>
        <x:v>4.001692226904526</x:v>
      </x:c>
      <x:c r="AK19" s="33" t="n">
        <x:f>IF(ISNUMBER(S19),100*MAX(0,MIN(1,('Anchors'!$H$20-S19)/('Anchors'!$H$20-'Anchors'!$G$20))),"")</x:f>
        <x:v>70.1780683762345</x:v>
      </x:c>
      <x:c r="AL19" s="33" t="n">
        <x:f>IF(ISNUMBER(T19),100*MAX(0,MIN(1,('Anchors'!$H$21-T19)/('Anchors'!$H$21-'Anchors'!$G$21))),"")</x:f>
        <x:v>54.72727272727271</x:v>
      </x:c>
      <x:c r="AM19" s="33" t="n">
        <x:f>IF(ISNUMBER(U19),100*MAX(0,MIN(1,('Anchors'!$H$22-U19)/('Anchors'!$H$22-'Anchors'!$G$22))),"")</x:f>
        <x:v>27.461435002618884</x:v>
      </x:c>
      <x:c r="AN19" s="33" t="n">
        <x:f>IF(ISNUMBER(V19),100*MAX(0,MIN(1,('Anchors'!$H$23-V19)/('Anchors'!$H$23-'Anchors'!$G$23))),"")</x:f>
        <x:v>88.8105026850925</x:v>
      </x:c>
      <x:c r="AO19" s="27" t="n">
        <x:f>IF(ISNUMBER(W19),IF('Scoring Setup'!$L$9=1,1-'Scoring Setup'!$B$5*(1-MAX(0,MIN(1,(W19-'Scoring Setup'!$K$9)/(100-'Scoring Setup'!$K$9)))),1),"")</x:f>
        <x:v>0.9582857142857143</x:v>
      </x:c>
      <x:c r="AP19" s="27" t="n">
        <x:f>IF(ISNUMBER(X19),IF('Scoring Setup'!$L$10=1,1-'Scoring Setup'!$B$5*(1-MAX(0,MIN(1,(X19-'Scoring Setup'!$K$10)/(100-'Scoring Setup'!$K$10)))),1),"")</x:f>
        <x:v>0.954579207920792</x:v>
      </x:c>
      <x:c r="AQ19" s="27" t="n">
        <x:f>IF(ISNUMBER(Y19),IF('Scoring Setup'!$L$11=1,1-'Scoring Setup'!$B$5*(1-MAX(0,MIN(1,(Y19-'Scoring Setup'!$K$11)/(100-'Scoring Setup'!$K$11)))),1),"")</x:f>
        <x:v>0.9067815303632898</x:v>
      </x:c>
      <x:c r="AR19" s="27" t="n">
        <x:f>IF(ISNUMBER(Z19),IF('Scoring Setup'!$L$12=1,1-'Scoring Setup'!$B$5*(1-MAX(0,MIN(1,(Z19-'Scoring Setup'!$K$12)/(100-'Scoring Setup'!$K$12)))),1),"")</x:f>
        <x:v>0.8869256193180675</x:v>
      </x:c>
      <x:c r="AS19" s="27" t="n">
        <x:f>IF(ISNUMBER(AA19),IF('Scoring Setup'!$L$13=1,1-'Scoring Setup'!$B$5*(1-MAX(0,MIN(1,(AA19-'Scoring Setup'!$K$13)/(100-'Scoring Setup'!$K$13)))),1),"")</x:f>
        <x:v>0.9979801828142573</x:v>
      </x:c>
      <x:c r="AT19" s="27" t="n">
        <x:f>IF(ISNUMBER(AB19),IF('Scoring Setup'!$L$14=1,1-'Scoring Setup'!$B$5*(1-MAX(0,MIN(1,(AB19-'Scoring Setup'!$K$14)/(100-'Scoring Setup'!$K$14)))),1),"")</x:f>
        <x:v>0.989793323085582</x:v>
      </x:c>
      <x:c r="AU19" s="27" t="n">
        <x:f>IF(ISNUMBER(AC19),IF('Scoring Setup'!$L$15=1,1-'Scoring Setup'!$B$5*(1-MAX(0,MIN(1,(AC19-'Scoring Setup'!$K$15)/(100-'Scoring Setup'!$K$15)))),1),"")</x:f>
        <x:v>0.9922844978364728</x:v>
      </x:c>
      <x:c r="AV19" s="27" t="n">
        <x:f>IF(ISNUMBER(AD19),IF('Scoring Setup'!$L$16=1,1-'Scoring Setup'!$B$5*(1-MAX(0,MIN(1,(AD19-'Scoring Setup'!$K$16)/(100-'Scoring Setup'!$K$16)))),1),"")</x:f>
        <x:v>0.9308402991428572</x:v>
      </x:c>
      <x:c r="AW19" s="27" t="n">
        <x:f>IF(ISNUMBER(AE19),IF('Scoring Setup'!$L$17=1,1-'Scoring Setup'!$B$5*(1-MAX(0,MIN(1,(AE19-'Scoring Setup'!$K$17)/(100-'Scoring Setup'!$K$17)))),1),"")</x:f>
        <x:v>0.93948526175</x:v>
      </x:c>
      <x:c r="AX19" s="27" t="n">
        <x:f>IF(ISNUMBER(AF19),IF('Scoring Setup'!$L$18=1,1-'Scoring Setup'!$B$5*(1-MAX(0,MIN(1,(AF19-'Scoring Setup'!$K$18)/(100-'Scoring Setup'!$K$18)))),1),"")</x:f>
        <x:v>0.858437150629874</x:v>
      </x:c>
      <x:c r="AY19" s="27" t="n">
        <x:f>IF(ISNUMBER(AG19),IF('Scoring Setup'!$L$19=1,1-'Scoring Setup'!$B$5*(1-MAX(0,MIN(1,(AG19-'Scoring Setup'!$K$19)/(100-'Scoring Setup'!$K$19)))),1),"")</x:f>
        <x:v>0.8609333333333333</x:v>
      </x:c>
      <x:c r="AZ19" s="27" t="n">
        <x:f>IF(ISNUMBER(AH19),IF('Scoring Setup'!$L$20=1,1-'Scoring Setup'!$B$5*(1-MAX(0,MIN(1,(AH19-'Scoring Setup'!$K$20)/(100-'Scoring Setup'!$K$20)))),1),"")</x:f>
        <x:v>0.9457208485243056</x:v>
      </x:c>
      <x:c r="BA19" s="27" t="n">
        <x:f>IF(ISNUMBER(AI19),IF('Scoring Setup'!$L$21=1,1-'Scoring Setup'!$B$5*(1-MAX(0,MIN(1,(AI19-'Scoring Setup'!$K$21)/(100-'Scoring Setup'!$K$21)))),1),"")</x:f>
        <x:v>0.9412559656415667</x:v>
      </x:c>
      <x:c r="BB19" s="27" t="n">
        <x:f>IF(ISNUMBER(AJ19),IF('Scoring Setup'!$L$22=1,1-'Scoring Setup'!$B$5*(1-MAX(0,MIN(1,(AJ19-'Scoring Setup'!$K$22)/(100-'Scoring Setup'!$K$22)))),1),"")</x:f>
        <x:v>0.808003384453809</x:v>
      </x:c>
      <x:c r="BC19" s="27" t="n">
        <x:f>IF(ISNUMBER(AK19),IF('Scoring Setup'!$L$23=1,1-'Scoring Setup'!$B$5*(1-MAX(0,MIN(1,(AK19-'Scoring Setup'!$K$23)/(100-'Scoring Setup'!$K$23)))),1),"")</x:f>
        <x:v>0.940356136752469</x:v>
      </x:c>
      <x:c r="BD19" s="27" t="n">
        <x:f>IF(ISNUMBER(AL19),IF('Scoring Setup'!$L$24=1,1-'Scoring Setup'!$B$5*(1-MAX(0,MIN(1,(AL19-'Scoring Setup'!$K$24)/(100-'Scoring Setup'!$K$24)))),1),"")</x:f>
        <x:v>0.9094545454545454</x:v>
      </x:c>
      <x:c r="BE19" s="27" t="n">
        <x:f>IF(ISNUMBER(AM19),IF('Scoring Setup'!$L$25=1,1-'Scoring Setup'!$B$5*(1-MAX(0,MIN(1,(AM19-'Scoring Setup'!$K$25)/(100-'Scoring Setup'!$K$25)))),1),"")</x:f>
        <x:v>0.8549228700052378</x:v>
      </x:c>
      <x:c r="BF19" s="27" t="n">
        <x:f>IF(ISNUMBER(AN19),IF('Scoring Setup'!$L$26=1,1-'Scoring Setup'!$B$5*(1-MAX(0,MIN(1,(AN19-'Scoring Setup'!$K$26)/(100-'Scoring Setup'!$K$26)))),1),"")</x:f>
        <x:v>0.977621005370185</x:v>
      </x:c>
      <x:c r="BG19" s="34" t="n">
        <x:f>IF(COUNT(W19,X19)=2,AVERAGE(W19,X19),"")</x:f>
        <x:v>78.21623055162658</x:v>
      </x:c>
      <x:c r="BH19" s="34" t="n">
        <x:f>IF(COUNT(Y19,Z19)=2,AVERAGE(Y19,Z19),"")</x:f>
        <x:v>48.42678742033933</x:v>
      </x:c>
      <x:c r="BI19" s="34" t="n">
        <x:f>IF(COUNT(AA19,AB19,AC19)=3,AVERAGE(AA19,AB19,AC19),"")</x:f>
        <x:v>96.676333956052</x:v>
      </x:c>
      <x:c r="BJ19" s="34" t="n">
        <x:f>IF(COUNT(AD19,AE19)=2,AVERAGE(AD19,AE19),"")</x:f>
        <x:v>67.5813902232143</x:v>
      </x:c>
      <x:c r="BK19" s="34" t="n">
        <x:f>IF(COUNT(AF19,AG19)=2,AVERAGE(AF19,AG19),"")</x:f>
        <x:v>29.842620990801837</x:v>
      </x:c>
      <x:c r="BL19" s="34" t="n">
        <x:f>IF(COUNT(AH19,AI19)=2,AVERAGE(AH19,AI19),"")</x:f>
        <x:v>71.74420354146807</x:v>
      </x:c>
      <x:c r="BM19" s="34" t="n">
        <x:f>IF(COUNT(AJ19,AK19)=2,AVERAGE(AJ19,AK19),"")</x:f>
        <x:v>37.089880301569515</x:v>
      </x:c>
      <x:c r="BN19" s="34" t="n">
        <x:f>IF(COUNT(AL19,AM19,AN19)=3,AVERAGE(AL19,AM19,AN19),"")</x:f>
        <x:v>56.999736804994704</x:v>
      </x:c>
      <x:c r="BO19" s="35" t="n">
        <x:f>IF(AND(COUNT(BG19:BN19)=8,ABS('Scoring Setup'!$C$17-1)&lt;0.000001),BG19*'Scoring Setup'!$C$9+BH19*'Scoring Setup'!$C$10+BI19*'Scoring Setup'!$C$11+BJ19*'Scoring Setup'!$C$12+BK19*'Scoring Setup'!$C$13+BL19*'Scoring Setup'!$C$14+BM19*'Scoring Setup'!$C$15+BN19*'Scoring Setup'!$C$16,"")</x:f>
        <x:v>59.458640289887626</x:v>
      </x:c>
      <x:c r="BP19" s="36" t="n">
        <x:f>IF(COUNT(AO19:BF19)=18,MIN(AO19:BF19),"")</x:f>
        <x:v>0.808003384453809</x:v>
      </x:c>
      <x:c r="BQ19" s="35" t="n">
        <x:f>IF(AND(ISNUMBER(BO19),ISNUMBER(BP19)),BO19*BP19,"")</x:f>
        <x:v>48.04278258925081</x:v>
      </x:c>
      <x:c r="BR19" s="17" t="str">
        <x:f>IF(COUNT(AO19:BF19)=18,INDEX('Scoring Setup'!$F$9:$F$26,MATCH(MIN(AO19:BF19),AO19:BF19,0),1),"")</x:f>
        <x:v>到Interstate距离</x:v>
      </x:c>
    </x:row>
    <x:row r="20">
      <x:c r="A20" s="28" t="str">
        <x:v>51031</x:v>
      </x:c>
      <x:c r="B20" s="28" t="str">
        <x:v>Campbell County</x:v>
      </x:c>
      <x:c r="C20" s="28" t="str">
        <x:v>VA</x:v>
      </x:c>
      <x:c r="D20" s="31" t="n">
        <x:v>1303.430816</x:v>
      </x:c>
      <x:c r="E20" s="32" t="n">
        <x:v>0.38</x:v>
      </x:c>
      <x:c r="F20" s="32" t="n">
        <x:v>0.21905940594059398</x:v>
      </x:c>
      <x:c r="G20" s="32" t="n">
        <x:v>2.7124342507272727</x:v>
      </x:c>
      <x:c r="H20" s="32" t="n">
        <x:v>3.085837236830354</x:v>
      </x:c>
      <x:c r="I20" s="32" t="n">
        <x:v>0.9220572142976408</x:v>
      </x:c>
      <x:c r="J20" s="32" t="n">
        <x:v>0</x:v>
      </x:c>
      <x:c r="K20" s="32" t="n">
        <x:v>0.003474641875920235</x:v>
      </x:c>
      <x:c r="L20" s="32" t="n">
        <x:v>0.353309086</x:v>
      </x:c>
      <x:c r="M20" s="32" t="n">
        <x:v>0.333423978</x:v>
      </x:c>
      <x:c r="N20" s="32" t="n">
        <x:v>26706</x:v>
      </x:c>
      <x:c r="O20" s="32" t="n">
        <x:v>0.4152</x:v>
      </x:c>
      <x:c r="P20" s="32" t="n">
        <x:v>1080.457745361328</x:v>
      </x:c>
      <x:c r="Q20" s="32" t="n">
        <x:v>20.535024642944336</x:v>
      </x:c>
      <x:c r="R20" s="32" t="n">
        <x:v>62.671573558557334</x:v>
      </x:c>
      <x:c r="S20" s="32" t="n">
        <x:v>0.47055272024142436</x:v>
      </x:c>
      <x:c r="T20" s="32" t="n">
        <x:v>89.9</x:v>
      </x:c>
      <x:c r="U20" s="32" t="n">
        <x:v>245.07712999476223</x:v>
      </x:c>
      <x:c r="V20" s="32" t="n">
        <x:v>244.75798925963002</x:v>
      </x:c>
      <x:c r="W20" s="33" t="n">
        <x:f>IF(ISNUMBER(E20),100*MAX(0,MIN(1,('Anchors'!$H$6-E20)/('Anchors'!$H$6-'Anchors'!$G$6))),"")</x:f>
        <x:v>74.28571428571429</x:v>
      </x:c>
      <x:c r="X20" s="33" t="n">
        <x:f>IF(ISNUMBER(F20),100*MAX(0,MIN(1,('Anchors'!$H$7-F20)/('Anchors'!$H$7-'Anchors'!$G$7))),"")</x:f>
        <x:v>82.991513437058</x:v>
      </x:c>
      <x:c r="Y20" s="33" t="n">
        <x:f>IF(ISNUMBER(G20),100*MAX(0,MIN(1,('Anchors'!$H$8-G20)/('Anchors'!$H$8-'Anchors'!$G$8))),"")</x:f>
        <x:v>42.91885830909091</x:v>
      </x:c>
      <x:c r="Z20" s="33" t="n">
        <x:f>IF(ISNUMBER(H20),100*MAX(0,MIN(1,('Anchors'!$H$9-H20)/('Anchors'!$H$9-'Anchors'!$G$9))),"")</x:f>
        <x:v>30.472092105654863</x:v>
      </x:c>
      <x:c r="AA20" s="33" t="n">
        <x:f>IF(ISNUMBER(I20),100*MAX(0,MIN(1,(I20-'Anchors'!$H$10)/('Anchors'!$G$10-'Anchors'!$H$10))),"")</x:f>
        <x:v>92.06263209556724</x:v>
      </x:c>
      <x:c r="AB20" s="33" t="n">
        <x:f>IF(ISNUMBER(J20),100*MAX(0,MIN(1,('Anchors'!$H$11-J20)/('Anchors'!$H$11-'Anchors'!$G$11))),"")</x:f>
        <x:v>100</x:v>
      </x:c>
      <x:c r="AC20" s="33" t="n">
        <x:f>IF(ISNUMBER(K20),100*MAX(0,MIN(1,('Anchors'!$H$12-K20)/('Anchors'!$H$12-'Anchors'!$G$12))),"")</x:f>
        <x:v>99.13133953101995</x:v>
      </x:c>
      <x:c r="AD20" s="33" t="n">
        <x:f>IF(ISNUMBER(L20),100*MAX(0,MIN(1,(L20-'Anchors'!$H$13)/('Anchors'!$G$13-'Anchors'!$H$13))),"")</x:f>
        <x:v>21.901298</x:v>
      </x:c>
      <x:c r="AE20" s="33" t="n">
        <x:f>IF(ISNUMBER(M20),100*MAX(0,MIN(1,(M20-'Anchors'!$H$14)/('Anchors'!$G$14-'Anchors'!$H$14))),"")</x:f>
        <x:v>29.177997249999997</x:v>
      </x:c>
      <x:c r="AF20" s="33" t="n">
        <x:f>IF(ISNUMBER(N20),100*MAX(0,MIN(1,(LN(1+N20)-LN(1+'Anchors'!$H$15))/(LN(1+'Anchors'!$G$15)-LN(1+'Anchors'!$H$15)))),"")</x:f>
        <x:v>60.025056889535655</x:v>
      </x:c>
      <x:c r="AG20" s="33" t="n">
        <x:f>IF(ISNUMBER(O20),100*MAX(0,MIN(1,('Anchors'!$H$16-O20)/('Anchors'!$H$16-'Anchors'!$G$16))),"")</x:f>
        <x:v>59.42222222222222</x:v>
      </x:c>
      <x:c r="AH20" s="33" t="n">
        <x:f>IF(ISNUMBER(P20),100*MAX(0,MIN(1,('Anchors'!$H$17-P20)/('Anchors'!$H$17-'Anchors'!$G$17))),"")</x:f>
        <x:v>74.6361503092448</x:v>
      </x:c>
      <x:c r="AI20" s="33" t="n">
        <x:f>IF(ISNUMBER(Q20),100*MAX(0,MIN(1,('Anchors'!$H$18-Q20)/('Anchors'!$H$18-'Anchors'!$G$18))),"")</x:f>
        <x:v>77.80710765293665</x:v>
      </x:c>
      <x:c r="AJ20" s="33" t="n">
        <x:f>IF(ISNUMBER(R20),100*MAX(0,MIN(1,('Anchors'!$H$19-R20)/('Anchors'!$H$19-'Anchors'!$G$19))),"")</x:f>
        <x:v>0</x:v>
      </x:c>
      <x:c r="AK20" s="33" t="n">
        <x:f>IF(ISNUMBER(S20),100*MAX(0,MIN(1,('Anchors'!$H$20-S20)/('Anchors'!$H$20-'Anchors'!$G$20))),"")</x:f>
        <x:v>100</x:v>
      </x:c>
      <x:c r="AL20" s="33" t="n">
        <x:f>IF(ISNUMBER(T20),100*MAX(0,MIN(1,('Anchors'!$H$21-T20)/('Anchors'!$H$21-'Anchors'!$G$21))),"")</x:f>
        <x:v>54.72727272727271</x:v>
      </x:c>
      <x:c r="AM20" s="33" t="n">
        <x:f>IF(ISNUMBER(U20),100*MAX(0,MIN(1,('Anchors'!$H$22-U20)/('Anchors'!$H$22-'Anchors'!$G$22))),"")</x:f>
        <x:v>27.461435002618884</x:v>
      </x:c>
      <x:c r="AN20" s="33" t="n">
        <x:f>IF(ISNUMBER(V20),100*MAX(0,MIN(1,('Anchors'!$H$23-V20)/('Anchors'!$H$23-'Anchors'!$G$23))),"")</x:f>
        <x:v>88.8105026850925</x:v>
      </x:c>
      <x:c r="AO20" s="27" t="n">
        <x:f>IF(ISNUMBER(W20),IF('Scoring Setup'!$L$9=1,1-'Scoring Setup'!$B$5*(1-MAX(0,MIN(1,(W20-'Scoring Setup'!$K$9)/(100-'Scoring Setup'!$K$9)))),1),"")</x:f>
        <x:v>0.9485714285714286</x:v>
      </x:c>
      <x:c r="AP20" s="27" t="n">
        <x:f>IF(ISNUMBER(X20),IF('Scoring Setup'!$L$10=1,1-'Scoring Setup'!$B$5*(1-MAX(0,MIN(1,(X20-'Scoring Setup'!$K$10)/(100-'Scoring Setup'!$K$10)))),1),"")</x:f>
        <x:v>0.965983026874116</x:v>
      </x:c>
      <x:c r="AQ20" s="27" t="n">
        <x:f>IF(ISNUMBER(Y20),IF('Scoring Setup'!$L$11=1,1-'Scoring Setup'!$B$5*(1-MAX(0,MIN(1,(Y20-'Scoring Setup'!$K$11)/(100-'Scoring Setup'!$K$11)))),1),"")</x:f>
        <x:v>0.8858377166181818</x:v>
      </x:c>
      <x:c r="AR20" s="27" t="n">
        <x:f>IF(ISNUMBER(Z20),IF('Scoring Setup'!$L$12=1,1-'Scoring Setup'!$B$5*(1-MAX(0,MIN(1,(Z20-'Scoring Setup'!$K$12)/(100-'Scoring Setup'!$K$12)))),1),"")</x:f>
        <x:v>0.8609441842113097</x:v>
      </x:c>
      <x:c r="AS20" s="27" t="n">
        <x:f>IF(ISNUMBER(AA20),IF('Scoring Setup'!$L$13=1,1-'Scoring Setup'!$B$5*(1-MAX(0,MIN(1,(AA20-'Scoring Setup'!$K$13)/(100-'Scoring Setup'!$K$13)))),1),"")</x:f>
        <x:v>0.9841252641911344</x:v>
      </x:c>
      <x:c r="AT20" s="27" t="n">
        <x:f>IF(ISNUMBER(AB20),IF('Scoring Setup'!$L$14=1,1-'Scoring Setup'!$B$5*(1-MAX(0,MIN(1,(AB20-'Scoring Setup'!$K$14)/(100-'Scoring Setup'!$K$14)))),1),"")</x:f>
        <x:v>1</x:v>
      </x:c>
      <x:c r="AU20" s="27" t="n">
        <x:f>IF(ISNUMBER(AC20),IF('Scoring Setup'!$L$15=1,1-'Scoring Setup'!$B$5*(1-MAX(0,MIN(1,(AC20-'Scoring Setup'!$K$15)/(100-'Scoring Setup'!$K$15)))),1),"")</x:f>
        <x:v>0.9982626790620399</x:v>
      </x:c>
      <x:c r="AV20" s="27" t="n">
        <x:f>IF(ISNUMBER(AD20),IF('Scoring Setup'!$L$16=1,1-'Scoring Setup'!$B$5*(1-MAX(0,MIN(1,(AD20-'Scoring Setup'!$K$16)/(100-'Scoring Setup'!$K$16)))),1),"")</x:f>
        <x:v>0.843802596</x:v>
      </x:c>
      <x:c r="AW20" s="27" t="n">
        <x:f>IF(ISNUMBER(AE20),IF('Scoring Setup'!$L$17=1,1-'Scoring Setup'!$B$5*(1-MAX(0,MIN(1,(AE20-'Scoring Setup'!$K$17)/(100-'Scoring Setup'!$K$17)))),1),"")</x:f>
        <x:v>0.8583559945</x:v>
      </x:c>
      <x:c r="AX20" s="27" t="n">
        <x:f>IF(ISNUMBER(AF20),IF('Scoring Setup'!$L$18=1,1-'Scoring Setup'!$B$5*(1-MAX(0,MIN(1,(AF20-'Scoring Setup'!$K$18)/(100-'Scoring Setup'!$K$18)))),1),"")</x:f>
        <x:v>0.9200501137790713</x:v>
      </x:c>
      <x:c r="AY20" s="27" t="n">
        <x:f>IF(ISNUMBER(AG20),IF('Scoring Setup'!$L$19=1,1-'Scoring Setup'!$B$5*(1-MAX(0,MIN(1,(AG20-'Scoring Setup'!$K$19)/(100-'Scoring Setup'!$K$19)))),1),"")</x:f>
        <x:v>0.9188444444444445</x:v>
      </x:c>
      <x:c r="AZ20" s="27" t="n">
        <x:f>IF(ISNUMBER(AH20),IF('Scoring Setup'!$L$20=1,1-'Scoring Setup'!$B$5*(1-MAX(0,MIN(1,(AH20-'Scoring Setup'!$K$20)/(100-'Scoring Setup'!$K$20)))),1),"")</x:f>
        <x:v>0.9492723006184896</x:v>
      </x:c>
      <x:c r="BA20" s="27" t="n">
        <x:f>IF(ISNUMBER(AI20),IF('Scoring Setup'!$L$21=1,1-'Scoring Setup'!$B$5*(1-MAX(0,MIN(1,(AI20-'Scoring Setup'!$K$21)/(100-'Scoring Setup'!$K$21)))),1),"")</x:f>
        <x:v>0.9556142153058733</x:v>
      </x:c>
      <x:c r="BB20" s="27" t="n">
        <x:f>IF(ISNUMBER(AJ20),IF('Scoring Setup'!$L$22=1,1-'Scoring Setup'!$B$5*(1-MAX(0,MIN(1,(AJ20-'Scoring Setup'!$K$22)/(100-'Scoring Setup'!$K$22)))),1),"")</x:f>
        <x:v>0.8</x:v>
      </x:c>
      <x:c r="BC20" s="27" t="n">
        <x:f>IF(ISNUMBER(AK20),IF('Scoring Setup'!$L$23=1,1-'Scoring Setup'!$B$5*(1-MAX(0,MIN(1,(AK20-'Scoring Setup'!$K$23)/(100-'Scoring Setup'!$K$23)))),1),"")</x:f>
        <x:v>1</x:v>
      </x:c>
      <x:c r="BD20" s="27" t="n">
        <x:f>IF(ISNUMBER(AL20),IF('Scoring Setup'!$L$24=1,1-'Scoring Setup'!$B$5*(1-MAX(0,MIN(1,(AL20-'Scoring Setup'!$K$24)/(100-'Scoring Setup'!$K$24)))),1),"")</x:f>
        <x:v>0.9094545454545454</x:v>
      </x:c>
      <x:c r="BE20" s="27" t="n">
        <x:f>IF(ISNUMBER(AM20),IF('Scoring Setup'!$L$25=1,1-'Scoring Setup'!$B$5*(1-MAX(0,MIN(1,(AM20-'Scoring Setup'!$K$25)/(100-'Scoring Setup'!$K$25)))),1),"")</x:f>
        <x:v>0.8549228700052378</x:v>
      </x:c>
      <x:c r="BF20" s="27" t="n">
        <x:f>IF(ISNUMBER(AN20),IF('Scoring Setup'!$L$26=1,1-'Scoring Setup'!$B$5*(1-MAX(0,MIN(1,(AN20-'Scoring Setup'!$K$26)/(100-'Scoring Setup'!$K$26)))),1),"")</x:f>
        <x:v>0.977621005370185</x:v>
      </x:c>
      <x:c r="BG20" s="34" t="n">
        <x:f>IF(COUNT(W20,X20)=2,AVERAGE(W20,X20),"")</x:f>
        <x:v>78.63861386138615</x:v>
      </x:c>
      <x:c r="BH20" s="34" t="n">
        <x:f>IF(COUNT(Y20,Z20)=2,AVERAGE(Y20,Z20),"")</x:f>
        <x:v>36.69547520737289</x:v>
      </x:c>
      <x:c r="BI20" s="34" t="n">
        <x:f>IF(COUNT(AA20,AB20,AC20)=3,AVERAGE(AA20,AB20,AC20),"")</x:f>
        <x:v>97.0646572088624</x:v>
      </x:c>
      <x:c r="BJ20" s="34" t="n">
        <x:f>IF(COUNT(AD20,AE20)=2,AVERAGE(AD20,AE20),"")</x:f>
        <x:v>25.539647625</x:v>
      </x:c>
      <x:c r="BK20" s="34" t="n">
        <x:f>IF(COUNT(AF20,AG20)=2,AVERAGE(AF20,AG20),"")</x:f>
        <x:v>59.72363955587893</x:v>
      </x:c>
      <x:c r="BL20" s="34" t="n">
        <x:f>IF(COUNT(AH20,AI20)=2,AVERAGE(AH20,AI20),"")</x:f>
        <x:v>76.22162898109073</x:v>
      </x:c>
      <x:c r="BM20" s="34" t="n">
        <x:f>IF(COUNT(AJ20,AK20)=2,AVERAGE(AJ20,AK20),"")</x:f>
        <x:v>50</x:v>
      </x:c>
      <x:c r="BN20" s="34" t="n">
        <x:f>IF(COUNT(AL20,AM20,AN20)=3,AVERAGE(AL20,AM20,AN20),"")</x:f>
        <x:v>56.999736804994704</x:v>
      </x:c>
      <x:c r="BO20" s="35" t="n">
        <x:f>IF(AND(COUNT(BG20:BN20)=8,ABS('Scoring Setup'!$C$17-1)&lt;0.000001),BG20*'Scoring Setup'!$C$9+BH20*'Scoring Setup'!$C$10+BI20*'Scoring Setup'!$C$11+BJ20*'Scoring Setup'!$C$12+BK20*'Scoring Setup'!$C$13+BL20*'Scoring Setup'!$C$14+BM20*'Scoring Setup'!$C$15+BN20*'Scoring Setup'!$C$16,"")</x:f>
        <x:v>56.84675335714027</x:v>
      </x:c>
      <x:c r="BP20" s="36" t="n">
        <x:f>IF(COUNT(AO20:BF20)=18,MIN(AO20:BF20),"")</x:f>
        <x:v>0.8</x:v>
      </x:c>
      <x:c r="BQ20" s="35" t="n">
        <x:f>IF(AND(ISNUMBER(BO20),ISNUMBER(BP20)),BO20*BP20,"")</x:f>
        <x:v>45.47740268571222</x:v>
      </x:c>
      <x:c r="BR20" s="17" t="str">
        <x:f>IF(COUNT(AO20:BF20)=18,INDEX('Scoring Setup'!$F$9:$F$26,MATCH(MIN(AO20:BF20),AO20:BF20,0),1),"")</x:f>
        <x:v>到Interstate距离</x:v>
      </x:c>
    </x:row>
    <x:row r="21">
      <x:c r="A21" s="28" t="str">
        <x:v>51033</x:v>
      </x:c>
      <x:c r="B21" s="28" t="str">
        <x:v>Caroline County</x:v>
      </x:c>
      <x:c r="C21" s="28" t="str">
        <x:v>VA</x:v>
      </x:c>
      <x:c r="D21" s="31" t="n">
        <x:v>1365.869819</x:v>
      </x:c>
      <x:c r="E21" s="32" t="n">
        <x:v>0.285</x:v>
      </x:c>
      <x:c r="F21" s="32" t="n">
        <x:v>0.25</x:v>
      </x:c>
      <x:c r="G21" s="32" t="n">
        <x:v>2.6818331796563357</x:v>
      </x:c>
      <x:c r="H21" s="32" t="n">
        <x:v>3.0340617984616123</x:v>
      </x:c>
      <x:c r="I21" s="32" t="n">
        <x:v>0.9476037242816672</x:v>
      </x:c>
      <x:c r="J21" s="32" t="n">
        <x:v>0.01222979278753612</x:v>
      </x:c>
      <x:c r="K21" s="32" t="n">
        <x:v>0.11541502804208145</x:v>
      </x:c>
      <x:c r="L21" s="32" t="n">
        <x:v>0.07393956</x:v>
      </x:c>
      <x:c r="M21" s="32" t="n">
        <x:v>0.070718838</x:v>
      </x:c>
      <x:c r="N21" s="32" t="n">
        <x:v>17136</x:v>
      </x:c>
      <x:c r="O21" s="32" t="n">
        <x:v>0.399</x:v>
      </x:c>
      <x:c r="P21" s="32" t="n">
        <x:v>1166.837626139323</x:v>
      </x:c>
      <x:c r="Q21" s="32" t="n">
        <x:v>25.231641896565755</x:v>
      </x:c>
      <x:c r="R21" s="32" t="n">
        <x:v>12.751119832964601</x:v>
      </x:c>
      <x:c r="S21" s="32" t="n">
        <x:v>1.757122057887892</x:v>
      </x:c>
      <x:c r="T21" s="32" t="n">
        <x:v>89.9</x:v>
      </x:c>
      <x:c r="U21" s="32" t="n">
        <x:v>245.07712999476223</x:v>
      </x:c>
      <x:c r="V21" s="32" t="n">
        <x:v>244.75798925963002</x:v>
      </x:c>
      <x:c r="W21" s="33" t="n">
        <x:f>IF(ISNUMBER(E21),100*MAX(0,MIN(1,('Anchors'!$H$6-E21)/('Anchors'!$H$6-'Anchors'!$G$6))),"")</x:f>
        <x:v>87.85714285714286</x:v>
      </x:c>
      <x:c r="X21" s="33" t="n">
        <x:f>IF(ISNUMBER(F21),100*MAX(0,MIN(1,('Anchors'!$H$7-F21)/('Anchors'!$H$7-'Anchors'!$G$7))),"")</x:f>
        <x:v>78.57142857142857</x:v>
      </x:c>
      <x:c r="Y21" s="33" t="n">
        <x:f>IF(ISNUMBER(G21),100*MAX(0,MIN(1,('Anchors'!$H$8-G21)/('Anchors'!$H$8-'Anchors'!$G$8))),"")</x:f>
        <x:v>43.938894011455474</x:v>
      </x:c>
      <x:c r="Z21" s="33" t="n">
        <x:f>IF(ISNUMBER(H21),100*MAX(0,MIN(1,('Anchors'!$H$9-H21)/('Anchors'!$H$9-'Anchors'!$G$9))),"")</x:f>
        <x:v>32.19794005127959</x:v>
      </x:c>
      <x:c r="AA21" s="33" t="n">
        <x:f>IF(ISNUMBER(I21),100*MAX(0,MIN(1,(I21-'Anchors'!$H$10)/('Anchors'!$G$10-'Anchors'!$H$10))),"")</x:f>
        <x:v>95.56215401118729</x:v>
      </x:c>
      <x:c r="AB21" s="33" t="n">
        <x:f>IF(ISNUMBER(J21),100*MAX(0,MIN(1,('Anchors'!$H$11-J21)/('Anchors'!$H$11-'Anchors'!$G$11))),"")</x:f>
        <x:v>95.10808288498555</x:v>
      </x:c>
      <x:c r="AC21" s="33" t="n">
        <x:f>IF(ISNUMBER(K21),100*MAX(0,MIN(1,('Anchors'!$H$12-K21)/('Anchors'!$H$12-'Anchors'!$G$12))),"")</x:f>
        <x:v>71.14624298947963</x:v>
      </x:c>
      <x:c r="AD21" s="33" t="n">
        <x:f>IF(ISNUMBER(L21),100*MAX(0,MIN(1,(L21-'Anchors'!$H$13)/('Anchors'!$G$13-'Anchors'!$H$13))),"")</x:f>
        <x:v>0</x:v>
      </x:c>
      <x:c r="AE21" s="33" t="n">
        <x:f>IF(ISNUMBER(M21),100*MAX(0,MIN(1,(M21-'Anchors'!$H$14)/('Anchors'!$G$14-'Anchors'!$H$14))),"")</x:f>
        <x:v>0</x:v>
      </x:c>
      <x:c r="AF21" s="33" t="n">
        <x:f>IF(ISNUMBER(N21),100*MAX(0,MIN(1,(LN(1+N21)-LN(1+'Anchors'!$H$15))/(LN(1+'Anchors'!$G$15)-LN(1+'Anchors'!$H$15)))),"")</x:f>
        <x:v>49.74740207639684</x:v>
      </x:c>
      <x:c r="AG21" s="33" t="n">
        <x:f>IF(ISNUMBER(O21),100*MAX(0,MIN(1,('Anchors'!$H$16-O21)/('Anchors'!$H$16-'Anchors'!$G$16))),"")</x:f>
        <x:v>61.22222222222222</x:v>
      </x:c>
      <x:c r="AH21" s="33" t="n">
        <x:f>IF(ISNUMBER(P21),100*MAX(0,MIN(1,('Anchors'!$H$17-P21)/('Anchors'!$H$17-'Anchors'!$G$17))),"")</x:f>
        <x:v>68.8774915907118</x:v>
      </x:c>
      <x:c r="AI21" s="33" t="n">
        <x:f>IF(ISNUMBER(Q21),100*MAX(0,MIN(1,('Anchors'!$H$18-Q21)/('Anchors'!$H$18-'Anchors'!$G$18))),"")</x:f>
        <x:v>71.0976544334775</x:v>
      </x:c>
      <x:c r="AJ21" s="33" t="n">
        <x:f>IF(ISNUMBER(R21),100*MAX(0,MIN(1,('Anchors'!$H$19-R21)/('Anchors'!$H$19-'Anchors'!$G$19))),"")</x:f>
        <x:v>82.77528926007865</x:v>
      </x:c>
      <x:c r="AK21" s="33" t="n">
        <x:f>IF(ISNUMBER(S21),100*MAX(0,MIN(1,('Anchors'!$H$20-S21)/('Anchors'!$H$20-'Anchors'!$G$20))),"")</x:f>
        <x:v>96.01514706374795</x:v>
      </x:c>
      <x:c r="AL21" s="33" t="n">
        <x:f>IF(ISNUMBER(T21),100*MAX(0,MIN(1,('Anchors'!$H$21-T21)/('Anchors'!$H$21-'Anchors'!$G$21))),"")</x:f>
        <x:v>54.72727272727271</x:v>
      </x:c>
      <x:c r="AM21" s="33" t="n">
        <x:f>IF(ISNUMBER(U21),100*MAX(0,MIN(1,('Anchors'!$H$22-U21)/('Anchors'!$H$22-'Anchors'!$G$22))),"")</x:f>
        <x:v>27.461435002618884</x:v>
      </x:c>
      <x:c r="AN21" s="33" t="n">
        <x:f>IF(ISNUMBER(V21),100*MAX(0,MIN(1,('Anchors'!$H$23-V21)/('Anchors'!$H$23-'Anchors'!$G$23))),"")</x:f>
        <x:v>88.8105026850925</x:v>
      </x:c>
      <x:c r="AO21" s="27" t="n">
        <x:f>IF(ISNUMBER(W21),IF('Scoring Setup'!$L$9=1,1-'Scoring Setup'!$B$5*(1-MAX(0,MIN(1,(W21-'Scoring Setup'!$K$9)/(100-'Scoring Setup'!$K$9)))),1),"")</x:f>
        <x:v>0.9757142857142858</x:v>
      </x:c>
      <x:c r="AP21" s="27" t="n">
        <x:f>IF(ISNUMBER(X21),IF('Scoring Setup'!$L$10=1,1-'Scoring Setup'!$B$5*(1-MAX(0,MIN(1,(X21-'Scoring Setup'!$K$10)/(100-'Scoring Setup'!$K$10)))),1),"")</x:f>
        <x:v>0.9571428571428572</x:v>
      </x:c>
      <x:c r="AQ21" s="27" t="n">
        <x:f>IF(ISNUMBER(Y21),IF('Scoring Setup'!$L$11=1,1-'Scoring Setup'!$B$5*(1-MAX(0,MIN(1,(Y21-'Scoring Setup'!$K$11)/(100-'Scoring Setup'!$K$11)))),1),"")</x:f>
        <x:v>0.887877788022911</x:v>
      </x:c>
      <x:c r="AR21" s="27" t="n">
        <x:f>IF(ISNUMBER(Z21),IF('Scoring Setup'!$L$12=1,1-'Scoring Setup'!$B$5*(1-MAX(0,MIN(1,(Z21-'Scoring Setup'!$K$12)/(100-'Scoring Setup'!$K$12)))),1),"")</x:f>
        <x:v>0.8643958801025592</x:v>
      </x:c>
      <x:c r="AS21" s="27" t="n">
        <x:f>IF(ISNUMBER(AA21),IF('Scoring Setup'!$L$13=1,1-'Scoring Setup'!$B$5*(1-MAX(0,MIN(1,(AA21-'Scoring Setup'!$K$13)/(100-'Scoring Setup'!$K$13)))),1),"")</x:f>
        <x:v>0.9911243080223746</x:v>
      </x:c>
      <x:c r="AT21" s="27" t="n">
        <x:f>IF(ISNUMBER(AB21),IF('Scoring Setup'!$L$14=1,1-'Scoring Setup'!$B$5*(1-MAX(0,MIN(1,(AB21-'Scoring Setup'!$K$14)/(100-'Scoring Setup'!$K$14)))),1),"")</x:f>
        <x:v>0.9902161657699711</x:v>
      </x:c>
      <x:c r="AU21" s="27" t="n">
        <x:f>IF(ISNUMBER(AC21),IF('Scoring Setup'!$L$15=1,1-'Scoring Setup'!$B$5*(1-MAX(0,MIN(1,(AC21-'Scoring Setup'!$K$15)/(100-'Scoring Setup'!$K$15)))),1),"")</x:f>
        <x:v>0.9422924859789593</x:v>
      </x:c>
      <x:c r="AV21" s="27" t="n">
        <x:f>IF(ISNUMBER(AD21),IF('Scoring Setup'!$L$16=1,1-'Scoring Setup'!$B$5*(1-MAX(0,MIN(1,(AD21-'Scoring Setup'!$K$16)/(100-'Scoring Setup'!$K$16)))),1),"")</x:f>
        <x:v>0.8</x:v>
      </x:c>
      <x:c r="AW21" s="27" t="n">
        <x:f>IF(ISNUMBER(AE21),IF('Scoring Setup'!$L$17=1,1-'Scoring Setup'!$B$5*(1-MAX(0,MIN(1,(AE21-'Scoring Setup'!$K$17)/(100-'Scoring Setup'!$K$17)))),1),"")</x:f>
        <x:v>0.8</x:v>
      </x:c>
      <x:c r="AX21" s="27" t="n">
        <x:f>IF(ISNUMBER(AF21),IF('Scoring Setup'!$L$18=1,1-'Scoring Setup'!$B$5*(1-MAX(0,MIN(1,(AF21-'Scoring Setup'!$K$18)/(100-'Scoring Setup'!$K$18)))),1),"")</x:f>
        <x:v>0.8994948041527937</x:v>
      </x:c>
      <x:c r="AY21" s="27" t="n">
        <x:f>IF(ISNUMBER(AG21),IF('Scoring Setup'!$L$19=1,1-'Scoring Setup'!$B$5*(1-MAX(0,MIN(1,(AG21-'Scoring Setup'!$K$19)/(100-'Scoring Setup'!$K$19)))),1),"")</x:f>
        <x:v>0.9224444444444444</x:v>
      </x:c>
      <x:c r="AZ21" s="27" t="n">
        <x:f>IF(ISNUMBER(AH21),IF('Scoring Setup'!$L$20=1,1-'Scoring Setup'!$B$5*(1-MAX(0,MIN(1,(AH21-'Scoring Setup'!$K$20)/(100-'Scoring Setup'!$K$20)))),1),"")</x:f>
        <x:v>0.9377549831814236</x:v>
      </x:c>
      <x:c r="BA21" s="27" t="n">
        <x:f>IF(ISNUMBER(AI21),IF('Scoring Setup'!$L$21=1,1-'Scoring Setup'!$B$5*(1-MAX(0,MIN(1,(AI21-'Scoring Setup'!$K$21)/(100-'Scoring Setup'!$K$21)))),1),"")</x:f>
        <x:v>0.942195308866955</x:v>
      </x:c>
      <x:c r="BB21" s="27" t="n">
        <x:f>IF(ISNUMBER(AJ21),IF('Scoring Setup'!$L$22=1,1-'Scoring Setup'!$B$5*(1-MAX(0,MIN(1,(AJ21-'Scoring Setup'!$K$22)/(100-'Scoring Setup'!$K$22)))),1),"")</x:f>
        <x:v>0.9655505785201574</x:v>
      </x:c>
      <x:c r="BC21" s="27" t="n">
        <x:f>IF(ISNUMBER(AK21),IF('Scoring Setup'!$L$23=1,1-'Scoring Setup'!$B$5*(1-MAX(0,MIN(1,(AK21-'Scoring Setup'!$K$23)/(100-'Scoring Setup'!$K$23)))),1),"")</x:f>
        <x:v>0.9920302941274959</x:v>
      </x:c>
      <x:c r="BD21" s="27" t="n">
        <x:f>IF(ISNUMBER(AL21),IF('Scoring Setup'!$L$24=1,1-'Scoring Setup'!$B$5*(1-MAX(0,MIN(1,(AL21-'Scoring Setup'!$K$24)/(100-'Scoring Setup'!$K$24)))),1),"")</x:f>
        <x:v>0.9094545454545454</x:v>
      </x:c>
      <x:c r="BE21" s="27" t="n">
        <x:f>IF(ISNUMBER(AM21),IF('Scoring Setup'!$L$25=1,1-'Scoring Setup'!$B$5*(1-MAX(0,MIN(1,(AM21-'Scoring Setup'!$K$25)/(100-'Scoring Setup'!$K$25)))),1),"")</x:f>
        <x:v>0.8549228700052378</x:v>
      </x:c>
      <x:c r="BF21" s="27" t="n">
        <x:f>IF(ISNUMBER(AN21),IF('Scoring Setup'!$L$26=1,1-'Scoring Setup'!$B$5*(1-MAX(0,MIN(1,(AN21-'Scoring Setup'!$K$26)/(100-'Scoring Setup'!$K$26)))),1),"")</x:f>
        <x:v>0.977621005370185</x:v>
      </x:c>
      <x:c r="BG21" s="34" t="n">
        <x:f>IF(COUNT(W21,X21)=2,AVERAGE(W21,X21),"")</x:f>
        <x:v>83.21428571428572</x:v>
      </x:c>
      <x:c r="BH21" s="34" t="n">
        <x:f>IF(COUNT(Y21,Z21)=2,AVERAGE(Y21,Z21),"")</x:f>
        <x:v>38.06841703136753</x:v>
      </x:c>
      <x:c r="BI21" s="34" t="n">
        <x:f>IF(COUNT(AA21,AB21,AC21)=3,AVERAGE(AA21,AB21,AC21),"")</x:f>
        <x:v>87.27215996188416</x:v>
      </x:c>
      <x:c r="BJ21" s="34" t="n">
        <x:f>IF(COUNT(AD21,AE21)=2,AVERAGE(AD21,AE21),"")</x:f>
        <x:v>0</x:v>
      </x:c>
      <x:c r="BK21" s="34" t="n">
        <x:f>IF(COUNT(AF21,AG21)=2,AVERAGE(AF21,AG21),"")</x:f>
        <x:v>55.48481214930953</x:v>
      </x:c>
      <x:c r="BL21" s="34" t="n">
        <x:f>IF(COUNT(AH21,AI21)=2,AVERAGE(AH21,AI21),"")</x:f>
        <x:v>69.98757301209466</x:v>
      </x:c>
      <x:c r="BM21" s="34" t="n">
        <x:f>IF(COUNT(AJ21,AK21)=2,AVERAGE(AJ21,AK21),"")</x:f>
        <x:v>89.3952181619133</x:v>
      </x:c>
      <x:c r="BN21" s="34" t="n">
        <x:f>IF(COUNT(AL21,AM21,AN21)=3,AVERAGE(AL21,AM21,AN21),"")</x:f>
        <x:v>56.999736804994704</x:v>
      </x:c>
      <x:c r="BO21" s="35" t="n">
        <x:f>IF(AND(COUNT(BG21:BN21)=8,ABS('Scoring Setup'!$C$17-1)&lt;0.000001),BG21*'Scoring Setup'!$C$9+BH21*'Scoring Setup'!$C$10+BI21*'Scoring Setup'!$C$11+BJ21*'Scoring Setup'!$C$12+BK21*'Scoring Setup'!$C$13+BL21*'Scoring Setup'!$C$14+BM21*'Scoring Setup'!$C$15+BN21*'Scoring Setup'!$C$16,"")</x:f>
        <x:v>55.27986978902026</x:v>
      </x:c>
      <x:c r="BP21" s="36" t="n">
        <x:f>IF(COUNT(AO21:BF21)=18,MIN(AO21:BF21),"")</x:f>
        <x:v>0.8</x:v>
      </x:c>
      <x:c r="BQ21" s="35" t="n">
        <x:f>IF(AND(ISNUMBER(BO21),ISNUMBER(BP21)),BO21*BP21,"")</x:f>
        <x:v>44.22389583121621</x:v>
      </x:c>
      <x:c r="BR21" s="17" t="str">
        <x:f>IF(COUNT(AO21:BF21)=18,INDEX('Scoring Setup'!$F$9:$F$26,MATCH(MIN(AO21:BF21),AO21:BF21,0),1),"")</x:f>
        <x:v>商业光纤100/20覆盖率</x:v>
      </x:c>
    </x:row>
    <x:row r="22">
      <x:c r="A22" s="28" t="str">
        <x:v>51035</x:v>
      </x:c>
      <x:c r="B22" s="28" t="str">
        <x:v>Carroll County</x:v>
      </x:c>
      <x:c r="C22" s="28" t="str">
        <x:v>VA</x:v>
      </x:c>
      <x:c r="D22" s="31" t="n">
        <x:v>1229.57593</x:v>
      </x:c>
      <x:c r="E22" s="32" t="n">
        <x:v>0.577</x:v>
      </x:c>
      <x:c r="F22" s="32" t="n">
        <x:v>0.20977722772277202</x:v>
      </x:c>
      <x:c r="G22" s="32" t="n">
        <x:v>2.138159109123712</x:v>
      </x:c>
      <x:c r="H22" s="32" t="n">
        <x:v>2.512509966702758</x:v>
      </x:c>
      <x:c r="I22" s="32" t="n">
        <x:v>0.9603106724132646</x:v>
      </x:c>
      <x:c r="J22" s="32" t="n">
        <x:v>0.01016955474921705</x:v>
      </x:c>
      <x:c r="K22" s="32" t="n">
        <x:v>0.0006611604021840186</x:v>
      </x:c>
      <x:c r="L22" s="32" t="n">
        <x:v>0.392631994</x:v>
      </x:c>
      <x:c r="M22" s="32" t="n">
        <x:v>0.224143026</x:v>
      </x:c>
      <x:c r="N22" s="32" t="n">
        <x:v>11951</x:v>
      </x:c>
      <x:c r="O22" s="32" t="n">
        <x:v>0.2797</x:v>
      </x:c>
      <x:c r="P22" s="32" t="n">
        <x:v>464.679970296224</x:v>
      </x:c>
      <x:c r="Q22" s="32" t="n">
        <x:v>2.0751580874125164</x:v>
      </x:c>
      <x:c r="R22" s="32" t="n">
        <x:v>2.0930344135796983</x:v>
      </x:c>
      <x:c r="S22" s="32" t="n">
        <x:v>16.19712705951114</x:v>
      </x:c>
      <x:c r="T22" s="32" t="n">
        <x:v>89.9</x:v>
      </x:c>
      <x:c r="U22" s="32" t="n">
        <x:v>245.07712999476223</x:v>
      </x:c>
      <x:c r="V22" s="32" t="n">
        <x:v>244.75798925963002</x:v>
      </x:c>
      <x:c r="W22" s="33" t="n">
        <x:f>IF(ISNUMBER(E22),100*MAX(0,MIN(1,('Anchors'!$H$6-E22)/('Anchors'!$H$6-'Anchors'!$G$6))),"")</x:f>
        <x:v>46.14285714285716</x:v>
      </x:c>
      <x:c r="X22" s="33" t="n">
        <x:f>IF(ISNUMBER(F22),100*MAX(0,MIN(1,('Anchors'!$H$7-F22)/('Anchors'!$H$7-'Anchors'!$G$7))),"")</x:f>
        <x:v>84.31753889674684</x:v>
      </x:c>
      <x:c r="Y22" s="33" t="n">
        <x:f>IF(ISNUMBER(G22),100*MAX(0,MIN(1,('Anchors'!$H$8-G22)/('Anchors'!$H$8-'Anchors'!$G$8))),"")</x:f>
        <x:v>62.061363029209595</x:v>
      </x:c>
      <x:c r="Z22" s="33" t="n">
        <x:f>IF(ISNUMBER(H22),100*MAX(0,MIN(1,('Anchors'!$H$9-H22)/('Anchors'!$H$9-'Anchors'!$G$9))),"")</x:f>
        <x:v>49.58300110990807</x:v>
      </x:c>
      <x:c r="AA22" s="33" t="n">
        <x:f>IF(ISNUMBER(I22),100*MAX(0,MIN(1,(I22-'Anchors'!$H$10)/('Anchors'!$G$10-'Anchors'!$H$10))),"")</x:f>
        <x:v>97.30283183743352</x:v>
      </x:c>
      <x:c r="AB22" s="33" t="n">
        <x:f>IF(ISNUMBER(J22),100*MAX(0,MIN(1,('Anchors'!$H$11-J22)/('Anchors'!$H$11-'Anchors'!$G$11))),"")</x:f>
        <x:v>95.93217810031318</x:v>
      </x:c>
      <x:c r="AC22" s="33" t="n">
        <x:f>IF(ISNUMBER(K22),100*MAX(0,MIN(1,('Anchors'!$H$12-K22)/('Anchors'!$H$12-'Anchors'!$G$12))),"")</x:f>
        <x:v>99.834709899454</x:v>
      </x:c>
      <x:c r="AD22" s="33" t="n">
        <x:f>IF(ISNUMBER(L22),100*MAX(0,MIN(1,(L22-'Anchors'!$H$13)/('Anchors'!$G$13-'Anchors'!$H$13))),"")</x:f>
        <x:v>27.518856285714282</x:v>
      </x:c>
      <x:c r="AE22" s="33" t="n">
        <x:f>IF(ISNUMBER(M22),100*MAX(0,MIN(1,(M22-'Anchors'!$H$14)/('Anchors'!$G$14-'Anchors'!$H$14))),"")</x:f>
        <x:v>15.517878249999997</x:v>
      </x:c>
      <x:c r="AF22" s="33" t="n">
        <x:f>IF(ISNUMBER(N22),100*MAX(0,MIN(1,(LN(1+N22)-LN(1+'Anchors'!$H$15))/(LN(1+'Anchors'!$G$15)-LN(1+'Anchors'!$H$15)))),"")</x:f>
        <x:v>41.40036326337233</x:v>
      </x:c>
      <x:c r="AG22" s="33" t="n">
        <x:f>IF(ISNUMBER(O22),100*MAX(0,MIN(1,('Anchors'!$H$16-O22)/('Anchors'!$H$16-'Anchors'!$G$16))),"")</x:f>
        <x:v>74.47777777777777</x:v>
      </x:c>
      <x:c r="AH22" s="33" t="n">
        <x:f>IF(ISNUMBER(P22),100*MAX(0,MIN(1,('Anchors'!$H$17-P22)/('Anchors'!$H$17-'Anchors'!$G$17))),"")</x:f>
        <x:v>100</x:v>
      </x:c>
      <x:c r="AI22" s="33" t="n">
        <x:f>IF(ISNUMBER(Q22),100*MAX(0,MIN(1,('Anchors'!$H$18-Q22)/('Anchors'!$H$18-'Anchors'!$G$18))),"")</x:f>
        <x:v>100</x:v>
      </x:c>
      <x:c r="AJ22" s="33" t="n">
        <x:f>IF(ISNUMBER(R22),100*MAX(0,MIN(1,('Anchors'!$H$19-R22)/('Anchors'!$H$19-'Anchors'!$G$19))),"")</x:f>
        <x:v>100</x:v>
      </x:c>
      <x:c r="AK22" s="33" t="n">
        <x:f>IF(ISNUMBER(S22),100*MAX(0,MIN(1,('Anchors'!$H$20-S22)/('Anchors'!$H$20-'Anchors'!$G$20))),"")</x:f>
        <x:v>20.015120739415057</x:v>
      </x:c>
      <x:c r="AL22" s="33" t="n">
        <x:f>IF(ISNUMBER(T22),100*MAX(0,MIN(1,('Anchors'!$H$21-T22)/('Anchors'!$H$21-'Anchors'!$G$21))),"")</x:f>
        <x:v>54.72727272727271</x:v>
      </x:c>
      <x:c r="AM22" s="33" t="n">
        <x:f>IF(ISNUMBER(U22),100*MAX(0,MIN(1,('Anchors'!$H$22-U22)/('Anchors'!$H$22-'Anchors'!$G$22))),"")</x:f>
        <x:v>27.461435002618884</x:v>
      </x:c>
      <x:c r="AN22" s="33" t="n">
        <x:f>IF(ISNUMBER(V22),100*MAX(0,MIN(1,('Anchors'!$H$23-V22)/('Anchors'!$H$23-'Anchors'!$G$23))),"")</x:f>
        <x:v>88.8105026850925</x:v>
      </x:c>
      <x:c r="AO22" s="27" t="n">
        <x:f>IF(ISNUMBER(W22),IF('Scoring Setup'!$L$9=1,1-'Scoring Setup'!$B$5*(1-MAX(0,MIN(1,(W22-'Scoring Setup'!$K$9)/(100-'Scoring Setup'!$K$9)))),1),"")</x:f>
        <x:v>0.8922857142857143</x:v>
      </x:c>
      <x:c r="AP22" s="27" t="n">
        <x:f>IF(ISNUMBER(X22),IF('Scoring Setup'!$L$10=1,1-'Scoring Setup'!$B$5*(1-MAX(0,MIN(1,(X22-'Scoring Setup'!$K$10)/(100-'Scoring Setup'!$K$10)))),1),"")</x:f>
        <x:v>0.9686350777934937</x:v>
      </x:c>
      <x:c r="AQ22" s="27" t="n">
        <x:f>IF(ISNUMBER(Y22),IF('Scoring Setup'!$L$11=1,1-'Scoring Setup'!$B$5*(1-MAX(0,MIN(1,(Y22-'Scoring Setup'!$K$11)/(100-'Scoring Setup'!$K$11)))),1),"")</x:f>
        <x:v>0.9241227260584192</x:v>
      </x:c>
      <x:c r="AR22" s="27" t="n">
        <x:f>IF(ISNUMBER(Z22),IF('Scoring Setup'!$L$12=1,1-'Scoring Setup'!$B$5*(1-MAX(0,MIN(1,(Z22-'Scoring Setup'!$K$12)/(100-'Scoring Setup'!$K$12)))),1),"")</x:f>
        <x:v>0.8991660022198161</x:v>
      </x:c>
      <x:c r="AS22" s="27" t="n">
        <x:f>IF(ISNUMBER(AA22),IF('Scoring Setup'!$L$13=1,1-'Scoring Setup'!$B$5*(1-MAX(0,MIN(1,(AA22-'Scoring Setup'!$K$13)/(100-'Scoring Setup'!$K$13)))),1),"")</x:f>
        <x:v>0.994605663674867</x:v>
      </x:c>
      <x:c r="AT22" s="27" t="n">
        <x:f>IF(ISNUMBER(AB22),IF('Scoring Setup'!$L$14=1,1-'Scoring Setup'!$B$5*(1-MAX(0,MIN(1,(AB22-'Scoring Setup'!$K$14)/(100-'Scoring Setup'!$K$14)))),1),"")</x:f>
        <x:v>0.9918643562006264</x:v>
      </x:c>
      <x:c r="AU22" s="27" t="n">
        <x:f>IF(ISNUMBER(AC22),IF('Scoring Setup'!$L$15=1,1-'Scoring Setup'!$B$5*(1-MAX(0,MIN(1,(AC22-'Scoring Setup'!$K$15)/(100-'Scoring Setup'!$K$15)))),1),"")</x:f>
        <x:v>0.999669419798908</x:v>
      </x:c>
      <x:c r="AV22" s="27" t="n">
        <x:f>IF(ISNUMBER(AD22),IF('Scoring Setup'!$L$16=1,1-'Scoring Setup'!$B$5*(1-MAX(0,MIN(1,(AD22-'Scoring Setup'!$K$16)/(100-'Scoring Setup'!$K$16)))),1),"")</x:f>
        <x:v>0.8550377125714286</x:v>
      </x:c>
      <x:c r="AW22" s="27" t="n">
        <x:f>IF(ISNUMBER(AE22),IF('Scoring Setup'!$L$17=1,1-'Scoring Setup'!$B$5*(1-MAX(0,MIN(1,(AE22-'Scoring Setup'!$K$17)/(100-'Scoring Setup'!$K$17)))),1),"")</x:f>
        <x:v>0.8310357565</x:v>
      </x:c>
      <x:c r="AX22" s="27" t="n">
        <x:f>IF(ISNUMBER(AF22),IF('Scoring Setup'!$L$18=1,1-'Scoring Setup'!$B$5*(1-MAX(0,MIN(1,(AF22-'Scoring Setup'!$K$18)/(100-'Scoring Setup'!$K$18)))),1),"")</x:f>
        <x:v>0.8828007265267447</x:v>
      </x:c>
      <x:c r="AY22" s="27" t="n">
        <x:f>IF(ISNUMBER(AG22),IF('Scoring Setup'!$L$19=1,1-'Scoring Setup'!$B$5*(1-MAX(0,MIN(1,(AG22-'Scoring Setup'!$K$19)/(100-'Scoring Setup'!$K$19)))),1),"")</x:f>
        <x:v>0.9489555555555556</x:v>
      </x:c>
      <x:c r="AZ22" s="27" t="n">
        <x:f>IF(ISNUMBER(AH22),IF('Scoring Setup'!$L$20=1,1-'Scoring Setup'!$B$5*(1-MAX(0,MIN(1,(AH22-'Scoring Setup'!$K$20)/(100-'Scoring Setup'!$K$20)))),1),"")</x:f>
        <x:v>1</x:v>
      </x:c>
      <x:c r="BA22" s="27" t="n">
        <x:f>IF(ISNUMBER(AI22),IF('Scoring Setup'!$L$21=1,1-'Scoring Setup'!$B$5*(1-MAX(0,MIN(1,(AI22-'Scoring Setup'!$K$21)/(100-'Scoring Setup'!$K$21)))),1),"")</x:f>
        <x:v>1</x:v>
      </x:c>
      <x:c r="BB22" s="27" t="n">
        <x:f>IF(ISNUMBER(AJ22),IF('Scoring Setup'!$L$22=1,1-'Scoring Setup'!$B$5*(1-MAX(0,MIN(1,(AJ22-'Scoring Setup'!$K$22)/(100-'Scoring Setup'!$K$22)))),1),"")</x:f>
        <x:v>1</x:v>
      </x:c>
      <x:c r="BC22" s="27" t="n">
        <x:f>IF(ISNUMBER(AK22),IF('Scoring Setup'!$L$23=1,1-'Scoring Setup'!$B$5*(1-MAX(0,MIN(1,(AK22-'Scoring Setup'!$K$23)/(100-'Scoring Setup'!$K$23)))),1),"")</x:f>
        <x:v>0.8400302414788301</x:v>
      </x:c>
      <x:c r="BD22" s="27" t="n">
        <x:f>IF(ISNUMBER(AL22),IF('Scoring Setup'!$L$24=1,1-'Scoring Setup'!$B$5*(1-MAX(0,MIN(1,(AL22-'Scoring Setup'!$K$24)/(100-'Scoring Setup'!$K$24)))),1),"")</x:f>
        <x:v>0.9094545454545454</x:v>
      </x:c>
      <x:c r="BE22" s="27" t="n">
        <x:f>IF(ISNUMBER(AM22),IF('Scoring Setup'!$L$25=1,1-'Scoring Setup'!$B$5*(1-MAX(0,MIN(1,(AM22-'Scoring Setup'!$K$25)/(100-'Scoring Setup'!$K$25)))),1),"")</x:f>
        <x:v>0.8549228700052378</x:v>
      </x:c>
      <x:c r="BF22" s="27" t="n">
        <x:f>IF(ISNUMBER(AN22),IF('Scoring Setup'!$L$26=1,1-'Scoring Setup'!$B$5*(1-MAX(0,MIN(1,(AN22-'Scoring Setup'!$K$26)/(100-'Scoring Setup'!$K$26)))),1),"")</x:f>
        <x:v>0.977621005370185</x:v>
      </x:c>
      <x:c r="BG22" s="34" t="n">
        <x:f>IF(COUNT(W22,X22)=2,AVERAGE(W22,X22),"")</x:f>
        <x:v>65.230198019802</x:v>
      </x:c>
      <x:c r="BH22" s="34" t="n">
        <x:f>IF(COUNT(Y22,Z22)=2,AVERAGE(Y22,Z22),"")</x:f>
        <x:v>55.822182069558835</x:v>
      </x:c>
      <x:c r="BI22" s="34" t="n">
        <x:f>IF(COUNT(AA22,AB22,AC22)=3,AVERAGE(AA22,AB22,AC22),"")</x:f>
        <x:v>97.68990661240024</x:v>
      </x:c>
      <x:c r="BJ22" s="34" t="n">
        <x:f>IF(COUNT(AD22,AE22)=2,AVERAGE(AD22,AE22),"")</x:f>
        <x:v>21.51836726785714</x:v>
      </x:c>
      <x:c r="BK22" s="34" t="n">
        <x:f>IF(COUNT(AF22,AG22)=2,AVERAGE(AF22,AG22),"")</x:f>
        <x:v>57.93907052057505</x:v>
      </x:c>
      <x:c r="BL22" s="34" t="n">
        <x:f>IF(COUNT(AH22,AI22)=2,AVERAGE(AH22,AI22),"")</x:f>
        <x:v>100</x:v>
      </x:c>
      <x:c r="BM22" s="34" t="n">
        <x:f>IF(COUNT(AJ22,AK22)=2,AVERAGE(AJ22,AK22),"")</x:f>
        <x:v>60.00756036970753</x:v>
      </x:c>
      <x:c r="BN22" s="34" t="n">
        <x:f>IF(COUNT(AL22,AM22,AN22)=3,AVERAGE(AL22,AM22,AN22),"")</x:f>
        <x:v>56.999736804994704</x:v>
      </x:c>
      <x:c r="BO22" s="35" t="n">
        <x:f>IF(AND(COUNT(BG22:BN22)=8,ABS('Scoring Setup'!$C$17-1)&lt;0.000001),BG22*'Scoring Setup'!$C$9+BH22*'Scoring Setup'!$C$10+BI22*'Scoring Setup'!$C$11+BJ22*'Scoring Setup'!$C$12+BK22*'Scoring Setup'!$C$13+BL22*'Scoring Setup'!$C$14+BM22*'Scoring Setup'!$C$15+BN22*'Scoring Setup'!$C$16,"")</x:f>
        <x:v>60.50248971595901</x:v>
      </x:c>
      <x:c r="BP22" s="36" t="n">
        <x:f>IF(COUNT(AO22:BF22)=18,MIN(AO22:BF22),"")</x:f>
        <x:v>0.8310357565</x:v>
      </x:c>
      <x:c r="BQ22" s="35" t="n">
        <x:f>IF(AND(ISNUMBER(BO22),ISNUMBER(BP22)),BO22*BP22,"")</x:f>
        <x:v>50.27973231123546</x:v>
      </x:c>
      <x:c r="BR22" s="17" t="str">
        <x:f>IF(COUNT(AO22:BF22)=18,INDEX('Scoring Setup'!$F$9:$F$26,MATCH(MIN(AO22:BF22),AO22:BF22,0),1),"")</x:f>
        <x:v>商业光纤1000/100覆盖率</x:v>
      </x:c>
    </x:row>
    <x:row r="23">
      <x:c r="A23" s="28" t="str">
        <x:v>51036</x:v>
      </x:c>
      <x:c r="B23" s="28" t="str">
        <x:v>Charles City County</x:v>
      </x:c>
      <x:c r="C23" s="28" t="str">
        <x:v>VA</x:v>
      </x:c>
      <x:c r="D23" s="31" t="n">
        <x:v>473.71155</x:v>
      </x:c>
      <x:c r="E23" s="32" t="n">
        <x:v>0.34</x:v>
      </x:c>
      <x:c r="F23" s="32" t="n">
        <x:v>0.204517326732673</x:v>
      </x:c>
      <x:c r="G23" s="32" t="n">
        <x:v>3.726248555304921</x:v>
      </x:c>
      <x:c r="H23" s="32" t="n">
        <x:v>3.980217336746502</x:v>
      </x:c>
      <x:c r="I23" s="32" t="n">
        <x:v>0.9644287957367845</x:v>
      </x:c>
      <x:c r="J23" s="32" t="n">
        <x:v>0.05492308615632921</x:v>
      </x:c>
      <x:c r="K23" s="32" t="n">
        <x:v>0.22420326402436122</x:v>
      </x:c>
      <x:c r="L23" s="32" t="n">
        <x:v>0.028259131</x:v>
      </x:c>
      <x:c r="M23" s="32" t="n">
        <x:v>0.000799787</x:v>
      </x:c>
      <x:c r="N23" s="32" t="n">
        <x:v>3374</x:v>
      </x:c>
      <x:c r="O23" s="32" t="n">
        <x:v>0.2685</x:v>
      </x:c>
      <x:c r="P23" s="32" t="n">
        <x:v>1458.9757283528645</x:v>
      </x:c>
      <x:c r="Q23" s="32" t="n">
        <x:v>35.7952392578125</x:v>
      </x:c>
      <x:c r="R23" s="32" t="n">
        <x:v>15.113782806585153</x:v>
      </x:c>
      <x:c r="S23" s="32" t="n">
        <x:v>8.94633590742126</x:v>
      </x:c>
      <x:c r="T23" s="32" t="n">
        <x:v>89.9</x:v>
      </x:c>
      <x:c r="U23" s="32" t="n">
        <x:v>245.07712999476223</x:v>
      </x:c>
      <x:c r="V23" s="32" t="n">
        <x:v>244.75798925963002</x:v>
      </x:c>
      <x:c r="W23" s="33" t="n">
        <x:f>IF(ISNUMBER(E23),100*MAX(0,MIN(1,('Anchors'!$H$6-E23)/('Anchors'!$H$6-'Anchors'!$G$6))),"")</x:f>
        <x:v>80.00000000000001</x:v>
      </x:c>
      <x:c r="X23" s="33" t="n">
        <x:f>IF(ISNUMBER(F23),100*MAX(0,MIN(1,('Anchors'!$H$7-F23)/('Anchors'!$H$7-'Anchors'!$G$7))),"")</x:f>
        <x:v>85.06895332390386</x:v>
      </x:c>
      <x:c r="Y23" s="33" t="n">
        <x:f>IF(ISNUMBER(G23),100*MAX(0,MIN(1,('Anchors'!$H$8-G23)/('Anchors'!$H$8-'Anchors'!$G$8))),"")</x:f>
        <x:v>9.12504815650263</x:v>
      </x:c>
      <x:c r="Z23" s="33" t="n">
        <x:f>IF(ISNUMBER(H23),100*MAX(0,MIN(1,('Anchors'!$H$9-H23)/('Anchors'!$H$9-'Anchors'!$G$9))),"")</x:f>
        <x:v>0.6594221084499363</x:v>
      </x:c>
      <x:c r="AA23" s="33" t="n">
        <x:f>IF(ISNUMBER(I23),100*MAX(0,MIN(1,(I23-'Anchors'!$H$10)/('Anchors'!$G$10-'Anchors'!$H$10))),"")</x:f>
        <x:v>97.86695832010747</x:v>
      </x:c>
      <x:c r="AB23" s="33" t="n">
        <x:f>IF(ISNUMBER(J23),100*MAX(0,MIN(1,('Anchors'!$H$11-J23)/('Anchors'!$H$11-'Anchors'!$G$11))),"")</x:f>
        <x:v>78.03076553746831</x:v>
      </x:c>
      <x:c r="AC23" s="33" t="n">
        <x:f>IF(ISNUMBER(K23),100*MAX(0,MIN(1,('Anchors'!$H$12-K23)/('Anchors'!$H$12-'Anchors'!$G$12))),"")</x:f>
        <x:v>43.9491839939097</x:v>
      </x:c>
      <x:c r="AD23" s="33" t="n">
        <x:f>IF(ISNUMBER(L23),100*MAX(0,MIN(1,(L23-'Anchors'!$H$13)/('Anchors'!$G$13-'Anchors'!$H$13))),"")</x:f>
        <x:v>0</x:v>
      </x:c>
      <x:c r="AE23" s="33" t="n">
        <x:f>IF(ISNUMBER(M23),100*MAX(0,MIN(1,(M23-'Anchors'!$H$14)/('Anchors'!$G$14-'Anchors'!$H$14))),"")</x:f>
        <x:v>0</x:v>
      </x:c>
      <x:c r="AF23" s="33" t="n">
        <x:f>IF(ISNUMBER(N23),100*MAX(0,MIN(1,(LN(1+N23)-LN(1+'Anchors'!$H$15))/(LN(1+'Anchors'!$G$15)-LN(1+'Anchors'!$H$15)))),"")</x:f>
        <x:v>12.109077731377404</x:v>
      </x:c>
      <x:c r="AG23" s="33" t="n">
        <x:f>IF(ISNUMBER(O23),100*MAX(0,MIN(1,('Anchors'!$H$16-O23)/('Anchors'!$H$16-'Anchors'!$G$16))),"")</x:f>
        <x:v>75.72222222222223</x:v>
      </x:c>
      <x:c r="AH23" s="33" t="n">
        <x:f>IF(ISNUMBER(P23),100*MAX(0,MIN(1,('Anchors'!$H$17-P23)/('Anchors'!$H$17-'Anchors'!$G$17))),"")</x:f>
        <x:v>49.40161810980903</x:v>
      </x:c>
      <x:c r="AI23" s="33" t="n">
        <x:f>IF(ISNUMBER(Q23),100*MAX(0,MIN(1,('Anchors'!$H$18-Q23)/('Anchors'!$H$18-'Anchors'!$G$18))),"")</x:f>
        <x:v>56.00680106026786</x:v>
      </x:c>
      <x:c r="AJ23" s="33" t="n">
        <x:f>IF(ISNUMBER(R23),100*MAX(0,MIN(1,('Anchors'!$H$19-R23)/('Anchors'!$H$19-'Anchors'!$G$19))),"")</x:f>
        <x:v>77.52492709647744</x:v>
      </x:c>
      <x:c r="AK23" s="33" t="n">
        <x:f>IF(ISNUMBER(S23),100*MAX(0,MIN(1,('Anchors'!$H$20-S23)/('Anchors'!$H$20-'Anchors'!$G$20))),"")</x:f>
        <x:v>58.17717943462495</x:v>
      </x:c>
      <x:c r="AL23" s="33" t="n">
        <x:f>IF(ISNUMBER(T23),100*MAX(0,MIN(1,('Anchors'!$H$21-T23)/('Anchors'!$H$21-'Anchors'!$G$21))),"")</x:f>
        <x:v>54.72727272727271</x:v>
      </x:c>
      <x:c r="AM23" s="33" t="n">
        <x:f>IF(ISNUMBER(U23),100*MAX(0,MIN(1,('Anchors'!$H$22-U23)/('Anchors'!$H$22-'Anchors'!$G$22))),"")</x:f>
        <x:v>27.461435002618884</x:v>
      </x:c>
      <x:c r="AN23" s="33" t="n">
        <x:f>IF(ISNUMBER(V23),100*MAX(0,MIN(1,('Anchors'!$H$23-V23)/('Anchors'!$H$23-'Anchors'!$G$23))),"")</x:f>
        <x:v>88.8105026850925</x:v>
      </x:c>
      <x:c r="AO23" s="27" t="n">
        <x:f>IF(ISNUMBER(W23),IF('Scoring Setup'!$L$9=1,1-'Scoring Setup'!$B$5*(1-MAX(0,MIN(1,(W23-'Scoring Setup'!$K$9)/(100-'Scoring Setup'!$K$9)))),1),"")</x:f>
        <x:v>0.9600000000000001</x:v>
      </x:c>
      <x:c r="AP23" s="27" t="n">
        <x:f>IF(ISNUMBER(X23),IF('Scoring Setup'!$L$10=1,1-'Scoring Setup'!$B$5*(1-MAX(0,MIN(1,(X23-'Scoring Setup'!$K$10)/(100-'Scoring Setup'!$K$10)))),1),"")</x:f>
        <x:v>0.9701379066478077</x:v>
      </x:c>
      <x:c r="AQ23" s="27" t="n">
        <x:f>IF(ISNUMBER(Y23),IF('Scoring Setup'!$L$11=1,1-'Scoring Setup'!$B$5*(1-MAX(0,MIN(1,(Y23-'Scoring Setup'!$K$11)/(100-'Scoring Setup'!$K$11)))),1),"")</x:f>
        <x:v>0.8182500963130053</x:v>
      </x:c>
      <x:c r="AR23" s="27" t="n">
        <x:f>IF(ISNUMBER(Z23),IF('Scoring Setup'!$L$12=1,1-'Scoring Setup'!$B$5*(1-MAX(0,MIN(1,(Z23-'Scoring Setup'!$K$12)/(100-'Scoring Setup'!$K$12)))),1),"")</x:f>
        <x:v>0.8013188442168999</x:v>
      </x:c>
      <x:c r="AS23" s="27" t="n">
        <x:f>IF(ISNUMBER(AA23),IF('Scoring Setup'!$L$13=1,1-'Scoring Setup'!$B$5*(1-MAX(0,MIN(1,(AA23-'Scoring Setup'!$K$13)/(100-'Scoring Setup'!$K$13)))),1),"")</x:f>
        <x:v>0.9957339166402149</x:v>
      </x:c>
      <x:c r="AT23" s="27" t="n">
        <x:f>IF(ISNUMBER(AB23),IF('Scoring Setup'!$L$14=1,1-'Scoring Setup'!$B$5*(1-MAX(0,MIN(1,(AB23-'Scoring Setup'!$K$14)/(100-'Scoring Setup'!$K$14)))),1),"")</x:f>
        <x:v>0.9560615310749366</x:v>
      </x:c>
      <x:c r="AU23" s="27" t="n">
        <x:f>IF(ISNUMBER(AC23),IF('Scoring Setup'!$L$15=1,1-'Scoring Setup'!$B$5*(1-MAX(0,MIN(1,(AC23-'Scoring Setup'!$K$15)/(100-'Scoring Setup'!$K$15)))),1),"")</x:f>
        <x:v>0.8878983679878194</x:v>
      </x:c>
      <x:c r="AV23" s="27" t="n">
        <x:f>IF(ISNUMBER(AD23),IF('Scoring Setup'!$L$16=1,1-'Scoring Setup'!$B$5*(1-MAX(0,MIN(1,(AD23-'Scoring Setup'!$K$16)/(100-'Scoring Setup'!$K$16)))),1),"")</x:f>
        <x:v>0.8</x:v>
      </x:c>
      <x:c r="AW23" s="27" t="n">
        <x:f>IF(ISNUMBER(AE23),IF('Scoring Setup'!$L$17=1,1-'Scoring Setup'!$B$5*(1-MAX(0,MIN(1,(AE23-'Scoring Setup'!$K$17)/(100-'Scoring Setup'!$K$17)))),1),"")</x:f>
        <x:v>0.8</x:v>
      </x:c>
      <x:c r="AX23" s="27" t="n">
        <x:f>IF(ISNUMBER(AF23),IF('Scoring Setup'!$L$18=1,1-'Scoring Setup'!$B$5*(1-MAX(0,MIN(1,(AF23-'Scoring Setup'!$K$18)/(100-'Scoring Setup'!$K$18)))),1),"")</x:f>
        <x:v>0.8242181554627548</x:v>
      </x:c>
      <x:c r="AY23" s="27" t="n">
        <x:f>IF(ISNUMBER(AG23),IF('Scoring Setup'!$L$19=1,1-'Scoring Setup'!$B$5*(1-MAX(0,MIN(1,(AG23-'Scoring Setup'!$K$19)/(100-'Scoring Setup'!$K$19)))),1),"")</x:f>
        <x:v>0.9514444444444444</x:v>
      </x:c>
      <x:c r="AZ23" s="27" t="n">
        <x:f>IF(ISNUMBER(AH23),IF('Scoring Setup'!$L$20=1,1-'Scoring Setup'!$B$5*(1-MAX(0,MIN(1,(AH23-'Scoring Setup'!$K$20)/(100-'Scoring Setup'!$K$20)))),1),"")</x:f>
        <x:v>0.8988032362196181</x:v>
      </x:c>
      <x:c r="BA23" s="27" t="n">
        <x:f>IF(ISNUMBER(AI23),IF('Scoring Setup'!$L$21=1,1-'Scoring Setup'!$B$5*(1-MAX(0,MIN(1,(AI23-'Scoring Setup'!$K$21)/(100-'Scoring Setup'!$K$21)))),1),"")</x:f>
        <x:v>0.9120136021205357</x:v>
      </x:c>
      <x:c r="BB23" s="27" t="n">
        <x:f>IF(ISNUMBER(AJ23),IF('Scoring Setup'!$L$22=1,1-'Scoring Setup'!$B$5*(1-MAX(0,MIN(1,(AJ23-'Scoring Setup'!$K$22)/(100-'Scoring Setup'!$K$22)))),1),"")</x:f>
        <x:v>0.9550498541929549</x:v>
      </x:c>
      <x:c r="BC23" s="27" t="n">
        <x:f>IF(ISNUMBER(AK23),IF('Scoring Setup'!$L$23=1,1-'Scoring Setup'!$B$5*(1-MAX(0,MIN(1,(AK23-'Scoring Setup'!$K$23)/(100-'Scoring Setup'!$K$23)))),1),"")</x:f>
        <x:v>0.9163543588692499</x:v>
      </x:c>
      <x:c r="BD23" s="27" t="n">
        <x:f>IF(ISNUMBER(AL23),IF('Scoring Setup'!$L$24=1,1-'Scoring Setup'!$B$5*(1-MAX(0,MIN(1,(AL23-'Scoring Setup'!$K$24)/(100-'Scoring Setup'!$K$24)))),1),"")</x:f>
        <x:v>0.9094545454545454</x:v>
      </x:c>
      <x:c r="BE23" s="27" t="n">
        <x:f>IF(ISNUMBER(AM23),IF('Scoring Setup'!$L$25=1,1-'Scoring Setup'!$B$5*(1-MAX(0,MIN(1,(AM23-'Scoring Setup'!$K$25)/(100-'Scoring Setup'!$K$25)))),1),"")</x:f>
        <x:v>0.8549228700052378</x:v>
      </x:c>
      <x:c r="BF23" s="27" t="n">
        <x:f>IF(ISNUMBER(AN23),IF('Scoring Setup'!$L$26=1,1-'Scoring Setup'!$B$5*(1-MAX(0,MIN(1,(AN23-'Scoring Setup'!$K$26)/(100-'Scoring Setup'!$K$26)))),1),"")</x:f>
        <x:v>0.977621005370185</x:v>
      </x:c>
      <x:c r="BG23" s="34" t="n">
        <x:f>IF(COUNT(W23,X23)=2,AVERAGE(W23,X23),"")</x:f>
        <x:v>82.53447666195194</x:v>
      </x:c>
      <x:c r="BH23" s="34" t="n">
        <x:f>IF(COUNT(Y23,Z23)=2,AVERAGE(Y23,Z23),"")</x:f>
        <x:v>4.892235132476283</x:v>
      </x:c>
      <x:c r="BI23" s="34" t="n">
        <x:f>IF(COUNT(AA23,AB23,AC23)=3,AVERAGE(AA23,AB23,AC23),"")</x:f>
        <x:v>73.28230261716182</x:v>
      </x:c>
      <x:c r="BJ23" s="34" t="n">
        <x:f>IF(COUNT(AD23,AE23)=2,AVERAGE(AD23,AE23),"")</x:f>
        <x:v>0</x:v>
      </x:c>
      <x:c r="BK23" s="34" t="n">
        <x:f>IF(COUNT(AF23,AG23)=2,AVERAGE(AF23,AG23),"")</x:f>
        <x:v>43.91564997679981</x:v>
      </x:c>
      <x:c r="BL23" s="34" t="n">
        <x:f>IF(COUNT(AH23,AI23)=2,AVERAGE(AH23,AI23),"")</x:f>
        <x:v>52.70420958503844</x:v>
      </x:c>
      <x:c r="BM23" s="34" t="n">
        <x:f>IF(COUNT(AJ23,AK23)=2,AVERAGE(AJ23,AK23),"")</x:f>
        <x:v>67.8510532655512</x:v>
      </x:c>
      <x:c r="BN23" s="34" t="n">
        <x:f>IF(COUNT(AL23,AM23,AN23)=3,AVERAGE(AL23,AM23,AN23),"")</x:f>
        <x:v>56.999736804994704</x:v>
      </x:c>
      <x:c r="BO23" s="35" t="n">
        <x:f>IF(AND(COUNT(BG23:BN23)=8,ABS('Scoring Setup'!$C$17-1)&lt;0.000001),BG23*'Scoring Setup'!$C$9+BH23*'Scoring Setup'!$C$10+BI23*'Scoring Setup'!$C$11+BJ23*'Scoring Setup'!$C$12+BK23*'Scoring Setup'!$C$13+BL23*'Scoring Setup'!$C$14+BM23*'Scoring Setup'!$C$15+BN23*'Scoring Setup'!$C$16,"")</x:f>
        <x:v>44.07937413611451</x:v>
      </x:c>
      <x:c r="BP23" s="36" t="n">
        <x:f>IF(COUNT(AO23:BF23)=18,MIN(AO23:BF23),"")</x:f>
        <x:v>0.8</x:v>
      </x:c>
      <x:c r="BQ23" s="35" t="n">
        <x:f>IF(AND(ISNUMBER(BO23),ISNUMBER(BP23)),BO23*BP23,"")</x:f>
        <x:v>35.26349930889161</x:v>
      </x:c>
      <x:c r="BR23" s="17" t="str">
        <x:f>IF(COUNT(AO23:BF23)=18,INDEX('Scoring Setup'!$F$9:$F$26,MATCH(MIN(AO23:BF23),AO23:BF23,0),1),"")</x:f>
        <x:v>商业光纤100/20覆盖率</x:v>
      </x:c>
    </x:row>
    <x:row r="24">
      <x:c r="A24" s="28" t="str">
        <x:v>51037</x:v>
      </x:c>
      <x:c r="B24" s="28" t="str">
        <x:v>Charlotte County</x:v>
      </x:c>
      <x:c r="C24" s="28" t="str">
        <x:v>VA</x:v>
      </x:c>
      <x:c r="D24" s="31" t="n">
        <x:v>1231.010115</x:v>
      </x:c>
      <x:c r="E24" s="32" t="n">
        <x:v>0.294</x:v>
      </x:c>
      <x:c r="F24" s="32" t="n">
        <x:v>0.186881188118812</x:v>
      </x:c>
      <x:c r="G24" s="32" t="n">
        <x:v>2.8073771926411126</x:v>
      </x:c>
      <x:c r="H24" s="32" t="n">
        <x:v>3.1907234230691794</x:v>
      </x:c>
      <x:c r="I24" s="32" t="n">
        <x:v>0.9638385457259844</x:v>
      </x:c>
      <x:c r="J24" s="32" t="n">
        <x:v>0.0003487855299243418</x:v>
      </x:c>
      <x:c r="K24" s="32" t="n">
        <x:v>0.053943232671401546</x:v>
      </x:c>
      <x:c r="L24" s="32" t="n">
        <x:v>0.766877928</x:v>
      </x:c>
      <x:c r="M24" s="32" t="n">
        <x:v>0.766877928</x:v>
      </x:c>
      <x:c r="N24" s="32" t="n">
        <x:v>4783</x:v>
      </x:c>
      <x:c r="O24" s="32" t="n">
        <x:v>0.7436</x:v>
      </x:c>
      <x:c r="P24" s="32" t="n">
        <x:v>1180.271219889323</x:v>
      </x:c>
      <x:c r="Q24" s="32" t="n">
        <x:v>28.169246101379393</x:v>
      </x:c>
      <x:c r="R24" s="32" t="n">
        <x:v>57.89628314760852</x:v>
      </x:c>
      <x:c r="S24" s="32" t="n">
        <x:v>10.30563761673169</x:v>
      </x:c>
      <x:c r="T24" s="32" t="n">
        <x:v>89.9</x:v>
      </x:c>
      <x:c r="U24" s="32" t="n">
        <x:v>245.07712999476223</x:v>
      </x:c>
      <x:c r="V24" s="32" t="n">
        <x:v>244.75798925963002</x:v>
      </x:c>
      <x:c r="W24" s="33" t="n">
        <x:f>IF(ISNUMBER(E24),100*MAX(0,MIN(1,('Anchors'!$H$6-E24)/('Anchors'!$H$6-'Anchors'!$G$6))),"")</x:f>
        <x:v>86.57142857142858</x:v>
      </x:c>
      <x:c r="X24" s="33" t="n">
        <x:f>IF(ISNUMBER(F24),100*MAX(0,MIN(1,('Anchors'!$H$7-F24)/('Anchors'!$H$7-'Anchors'!$G$7))),"")</x:f>
        <x:v>87.58840169731258</x:v>
      </x:c>
      <x:c r="Y24" s="33" t="n">
        <x:f>IF(ISNUMBER(G24),100*MAX(0,MIN(1,('Anchors'!$H$8-G24)/('Anchors'!$H$8-'Anchors'!$G$8))),"")</x:f>
        <x:v>39.75409357862958</x:v>
      </x:c>
      <x:c r="Z24" s="33" t="n">
        <x:f>IF(ISNUMBER(H24),100*MAX(0,MIN(1,('Anchors'!$H$9-H24)/('Anchors'!$H$9-'Anchors'!$G$9))),"")</x:f>
        <x:v>26.97588589769402</x:v>
      </x:c>
      <x:c r="AA24" s="33" t="n">
        <x:f>IF(ISNUMBER(I24),100*MAX(0,MIN(1,(I24-'Anchors'!$H$10)/('Anchors'!$G$10-'Anchors'!$H$10))),"")</x:f>
        <x:v>97.78610215424443</x:v>
      </x:c>
      <x:c r="AB24" s="33" t="n">
        <x:f>IF(ISNUMBER(J24),100*MAX(0,MIN(1,('Anchors'!$H$11-J24)/('Anchors'!$H$11-'Anchors'!$G$11))),"")</x:f>
        <x:v>99.86048578803026</x:v>
      </x:c>
      <x:c r="AC24" s="33" t="n">
        <x:f>IF(ISNUMBER(K24),100*MAX(0,MIN(1,('Anchors'!$H$12-K24)/('Anchors'!$H$12-'Anchors'!$G$12))),"")</x:f>
        <x:v>86.5141918321496</x:v>
      </x:c>
      <x:c r="AD24" s="33" t="n">
        <x:f>IF(ISNUMBER(L24),100*MAX(0,MIN(1,(L24-'Anchors'!$H$13)/('Anchors'!$G$13-'Anchors'!$H$13))),"")</x:f>
        <x:v>80.98256114285715</x:v>
      </x:c>
      <x:c r="AE24" s="33" t="n">
        <x:f>IF(ISNUMBER(M24),100*MAX(0,MIN(1,(M24-'Anchors'!$H$14)/('Anchors'!$G$14-'Anchors'!$H$14))),"")</x:f>
        <x:v>83.359741</x:v>
      </x:c>
      <x:c r="AF24" s="33" t="n">
        <x:f>IF(ISNUMBER(N24),100*MAX(0,MIN(1,(LN(1+N24)-LN(1+'Anchors'!$H$15))/(LN(1+'Anchors'!$G$15)-LN(1+'Anchors'!$H$15)))),"")</x:f>
        <x:v>20.190664575700907</x:v>
      </x:c>
      <x:c r="AG24" s="33" t="n">
        <x:f>IF(ISNUMBER(O24),100*MAX(0,MIN(1,('Anchors'!$H$16-O24)/('Anchors'!$H$16-'Anchors'!$G$16))),"")</x:f>
        <x:v>22.933333333333326</x:v>
      </x:c>
      <x:c r="AH24" s="33" t="n">
        <x:f>IF(ISNUMBER(P24),100*MAX(0,MIN(1,('Anchors'!$H$17-P24)/('Anchors'!$H$17-'Anchors'!$G$17))),"")</x:f>
        <x:v>67.98191867404513</x:v>
      </x:c>
      <x:c r="AI24" s="33" t="n">
        <x:f>IF(ISNUMBER(Q24),100*MAX(0,MIN(1,('Anchors'!$H$18-Q24)/('Anchors'!$H$18-'Anchors'!$G$18))),"")</x:f>
        <x:v>66.90107699802944</x:v>
      </x:c>
      <x:c r="AJ24" s="33" t="n">
        <x:f>IF(ISNUMBER(R24),100*MAX(0,MIN(1,('Anchors'!$H$19-R24)/('Anchors'!$H$19-'Anchors'!$G$19))),"")</x:f>
        <x:v>0</x:v>
      </x:c>
      <x:c r="AK24" s="33" t="n">
        <x:f>IF(ISNUMBER(S24),100*MAX(0,MIN(1,('Anchors'!$H$20-S24)/('Anchors'!$H$20-'Anchors'!$G$20))),"")</x:f>
        <x:v>51.02295991193847</x:v>
      </x:c>
      <x:c r="AL24" s="33" t="n">
        <x:f>IF(ISNUMBER(T24),100*MAX(0,MIN(1,('Anchors'!$H$21-T24)/('Anchors'!$H$21-'Anchors'!$G$21))),"")</x:f>
        <x:v>54.72727272727271</x:v>
      </x:c>
      <x:c r="AM24" s="33" t="n">
        <x:f>IF(ISNUMBER(U24),100*MAX(0,MIN(1,('Anchors'!$H$22-U24)/('Anchors'!$H$22-'Anchors'!$G$22))),"")</x:f>
        <x:v>27.461435002618884</x:v>
      </x:c>
      <x:c r="AN24" s="33" t="n">
        <x:f>IF(ISNUMBER(V24),100*MAX(0,MIN(1,('Anchors'!$H$23-V24)/('Anchors'!$H$23-'Anchors'!$G$23))),"")</x:f>
        <x:v>88.8105026850925</x:v>
      </x:c>
      <x:c r="AO24" s="27" t="n">
        <x:f>IF(ISNUMBER(W24),IF('Scoring Setup'!$L$9=1,1-'Scoring Setup'!$B$5*(1-MAX(0,MIN(1,(W24-'Scoring Setup'!$K$9)/(100-'Scoring Setup'!$K$9)))),1),"")</x:f>
        <x:v>0.9731428571428572</x:v>
      </x:c>
      <x:c r="AP24" s="27" t="n">
        <x:f>IF(ISNUMBER(X24),IF('Scoring Setup'!$L$10=1,1-'Scoring Setup'!$B$5*(1-MAX(0,MIN(1,(X24-'Scoring Setup'!$K$10)/(100-'Scoring Setup'!$K$10)))),1),"")</x:f>
        <x:v>0.9751768033946252</x:v>
      </x:c>
      <x:c r="AQ24" s="27" t="n">
        <x:f>IF(ISNUMBER(Y24),IF('Scoring Setup'!$L$11=1,1-'Scoring Setup'!$B$5*(1-MAX(0,MIN(1,(Y24-'Scoring Setup'!$K$11)/(100-'Scoring Setup'!$K$11)))),1),"")</x:f>
        <x:v>0.8795081871572592</x:v>
      </x:c>
      <x:c r="AR24" s="27" t="n">
        <x:f>IF(ISNUMBER(Z24),IF('Scoring Setup'!$L$12=1,1-'Scoring Setup'!$B$5*(1-MAX(0,MIN(1,(Z24-'Scoring Setup'!$K$12)/(100-'Scoring Setup'!$K$12)))),1),"")</x:f>
        <x:v>0.8539517717953881</x:v>
      </x:c>
      <x:c r="AS24" s="27" t="n">
        <x:f>IF(ISNUMBER(AA24),IF('Scoring Setup'!$L$13=1,1-'Scoring Setup'!$B$5*(1-MAX(0,MIN(1,(AA24-'Scoring Setup'!$K$13)/(100-'Scoring Setup'!$K$13)))),1),"")</x:f>
        <x:v>0.9955722043084889</x:v>
      </x:c>
      <x:c r="AT24" s="27" t="n">
        <x:f>IF(ISNUMBER(AB24),IF('Scoring Setup'!$L$14=1,1-'Scoring Setup'!$B$5*(1-MAX(0,MIN(1,(AB24-'Scoring Setup'!$K$14)/(100-'Scoring Setup'!$K$14)))),1),"")</x:f>
        <x:v>0.9997209715760605</x:v>
      </x:c>
      <x:c r="AU24" s="27" t="n">
        <x:f>IF(ISNUMBER(AC24),IF('Scoring Setup'!$L$15=1,1-'Scoring Setup'!$B$5*(1-MAX(0,MIN(1,(AC24-'Scoring Setup'!$K$15)/(100-'Scoring Setup'!$K$15)))),1),"")</x:f>
        <x:v>0.9730283836642992</x:v>
      </x:c>
      <x:c r="AV24" s="27" t="n">
        <x:f>IF(ISNUMBER(AD24),IF('Scoring Setup'!$L$16=1,1-'Scoring Setup'!$B$5*(1-MAX(0,MIN(1,(AD24-'Scoring Setup'!$K$16)/(100-'Scoring Setup'!$K$16)))),1),"")</x:f>
        <x:v>0.9619651222857143</x:v>
      </x:c>
      <x:c r="AW24" s="27" t="n">
        <x:f>IF(ISNUMBER(AE24),IF('Scoring Setup'!$L$17=1,1-'Scoring Setup'!$B$5*(1-MAX(0,MIN(1,(AE24-'Scoring Setup'!$K$17)/(100-'Scoring Setup'!$K$17)))),1),"")</x:f>
        <x:v>0.966719482</x:v>
      </x:c>
      <x:c r="AX24" s="27" t="n">
        <x:f>IF(ISNUMBER(AF24),IF('Scoring Setup'!$L$18=1,1-'Scoring Setup'!$B$5*(1-MAX(0,MIN(1,(AF24-'Scoring Setup'!$K$18)/(100-'Scoring Setup'!$K$18)))),1),"")</x:f>
        <x:v>0.8403813291514018</x:v>
      </x:c>
      <x:c r="AY24" s="27" t="n">
        <x:f>IF(ISNUMBER(AG24),IF('Scoring Setup'!$L$19=1,1-'Scoring Setup'!$B$5*(1-MAX(0,MIN(1,(AG24-'Scoring Setup'!$K$19)/(100-'Scoring Setup'!$K$19)))),1),"")</x:f>
        <x:v>0.8458666666666667</x:v>
      </x:c>
      <x:c r="AZ24" s="27" t="n">
        <x:f>IF(ISNUMBER(AH24),IF('Scoring Setup'!$L$20=1,1-'Scoring Setup'!$B$5*(1-MAX(0,MIN(1,(AH24-'Scoring Setup'!$K$20)/(100-'Scoring Setup'!$K$20)))),1),"")</x:f>
        <x:v>0.9359638373480903</x:v>
      </x:c>
      <x:c r="BA24" s="27" t="n">
        <x:f>IF(ISNUMBER(AI24),IF('Scoring Setup'!$L$21=1,1-'Scoring Setup'!$B$5*(1-MAX(0,MIN(1,(AI24-'Scoring Setup'!$K$21)/(100-'Scoring Setup'!$K$21)))),1),"")</x:f>
        <x:v>0.9338021539960589</x:v>
      </x:c>
      <x:c r="BB24" s="27" t="n">
        <x:f>IF(ISNUMBER(AJ24),IF('Scoring Setup'!$L$22=1,1-'Scoring Setup'!$B$5*(1-MAX(0,MIN(1,(AJ24-'Scoring Setup'!$K$22)/(100-'Scoring Setup'!$K$22)))),1),"")</x:f>
        <x:v>0.8</x:v>
      </x:c>
      <x:c r="BC24" s="27" t="n">
        <x:f>IF(ISNUMBER(AK24),IF('Scoring Setup'!$L$23=1,1-'Scoring Setup'!$B$5*(1-MAX(0,MIN(1,(AK24-'Scoring Setup'!$K$23)/(100-'Scoring Setup'!$K$23)))),1),"")</x:f>
        <x:v>0.9020459198238769</x:v>
      </x:c>
      <x:c r="BD24" s="27" t="n">
        <x:f>IF(ISNUMBER(AL24),IF('Scoring Setup'!$L$24=1,1-'Scoring Setup'!$B$5*(1-MAX(0,MIN(1,(AL24-'Scoring Setup'!$K$24)/(100-'Scoring Setup'!$K$24)))),1),"")</x:f>
        <x:v>0.9094545454545454</x:v>
      </x:c>
      <x:c r="BE24" s="27" t="n">
        <x:f>IF(ISNUMBER(AM24),IF('Scoring Setup'!$L$25=1,1-'Scoring Setup'!$B$5*(1-MAX(0,MIN(1,(AM24-'Scoring Setup'!$K$25)/(100-'Scoring Setup'!$K$25)))),1),"")</x:f>
        <x:v>0.8549228700052378</x:v>
      </x:c>
      <x:c r="BF24" s="27" t="n">
        <x:f>IF(ISNUMBER(AN24),IF('Scoring Setup'!$L$26=1,1-'Scoring Setup'!$B$5*(1-MAX(0,MIN(1,(AN24-'Scoring Setup'!$K$26)/(100-'Scoring Setup'!$K$26)))),1),"")</x:f>
        <x:v>0.977621005370185</x:v>
      </x:c>
      <x:c r="BG24" s="34" t="n">
        <x:f>IF(COUNT(W24,X24)=2,AVERAGE(W24,X24),"")</x:f>
        <x:v>87.07991513437058</x:v>
      </x:c>
      <x:c r="BH24" s="34" t="n">
        <x:f>IF(COUNT(Y24,Z24)=2,AVERAGE(Y24,Z24),"")</x:f>
        <x:v>33.364989738161796</x:v>
      </x:c>
      <x:c r="BI24" s="34" t="n">
        <x:f>IF(COUNT(AA24,AB24,AC24)=3,AVERAGE(AA24,AB24,AC24),"")</x:f>
        <x:v>94.7202599248081</x:v>
      </x:c>
      <x:c r="BJ24" s="34" t="n">
        <x:f>IF(COUNT(AD24,AE24)=2,AVERAGE(AD24,AE24),"")</x:f>
        <x:v>82.17115107142857</x:v>
      </x:c>
      <x:c r="BK24" s="34" t="n">
        <x:f>IF(COUNT(AF24,AG24)=2,AVERAGE(AF24,AG24),"")</x:f>
        <x:v>21.561998954517115</x:v>
      </x:c>
      <x:c r="BL24" s="34" t="n">
        <x:f>IF(COUNT(AH24,AI24)=2,AVERAGE(AH24,AI24),"")</x:f>
        <x:v>67.44149783603729</x:v>
      </x:c>
      <x:c r="BM24" s="34" t="n">
        <x:f>IF(COUNT(AJ24,AK24)=2,AVERAGE(AJ24,AK24),"")</x:f>
        <x:v>25.511479955969236</x:v>
      </x:c>
      <x:c r="BN24" s="34" t="n">
        <x:f>IF(COUNT(AL24,AM24,AN24)=3,AVERAGE(AL24,AM24,AN24),"")</x:f>
        <x:v>56.999736804994704</x:v>
      </x:c>
      <x:c r="BO24" s="35" t="n">
        <x:f>IF(AND(COUNT(BG24:BN24)=8,ABS('Scoring Setup'!$C$17-1)&lt;0.000001),BG24*'Scoring Setup'!$C$9+BH24*'Scoring Setup'!$C$10+BI24*'Scoring Setup'!$C$11+BJ24*'Scoring Setup'!$C$12+BK24*'Scoring Setup'!$C$13+BL24*'Scoring Setup'!$C$14+BM24*'Scoring Setup'!$C$15+BN24*'Scoring Setup'!$C$16,"")</x:f>
        <x:v>56.97390038724354</x:v>
      </x:c>
      <x:c r="BP24" s="36" t="n">
        <x:f>IF(COUNT(AO24:BF24)=18,MIN(AO24:BF24),"")</x:f>
        <x:v>0.8</x:v>
      </x:c>
      <x:c r="BQ24" s="35" t="n">
        <x:f>IF(AND(ISNUMBER(BO24),ISNUMBER(BP24)),BO24*BP24,"")</x:f>
        <x:v>45.57912030979483</x:v>
      </x:c>
      <x:c r="BR24" s="17" t="str">
        <x:f>IF(COUNT(AO24:BF24)=18,INDEX('Scoring Setup'!$F$9:$F$26,MATCH(MIN(AO24:BF24),AO24:BF24,0),1),"")</x:f>
        <x:v>到Interstate距离</x:v>
      </x:c>
    </x:row>
    <x:row r="25">
      <x:c r="A25" s="28" t="str">
        <x:v>51041</x:v>
      </x:c>
      <x:c r="B25" s="28" t="str">
        <x:v>Chesterfield County</x:v>
      </x:c>
      <x:c r="C25" s="28" t="str">
        <x:v>VA</x:v>
      </x:c>
      <x:c r="D25" s="31" t="n">
        <x:v>1096.874572</x:v>
      </x:c>
      <x:c r="E25" s="32" t="n">
        <x:v>0.243</x:v>
      </x:c>
      <x:c r="F25" s="32" t="n">
        <x:v>0.31930693069306904</x:v>
      </x:c>
      <x:c r="G25" s="32" t="n">
        <x:v>2.899433277396443</x:v>
      </x:c>
      <x:c r="H25" s="32" t="n">
        <x:v>3.1962812418170747</x:v>
      </x:c>
      <x:c r="I25" s="32" t="n">
        <x:v>0.6929462446824776</x:v>
      </x:c>
      <x:c r="J25" s="32" t="n">
        <x:v>0.037350045455412866</x:v>
      </x:c>
      <x:c r="K25" s="32" t="n">
        <x:v>0.0703159812244344</x:v>
      </x:c>
      <x:c r="L25" s="32" t="n">
        <x:v>0.783316321</x:v>
      </x:c>
      <x:c r="M25" s="32" t="n">
        <x:v>0.005439653</x:v>
      </x:c>
      <x:c r="N25" s="32" t="n">
        <x:v>205327</x:v>
      </x:c>
      <x:c r="O25" s="32" t="n">
        <x:v>0.2943</x:v>
      </x:c>
      <x:c r="P25" s="32" t="n">
        <x:v>1311.3430094401042</x:v>
      </x:c>
      <x:c r="Q25" s="32" t="n">
        <x:v>30.659940719604492</x:v>
      </x:c>
      <x:c r="R25" s="32" t="n">
        <x:v>14.479288192402342</x:v>
      </x:c>
      <x:c r="S25" s="32" t="n">
        <x:v>11.647954701706437</x:v>
      </x:c>
      <x:c r="T25" s="32" t="n">
        <x:v>89.9</x:v>
      </x:c>
      <x:c r="U25" s="32" t="n">
        <x:v>245.07712999476223</x:v>
      </x:c>
      <x:c r="V25" s="32" t="n">
        <x:v>244.75798925963002</x:v>
      </x:c>
      <x:c r="W25" s="33" t="n">
        <x:f>IF(ISNUMBER(E25),100*MAX(0,MIN(1,('Anchors'!$H$6-E25)/('Anchors'!$H$6-'Anchors'!$G$6))),"")</x:f>
        <x:v>93.85714285714288</x:v>
      </x:c>
      <x:c r="X25" s="33" t="n">
        <x:f>IF(ISNUMBER(F25),100*MAX(0,MIN(1,('Anchors'!$H$7-F25)/('Anchors'!$H$7-'Anchors'!$G$7))),"")</x:f>
        <x:v>68.67043847241871</x:v>
      </x:c>
      <x:c r="Y25" s="33" t="n">
        <x:f>IF(ISNUMBER(G25),100*MAX(0,MIN(1,('Anchors'!$H$8-G25)/('Anchors'!$H$8-'Anchors'!$G$8))),"")</x:f>
        <x:v>36.68555742011857</x:v>
      </x:c>
      <x:c r="Z25" s="33" t="n">
        <x:f>IF(ISNUMBER(H25),100*MAX(0,MIN(1,('Anchors'!$H$9-H25)/('Anchors'!$H$9-'Anchors'!$G$9))),"")</x:f>
        <x:v>26.790625272764174</x:v>
      </x:c>
      <x:c r="AA25" s="33" t="n">
        <x:f>IF(ISNUMBER(I25),100*MAX(0,MIN(1,(I25-'Anchors'!$H$10)/('Anchors'!$G$10-'Anchors'!$H$10))),"")</x:f>
        <x:v>60.67756776472295</x:v>
      </x:c>
      <x:c r="AB25" s="33" t="n">
        <x:f>IF(ISNUMBER(J25),100*MAX(0,MIN(1,('Anchors'!$H$11-J25)/('Anchors'!$H$11-'Anchors'!$G$11))),"")</x:f>
        <x:v>85.05998181783485</x:v>
      </x:c>
      <x:c r="AC25" s="33" t="n">
        <x:f>IF(ISNUMBER(K25),100*MAX(0,MIN(1,('Anchors'!$H$12-K25)/('Anchors'!$H$12-'Anchors'!$G$12))),"")</x:f>
        <x:v>82.4210046938914</x:v>
      </x:c>
      <x:c r="AD25" s="33" t="n">
        <x:f>IF(ISNUMBER(L25),100*MAX(0,MIN(1,(L25-'Anchors'!$H$13)/('Anchors'!$G$13-'Anchors'!$H$13))),"")</x:f>
        <x:v>83.330903</x:v>
      </x:c>
      <x:c r="AE25" s="33" t="n">
        <x:f>IF(ISNUMBER(M25),100*MAX(0,MIN(1,(M25-'Anchors'!$H$14)/('Anchors'!$G$14-'Anchors'!$H$14))),"")</x:f>
        <x:v>0</x:v>
      </x:c>
      <x:c r="AF25" s="33" t="n">
        <x:f>IF(ISNUMBER(N25),100*MAX(0,MIN(1,(LN(1+N25)-LN(1+'Anchors'!$H$15))/(LN(1+'Anchors'!$G$15)-LN(1+'Anchors'!$H$15)))),"")</x:f>
        <x:v>100</x:v>
      </x:c>
      <x:c r="AG25" s="33" t="n">
        <x:f>IF(ISNUMBER(O25),100*MAX(0,MIN(1,('Anchors'!$H$16-O25)/('Anchors'!$H$16-'Anchors'!$G$16))),"")</x:f>
        <x:v>72.85555555555557</x:v>
      </x:c>
      <x:c r="AH25" s="33" t="n">
        <x:f>IF(ISNUMBER(P25),100*MAX(0,MIN(1,('Anchors'!$H$17-P25)/('Anchors'!$H$17-'Anchors'!$G$17))),"")</x:f>
        <x:v>59.24379937065972</x:v>
      </x:c>
      <x:c r="AI25" s="33" t="n">
        <x:f>IF(ISNUMBER(Q25),100*MAX(0,MIN(1,('Anchors'!$H$18-Q25)/('Anchors'!$H$18-'Anchors'!$G$18))),"")</x:f>
        <x:v>63.342941829136436</x:v>
      </x:c>
      <x:c r="AJ25" s="33" t="n">
        <x:f>IF(ISNUMBER(R25),100*MAX(0,MIN(1,('Anchors'!$H$19-R25)/('Anchors'!$H$19-'Anchors'!$G$19))),"")</x:f>
        <x:v>78.9349151279948</x:v>
      </x:c>
      <x:c r="AK25" s="33" t="n">
        <x:f>IF(ISNUMBER(S25),100*MAX(0,MIN(1,('Anchors'!$H$20-S25)/('Anchors'!$H$20-'Anchors'!$G$20))),"")</x:f>
        <x:v>43.95813314891349</x:v>
      </x:c>
      <x:c r="AL25" s="33" t="n">
        <x:f>IF(ISNUMBER(T25),100*MAX(0,MIN(1,('Anchors'!$H$21-T25)/('Anchors'!$H$21-'Anchors'!$G$21))),"")</x:f>
        <x:v>54.72727272727271</x:v>
      </x:c>
      <x:c r="AM25" s="33" t="n">
        <x:f>IF(ISNUMBER(U25),100*MAX(0,MIN(1,('Anchors'!$H$22-U25)/('Anchors'!$H$22-'Anchors'!$G$22))),"")</x:f>
        <x:v>27.461435002618884</x:v>
      </x:c>
      <x:c r="AN25" s="33" t="n">
        <x:f>IF(ISNUMBER(V25),100*MAX(0,MIN(1,('Anchors'!$H$23-V25)/('Anchors'!$H$23-'Anchors'!$G$23))),"")</x:f>
        <x:v>88.8105026850925</x:v>
      </x:c>
      <x:c r="AO25" s="27" t="n">
        <x:f>IF(ISNUMBER(W25),IF('Scoring Setup'!$L$9=1,1-'Scoring Setup'!$B$5*(1-MAX(0,MIN(1,(W25-'Scoring Setup'!$K$9)/(100-'Scoring Setup'!$K$9)))),1),"")</x:f>
        <x:v>0.9877142857142858</x:v>
      </x:c>
      <x:c r="AP25" s="27" t="n">
        <x:f>IF(ISNUMBER(X25),IF('Scoring Setup'!$L$10=1,1-'Scoring Setup'!$B$5*(1-MAX(0,MIN(1,(X25-'Scoring Setup'!$K$10)/(100-'Scoring Setup'!$K$10)))),1),"")</x:f>
        <x:v>0.9373408769448374</x:v>
      </x:c>
      <x:c r="AQ25" s="27" t="n">
        <x:f>IF(ISNUMBER(Y25),IF('Scoring Setup'!$L$11=1,1-'Scoring Setup'!$B$5*(1-MAX(0,MIN(1,(Y25-'Scoring Setup'!$K$11)/(100-'Scoring Setup'!$K$11)))),1),"")</x:f>
        <x:v>0.8733711148402371</x:v>
      </x:c>
      <x:c r="AR25" s="27" t="n">
        <x:f>IF(ISNUMBER(Z25),IF('Scoring Setup'!$L$12=1,1-'Scoring Setup'!$B$5*(1-MAX(0,MIN(1,(Z25-'Scoring Setup'!$K$12)/(100-'Scoring Setup'!$K$12)))),1),"")</x:f>
        <x:v>0.8535812505455284</x:v>
      </x:c>
      <x:c r="AS25" s="27" t="n">
        <x:f>IF(ISNUMBER(AA25),IF('Scoring Setup'!$L$13=1,1-'Scoring Setup'!$B$5*(1-MAX(0,MIN(1,(AA25-'Scoring Setup'!$K$13)/(100-'Scoring Setup'!$K$13)))),1),"")</x:f>
        <x:v>0.9213551355294459</x:v>
      </x:c>
      <x:c r="AT25" s="27" t="n">
        <x:f>IF(ISNUMBER(AB25),IF('Scoring Setup'!$L$14=1,1-'Scoring Setup'!$B$5*(1-MAX(0,MIN(1,(AB25-'Scoring Setup'!$K$14)/(100-'Scoring Setup'!$K$14)))),1),"")</x:f>
        <x:v>0.9701199636356697</x:v>
      </x:c>
      <x:c r="AU25" s="27" t="n">
        <x:f>IF(ISNUMBER(AC25),IF('Scoring Setup'!$L$15=1,1-'Scoring Setup'!$B$5*(1-MAX(0,MIN(1,(AC25-'Scoring Setup'!$K$15)/(100-'Scoring Setup'!$K$15)))),1),"")</x:f>
        <x:v>0.9648420093877829</x:v>
      </x:c>
      <x:c r="AV25" s="27" t="n">
        <x:f>IF(ISNUMBER(AD25),IF('Scoring Setup'!$L$16=1,1-'Scoring Setup'!$B$5*(1-MAX(0,MIN(1,(AD25-'Scoring Setup'!$K$16)/(100-'Scoring Setup'!$K$16)))),1),"")</x:f>
        <x:v>0.9666618060000001</x:v>
      </x:c>
      <x:c r="AW25" s="27" t="n">
        <x:f>IF(ISNUMBER(AE25),IF('Scoring Setup'!$L$17=1,1-'Scoring Setup'!$B$5*(1-MAX(0,MIN(1,(AE25-'Scoring Setup'!$K$17)/(100-'Scoring Setup'!$K$17)))),1),"")</x:f>
        <x:v>0.8</x:v>
      </x:c>
      <x:c r="AX25" s="27" t="n">
        <x:f>IF(ISNUMBER(AF25),IF('Scoring Setup'!$L$18=1,1-'Scoring Setup'!$B$5*(1-MAX(0,MIN(1,(AF25-'Scoring Setup'!$K$18)/(100-'Scoring Setup'!$K$18)))),1),"")</x:f>
        <x:v>1</x:v>
      </x:c>
      <x:c r="AY25" s="27" t="n">
        <x:f>IF(ISNUMBER(AG25),IF('Scoring Setup'!$L$19=1,1-'Scoring Setup'!$B$5*(1-MAX(0,MIN(1,(AG25-'Scoring Setup'!$K$19)/(100-'Scoring Setup'!$K$19)))),1),"")</x:f>
        <x:v>0.9457111111111112</x:v>
      </x:c>
      <x:c r="AZ25" s="27" t="n">
        <x:f>IF(ISNUMBER(AH25),IF('Scoring Setup'!$L$20=1,1-'Scoring Setup'!$B$5*(1-MAX(0,MIN(1,(AH25-'Scoring Setup'!$K$20)/(100-'Scoring Setup'!$K$20)))),1),"")</x:f>
        <x:v>0.9184875987413195</x:v>
      </x:c>
      <x:c r="BA25" s="27" t="n">
        <x:f>IF(ISNUMBER(AI25),IF('Scoring Setup'!$L$21=1,1-'Scoring Setup'!$B$5*(1-MAX(0,MIN(1,(AI25-'Scoring Setup'!$K$21)/(100-'Scoring Setup'!$K$21)))),1),"")</x:f>
        <x:v>0.9266858836582729</x:v>
      </x:c>
      <x:c r="BB25" s="27" t="n">
        <x:f>IF(ISNUMBER(AJ25),IF('Scoring Setup'!$L$22=1,1-'Scoring Setup'!$B$5*(1-MAX(0,MIN(1,(AJ25-'Scoring Setup'!$K$22)/(100-'Scoring Setup'!$K$22)))),1),"")</x:f>
        <x:v>0.9578698302559896</x:v>
      </x:c>
      <x:c r="BC25" s="27" t="n">
        <x:f>IF(ISNUMBER(AK25),IF('Scoring Setup'!$L$23=1,1-'Scoring Setup'!$B$5*(1-MAX(0,MIN(1,(AK25-'Scoring Setup'!$K$23)/(100-'Scoring Setup'!$K$23)))),1),"")</x:f>
        <x:v>0.8879162662978269</x:v>
      </x:c>
      <x:c r="BD25" s="27" t="n">
        <x:f>IF(ISNUMBER(AL25),IF('Scoring Setup'!$L$24=1,1-'Scoring Setup'!$B$5*(1-MAX(0,MIN(1,(AL25-'Scoring Setup'!$K$24)/(100-'Scoring Setup'!$K$24)))),1),"")</x:f>
        <x:v>0.9094545454545454</x:v>
      </x:c>
      <x:c r="BE25" s="27" t="n">
        <x:f>IF(ISNUMBER(AM25),IF('Scoring Setup'!$L$25=1,1-'Scoring Setup'!$B$5*(1-MAX(0,MIN(1,(AM25-'Scoring Setup'!$K$25)/(100-'Scoring Setup'!$K$25)))),1),"")</x:f>
        <x:v>0.8549228700052378</x:v>
      </x:c>
      <x:c r="BF25" s="27" t="n">
        <x:f>IF(ISNUMBER(AN25),IF('Scoring Setup'!$L$26=1,1-'Scoring Setup'!$B$5*(1-MAX(0,MIN(1,(AN25-'Scoring Setup'!$K$26)/(100-'Scoring Setup'!$K$26)))),1),"")</x:f>
        <x:v>0.977621005370185</x:v>
      </x:c>
      <x:c r="BG25" s="34" t="n">
        <x:f>IF(COUNT(W25,X25)=2,AVERAGE(W25,X25),"")</x:f>
        <x:v>81.2637906647808</x:v>
      </x:c>
      <x:c r="BH25" s="34" t="n">
        <x:f>IF(COUNT(Y25,Z25)=2,AVERAGE(Y25,Z25),"")</x:f>
        <x:v>31.738091346441372</x:v>
      </x:c>
      <x:c r="BI25" s="34" t="n">
        <x:f>IF(COUNT(AA25,AB25,AC25)=3,AVERAGE(AA25,AB25,AC25),"")</x:f>
        <x:v>76.05285142548307</x:v>
      </x:c>
      <x:c r="BJ25" s="34" t="n">
        <x:f>IF(COUNT(AD25,AE25)=2,AVERAGE(AD25,AE25),"")</x:f>
        <x:v>41.6654515</x:v>
      </x:c>
      <x:c r="BK25" s="34" t="n">
        <x:f>IF(COUNT(AF25,AG25)=2,AVERAGE(AF25,AG25),"")</x:f>
        <x:v>86.42777777777778</x:v>
      </x:c>
      <x:c r="BL25" s="34" t="n">
        <x:f>IF(COUNT(AH25,AI25)=2,AVERAGE(AH25,AI25),"")</x:f>
        <x:v>61.29337059989808</x:v>
      </x:c>
      <x:c r="BM25" s="34" t="n">
        <x:f>IF(COUNT(AJ25,AK25)=2,AVERAGE(AJ25,AK25),"")</x:f>
        <x:v>61.446524138454144</x:v>
      </x:c>
      <x:c r="BN25" s="34" t="n">
        <x:f>IF(COUNT(AL25,AM25,AN25)=3,AVERAGE(AL25,AM25,AN25),"")</x:f>
        <x:v>56.999736804994704</x:v>
      </x:c>
      <x:c r="BO25" s="35" t="n">
        <x:f>IF(AND(COUNT(BG25:BN25)=8,ABS('Scoring Setup'!$C$17-1)&lt;0.000001),BG25*'Scoring Setup'!$C$9+BH25*'Scoring Setup'!$C$10+BI25*'Scoring Setup'!$C$11+BJ25*'Scoring Setup'!$C$12+BK25*'Scoring Setup'!$C$13+BL25*'Scoring Setup'!$C$14+BM25*'Scoring Setup'!$C$15+BN25*'Scoring Setup'!$C$16,"")</x:f>
        <x:v>58.12552118450847</x:v>
      </x:c>
      <x:c r="BP25" s="36" t="n">
        <x:f>IF(COUNT(AO25:BF25)=18,MIN(AO25:BF25),"")</x:f>
        <x:v>0.8</x:v>
      </x:c>
      <x:c r="BQ25" s="35" t="n">
        <x:f>IF(AND(ISNUMBER(BO25),ISNUMBER(BP25)),BO25*BP25,"")</x:f>
        <x:v>46.50041694760678</x:v>
      </x:c>
      <x:c r="BR25" s="17" t="str">
        <x:f>IF(COUNT(AO25:BF25)=18,INDEX('Scoring Setup'!$F$9:$F$26,MATCH(MIN(AO25:BF25),AO25:BF25,0),1),"")</x:f>
        <x:v>商业光纤1000/100覆盖率</x:v>
      </x:c>
    </x:row>
    <x:row r="26">
      <x:c r="A26" s="28" t="str">
        <x:v>51043</x:v>
      </x:c>
      <x:c r="B26" s="28" t="str">
        <x:v>Clarke County</x:v>
      </x:c>
      <x:c r="C26" s="28" t="str">
        <x:v>VA</x:v>
      </x:c>
      <x:c r="D26" s="31" t="n">
        <x:v>455.72973</x:v>
      </x:c>
      <x:c r="E26" s="32" t="n">
        <x:v>0.443</x:v>
      </x:c>
      <x:c r="F26" s="32" t="n">
        <x:v>0.534653465346535</x:v>
      </x:c>
      <x:c r="G26" s="32" t="n">
        <x:v>2.803844034936887</x:v>
      </x:c>
      <x:c r="H26" s="32" t="n">
        <x:v>3.088403031532259</x:v>
      </x:c>
      <x:c r="I26" s="32" t="n">
        <x:v>0.9430091334793327</x:v>
      </x:c>
      <x:c r="J26" s="32" t="n">
        <x:v>0.0028344761368589624</x:v>
      </x:c>
      <x:c r="K26" s="32" t="n">
        <x:v>0.0031198518512693687</x:v>
      </x:c>
      <x:c r="L26" s="32" t="n">
        <x:v>0.110621831</x:v>
      </x:c>
      <x:c r="M26" s="32" t="n">
        <x:v>0.105684548</x:v>
      </x:c>
      <x:c r="N26" s="32" t="n">
        <x:v>8054</x:v>
      </x:c>
      <x:c r="O26" s="32" t="n">
        <x:v>0.0598</x:v>
      </x:c>
      <x:c r="P26" s="32" t="n">
        <x:v>938.1668986002604</x:v>
      </x:c>
      <x:c r="Q26" s="32" t="n">
        <x:v>15.71135196685791</x:v>
      </x:c>
      <x:c r="R26" s="32" t="n">
        <x:v>14.822066459457874</x:v>
      </x:c>
      <x:c r="S26" s="32" t="n">
        <x:v>0.8052109829806781</x:v>
      </x:c>
      <x:c r="T26" s="32" t="n">
        <x:v>89.9</x:v>
      </x:c>
      <x:c r="U26" s="32" t="n">
        <x:v>245.07712999476223</x:v>
      </x:c>
      <x:c r="V26" s="32" t="n">
        <x:v>244.75798925963002</x:v>
      </x:c>
      <x:c r="W26" s="33" t="n">
        <x:f>IF(ISNUMBER(E26),100*MAX(0,MIN(1,('Anchors'!$H$6-E26)/('Anchors'!$H$6-'Anchors'!$G$6))),"")</x:f>
        <x:v>65.28571428571429</x:v>
      </x:c>
      <x:c r="X26" s="33" t="n">
        <x:f>IF(ISNUMBER(F26),100*MAX(0,MIN(1,('Anchors'!$H$7-F26)/('Anchors'!$H$7-'Anchors'!$G$7))),"")</x:f>
        <x:v>37.90664780763785</x:v>
      </x:c>
      <x:c r="Y26" s="33" t="n">
        <x:f>IF(ISNUMBER(G26),100*MAX(0,MIN(1,('Anchors'!$H$8-G26)/('Anchors'!$H$8-'Anchors'!$G$8))),"")</x:f>
        <x:v>39.87186550210377</x:v>
      </x:c>
      <x:c r="Z26" s="33" t="n">
        <x:f>IF(ISNUMBER(H26),100*MAX(0,MIN(1,('Anchors'!$H$9-H26)/('Anchors'!$H$9-'Anchors'!$G$9))),"")</x:f>
        <x:v>30.386565615591365</x:v>
      </x:c>
      <x:c r="AA26" s="33" t="n">
        <x:f>IF(ISNUMBER(I26),100*MAX(0,MIN(1,(I26-'Anchors'!$H$10)/('Anchors'!$G$10-'Anchors'!$H$10))),"")</x:f>
        <x:v>94.93275801086749</x:v>
      </x:c>
      <x:c r="AB26" s="33" t="n">
        <x:f>IF(ISNUMBER(J26),100*MAX(0,MIN(1,('Anchors'!$H$11-J26)/('Anchors'!$H$11-'Anchors'!$G$11))),"")</x:f>
        <x:v>98.86620954525641</x:v>
      </x:c>
      <x:c r="AC26" s="33" t="n">
        <x:f>IF(ISNUMBER(K26),100*MAX(0,MIN(1,('Anchors'!$H$12-K26)/('Anchors'!$H$12-'Anchors'!$G$12))),"")</x:f>
        <x:v>99.22003703718265</x:v>
      </x:c>
      <x:c r="AD26" s="33" t="n">
        <x:f>IF(ISNUMBER(L26),100*MAX(0,MIN(1,(L26-'Anchors'!$H$13)/('Anchors'!$G$13-'Anchors'!$H$13))),"")</x:f>
        <x:v>0</x:v>
      </x:c>
      <x:c r="AE26" s="33" t="n">
        <x:f>IF(ISNUMBER(M26),100*MAX(0,MIN(1,(M26-'Anchors'!$H$14)/('Anchors'!$G$14-'Anchors'!$H$14))),"")</x:f>
        <x:v>0.7105684999999997</x:v>
      </x:c>
      <x:c r="AF26" s="33" t="n">
        <x:f>IF(ISNUMBER(N26),100*MAX(0,MIN(1,(LN(1+N26)-LN(1+'Anchors'!$H$15))/(LN(1+'Anchors'!$G$15)-LN(1+'Anchors'!$H$15)))),"")</x:f>
        <x:v>32.25961558049295</x:v>
      </x:c>
      <x:c r="AG26" s="33" t="n">
        <x:f>IF(ISNUMBER(O26),100*MAX(0,MIN(1,('Anchors'!$H$16-O26)/('Anchors'!$H$16-'Anchors'!$G$16))),"")</x:f>
        <x:v>98.91111111111111</x:v>
      </x:c>
      <x:c r="AH26" s="33" t="n">
        <x:f>IF(ISNUMBER(P26),100*MAX(0,MIN(1,('Anchors'!$H$17-P26)/('Anchors'!$H$17-'Anchors'!$G$17))),"")</x:f>
        <x:v>84.12220675998263</x:v>
      </x:c>
      <x:c r="AI26" s="33" t="n">
        <x:f>IF(ISNUMBER(Q26),100*MAX(0,MIN(1,('Anchors'!$H$18-Q26)/('Anchors'!$H$18-'Anchors'!$G$18))),"")</x:f>
        <x:v>84.69806861877441</x:v>
      </x:c>
      <x:c r="AJ26" s="33" t="n">
        <x:f>IF(ISNUMBER(R26),100*MAX(0,MIN(1,('Anchors'!$H$19-R26)/('Anchors'!$H$19-'Anchors'!$G$19))),"")</x:f>
        <x:v>78.17318564564917</x:v>
      </x:c>
      <x:c r="AK26" s="33" t="n">
        <x:f>IF(ISNUMBER(S26),100*MAX(0,MIN(1,('Anchors'!$H$20-S26)/('Anchors'!$H$20-'Anchors'!$G$20))),"")</x:f>
        <x:v>100</x:v>
      </x:c>
      <x:c r="AL26" s="33" t="n">
        <x:f>IF(ISNUMBER(T26),100*MAX(0,MIN(1,('Anchors'!$H$21-T26)/('Anchors'!$H$21-'Anchors'!$G$21))),"")</x:f>
        <x:v>54.72727272727271</x:v>
      </x:c>
      <x:c r="AM26" s="33" t="n">
        <x:f>IF(ISNUMBER(U26),100*MAX(0,MIN(1,('Anchors'!$H$22-U26)/('Anchors'!$H$22-'Anchors'!$G$22))),"")</x:f>
        <x:v>27.461435002618884</x:v>
      </x:c>
      <x:c r="AN26" s="33" t="n">
        <x:f>IF(ISNUMBER(V26),100*MAX(0,MIN(1,('Anchors'!$H$23-V26)/('Anchors'!$H$23-'Anchors'!$G$23))),"")</x:f>
        <x:v>88.8105026850925</x:v>
      </x:c>
      <x:c r="AO26" s="27" t="n">
        <x:f>IF(ISNUMBER(W26),IF('Scoring Setup'!$L$9=1,1-'Scoring Setup'!$B$5*(1-MAX(0,MIN(1,(W26-'Scoring Setup'!$K$9)/(100-'Scoring Setup'!$K$9)))),1),"")</x:f>
        <x:v>0.9305714285714286</x:v>
      </x:c>
      <x:c r="AP26" s="27" t="n">
        <x:f>IF(ISNUMBER(X26),IF('Scoring Setup'!$L$10=1,1-'Scoring Setup'!$B$5*(1-MAX(0,MIN(1,(X26-'Scoring Setup'!$K$10)/(100-'Scoring Setup'!$K$10)))),1),"")</x:f>
        <x:v>0.8758132956152758</x:v>
      </x:c>
      <x:c r="AQ26" s="27" t="n">
        <x:f>IF(ISNUMBER(Y26),IF('Scoring Setup'!$L$11=1,1-'Scoring Setup'!$B$5*(1-MAX(0,MIN(1,(Y26-'Scoring Setup'!$K$11)/(100-'Scoring Setup'!$K$11)))),1),"")</x:f>
        <x:v>0.8797437310042076</x:v>
      </x:c>
      <x:c r="AR26" s="27" t="n">
        <x:f>IF(ISNUMBER(Z26),IF('Scoring Setup'!$L$12=1,1-'Scoring Setup'!$B$5*(1-MAX(0,MIN(1,(Z26-'Scoring Setup'!$K$12)/(100-'Scoring Setup'!$K$12)))),1),"")</x:f>
        <x:v>0.8607731312311827</x:v>
      </x:c>
      <x:c r="AS26" s="27" t="n">
        <x:f>IF(ISNUMBER(AA26),IF('Scoring Setup'!$L$13=1,1-'Scoring Setup'!$B$5*(1-MAX(0,MIN(1,(AA26-'Scoring Setup'!$K$13)/(100-'Scoring Setup'!$K$13)))),1),"")</x:f>
        <x:v>0.989865516021735</x:v>
      </x:c>
      <x:c r="AT26" s="27" t="n">
        <x:f>IF(ISNUMBER(AB26),IF('Scoring Setup'!$L$14=1,1-'Scoring Setup'!$B$5*(1-MAX(0,MIN(1,(AB26-'Scoring Setup'!$K$14)/(100-'Scoring Setup'!$K$14)))),1),"")</x:f>
        <x:v>0.9977324190905128</x:v>
      </x:c>
      <x:c r="AU26" s="27" t="n">
        <x:f>IF(ISNUMBER(AC26),IF('Scoring Setup'!$L$15=1,1-'Scoring Setup'!$B$5*(1-MAX(0,MIN(1,(AC26-'Scoring Setup'!$K$15)/(100-'Scoring Setup'!$K$15)))),1),"")</x:f>
        <x:v>0.9984400740743653</x:v>
      </x:c>
      <x:c r="AV26" s="27" t="n">
        <x:f>IF(ISNUMBER(AD26),IF('Scoring Setup'!$L$16=1,1-'Scoring Setup'!$B$5*(1-MAX(0,MIN(1,(AD26-'Scoring Setup'!$K$16)/(100-'Scoring Setup'!$K$16)))),1),"")</x:f>
        <x:v>0.8</x:v>
      </x:c>
      <x:c r="AW26" s="27" t="n">
        <x:f>IF(ISNUMBER(AE26),IF('Scoring Setup'!$L$17=1,1-'Scoring Setup'!$B$5*(1-MAX(0,MIN(1,(AE26-'Scoring Setup'!$K$17)/(100-'Scoring Setup'!$K$17)))),1),"")</x:f>
        <x:v>0.801421137</x:v>
      </x:c>
      <x:c r="AX26" s="27" t="n">
        <x:f>IF(ISNUMBER(AF26),IF('Scoring Setup'!$L$18=1,1-'Scoring Setup'!$B$5*(1-MAX(0,MIN(1,(AF26-'Scoring Setup'!$K$18)/(100-'Scoring Setup'!$K$18)))),1),"")</x:f>
        <x:v>0.864519231160986</x:v>
      </x:c>
      <x:c r="AY26" s="27" t="n">
        <x:f>IF(ISNUMBER(AG26),IF('Scoring Setup'!$L$19=1,1-'Scoring Setup'!$B$5*(1-MAX(0,MIN(1,(AG26-'Scoring Setup'!$K$19)/(100-'Scoring Setup'!$K$19)))),1),"")</x:f>
        <x:v>0.9978222222222223</x:v>
      </x:c>
      <x:c r="AZ26" s="27" t="n">
        <x:f>IF(ISNUMBER(AH26),IF('Scoring Setup'!$L$20=1,1-'Scoring Setup'!$B$5*(1-MAX(0,MIN(1,(AH26-'Scoring Setup'!$K$20)/(100-'Scoring Setup'!$K$20)))),1),"")</x:f>
        <x:v>0.9682444135199653</x:v>
      </x:c>
      <x:c r="BA26" s="27" t="n">
        <x:f>IF(ISNUMBER(AI26),IF('Scoring Setup'!$L$21=1,1-'Scoring Setup'!$B$5*(1-MAX(0,MIN(1,(AI26-'Scoring Setup'!$K$21)/(100-'Scoring Setup'!$K$21)))),1),"")</x:f>
        <x:v>0.9693961372375488</x:v>
      </x:c>
      <x:c r="BB26" s="27" t="n">
        <x:f>IF(ISNUMBER(AJ26),IF('Scoring Setup'!$L$22=1,1-'Scoring Setup'!$B$5*(1-MAX(0,MIN(1,(AJ26-'Scoring Setup'!$K$22)/(100-'Scoring Setup'!$K$22)))),1),"")</x:f>
        <x:v>0.9563463712912983</x:v>
      </x:c>
      <x:c r="BC26" s="27" t="n">
        <x:f>IF(ISNUMBER(AK26),IF('Scoring Setup'!$L$23=1,1-'Scoring Setup'!$B$5*(1-MAX(0,MIN(1,(AK26-'Scoring Setup'!$K$23)/(100-'Scoring Setup'!$K$23)))),1),"")</x:f>
        <x:v>1</x:v>
      </x:c>
      <x:c r="BD26" s="27" t="n">
        <x:f>IF(ISNUMBER(AL26),IF('Scoring Setup'!$L$24=1,1-'Scoring Setup'!$B$5*(1-MAX(0,MIN(1,(AL26-'Scoring Setup'!$K$24)/(100-'Scoring Setup'!$K$24)))),1),"")</x:f>
        <x:v>0.9094545454545454</x:v>
      </x:c>
      <x:c r="BE26" s="27" t="n">
        <x:f>IF(ISNUMBER(AM26),IF('Scoring Setup'!$L$25=1,1-'Scoring Setup'!$B$5*(1-MAX(0,MIN(1,(AM26-'Scoring Setup'!$K$25)/(100-'Scoring Setup'!$K$25)))),1),"")</x:f>
        <x:v>0.8549228700052378</x:v>
      </x:c>
      <x:c r="BF26" s="27" t="n">
        <x:f>IF(ISNUMBER(AN26),IF('Scoring Setup'!$L$26=1,1-'Scoring Setup'!$B$5*(1-MAX(0,MIN(1,(AN26-'Scoring Setup'!$K$26)/(100-'Scoring Setup'!$K$26)))),1),"")</x:f>
        <x:v>0.977621005370185</x:v>
      </x:c>
      <x:c r="BG26" s="34" t="n">
        <x:f>IF(COUNT(W26,X26)=2,AVERAGE(W26,X26),"")</x:f>
        <x:v>51.59618104667607</x:v>
      </x:c>
      <x:c r="BH26" s="34" t="n">
        <x:f>IF(COUNT(Y26,Z26)=2,AVERAGE(Y26,Z26),"")</x:f>
        <x:v>35.12921555884757</x:v>
      </x:c>
      <x:c r="BI26" s="34" t="n">
        <x:f>IF(COUNT(AA26,AB26,AC26)=3,AVERAGE(AA26,AB26,AC26),"")</x:f>
        <x:v>97.67300153110217</x:v>
      </x:c>
      <x:c r="BJ26" s="34" t="n">
        <x:f>IF(COUNT(AD26,AE26)=2,AVERAGE(AD26,AE26),"")</x:f>
        <x:v>0.35528424999999986</x:v>
      </x:c>
      <x:c r="BK26" s="34" t="n">
        <x:f>IF(COUNT(AF26,AG26)=2,AVERAGE(AF26,AG26),"")</x:f>
        <x:v>65.58536334580202</x:v>
      </x:c>
      <x:c r="BL26" s="34" t="n">
        <x:f>IF(COUNT(AH26,AI26)=2,AVERAGE(AH26,AI26),"")</x:f>
        <x:v>84.41013768937853</x:v>
      </x:c>
      <x:c r="BM26" s="34" t="n">
        <x:f>IF(COUNT(AJ26,AK26)=2,AVERAGE(AJ26,AK26),"")</x:f>
        <x:v>89.08659282282458</x:v>
      </x:c>
      <x:c r="BN26" s="34" t="n">
        <x:f>IF(COUNT(AL26,AM26,AN26)=3,AVERAGE(AL26,AM26,AN26),"")</x:f>
        <x:v>56.999736804994704</x:v>
      </x:c>
      <x:c r="BO26" s="35" t="n">
        <x:f>IF(AND(COUNT(BG26:BN26)=8,ABS('Scoring Setup'!$C$17-1)&lt;0.000001),BG26*'Scoring Setup'!$C$9+BH26*'Scoring Setup'!$C$10+BI26*'Scoring Setup'!$C$11+BJ26*'Scoring Setup'!$C$12+BK26*'Scoring Setup'!$C$13+BL26*'Scoring Setup'!$C$14+BM26*'Scoring Setup'!$C$15+BN26*'Scoring Setup'!$C$16,"")</x:f>
        <x:v>54.32158369623611</x:v>
      </x:c>
      <x:c r="BP26" s="36" t="n">
        <x:f>IF(COUNT(AO26:BF26)=18,MIN(AO26:BF26),"")</x:f>
        <x:v>0.8</x:v>
      </x:c>
      <x:c r="BQ26" s="35" t="n">
        <x:f>IF(AND(ISNUMBER(BO26),ISNUMBER(BP26)),BO26*BP26,"")</x:f>
        <x:v>43.45726695698889</x:v>
      </x:c>
      <x:c r="BR26" s="17" t="str">
        <x:f>IF(COUNT(AO26:BF26)=18,INDEX('Scoring Setup'!$F$9:$F$26,MATCH(MIN(AO26:BF26),AO26:BF26,0),1),"")</x:f>
        <x:v>商业光纤100/20覆盖率</x:v>
      </x:c>
    </x:row>
    <x:row r="27">
      <x:c r="A27" s="28" t="str">
        <x:v>51045</x:v>
      </x:c>
      <x:c r="B27" s="28" t="str">
        <x:v>Craig County</x:v>
      </x:c>
      <x:c r="C27" s="28" t="str">
        <x:v>VA</x:v>
      </x:c>
      <x:c r="D27" s="31" t="n">
        <x:v>849.770441</x:v>
      </x:c>
      <x:c r="E27" s="32" t="n">
        <x:v>0.657</x:v>
      </x:c>
      <x:c r="F27" s="32" t="n">
        <x:v>0.98855198019802</x:v>
      </x:c>
      <x:c r="G27" s="32" t="n">
        <x:v>2.2873329265285407</x:v>
      </x:c>
      <x:c r="H27" s="32" t="n">
        <x:v>2.5980514442377265</x:v>
      </x:c>
      <x:c r="I27" s="32" t="n">
        <x:v>0.9856779454298359</x:v>
      </x:c>
      <x:c r="J27" s="32" t="n">
        <x:v>0.09466944279036105</x:v>
      </x:c>
      <x:c r="K27" s="32" t="n">
        <x:v>0.00004435053394874979</x:v>
      </x:c>
      <x:c r="L27" s="32" t="n">
        <x:v>0.030571992</x:v>
      </x:c>
      <x:c r="M27" s="32" t="n">
        <x:v>0.030243261</x:v>
      </x:c>
      <x:c r="N27" s="32" t="n">
        <x:v>2063</x:v>
      </x:c>
      <x:c r="O27" s="32" t="n">
        <x:v>0.0589</x:v>
      </x:c>
      <x:c r="P27" s="32" t="n">
        <x:v>533.837479654948</x:v>
      </x:c>
      <x:c r="Q27" s="32" t="n">
        <x:v>3.3997844378153483</x:v>
      </x:c>
      <x:c r="R27" s="32" t="n">
        <x:v>22.890512124412275</x:v>
      </x:c>
      <x:c r="S27" s="32" t="n">
        <x:v>20.70722877434567</x:v>
      </x:c>
      <x:c r="T27" s="32" t="n">
        <x:v>89.9</x:v>
      </x:c>
      <x:c r="U27" s="32" t="n">
        <x:v>245.07712999476223</x:v>
      </x:c>
      <x:c r="V27" s="32" t="n">
        <x:v>244.75798925963002</x:v>
      </x:c>
      <x:c r="W27" s="33" t="n">
        <x:f>IF(ISNUMBER(E27),100*MAX(0,MIN(1,('Anchors'!$H$6-E27)/('Anchors'!$H$6-'Anchors'!$G$6))),"")</x:f>
        <x:v>34.714285714285715</x:v>
      </x:c>
      <x:c r="X27" s="33" t="n">
        <x:f>IF(ISNUMBER(F27),100*MAX(0,MIN(1,('Anchors'!$H$7-F27)/('Anchors'!$H$7-'Anchors'!$G$7))),"")</x:f>
        <x:v>0</x:v>
      </x:c>
      <x:c r="Y27" s="33" t="n">
        <x:f>IF(ISNUMBER(G27),100*MAX(0,MIN(1,('Anchors'!$H$8-G27)/('Anchors'!$H$8-'Anchors'!$G$8))),"")</x:f>
        <x:v>57.08890244904864</x:v>
      </x:c>
      <x:c r="Z27" s="33" t="n">
        <x:f>IF(ISNUMBER(H27),100*MAX(0,MIN(1,('Anchors'!$H$9-H27)/('Anchors'!$H$9-'Anchors'!$G$9))),"")</x:f>
        <x:v>46.73161852540912</x:v>
      </x:c>
      <x:c r="AA27" s="33" t="n">
        <x:f>IF(ISNUMBER(I27),100*MAX(0,MIN(1,(I27-'Anchors'!$H$10)/('Anchors'!$G$10-'Anchors'!$H$10))),"")</x:f>
        <x:v>100</x:v>
      </x:c>
      <x:c r="AB27" s="33" t="n">
        <x:f>IF(ISNUMBER(J27),100*MAX(0,MIN(1,('Anchors'!$H$11-J27)/('Anchors'!$H$11-'Anchors'!$G$11))),"")</x:f>
        <x:v>62.13222288385558</x:v>
      </x:c>
      <x:c r="AC27" s="33" t="n">
        <x:f>IF(ISNUMBER(K27),100*MAX(0,MIN(1,('Anchors'!$H$12-K27)/('Anchors'!$H$12-'Anchors'!$G$12))),"")</x:f>
        <x:v>99.98891236651282</x:v>
      </x:c>
      <x:c r="AD27" s="33" t="n">
        <x:f>IF(ISNUMBER(L27),100*MAX(0,MIN(1,(L27-'Anchors'!$H$13)/('Anchors'!$G$13-'Anchors'!$H$13))),"")</x:f>
        <x:v>0</x:v>
      </x:c>
      <x:c r="AE27" s="33" t="n">
        <x:f>IF(ISNUMBER(M27),100*MAX(0,MIN(1,(M27-'Anchors'!$H$14)/('Anchors'!$G$14-'Anchors'!$H$14))),"")</x:f>
        <x:v>0</x:v>
      </x:c>
      <x:c r="AF27" s="33" t="n">
        <x:f>IF(ISNUMBER(N27),100*MAX(0,MIN(1,(LN(1+N27)-LN(1+'Anchors'!$H$15))/(LN(1+'Anchors'!$G$15)-LN(1+'Anchors'!$H$15)))),"")</x:f>
        <x:v>0.7180641325478075</x:v>
      </x:c>
      <x:c r="AG27" s="33" t="n">
        <x:f>IF(ISNUMBER(O27),100*MAX(0,MIN(1,('Anchors'!$H$16-O27)/('Anchors'!$H$16-'Anchors'!$G$16))),"")</x:f>
        <x:v>99.01111111111112</x:v>
      </x:c>
      <x:c r="AH27" s="33" t="n">
        <x:f>IF(ISNUMBER(P27),100*MAX(0,MIN(1,('Anchors'!$H$17-P27)/('Anchors'!$H$17-'Anchors'!$G$17))),"")</x:f>
        <x:v>100</x:v>
      </x:c>
      <x:c r="AI27" s="33" t="n">
        <x:f>IF(ISNUMBER(Q27),100*MAX(0,MIN(1,('Anchors'!$H$18-Q27)/('Anchors'!$H$18-'Anchors'!$G$18))),"")</x:f>
        <x:v>100</x:v>
      </x:c>
      <x:c r="AJ27" s="33" t="n">
        <x:f>IF(ISNUMBER(R27),100*MAX(0,MIN(1,('Anchors'!$H$19-R27)/('Anchors'!$H$19-'Anchors'!$G$19))),"")</x:f>
        <x:v>60.24330639019494</x:v>
      </x:c>
      <x:c r="AK27" s="33" t="n">
        <x:f>IF(ISNUMBER(S27),100*MAX(0,MIN(1,('Anchors'!$H$20-S27)/('Anchors'!$H$20-'Anchors'!$G$20))),"")</x:f>
        <x:v>0</x:v>
      </x:c>
      <x:c r="AL27" s="33" t="n">
        <x:f>IF(ISNUMBER(T27),100*MAX(0,MIN(1,('Anchors'!$H$21-T27)/('Anchors'!$H$21-'Anchors'!$G$21))),"")</x:f>
        <x:v>54.72727272727271</x:v>
      </x:c>
      <x:c r="AM27" s="33" t="n">
        <x:f>IF(ISNUMBER(U27),100*MAX(0,MIN(1,('Anchors'!$H$22-U27)/('Anchors'!$H$22-'Anchors'!$G$22))),"")</x:f>
        <x:v>27.461435002618884</x:v>
      </x:c>
      <x:c r="AN27" s="33" t="n">
        <x:f>IF(ISNUMBER(V27),100*MAX(0,MIN(1,('Anchors'!$H$23-V27)/('Anchors'!$H$23-'Anchors'!$G$23))),"")</x:f>
        <x:v>88.8105026850925</x:v>
      </x:c>
      <x:c r="AO27" s="27" t="n">
        <x:f>IF(ISNUMBER(W27),IF('Scoring Setup'!$L$9=1,1-'Scoring Setup'!$B$5*(1-MAX(0,MIN(1,(W27-'Scoring Setup'!$K$9)/(100-'Scoring Setup'!$K$9)))),1),"")</x:f>
        <x:v>0.8694285714285714</x:v>
      </x:c>
      <x:c r="AP27" s="27" t="n">
        <x:f>IF(ISNUMBER(X27),IF('Scoring Setup'!$L$10=1,1-'Scoring Setup'!$B$5*(1-MAX(0,MIN(1,(X27-'Scoring Setup'!$K$10)/(100-'Scoring Setup'!$K$10)))),1),"")</x:f>
        <x:v>0.8</x:v>
      </x:c>
      <x:c r="AQ27" s="27" t="n">
        <x:f>IF(ISNUMBER(Y27),IF('Scoring Setup'!$L$11=1,1-'Scoring Setup'!$B$5*(1-MAX(0,MIN(1,(Y27-'Scoring Setup'!$K$11)/(100-'Scoring Setup'!$K$11)))),1),"")</x:f>
        <x:v>0.9141778048980973</x:v>
      </x:c>
      <x:c r="AR27" s="27" t="n">
        <x:f>IF(ISNUMBER(Z27),IF('Scoring Setup'!$L$12=1,1-'Scoring Setup'!$B$5*(1-MAX(0,MIN(1,(Z27-'Scoring Setup'!$K$12)/(100-'Scoring Setup'!$K$12)))),1),"")</x:f>
        <x:v>0.8934632370508182</x:v>
      </x:c>
      <x:c r="AS27" s="27" t="n">
        <x:f>IF(ISNUMBER(AA27),IF('Scoring Setup'!$L$13=1,1-'Scoring Setup'!$B$5*(1-MAX(0,MIN(1,(AA27-'Scoring Setup'!$K$13)/(100-'Scoring Setup'!$K$13)))),1),"")</x:f>
        <x:v>1</x:v>
      </x:c>
      <x:c r="AT27" s="27" t="n">
        <x:f>IF(ISNUMBER(AB27),IF('Scoring Setup'!$L$14=1,1-'Scoring Setup'!$B$5*(1-MAX(0,MIN(1,(AB27-'Scoring Setup'!$K$14)/(100-'Scoring Setup'!$K$14)))),1),"")</x:f>
        <x:v>0.9242644457677112</x:v>
      </x:c>
      <x:c r="AU27" s="27" t="n">
        <x:f>IF(ISNUMBER(AC27),IF('Scoring Setup'!$L$15=1,1-'Scoring Setup'!$B$5*(1-MAX(0,MIN(1,(AC27-'Scoring Setup'!$K$15)/(100-'Scoring Setup'!$K$15)))),1),"")</x:f>
        <x:v>0.9999778247330257</x:v>
      </x:c>
      <x:c r="AV27" s="27" t="n">
        <x:f>IF(ISNUMBER(AD27),IF('Scoring Setup'!$L$16=1,1-'Scoring Setup'!$B$5*(1-MAX(0,MIN(1,(AD27-'Scoring Setup'!$K$16)/(100-'Scoring Setup'!$K$16)))),1),"")</x:f>
        <x:v>0.8</x:v>
      </x:c>
      <x:c r="AW27" s="27" t="n">
        <x:f>IF(ISNUMBER(AE27),IF('Scoring Setup'!$L$17=1,1-'Scoring Setup'!$B$5*(1-MAX(0,MIN(1,(AE27-'Scoring Setup'!$K$17)/(100-'Scoring Setup'!$K$17)))),1),"")</x:f>
        <x:v>0.8</x:v>
      </x:c>
      <x:c r="AX27" s="27" t="n">
        <x:f>IF(ISNUMBER(AF27),IF('Scoring Setup'!$L$18=1,1-'Scoring Setup'!$B$5*(1-MAX(0,MIN(1,(AF27-'Scoring Setup'!$K$18)/(100-'Scoring Setup'!$K$18)))),1),"")</x:f>
        <x:v>0.8014361282650956</x:v>
      </x:c>
      <x:c r="AY27" s="27" t="n">
        <x:f>IF(ISNUMBER(AG27),IF('Scoring Setup'!$L$19=1,1-'Scoring Setup'!$B$5*(1-MAX(0,MIN(1,(AG27-'Scoring Setup'!$K$19)/(100-'Scoring Setup'!$K$19)))),1),"")</x:f>
        <x:v>0.9980222222222223</x:v>
      </x:c>
      <x:c r="AZ27" s="27" t="n">
        <x:f>IF(ISNUMBER(AH27),IF('Scoring Setup'!$L$20=1,1-'Scoring Setup'!$B$5*(1-MAX(0,MIN(1,(AH27-'Scoring Setup'!$K$20)/(100-'Scoring Setup'!$K$20)))),1),"")</x:f>
        <x:v>1</x:v>
      </x:c>
      <x:c r="BA27" s="27" t="n">
        <x:f>IF(ISNUMBER(AI27),IF('Scoring Setup'!$L$21=1,1-'Scoring Setup'!$B$5*(1-MAX(0,MIN(1,(AI27-'Scoring Setup'!$K$21)/(100-'Scoring Setup'!$K$21)))),1),"")</x:f>
        <x:v>1</x:v>
      </x:c>
      <x:c r="BB27" s="27" t="n">
        <x:f>IF(ISNUMBER(AJ27),IF('Scoring Setup'!$L$22=1,1-'Scoring Setup'!$B$5*(1-MAX(0,MIN(1,(AJ27-'Scoring Setup'!$K$22)/(100-'Scoring Setup'!$K$22)))),1),"")</x:f>
        <x:v>0.9204866127803899</x:v>
      </x:c>
      <x:c r="BC27" s="27" t="n">
        <x:f>IF(ISNUMBER(AK27),IF('Scoring Setup'!$L$23=1,1-'Scoring Setup'!$B$5*(1-MAX(0,MIN(1,(AK27-'Scoring Setup'!$K$23)/(100-'Scoring Setup'!$K$23)))),1),"")</x:f>
        <x:v>0.8</x:v>
      </x:c>
      <x:c r="BD27" s="27" t="n">
        <x:f>IF(ISNUMBER(AL27),IF('Scoring Setup'!$L$24=1,1-'Scoring Setup'!$B$5*(1-MAX(0,MIN(1,(AL27-'Scoring Setup'!$K$24)/(100-'Scoring Setup'!$K$24)))),1),"")</x:f>
        <x:v>0.9094545454545454</x:v>
      </x:c>
      <x:c r="BE27" s="27" t="n">
        <x:f>IF(ISNUMBER(AM27),IF('Scoring Setup'!$L$25=1,1-'Scoring Setup'!$B$5*(1-MAX(0,MIN(1,(AM27-'Scoring Setup'!$K$25)/(100-'Scoring Setup'!$K$25)))),1),"")</x:f>
        <x:v>0.8549228700052378</x:v>
      </x:c>
      <x:c r="BF27" s="27" t="n">
        <x:f>IF(ISNUMBER(AN27),IF('Scoring Setup'!$L$26=1,1-'Scoring Setup'!$B$5*(1-MAX(0,MIN(1,(AN27-'Scoring Setup'!$K$26)/(100-'Scoring Setup'!$K$26)))),1),"")</x:f>
        <x:v>0.977621005370185</x:v>
      </x:c>
      <x:c r="BG27" s="34" t="n">
        <x:f>IF(COUNT(W27,X27)=2,AVERAGE(W27,X27),"")</x:f>
        <x:v>17.357142857142858</x:v>
      </x:c>
      <x:c r="BH27" s="34" t="n">
        <x:f>IF(COUNT(Y27,Z27)=2,AVERAGE(Y27,Z27),"")</x:f>
        <x:v>51.91026048722888</x:v>
      </x:c>
      <x:c r="BI27" s="34" t="n">
        <x:f>IF(COUNT(AA27,AB27,AC27)=3,AVERAGE(AA27,AB27,AC27),"")</x:f>
        <x:v>87.37371175012281</x:v>
      </x:c>
      <x:c r="BJ27" s="34" t="n">
        <x:f>IF(COUNT(AD27,AE27)=2,AVERAGE(AD27,AE27),"")</x:f>
        <x:v>0</x:v>
      </x:c>
      <x:c r="BK27" s="34" t="n">
        <x:f>IF(COUNT(AF27,AG27)=2,AVERAGE(AF27,AG27),"")</x:f>
        <x:v>49.864587621829465</x:v>
      </x:c>
      <x:c r="BL27" s="34" t="n">
        <x:f>IF(COUNT(AH27,AI27)=2,AVERAGE(AH27,AI27),"")</x:f>
        <x:v>100</x:v>
      </x:c>
      <x:c r="BM27" s="34" t="n">
        <x:f>IF(COUNT(AJ27,AK27)=2,AVERAGE(AJ27,AK27),"")</x:f>
        <x:v>30.12165319509747</x:v>
      </x:c>
      <x:c r="BN27" s="34" t="n">
        <x:f>IF(COUNT(AL27,AM27,AN27)=3,AVERAGE(AL27,AM27,AN27),"")</x:f>
        <x:v>56.999736804994704</x:v>
      </x:c>
      <x:c r="BO27" s="35" t="n">
        <x:f>IF(AND(COUNT(BG27:BN27)=8,ABS('Scoring Setup'!$C$17-1)&lt;0.000001),BG27*'Scoring Setup'!$C$9+BH27*'Scoring Setup'!$C$10+BI27*'Scoring Setup'!$C$11+BJ27*'Scoring Setup'!$C$12+BK27*'Scoring Setup'!$C$13+BL27*'Scoring Setup'!$C$14+BM27*'Scoring Setup'!$C$15+BN27*'Scoring Setup'!$C$16,"")</x:f>
        <x:v>49.44760002160858</x:v>
      </x:c>
      <x:c r="BP27" s="36" t="n">
        <x:f>IF(COUNT(AO27:BF27)=18,MIN(AO27:BF27),"")</x:f>
        <x:v>0.8</x:v>
      </x:c>
      <x:c r="BQ27" s="35" t="n">
        <x:f>IF(AND(ISNUMBER(BO27),ISNUMBER(BP27)),BO27*BP27,"")</x:f>
        <x:v>39.55808001728687</x:v>
      </x:c>
      <x:c r="BR27" s="17" t="str">
        <x:f>IF(COUNT(AO27:BF27)=18,INDEX('Scoring Setup'!$F$9:$F$26,MATCH(MIN(AO27:BF27),AO27:BF27,0),1),"")</x:f>
        <x:v>洪水损失率全国百分位</x:v>
      </x:c>
    </x:row>
    <x:row r="28">
      <x:c r="A28" s="28" t="str">
        <x:v>51047</x:v>
      </x:c>
      <x:c r="B28" s="28" t="str">
        <x:v>Culpeper County</x:v>
      </x:c>
      <x:c r="C28" s="28" t="str">
        <x:v>VA</x:v>
      </x:c>
      <x:c r="D28" s="31" t="n">
        <x:v>982.06927</x:v>
      </x:c>
      <x:c r="E28" s="32" t="n">
        <x:v>0.26</x:v>
      </x:c>
      <x:c r="F28" s="32" t="n">
        <x:v>0.553836633663366</x:v>
      </x:c>
      <x:c r="G28" s="32" t="n">
        <x:v>2.7027135553703565</x:v>
      </x:c>
      <x:c r="H28" s="32" t="n">
        <x:v>3.052382768</x:v>
      </x:c>
      <x:c r="I28" s="32" t="n">
        <x:v>0.9440077401924095</x:v>
      </x:c>
      <x:c r="J28" s="32" t="n">
        <x:v>0.0072157831657329455</x:v>
      </x:c>
      <x:c r="K28" s="32" t="n">
        <x:v>0.030180361087277972</x:v>
      </x:c>
      <x:c r="L28" s="32" t="n">
        <x:v>0.483703737</x:v>
      </x:c>
      <x:c r="M28" s="32" t="n">
        <x:v>0.398503358</x:v>
      </x:c>
      <x:c r="N28" s="32" t="n">
        <x:v>28403</x:v>
      </x:c>
      <x:c r="O28" s="32" t="n">
        <x:v>0.4327</x:v>
      </x:c>
      <x:c r="P28" s="32" t="n">
        <x:v>1080.3833801269532</x:v>
      </x:c>
      <x:c r="Q28" s="32" t="n">
        <x:v>22.50271841684977</x:v>
      </x:c>
      <x:c r="R28" s="32" t="n">
        <x:v>42.09394898660602</x:v>
      </x:c>
      <x:c r="S28" s="32" t="n">
        <x:v>0.2620098669523769</x:v>
      </x:c>
      <x:c r="T28" s="32" t="n">
        <x:v>89.9</x:v>
      </x:c>
      <x:c r="U28" s="32" t="n">
        <x:v>245.07712999476223</x:v>
      </x:c>
      <x:c r="V28" s="32" t="n">
        <x:v>244.75798925963002</x:v>
      </x:c>
      <x:c r="W28" s="33" t="n">
        <x:f>IF(ISNUMBER(E28),100*MAX(0,MIN(1,('Anchors'!$H$6-E28)/('Anchors'!$H$6-'Anchors'!$G$6))),"")</x:f>
        <x:v>91.42857142857143</x:v>
      </x:c>
      <x:c r="X28" s="33" t="n">
        <x:f>IF(ISNUMBER(F28),100*MAX(0,MIN(1,('Anchors'!$H$7-F28)/('Anchors'!$H$7-'Anchors'!$G$7))),"")</x:f>
        <x:v>35.16619519094772</x:v>
      </x:c>
      <x:c r="Y28" s="33" t="n">
        <x:f>IF(ISNUMBER(G28),100*MAX(0,MIN(1,('Anchors'!$H$8-G28)/('Anchors'!$H$8-'Anchors'!$G$8))),"")</x:f>
        <x:v>43.242881487654785</x:v>
      </x:c>
      <x:c r="Z28" s="33" t="n">
        <x:f>IF(ISNUMBER(H28),100*MAX(0,MIN(1,('Anchors'!$H$9-H28)/('Anchors'!$H$9-'Anchors'!$G$9))),"")</x:f>
        <x:v>31.58724106666666</x:v>
      </x:c>
      <x:c r="AA28" s="33" t="n">
        <x:f>IF(ISNUMBER(I28),100*MAX(0,MIN(1,(I28-'Anchors'!$H$10)/('Anchors'!$G$10-'Anchors'!$H$10))),"")</x:f>
        <x:v>95.06955345101501</x:v>
      </x:c>
      <x:c r="AB28" s="33" t="n">
        <x:f>IF(ISNUMBER(J28),100*MAX(0,MIN(1,('Anchors'!$H$11-J28)/('Anchors'!$H$11-'Anchors'!$G$11))),"")</x:f>
        <x:v>97.11368673370681</x:v>
      </x:c>
      <x:c r="AC28" s="33" t="n">
        <x:f>IF(ISNUMBER(K28),100*MAX(0,MIN(1,('Anchors'!$H$12-K28)/('Anchors'!$H$12-'Anchors'!$G$12))),"")</x:f>
        <x:v>92.45490972818051</x:v>
      </x:c>
      <x:c r="AD28" s="33" t="n">
        <x:f>IF(ISNUMBER(L28),100*MAX(0,MIN(1,(L28-'Anchors'!$H$13)/('Anchors'!$G$13-'Anchors'!$H$13))),"")</x:f>
        <x:v>40.52910528571429</x:v>
      </x:c>
      <x:c r="AE28" s="33" t="n">
        <x:f>IF(ISNUMBER(M28),100*MAX(0,MIN(1,(M28-'Anchors'!$H$14)/('Anchors'!$G$14-'Anchors'!$H$14))),"")</x:f>
        <x:v>37.31291974999999</x:v>
      </x:c>
      <x:c r="AF28" s="33" t="n">
        <x:f>IF(ISNUMBER(N28),100*MAX(0,MIN(1,(LN(1+N28)-LN(1+'Anchors'!$H$15))/(LN(1+'Anchors'!$G$15)-LN(1+'Anchors'!$H$15)))),"")</x:f>
        <x:v>61.45207448728198</x:v>
      </x:c>
      <x:c r="AG28" s="33" t="n">
        <x:f>IF(ISNUMBER(O28),100*MAX(0,MIN(1,('Anchors'!$H$16-O28)/('Anchors'!$H$16-'Anchors'!$G$16))),"")</x:f>
        <x:v>57.47777777777778</x:v>
      </x:c>
      <x:c r="AH28" s="33" t="n">
        <x:f>IF(ISNUMBER(P28),100*MAX(0,MIN(1,('Anchors'!$H$17-P28)/('Anchors'!$H$17-'Anchors'!$G$17))),"")</x:f>
        <x:v>74.64110799153646</x:v>
      </x:c>
      <x:c r="AI28" s="33" t="n">
        <x:f>IF(ISNUMBER(Q28),100*MAX(0,MIN(1,('Anchors'!$H$18-Q28)/('Anchors'!$H$18-'Anchors'!$G$18))),"")</x:f>
        <x:v>74.99611654735746</x:v>
      </x:c>
      <x:c r="AJ28" s="33" t="n">
        <x:f>IF(ISNUMBER(R28),100*MAX(0,MIN(1,('Anchors'!$H$19-R28)/('Anchors'!$H$19-'Anchors'!$G$19))),"")</x:f>
        <x:v>17.569002251986614</x:v>
      </x:c>
      <x:c r="AK28" s="33" t="n">
        <x:f>IF(ISNUMBER(S28),100*MAX(0,MIN(1,('Anchors'!$H$20-S28)/('Anchors'!$H$20-'Anchors'!$G$20))),"")</x:f>
        <x:v>100</x:v>
      </x:c>
      <x:c r="AL28" s="33" t="n">
        <x:f>IF(ISNUMBER(T28),100*MAX(0,MIN(1,('Anchors'!$H$21-T28)/('Anchors'!$H$21-'Anchors'!$G$21))),"")</x:f>
        <x:v>54.72727272727271</x:v>
      </x:c>
      <x:c r="AM28" s="33" t="n">
        <x:f>IF(ISNUMBER(U28),100*MAX(0,MIN(1,('Anchors'!$H$22-U28)/('Anchors'!$H$22-'Anchors'!$G$22))),"")</x:f>
        <x:v>27.461435002618884</x:v>
      </x:c>
      <x:c r="AN28" s="33" t="n">
        <x:f>IF(ISNUMBER(V28),100*MAX(0,MIN(1,('Anchors'!$H$23-V28)/('Anchors'!$H$23-'Anchors'!$G$23))),"")</x:f>
        <x:v>88.8105026850925</x:v>
      </x:c>
      <x:c r="AO28" s="27" t="n">
        <x:f>IF(ISNUMBER(W28),IF('Scoring Setup'!$L$9=1,1-'Scoring Setup'!$B$5*(1-MAX(0,MIN(1,(W28-'Scoring Setup'!$K$9)/(100-'Scoring Setup'!$K$9)))),1),"")</x:f>
        <x:v>0.9828571428571429</x:v>
      </x:c>
      <x:c r="AP28" s="27" t="n">
        <x:f>IF(ISNUMBER(X28),IF('Scoring Setup'!$L$10=1,1-'Scoring Setup'!$B$5*(1-MAX(0,MIN(1,(X28-'Scoring Setup'!$K$10)/(100-'Scoring Setup'!$K$10)))),1),"")</x:f>
        <x:v>0.8703323903818955</x:v>
      </x:c>
      <x:c r="AQ28" s="27" t="n">
        <x:f>IF(ISNUMBER(Y28),IF('Scoring Setup'!$L$11=1,1-'Scoring Setup'!$B$5*(1-MAX(0,MIN(1,(Y28-'Scoring Setup'!$K$11)/(100-'Scoring Setup'!$K$11)))),1),"")</x:f>
        <x:v>0.8864857629753096</x:v>
      </x:c>
      <x:c r="AR28" s="27" t="n">
        <x:f>IF(ISNUMBER(Z28),IF('Scoring Setup'!$L$12=1,1-'Scoring Setup'!$B$5*(1-MAX(0,MIN(1,(Z28-'Scoring Setup'!$K$12)/(100-'Scoring Setup'!$K$12)))),1),"")</x:f>
        <x:v>0.8631744821333334</x:v>
      </x:c>
      <x:c r="AS28" s="27" t="n">
        <x:f>IF(ISNUMBER(AA28),IF('Scoring Setup'!$L$13=1,1-'Scoring Setup'!$B$5*(1-MAX(0,MIN(1,(AA28-'Scoring Setup'!$K$13)/(100-'Scoring Setup'!$K$13)))),1),"")</x:f>
        <x:v>0.99013910690203</x:v>
      </x:c>
      <x:c r="AT28" s="27" t="n">
        <x:f>IF(ISNUMBER(AB28),IF('Scoring Setup'!$L$14=1,1-'Scoring Setup'!$B$5*(1-MAX(0,MIN(1,(AB28-'Scoring Setup'!$K$14)/(100-'Scoring Setup'!$K$14)))),1),"")</x:f>
        <x:v>0.9942273734674136</x:v>
      </x:c>
      <x:c r="AU28" s="27" t="n">
        <x:f>IF(ISNUMBER(AC28),IF('Scoring Setup'!$L$15=1,1-'Scoring Setup'!$B$5*(1-MAX(0,MIN(1,(AC28-'Scoring Setup'!$K$15)/(100-'Scoring Setup'!$K$15)))),1),"")</x:f>
        <x:v>0.984909819456361</x:v>
      </x:c>
      <x:c r="AV28" s="27" t="n">
        <x:f>IF(ISNUMBER(AD28),IF('Scoring Setup'!$L$16=1,1-'Scoring Setup'!$B$5*(1-MAX(0,MIN(1,(AD28-'Scoring Setup'!$K$16)/(100-'Scoring Setup'!$K$16)))),1),"")</x:f>
        <x:v>0.8810582105714286</x:v>
      </x:c>
      <x:c r="AW28" s="27" t="n">
        <x:f>IF(ISNUMBER(AE28),IF('Scoring Setup'!$L$17=1,1-'Scoring Setup'!$B$5*(1-MAX(0,MIN(1,(AE28-'Scoring Setup'!$K$17)/(100-'Scoring Setup'!$K$17)))),1),"")</x:f>
        <x:v>0.8746258395</x:v>
      </x:c>
      <x:c r="AX28" s="27" t="n">
        <x:f>IF(ISNUMBER(AF28),IF('Scoring Setup'!$L$18=1,1-'Scoring Setup'!$B$5*(1-MAX(0,MIN(1,(AF28-'Scoring Setup'!$K$18)/(100-'Scoring Setup'!$K$18)))),1),"")</x:f>
        <x:v>0.922904148974564</x:v>
      </x:c>
      <x:c r="AY28" s="27" t="n">
        <x:f>IF(ISNUMBER(AG28),IF('Scoring Setup'!$L$19=1,1-'Scoring Setup'!$B$5*(1-MAX(0,MIN(1,(AG28-'Scoring Setup'!$K$19)/(100-'Scoring Setup'!$K$19)))),1),"")</x:f>
        <x:v>0.9149555555555555</x:v>
      </x:c>
      <x:c r="AZ28" s="27" t="n">
        <x:f>IF(ISNUMBER(AH28),IF('Scoring Setup'!$L$20=1,1-'Scoring Setup'!$B$5*(1-MAX(0,MIN(1,(AH28-'Scoring Setup'!$K$20)/(100-'Scoring Setup'!$K$20)))),1),"")</x:f>
        <x:v>0.9492822159830729</x:v>
      </x:c>
      <x:c r="BA28" s="27" t="n">
        <x:f>IF(ISNUMBER(AI28),IF('Scoring Setup'!$L$21=1,1-'Scoring Setup'!$B$5*(1-MAX(0,MIN(1,(AI28-'Scoring Setup'!$K$21)/(100-'Scoring Setup'!$K$21)))),1),"")</x:f>
        <x:v>0.9499922330947149</x:v>
      </x:c>
      <x:c r="BB28" s="27" t="n">
        <x:f>IF(ISNUMBER(AJ28),IF('Scoring Setup'!$L$22=1,1-'Scoring Setup'!$B$5*(1-MAX(0,MIN(1,(AJ28-'Scoring Setup'!$K$22)/(100-'Scoring Setup'!$K$22)))),1),"")</x:f>
        <x:v>0.8351380045039732</x:v>
      </x:c>
      <x:c r="BC28" s="27" t="n">
        <x:f>IF(ISNUMBER(AK28),IF('Scoring Setup'!$L$23=1,1-'Scoring Setup'!$B$5*(1-MAX(0,MIN(1,(AK28-'Scoring Setup'!$K$23)/(100-'Scoring Setup'!$K$23)))),1),"")</x:f>
        <x:v>1</x:v>
      </x:c>
      <x:c r="BD28" s="27" t="n">
        <x:f>IF(ISNUMBER(AL28),IF('Scoring Setup'!$L$24=1,1-'Scoring Setup'!$B$5*(1-MAX(0,MIN(1,(AL28-'Scoring Setup'!$K$24)/(100-'Scoring Setup'!$K$24)))),1),"")</x:f>
        <x:v>0.9094545454545454</x:v>
      </x:c>
      <x:c r="BE28" s="27" t="n">
        <x:f>IF(ISNUMBER(AM28),IF('Scoring Setup'!$L$25=1,1-'Scoring Setup'!$B$5*(1-MAX(0,MIN(1,(AM28-'Scoring Setup'!$K$25)/(100-'Scoring Setup'!$K$25)))),1),"")</x:f>
        <x:v>0.8549228700052378</x:v>
      </x:c>
      <x:c r="BF28" s="27" t="n">
        <x:f>IF(ISNUMBER(AN28),IF('Scoring Setup'!$L$26=1,1-'Scoring Setup'!$B$5*(1-MAX(0,MIN(1,(AN28-'Scoring Setup'!$K$26)/(100-'Scoring Setup'!$K$26)))),1),"")</x:f>
        <x:v>0.977621005370185</x:v>
      </x:c>
      <x:c r="BG28" s="34" t="n">
        <x:f>IF(COUNT(W28,X28)=2,AVERAGE(W28,X28),"")</x:f>
        <x:v>63.297383309759574</x:v>
      </x:c>
      <x:c r="BH28" s="34" t="n">
        <x:f>IF(COUNT(Y28,Z28)=2,AVERAGE(Y28,Z28),"")</x:f>
        <x:v>37.415061277160724</x:v>
      </x:c>
      <x:c r="BI28" s="34" t="n">
        <x:f>IF(COUNT(AA28,AB28,AC28)=3,AVERAGE(AA28,AB28,AC28),"")</x:f>
        <x:v>94.87938330430079</x:v>
      </x:c>
      <x:c r="BJ28" s="34" t="n">
        <x:f>IF(COUNT(AD28,AE28)=2,AVERAGE(AD28,AE28),"")</x:f>
        <x:v>38.921012517857136</x:v>
      </x:c>
      <x:c r="BK28" s="34" t="n">
        <x:f>IF(COUNT(AF28,AG28)=2,AVERAGE(AF28,AG28),"")</x:f>
        <x:v>59.46492613252988</x:v>
      </x:c>
      <x:c r="BL28" s="34" t="n">
        <x:f>IF(COUNT(AH28,AI28)=2,AVERAGE(AH28,AI28),"")</x:f>
        <x:v>74.81861226944696</x:v>
      </x:c>
      <x:c r="BM28" s="34" t="n">
        <x:f>IF(COUNT(AJ28,AK28)=2,AVERAGE(AJ28,AK28),"")</x:f>
        <x:v>58.78450112599331</x:v>
      </x:c>
      <x:c r="BN28" s="34" t="n">
        <x:f>IF(COUNT(AL28,AM28,AN28)=3,AVERAGE(AL28,AM28,AN28),"")</x:f>
        <x:v>56.999736804994704</x:v>
      </x:c>
      <x:c r="BO28" s="35" t="n">
        <x:f>IF(AND(COUNT(BG28:BN28)=8,ABS('Scoring Setup'!$C$17-1)&lt;0.000001),BG28*'Scoring Setup'!$C$9+BH28*'Scoring Setup'!$C$10+BI28*'Scoring Setup'!$C$11+BJ28*'Scoring Setup'!$C$12+BK28*'Scoring Setup'!$C$13+BL28*'Scoring Setup'!$C$14+BM28*'Scoring Setup'!$C$15+BN28*'Scoring Setup'!$C$16,"")</x:f>
        <x:v>56.91935949314732</x:v>
      </x:c>
      <x:c r="BP28" s="36" t="n">
        <x:f>IF(COUNT(AO28:BF28)=18,MIN(AO28:BF28),"")</x:f>
        <x:v>0.8351380045039732</x:v>
      </x:c>
      <x:c r="BQ28" s="35" t="n">
        <x:f>IF(AND(ISNUMBER(BO28),ISNUMBER(BP28)),BO28*BP28,"")</x:f>
        <x:v>47.53552030475134</x:v>
      </x:c>
      <x:c r="BR28" s="17" t="str">
        <x:f>IF(COUNT(AO28:BF28)=18,INDEX('Scoring Setup'!$F$9:$F$26,MATCH(MIN(AO28:BF28),AO28:BF28,0),1),"")</x:f>
        <x:v>到Interstate距离</x:v>
      </x:c>
    </x:row>
    <x:row r="29">
      <x:c r="A29" s="28" t="str">
        <x:v>51049</x:v>
      </x:c>
      <x:c r="B29" s="28" t="str">
        <x:v>Cumberland County</x:v>
      </x:c>
      <x:c r="C29" s="28" t="str">
        <x:v>VA</x:v>
      </x:c>
      <x:c r="D29" s="31" t="n">
        <x:v>770.454313</x:v>
      </x:c>
      <x:c r="E29" s="32" t="n">
        <x:v>0.273</x:v>
      </x:c>
      <x:c r="F29" s="32" t="n">
        <x:v>0.364170792079208</x:v>
      </x:c>
      <x:c r="G29" s="32" t="n">
        <x:v>2.6312783232290764</x:v>
      </x:c>
      <x:c r="H29" s="32" t="n">
        <x:v>2.9280717493246224</x:v>
      </x:c>
      <x:c r="I29" s="32" t="n">
        <x:v>0.9716976164874342</x:v>
      </x:c>
      <x:c r="J29" s="32" t="n">
        <x:v>0.0027465826975607934</x:v>
      </x:c>
      <x:c r="K29" s="32" t="n">
        <x:v>0.06289730572167042</x:v>
      </x:c>
      <x:c r="L29" s="32" t="n">
        <x:v>0.530011115</x:v>
      </x:c>
      <x:c r="M29" s="32" t="n">
        <x:v>0.530011115</x:v>
      </x:c>
      <x:c r="N29" s="32" t="n">
        <x:v>5406</x:v>
      </x:c>
      <x:c r="O29" s="32" t="n">
        <x:v>0.4426</x:v>
      </x:c>
      <x:c r="P29" s="32" t="n">
        <x:v>1142.9783203125</x:v>
      </x:c>
      <x:c r="Q29" s="32" t="n">
        <x:v>29.52299912770589</x:v>
      </x:c>
      <x:c r="R29" s="32" t="n">
        <x:v>42.65023729117594</x:v>
      </x:c>
      <x:c r="S29" s="32" t="n">
        <x:v>15.459336449704109</x:v>
      </x:c>
      <x:c r="T29" s="32" t="n">
        <x:v>89.9</x:v>
      </x:c>
      <x:c r="U29" s="32" t="n">
        <x:v>245.07712999476223</x:v>
      </x:c>
      <x:c r="V29" s="32" t="n">
        <x:v>244.75798925963002</x:v>
      </x:c>
      <x:c r="W29" s="33" t="n">
        <x:f>IF(ISNUMBER(E29),100*MAX(0,MIN(1,('Anchors'!$H$6-E29)/('Anchors'!$H$6-'Anchors'!$G$6))),"")</x:f>
        <x:v>89.57142857142858</x:v>
      </x:c>
      <x:c r="X29" s="33" t="n">
        <x:f>IF(ISNUMBER(F29),100*MAX(0,MIN(1,('Anchors'!$H$7-F29)/('Anchors'!$H$7-'Anchors'!$G$7))),"")</x:f>
        <x:v>62.261315417256</x:v>
      </x:c>
      <x:c r="Y29" s="33" t="n">
        <x:f>IF(ISNUMBER(G29),100*MAX(0,MIN(1,('Anchors'!$H$8-G29)/('Anchors'!$H$8-'Anchors'!$G$8))),"")</x:f>
        <x:v>45.62405589236412</x:v>
      </x:c>
      <x:c r="Z29" s="33" t="n">
        <x:f>IF(ISNUMBER(H29),100*MAX(0,MIN(1,('Anchors'!$H$9-H29)/('Anchors'!$H$9-'Anchors'!$G$9))),"")</x:f>
        <x:v>35.730941689179254</x:v>
      </x:c>
      <x:c r="AA29" s="33" t="n">
        <x:f>IF(ISNUMBER(I29),100*MAX(0,MIN(1,(I29-'Anchors'!$H$10)/('Anchors'!$G$10-'Anchors'!$H$10))),"")</x:f>
        <x:v>98.86268719005949</x:v>
      </x:c>
      <x:c r="AB29" s="33" t="n">
        <x:f>IF(ISNUMBER(J29),100*MAX(0,MIN(1,('Anchors'!$H$11-J29)/('Anchors'!$H$11-'Anchors'!$G$11))),"")</x:f>
        <x:v>98.90136692097569</x:v>
      </x:c>
      <x:c r="AC29" s="33" t="n">
        <x:f>IF(ISNUMBER(K29),100*MAX(0,MIN(1,('Anchors'!$H$12-K29)/('Anchors'!$H$12-'Anchors'!$G$12))),"")</x:f>
        <x:v>84.2756735695824</x:v>
      </x:c>
      <x:c r="AD29" s="33" t="n">
        <x:f>IF(ISNUMBER(L29),100*MAX(0,MIN(1,(L29-'Anchors'!$H$13)/('Anchors'!$G$13-'Anchors'!$H$13))),"")</x:f>
        <x:v>47.144445</x:v>
      </x:c>
      <x:c r="AE29" s="33" t="n">
        <x:f>IF(ISNUMBER(M29),100*MAX(0,MIN(1,(M29-'Anchors'!$H$14)/('Anchors'!$G$14-'Anchors'!$H$14))),"")</x:f>
        <x:v>53.75138937499999</x:v>
      </x:c>
      <x:c r="AF29" s="33" t="n">
        <x:f>IF(ISNUMBER(N29),100*MAX(0,MIN(1,(LN(1+N29)-LN(1+'Anchors'!$H$15))/(LN(1+'Anchors'!$G$15)-LN(1+'Anchors'!$H$15)))),"")</x:f>
        <x:v>23.02637312856037</x:v>
      </x:c>
      <x:c r="AG29" s="33" t="n">
        <x:f>IF(ISNUMBER(O29),100*MAX(0,MIN(1,('Anchors'!$H$16-O29)/('Anchors'!$H$16-'Anchors'!$G$16))),"")</x:f>
        <x:v>56.37777777777778</x:v>
      </x:c>
      <x:c r="AH29" s="33" t="n">
        <x:f>IF(ISNUMBER(P29),100*MAX(0,MIN(1,('Anchors'!$H$17-P29)/('Anchors'!$H$17-'Anchors'!$G$17))),"")</x:f>
        <x:v>70.46811197916666</x:v>
      </x:c>
      <x:c r="AI29" s="33" t="n">
        <x:f>IF(ISNUMBER(Q29),100*MAX(0,MIN(1,('Anchors'!$H$18-Q29)/('Anchors'!$H$18-'Anchors'!$G$18))),"")</x:f>
        <x:v>64.9671441032773</x:v>
      </x:c>
      <x:c r="AJ29" s="33" t="n">
        <x:f>IF(ISNUMBER(R29),100*MAX(0,MIN(1,('Anchors'!$H$19-R29)/('Anchors'!$H$19-'Anchors'!$G$19))),"")</x:f>
        <x:v>16.33280601960902</x:v>
      </x:c>
      <x:c r="AK29" s="33" t="n">
        <x:f>IF(ISNUMBER(S29),100*MAX(0,MIN(1,('Anchors'!$H$20-S29)/('Anchors'!$H$20-'Anchors'!$G$20))),"")</x:f>
        <x:v>23.898229212083635</x:v>
      </x:c>
      <x:c r="AL29" s="33" t="n">
        <x:f>IF(ISNUMBER(T29),100*MAX(0,MIN(1,('Anchors'!$H$21-T29)/('Anchors'!$H$21-'Anchors'!$G$21))),"")</x:f>
        <x:v>54.72727272727271</x:v>
      </x:c>
      <x:c r="AM29" s="33" t="n">
        <x:f>IF(ISNUMBER(U29),100*MAX(0,MIN(1,('Anchors'!$H$22-U29)/('Anchors'!$H$22-'Anchors'!$G$22))),"")</x:f>
        <x:v>27.461435002618884</x:v>
      </x:c>
      <x:c r="AN29" s="33" t="n">
        <x:f>IF(ISNUMBER(V29),100*MAX(0,MIN(1,('Anchors'!$H$23-V29)/('Anchors'!$H$23-'Anchors'!$G$23))),"")</x:f>
        <x:v>88.8105026850925</x:v>
      </x:c>
      <x:c r="AO29" s="27" t="n">
        <x:f>IF(ISNUMBER(W29),IF('Scoring Setup'!$L$9=1,1-'Scoring Setup'!$B$5*(1-MAX(0,MIN(1,(W29-'Scoring Setup'!$K$9)/(100-'Scoring Setup'!$K$9)))),1),"")</x:f>
        <x:v>0.9791428571428572</x:v>
      </x:c>
      <x:c r="AP29" s="27" t="n">
        <x:f>IF(ISNUMBER(X29),IF('Scoring Setup'!$L$10=1,1-'Scoring Setup'!$B$5*(1-MAX(0,MIN(1,(X29-'Scoring Setup'!$K$10)/(100-'Scoring Setup'!$K$10)))),1),"")</x:f>
        <x:v>0.924522630834512</x:v>
      </x:c>
      <x:c r="AQ29" s="27" t="n">
        <x:f>IF(ISNUMBER(Y29),IF('Scoring Setup'!$L$11=1,1-'Scoring Setup'!$B$5*(1-MAX(0,MIN(1,(Y29-'Scoring Setup'!$K$11)/(100-'Scoring Setup'!$K$11)))),1),"")</x:f>
        <x:v>0.8912481117847282</x:v>
      </x:c>
      <x:c r="AR29" s="27" t="n">
        <x:f>IF(ISNUMBER(Z29),IF('Scoring Setup'!$L$12=1,1-'Scoring Setup'!$B$5*(1-MAX(0,MIN(1,(Z29-'Scoring Setup'!$K$12)/(100-'Scoring Setup'!$K$12)))),1),"")</x:f>
        <x:v>0.8714618833783585</x:v>
      </x:c>
      <x:c r="AS29" s="27" t="n">
        <x:f>IF(ISNUMBER(AA29),IF('Scoring Setup'!$L$13=1,1-'Scoring Setup'!$B$5*(1-MAX(0,MIN(1,(AA29-'Scoring Setup'!$K$13)/(100-'Scoring Setup'!$K$13)))),1),"")</x:f>
        <x:v>0.997725374380119</x:v>
      </x:c>
      <x:c r="AT29" s="27" t="n">
        <x:f>IF(ISNUMBER(AB29),IF('Scoring Setup'!$L$14=1,1-'Scoring Setup'!$B$5*(1-MAX(0,MIN(1,(AB29-'Scoring Setup'!$K$14)/(100-'Scoring Setup'!$K$14)))),1),"")</x:f>
        <x:v>0.9978027338419514</x:v>
      </x:c>
      <x:c r="AU29" s="27" t="n">
        <x:f>IF(ISNUMBER(AC29),IF('Scoring Setup'!$L$15=1,1-'Scoring Setup'!$B$5*(1-MAX(0,MIN(1,(AC29-'Scoring Setup'!$K$15)/(100-'Scoring Setup'!$K$15)))),1),"")</x:f>
        <x:v>0.9685513471391648</x:v>
      </x:c>
      <x:c r="AV29" s="27" t="n">
        <x:f>IF(ISNUMBER(AD29),IF('Scoring Setup'!$L$16=1,1-'Scoring Setup'!$B$5*(1-MAX(0,MIN(1,(AD29-'Scoring Setup'!$K$16)/(100-'Scoring Setup'!$K$16)))),1),"")</x:f>
        <x:v>0.89428889</x:v>
      </x:c>
      <x:c r="AW29" s="27" t="n">
        <x:f>IF(ISNUMBER(AE29),IF('Scoring Setup'!$L$17=1,1-'Scoring Setup'!$B$5*(1-MAX(0,MIN(1,(AE29-'Scoring Setup'!$K$17)/(100-'Scoring Setup'!$K$17)))),1),"")</x:f>
        <x:v>0.90750277875</x:v>
      </x:c>
      <x:c r="AX29" s="27" t="n">
        <x:f>IF(ISNUMBER(AF29),IF('Scoring Setup'!$L$18=1,1-'Scoring Setup'!$B$5*(1-MAX(0,MIN(1,(AF29-'Scoring Setup'!$K$18)/(100-'Scoring Setup'!$K$18)))),1),"")</x:f>
        <x:v>0.8460527462571208</x:v>
      </x:c>
      <x:c r="AY29" s="27" t="n">
        <x:f>IF(ISNUMBER(AG29),IF('Scoring Setup'!$L$19=1,1-'Scoring Setup'!$B$5*(1-MAX(0,MIN(1,(AG29-'Scoring Setup'!$K$19)/(100-'Scoring Setup'!$K$19)))),1),"")</x:f>
        <x:v>0.9127555555555555</x:v>
      </x:c>
      <x:c r="AZ29" s="27" t="n">
        <x:f>IF(ISNUMBER(AH29),IF('Scoring Setup'!$L$20=1,1-'Scoring Setup'!$B$5*(1-MAX(0,MIN(1,(AH29-'Scoring Setup'!$K$20)/(100-'Scoring Setup'!$K$20)))),1),"")</x:f>
        <x:v>0.9409362239583333</x:v>
      </x:c>
      <x:c r="BA29" s="27" t="n">
        <x:f>IF(ISNUMBER(AI29),IF('Scoring Setup'!$L$21=1,1-'Scoring Setup'!$B$5*(1-MAX(0,MIN(1,(AI29-'Scoring Setup'!$K$21)/(100-'Scoring Setup'!$K$21)))),1),"")</x:f>
        <x:v>0.9299342882065547</x:v>
      </x:c>
      <x:c r="BB29" s="27" t="n">
        <x:f>IF(ISNUMBER(AJ29),IF('Scoring Setup'!$L$22=1,1-'Scoring Setup'!$B$5*(1-MAX(0,MIN(1,(AJ29-'Scoring Setup'!$K$22)/(100-'Scoring Setup'!$K$22)))),1),"")</x:f>
        <x:v>0.8326656120392181</x:v>
      </x:c>
      <x:c r="BC29" s="27" t="n">
        <x:f>IF(ISNUMBER(AK29),IF('Scoring Setup'!$L$23=1,1-'Scoring Setup'!$B$5*(1-MAX(0,MIN(1,(AK29-'Scoring Setup'!$K$23)/(100-'Scoring Setup'!$K$23)))),1),"")</x:f>
        <x:v>0.8477964584241673</x:v>
      </x:c>
      <x:c r="BD29" s="27" t="n">
        <x:f>IF(ISNUMBER(AL29),IF('Scoring Setup'!$L$24=1,1-'Scoring Setup'!$B$5*(1-MAX(0,MIN(1,(AL29-'Scoring Setup'!$K$24)/(100-'Scoring Setup'!$K$24)))),1),"")</x:f>
        <x:v>0.9094545454545454</x:v>
      </x:c>
      <x:c r="BE29" s="27" t="n">
        <x:f>IF(ISNUMBER(AM29),IF('Scoring Setup'!$L$25=1,1-'Scoring Setup'!$B$5*(1-MAX(0,MIN(1,(AM29-'Scoring Setup'!$K$25)/(100-'Scoring Setup'!$K$25)))),1),"")</x:f>
        <x:v>0.8549228700052378</x:v>
      </x:c>
      <x:c r="BF29" s="27" t="n">
        <x:f>IF(ISNUMBER(AN29),IF('Scoring Setup'!$L$26=1,1-'Scoring Setup'!$B$5*(1-MAX(0,MIN(1,(AN29-'Scoring Setup'!$K$26)/(100-'Scoring Setup'!$K$26)))),1),"")</x:f>
        <x:v>0.977621005370185</x:v>
      </x:c>
      <x:c r="BG29" s="34" t="n">
        <x:f>IF(COUNT(W29,X29)=2,AVERAGE(W29,X29),"")</x:f>
        <x:v>75.91637199434228</x:v>
      </x:c>
      <x:c r="BH29" s="34" t="n">
        <x:f>IF(COUNT(Y29,Z29)=2,AVERAGE(Y29,Z29),"")</x:f>
        <x:v>40.677498790771686</x:v>
      </x:c>
      <x:c r="BI29" s="34" t="n">
        <x:f>IF(COUNT(AA29,AB29,AC29)=3,AVERAGE(AA29,AB29,AC29),"")</x:f>
        <x:v>94.01324256020587</x:v>
      </x:c>
      <x:c r="BJ29" s="34" t="n">
        <x:f>IF(COUNT(AD29,AE29)=2,AVERAGE(AD29,AE29),"")</x:f>
        <x:v>50.447917187499996</x:v>
      </x:c>
      <x:c r="BK29" s="34" t="n">
        <x:f>IF(COUNT(AF29,AG29)=2,AVERAGE(AF29,AG29),"")</x:f>
        <x:v>39.70207545316907</x:v>
      </x:c>
      <x:c r="BL29" s="34" t="n">
        <x:f>IF(COUNT(AH29,AI29)=2,AVERAGE(AH29,AI29),"")</x:f>
        <x:v>67.71762804122199</x:v>
      </x:c>
      <x:c r="BM29" s="34" t="n">
        <x:f>IF(COUNT(AJ29,AK29)=2,AVERAGE(AJ29,AK29),"")</x:f>
        <x:v>20.11551761584633</x:v>
      </x:c>
      <x:c r="BN29" s="34" t="n">
        <x:f>IF(COUNT(AL29,AM29,AN29)=3,AVERAGE(AL29,AM29,AN29),"")</x:f>
        <x:v>56.999736804994704</x:v>
      </x:c>
      <x:c r="BO29" s="35" t="n">
        <x:f>IF(AND(COUNT(BG29:BN29)=8,ABS('Scoring Setup'!$C$17-1)&lt;0.000001),BG29*'Scoring Setup'!$C$9+BH29*'Scoring Setup'!$C$10+BI29*'Scoring Setup'!$C$11+BJ29*'Scoring Setup'!$C$12+BK29*'Scoring Setup'!$C$13+BL29*'Scoring Setup'!$C$14+BM29*'Scoring Setup'!$C$15+BN29*'Scoring Setup'!$C$16,"")</x:f>
        <x:v>55.63503880202789</x:v>
      </x:c>
      <x:c r="BP29" s="36" t="n">
        <x:f>IF(COUNT(AO29:BF29)=18,MIN(AO29:BF29),"")</x:f>
        <x:v>0.8326656120392181</x:v>
      </x:c>
      <x:c r="BQ29" s="35" t="n">
        <x:f>IF(AND(ISNUMBER(BO29),ISNUMBER(BP29)),BO29*BP29,"")</x:f>
        <x:v>46.3253836349162</x:v>
      </x:c>
      <x:c r="BR29" s="17" t="str">
        <x:f>IF(COUNT(AO29:BF29)=18,INDEX('Scoring Setup'!$F$9:$F$26,MATCH(MIN(AO29:BF29),AO29:BF29,0),1),"")</x:f>
        <x:v>到Interstate距离</x:v>
      </x:c>
    </x:row>
    <x:row r="30">
      <x:c r="A30" s="28" t="str">
        <x:v>51051</x:v>
      </x:c>
      <x:c r="B30" s="28" t="str">
        <x:v>Dickenson County</x:v>
      </x:c>
      <x:c r="C30" s="28" t="str">
        <x:v>VA</x:v>
      </x:c>
      <x:c r="D30" s="31" t="n">
        <x:v>855.84191</x:v>
      </x:c>
      <x:c r="E30" s="32" t="n">
        <x:v>0.892</x:v>
      </x:c>
      <x:c r="F30" s="32" t="n">
        <x:v>0.910272277227723</x:v>
      </x:c>
      <x:c r="G30" s="32" t="n">
        <x:v>2.8357511638495003</x:v>
      </x:c>
      <x:c r="H30" s="32" t="n">
        <x:v>2.9474699200897367</x:v>
      </x:c>
      <x:c r="I30" s="32" t="n">
        <x:v>0.97420351791149</x:v>
      </x:c>
      <x:c r="J30" s="32" t="n">
        <x:v>0.01674951568065897</x:v>
      </x:c>
      <x:c r="K30" s="32" t="n">
        <x:v>0.00004187740598784089</x:v>
      </x:c>
      <x:c r="L30" s="32" t="n">
        <x:v>0.812005929</x:v>
      </x:c>
      <x:c r="M30" s="32" t="n">
        <x:v>0.812005929</x:v>
      </x:c>
      <x:c r="N30" s="32" t="n">
        <x:v>4623</x:v>
      </x:c>
      <x:c r="O30" s="32" t="n">
        <x:v>0.4629</x:v>
      </x:c>
      <x:c r="P30" s="32" t="n">
        <x:v>647.8973775227864</x:v>
      </x:c>
      <x:c r="Q30" s="32" t="n">
        <x:v>3.1390092611312865</x:v>
      </x:c>
      <x:c r="R30" s="32" t="n">
        <x:v>57.79286286831637</x:v>
      </x:c>
      <x:c r="S30" s="32" t="n">
        <x:v>1.845488208166594</x:v>
      </x:c>
      <x:c r="T30" s="32" t="n">
        <x:v>89.9</x:v>
      </x:c>
      <x:c r="U30" s="32" t="n">
        <x:v>245.07712999476223</x:v>
      </x:c>
      <x:c r="V30" s="32" t="n">
        <x:v>244.75798925963002</x:v>
      </x:c>
      <x:c r="W30" s="33" t="n">
        <x:f>IF(ISNUMBER(E30),100*MAX(0,MIN(1,('Anchors'!$H$6-E30)/('Anchors'!$H$6-'Anchors'!$G$6))),"")</x:f>
        <x:v>1.142857142857144</x:v>
      </x:c>
      <x:c r="X30" s="33" t="n">
        <x:f>IF(ISNUMBER(F30),100*MAX(0,MIN(1,('Anchors'!$H$7-F30)/('Anchors'!$H$7-'Anchors'!$G$7))),"")</x:f>
        <x:v>0</x:v>
      </x:c>
      <x:c r="Y30" s="33" t="n">
        <x:f>IF(ISNUMBER(G30),100*MAX(0,MIN(1,('Anchors'!$H$8-G30)/('Anchors'!$H$8-'Anchors'!$G$8))),"")</x:f>
        <x:v>38.80829453834999</x:v>
      </x:c>
      <x:c r="Z30" s="33" t="n">
        <x:f>IF(ISNUMBER(H30),100*MAX(0,MIN(1,('Anchors'!$H$9-H30)/('Anchors'!$H$9-'Anchors'!$G$9))),"")</x:f>
        <x:v>35.08433599700878</x:v>
      </x:c>
      <x:c r="AA30" s="33" t="n">
        <x:f>IF(ISNUMBER(I30),100*MAX(0,MIN(1,(I30-'Anchors'!$H$10)/('Anchors'!$G$10-'Anchors'!$H$10))),"")</x:f>
        <x:v>99.20596135773835</x:v>
      </x:c>
      <x:c r="AB30" s="33" t="n">
        <x:f>IF(ISNUMBER(J30),100*MAX(0,MIN(1,('Anchors'!$H$11-J30)/('Anchors'!$H$11-'Anchors'!$G$11))),"")</x:f>
        <x:v>93.30019372773641</x:v>
      </x:c>
      <x:c r="AC30" s="33" t="n">
        <x:f>IF(ISNUMBER(K30),100*MAX(0,MIN(1,('Anchors'!$H$12-K30)/('Anchors'!$H$12-'Anchors'!$G$12))),"")</x:f>
        <x:v>99.98953064850305</x:v>
      </x:c>
      <x:c r="AD30" s="33" t="n">
        <x:f>IF(ISNUMBER(L30),100*MAX(0,MIN(1,(L30-'Anchors'!$H$13)/('Anchors'!$G$13-'Anchors'!$H$13))),"")</x:f>
        <x:v>87.42941842857142</x:v>
      </x:c>
      <x:c r="AE30" s="33" t="n">
        <x:f>IF(ISNUMBER(M30),100*MAX(0,MIN(1,(M30-'Anchors'!$H$14)/('Anchors'!$G$14-'Anchors'!$H$14))),"")</x:f>
        <x:v>89.000741125</x:v>
      </x:c>
      <x:c r="AF30" s="33" t="n">
        <x:f>IF(ISNUMBER(N30),100*MAX(0,MIN(1,(LN(1+N30)-LN(1+'Anchors'!$H$15))/(LN(1+'Anchors'!$G$15)-LN(1+'Anchors'!$H$15)))),"")</x:f>
        <x:v>19.40268854084947</x:v>
      </x:c>
      <x:c r="AG30" s="33" t="n">
        <x:f>IF(ISNUMBER(O30),100*MAX(0,MIN(1,('Anchors'!$H$16-O30)/('Anchors'!$H$16-'Anchors'!$G$16))),"")</x:f>
        <x:v>54.12222222222223</x:v>
      </x:c>
      <x:c r="AH30" s="33" t="n">
        <x:f>IF(ISNUMBER(P30),100*MAX(0,MIN(1,('Anchors'!$H$17-P30)/('Anchors'!$H$17-'Anchors'!$G$17))),"")</x:f>
        <x:v>100</x:v>
      </x:c>
      <x:c r="AI30" s="33" t="n">
        <x:f>IF(ISNUMBER(Q30),100*MAX(0,MIN(1,('Anchors'!$H$18-Q30)/('Anchors'!$H$18-'Anchors'!$G$18))),"")</x:f>
        <x:v>100</x:v>
      </x:c>
      <x:c r="AJ30" s="33" t="n">
        <x:f>IF(ISNUMBER(R30),100*MAX(0,MIN(1,('Anchors'!$H$19-R30)/('Anchors'!$H$19-'Anchors'!$G$19))),"")</x:f>
        <x:v>0</x:v>
      </x:c>
      <x:c r="AK30" s="33" t="n">
        <x:f>IF(ISNUMBER(S30),100*MAX(0,MIN(1,('Anchors'!$H$20-S30)/('Anchors'!$H$20-'Anchors'!$G$20))),"")</x:f>
        <x:v>95.5500620622811</x:v>
      </x:c>
      <x:c r="AL30" s="33" t="n">
        <x:f>IF(ISNUMBER(T30),100*MAX(0,MIN(1,('Anchors'!$H$21-T30)/('Anchors'!$H$21-'Anchors'!$G$21))),"")</x:f>
        <x:v>54.72727272727271</x:v>
      </x:c>
      <x:c r="AM30" s="33" t="n">
        <x:f>IF(ISNUMBER(U30),100*MAX(0,MIN(1,('Anchors'!$H$22-U30)/('Anchors'!$H$22-'Anchors'!$G$22))),"")</x:f>
        <x:v>27.461435002618884</x:v>
      </x:c>
      <x:c r="AN30" s="33" t="n">
        <x:f>IF(ISNUMBER(V30),100*MAX(0,MIN(1,('Anchors'!$H$23-V30)/('Anchors'!$H$23-'Anchors'!$G$23))),"")</x:f>
        <x:v>88.8105026850925</x:v>
      </x:c>
      <x:c r="AO30" s="27" t="n">
        <x:f>IF(ISNUMBER(W30),IF('Scoring Setup'!$L$9=1,1-'Scoring Setup'!$B$5*(1-MAX(0,MIN(1,(W30-'Scoring Setup'!$K$9)/(100-'Scoring Setup'!$K$9)))),1),"")</x:f>
        <x:v>0.8022857142857143</x:v>
      </x:c>
      <x:c r="AP30" s="27" t="n">
        <x:f>IF(ISNUMBER(X30),IF('Scoring Setup'!$L$10=1,1-'Scoring Setup'!$B$5*(1-MAX(0,MIN(1,(X30-'Scoring Setup'!$K$10)/(100-'Scoring Setup'!$K$10)))),1),"")</x:f>
        <x:v>0.8</x:v>
      </x:c>
      <x:c r="AQ30" s="27" t="n">
        <x:f>IF(ISNUMBER(Y30),IF('Scoring Setup'!$L$11=1,1-'Scoring Setup'!$B$5*(1-MAX(0,MIN(1,(Y30-'Scoring Setup'!$K$11)/(100-'Scoring Setup'!$K$11)))),1),"")</x:f>
        <x:v>0.8776165890767</x:v>
      </x:c>
      <x:c r="AR30" s="27" t="n">
        <x:f>IF(ISNUMBER(Z30),IF('Scoring Setup'!$L$12=1,1-'Scoring Setup'!$B$5*(1-MAX(0,MIN(1,(Z30-'Scoring Setup'!$K$12)/(100-'Scoring Setup'!$K$12)))),1),"")</x:f>
        <x:v>0.8701686719940176</x:v>
      </x:c>
      <x:c r="AS30" s="27" t="n">
        <x:f>IF(ISNUMBER(AA30),IF('Scoring Setup'!$L$13=1,1-'Scoring Setup'!$B$5*(1-MAX(0,MIN(1,(AA30-'Scoring Setup'!$K$13)/(100-'Scoring Setup'!$K$13)))),1),"")</x:f>
        <x:v>0.9984119227154767</x:v>
      </x:c>
      <x:c r="AT30" s="27" t="n">
        <x:f>IF(ISNUMBER(AB30),IF('Scoring Setup'!$L$14=1,1-'Scoring Setup'!$B$5*(1-MAX(0,MIN(1,(AB30-'Scoring Setup'!$K$14)/(100-'Scoring Setup'!$K$14)))),1),"")</x:f>
        <x:v>0.9866003874554728</x:v>
      </x:c>
      <x:c r="AU30" s="27" t="n">
        <x:f>IF(ISNUMBER(AC30),IF('Scoring Setup'!$L$15=1,1-'Scoring Setup'!$B$5*(1-MAX(0,MIN(1,(AC30-'Scoring Setup'!$K$15)/(100-'Scoring Setup'!$K$15)))),1),"")</x:f>
        <x:v>0.9999790612970061</x:v>
      </x:c>
      <x:c r="AV30" s="27" t="n">
        <x:f>IF(ISNUMBER(AD30),IF('Scoring Setup'!$L$16=1,1-'Scoring Setup'!$B$5*(1-MAX(0,MIN(1,(AD30-'Scoring Setup'!$K$16)/(100-'Scoring Setup'!$K$16)))),1),"")</x:f>
        <x:v>0.9748588368571428</x:v>
      </x:c>
      <x:c r="AW30" s="27" t="n">
        <x:f>IF(ISNUMBER(AE30),IF('Scoring Setup'!$L$17=1,1-'Scoring Setup'!$B$5*(1-MAX(0,MIN(1,(AE30-'Scoring Setup'!$K$17)/(100-'Scoring Setup'!$K$17)))),1),"")</x:f>
        <x:v>0.97800148225</x:v>
      </x:c>
      <x:c r="AX30" s="27" t="n">
        <x:f>IF(ISNUMBER(AF30),IF('Scoring Setup'!$L$18=1,1-'Scoring Setup'!$B$5*(1-MAX(0,MIN(1,(AF30-'Scoring Setup'!$K$18)/(100-'Scoring Setup'!$K$18)))),1),"")</x:f>
        <x:v>0.838805377081699</x:v>
      </x:c>
      <x:c r="AY30" s="27" t="n">
        <x:f>IF(ISNUMBER(AG30),IF('Scoring Setup'!$L$19=1,1-'Scoring Setup'!$B$5*(1-MAX(0,MIN(1,(AG30-'Scoring Setup'!$K$19)/(100-'Scoring Setup'!$K$19)))),1),"")</x:f>
        <x:v>0.9082444444444444</x:v>
      </x:c>
      <x:c r="AZ30" s="27" t="n">
        <x:f>IF(ISNUMBER(AH30),IF('Scoring Setup'!$L$20=1,1-'Scoring Setup'!$B$5*(1-MAX(0,MIN(1,(AH30-'Scoring Setup'!$K$20)/(100-'Scoring Setup'!$K$20)))),1),"")</x:f>
        <x:v>1</x:v>
      </x:c>
      <x:c r="BA30" s="27" t="n">
        <x:f>IF(ISNUMBER(AI30),IF('Scoring Setup'!$L$21=1,1-'Scoring Setup'!$B$5*(1-MAX(0,MIN(1,(AI30-'Scoring Setup'!$K$21)/(100-'Scoring Setup'!$K$21)))),1),"")</x:f>
        <x:v>1</x:v>
      </x:c>
      <x:c r="BB30" s="27" t="n">
        <x:f>IF(ISNUMBER(AJ30),IF('Scoring Setup'!$L$22=1,1-'Scoring Setup'!$B$5*(1-MAX(0,MIN(1,(AJ30-'Scoring Setup'!$K$22)/(100-'Scoring Setup'!$K$22)))),1),"")</x:f>
        <x:v>0.8</x:v>
      </x:c>
      <x:c r="BC30" s="27" t="n">
        <x:f>IF(ISNUMBER(AK30),IF('Scoring Setup'!$L$23=1,1-'Scoring Setup'!$B$5*(1-MAX(0,MIN(1,(AK30-'Scoring Setup'!$K$23)/(100-'Scoring Setup'!$K$23)))),1),"")</x:f>
        <x:v>0.9911001241245622</x:v>
      </x:c>
      <x:c r="BD30" s="27" t="n">
        <x:f>IF(ISNUMBER(AL30),IF('Scoring Setup'!$L$24=1,1-'Scoring Setup'!$B$5*(1-MAX(0,MIN(1,(AL30-'Scoring Setup'!$K$24)/(100-'Scoring Setup'!$K$24)))),1),"")</x:f>
        <x:v>0.9094545454545454</x:v>
      </x:c>
      <x:c r="BE30" s="27" t="n">
        <x:f>IF(ISNUMBER(AM30),IF('Scoring Setup'!$L$25=1,1-'Scoring Setup'!$B$5*(1-MAX(0,MIN(1,(AM30-'Scoring Setup'!$K$25)/(100-'Scoring Setup'!$K$25)))),1),"")</x:f>
        <x:v>0.8549228700052378</x:v>
      </x:c>
      <x:c r="BF30" s="27" t="n">
        <x:f>IF(ISNUMBER(AN30),IF('Scoring Setup'!$L$26=1,1-'Scoring Setup'!$B$5*(1-MAX(0,MIN(1,(AN30-'Scoring Setup'!$K$26)/(100-'Scoring Setup'!$K$26)))),1),"")</x:f>
        <x:v>0.977621005370185</x:v>
      </x:c>
      <x:c r="BG30" s="34" t="n">
        <x:f>IF(COUNT(W30,X30)=2,AVERAGE(W30,X30),"")</x:f>
        <x:v>0.571428571428572</x:v>
      </x:c>
      <x:c r="BH30" s="34" t="n">
        <x:f>IF(COUNT(Y30,Z30)=2,AVERAGE(Y30,Z30),"")</x:f>
        <x:v>36.94631526767938</x:v>
      </x:c>
      <x:c r="BI30" s="34" t="n">
        <x:f>IF(COUNT(AA30,AB30,AC30)=3,AVERAGE(AA30,AB30,AC30),"")</x:f>
        <x:v>97.49856191132592</x:v>
      </x:c>
      <x:c r="BJ30" s="34" t="n">
        <x:f>IF(COUNT(AD30,AE30)=2,AVERAGE(AD30,AE30),"")</x:f>
        <x:v>88.21507977678571</x:v>
      </x:c>
      <x:c r="BK30" s="34" t="n">
        <x:f>IF(COUNT(AF30,AG30)=2,AVERAGE(AF30,AG30),"")</x:f>
        <x:v>36.76245538153585</x:v>
      </x:c>
      <x:c r="BL30" s="34" t="n">
        <x:f>IF(COUNT(AH30,AI30)=2,AVERAGE(AH30,AI30),"")</x:f>
        <x:v>100</x:v>
      </x:c>
      <x:c r="BM30" s="34" t="n">
        <x:f>IF(COUNT(AJ30,AK30)=2,AVERAGE(AJ30,AK30),"")</x:f>
        <x:v>47.77503103114055</x:v>
      </x:c>
      <x:c r="BN30" s="34" t="n">
        <x:f>IF(COUNT(AL30,AM30,AN30)=3,AVERAGE(AL30,AM30,AN30),"")</x:f>
        <x:v>56.999736804994704</x:v>
      </x:c>
      <x:c r="BO30" s="35" t="n">
        <x:f>IF(AND(COUNT(BG30:BN30)=8,ABS('Scoring Setup'!$C$17-1)&lt;0.000001),BG30*'Scoring Setup'!$C$9+BH30*'Scoring Setup'!$C$10+BI30*'Scoring Setup'!$C$11+BJ30*'Scoring Setup'!$C$12+BK30*'Scoring Setup'!$C$13+BL30*'Scoring Setup'!$C$14+BM30*'Scoring Setup'!$C$15+BN30*'Scoring Setup'!$C$16,"")</x:f>
        <x:v>54.18268821069893</x:v>
      </x:c>
      <x:c r="BP30" s="36" t="n">
        <x:f>IF(COUNT(AO30:BF30)=18,MIN(AO30:BF30),"")</x:f>
        <x:v>0.8</x:v>
      </x:c>
      <x:c r="BQ30" s="35" t="n">
        <x:f>IF(AND(ISNUMBER(BO30),ISNUMBER(BP30)),BO30*BP30,"")</x:f>
        <x:v>43.346150568559146</x:v>
      </x:c>
      <x:c r="BR30" s="17" t="str">
        <x:f>IF(COUNT(AO30:BF30)=18,INDEX('Scoring Setup'!$F$9:$F$26,MATCH(MIN(AO30:BF30),AO30:BF30,0),1),"")</x:f>
        <x:v>洪水损失率全国百分位</x:v>
      </x:c>
    </x:row>
    <x:row r="31">
      <x:c r="A31" s="28" t="str">
        <x:v>51053</x:v>
      </x:c>
      <x:c r="B31" s="28" t="str">
        <x:v>Dinwiddie County</x:v>
      </x:c>
      <x:c r="C31" s="28" t="str">
        <x:v>VA</x:v>
      </x:c>
      <x:c r="D31" s="31" t="n">
        <x:v>1304.903542</x:v>
      </x:c>
      <x:c r="E31" s="32" t="n">
        <x:v>0.341</x:v>
      </x:c>
      <x:c r="F31" s="32" t="n">
        <x:v>0.172957920792079</x:v>
      </x:c>
      <x:c r="G31" s="32" t="n">
        <x:v>3.6284600263122377</x:v>
      </x:c>
      <x:c r="H31" s="32" t="n">
        <x:v>3.9595424341985486</x:v>
      </x:c>
      <x:c r="I31" s="32" t="n">
        <x:v>0.9395822929054082</x:v>
      </x:c>
      <x:c r="J31" s="32" t="n">
        <x:v>0</x:v>
      </x:c>
      <x:c r="K31" s="32" t="n">
        <x:v>0.07402443499590267</x:v>
      </x:c>
      <x:c r="L31" s="32" t="n">
        <x:v>0.095437547</x:v>
      </x:c>
      <x:c r="M31" s="32" t="n">
        <x:v>0.094689604</x:v>
      </x:c>
      <x:c r="N31" s="32" t="n">
        <x:v>14247</x:v>
      </x:c>
      <x:c r="O31" s="32" t="n">
        <x:v>0.3261</x:v>
      </x:c>
      <x:c r="P31" s="32" t="n">
        <x:v>1295.3619669596353</x:v>
      </x:c>
      <x:c r="Q31" s="32" t="n">
        <x:v>31.794620196024574</x:v>
      </x:c>
      <x:c r="R31" s="32" t="n">
        <x:v>3.3065541894369184</x:v>
      </x:c>
      <x:c r="S31" s="32" t="n">
        <x:v>10.969877217717437</x:v>
      </x:c>
      <x:c r="T31" s="32" t="n">
        <x:v>89.9</x:v>
      </x:c>
      <x:c r="U31" s="32" t="n">
        <x:v>245.07712999476223</x:v>
      </x:c>
      <x:c r="V31" s="32" t="n">
        <x:v>244.75798925963002</x:v>
      </x:c>
      <x:c r="W31" s="33" t="n">
        <x:f>IF(ISNUMBER(E31),100*MAX(0,MIN(1,('Anchors'!$H$6-E31)/('Anchors'!$H$6-'Anchors'!$G$6))),"")</x:f>
        <x:v>79.85714285714285</x:v>
      </x:c>
      <x:c r="X31" s="33" t="n">
        <x:f>IF(ISNUMBER(F31),100*MAX(0,MIN(1,('Anchors'!$H$7-F31)/('Anchors'!$H$7-'Anchors'!$G$7))),"")</x:f>
        <x:v>89.57743988684584</x:v>
      </x:c>
      <x:c r="Y31" s="33" t="n">
        <x:f>IF(ISNUMBER(G31),100*MAX(0,MIN(1,('Anchors'!$H$8-G31)/('Anchors'!$H$8-'Anchors'!$G$8))),"")</x:f>
        <x:v>12.384665789592075</x:v>
      </x:c>
      <x:c r="Z31" s="33" t="n">
        <x:f>IF(ISNUMBER(H31),100*MAX(0,MIN(1,('Anchors'!$H$9-H31)/('Anchors'!$H$9-'Anchors'!$G$9))),"")</x:f>
        <x:v>1.348585526715048</x:v>
      </x:c>
      <x:c r="AA31" s="33" t="n">
        <x:f>IF(ISNUMBER(I31),100*MAX(0,MIN(1,(I31-'Anchors'!$H$10)/('Anchors'!$G$10-'Anchors'!$H$10))),"")</x:f>
        <x:v>94.46332779526139</x:v>
      </x:c>
      <x:c r="AB31" s="33" t="n">
        <x:f>IF(ISNUMBER(J31),100*MAX(0,MIN(1,('Anchors'!$H$11-J31)/('Anchors'!$H$11-'Anchors'!$G$11))),"")</x:f>
        <x:v>100</x:v>
      </x:c>
      <x:c r="AC31" s="33" t="n">
        <x:f>IF(ISNUMBER(K31),100*MAX(0,MIN(1,('Anchors'!$H$12-K31)/('Anchors'!$H$12-'Anchors'!$G$12))),"")</x:f>
        <x:v>81.49389125102434</x:v>
      </x:c>
      <x:c r="AD31" s="33" t="n">
        <x:f>IF(ISNUMBER(L31),100*MAX(0,MIN(1,(L31-'Anchors'!$H$13)/('Anchors'!$G$13-'Anchors'!$H$13))),"")</x:f>
        <x:v>0</x:v>
      </x:c>
      <x:c r="AE31" s="33" t="n">
        <x:f>IF(ISNUMBER(M31),100*MAX(0,MIN(1,(M31-'Anchors'!$H$14)/('Anchors'!$G$14-'Anchors'!$H$14))),"")</x:f>
        <x:v>0</x:v>
      </x:c>
      <x:c r="AF31" s="33" t="n">
        <x:f>IF(ISNUMBER(N31),100*MAX(0,MIN(1,(LN(1+N31)-LN(1+'Anchors'!$H$15))/(LN(1+'Anchors'!$G$15)-LN(1+'Anchors'!$H$15)))),"")</x:f>
        <x:v>45.470739102540435</x:v>
      </x:c>
      <x:c r="AG31" s="33" t="n">
        <x:f>IF(ISNUMBER(O31),100*MAX(0,MIN(1,('Anchors'!$H$16-O31)/('Anchors'!$H$16-'Anchors'!$G$16))),"")</x:f>
        <x:v>69.32222222222222</x:v>
      </x:c>
      <x:c r="AH31" s="33" t="n">
        <x:f>IF(ISNUMBER(P31),100*MAX(0,MIN(1,('Anchors'!$H$17-P31)/('Anchors'!$H$17-'Anchors'!$G$17))),"")</x:f>
        <x:v>60.30920220269098</x:v>
      </x:c>
      <x:c r="AI31" s="33" t="n">
        <x:f>IF(ISNUMBER(Q31),100*MAX(0,MIN(1,('Anchors'!$H$18-Q31)/('Anchors'!$H$18-'Anchors'!$G$18))),"")</x:f>
        <x:v>61.721971148536326</x:v>
      </x:c>
      <x:c r="AJ31" s="33" t="n">
        <x:f>IF(ISNUMBER(R31),100*MAX(0,MIN(1,('Anchors'!$H$19-R31)/('Anchors'!$H$19-'Anchors'!$G$19))),"")</x:f>
        <x:v>100</x:v>
      </x:c>
      <x:c r="AK31" s="33" t="n">
        <x:f>IF(ISNUMBER(S31),100*MAX(0,MIN(1,('Anchors'!$H$20-S31)/('Anchors'!$H$20-'Anchors'!$G$20))),"")</x:f>
        <x:v>47.52696201201349</x:v>
      </x:c>
      <x:c r="AL31" s="33" t="n">
        <x:f>IF(ISNUMBER(T31),100*MAX(0,MIN(1,('Anchors'!$H$21-T31)/('Anchors'!$H$21-'Anchors'!$G$21))),"")</x:f>
        <x:v>54.72727272727271</x:v>
      </x:c>
      <x:c r="AM31" s="33" t="n">
        <x:f>IF(ISNUMBER(U31),100*MAX(0,MIN(1,('Anchors'!$H$22-U31)/('Anchors'!$H$22-'Anchors'!$G$22))),"")</x:f>
        <x:v>27.461435002618884</x:v>
      </x:c>
      <x:c r="AN31" s="33" t="n">
        <x:f>IF(ISNUMBER(V31),100*MAX(0,MIN(1,('Anchors'!$H$23-V31)/('Anchors'!$H$23-'Anchors'!$G$23))),"")</x:f>
        <x:v>88.8105026850925</x:v>
      </x:c>
      <x:c r="AO31" s="27" t="n">
        <x:f>IF(ISNUMBER(W31),IF('Scoring Setup'!$L$9=1,1-'Scoring Setup'!$B$5*(1-MAX(0,MIN(1,(W31-'Scoring Setup'!$K$9)/(100-'Scoring Setup'!$K$9)))),1),"")</x:f>
        <x:v>0.9597142857142857</x:v>
      </x:c>
      <x:c r="AP31" s="27" t="n">
        <x:f>IF(ISNUMBER(X31),IF('Scoring Setup'!$L$10=1,1-'Scoring Setup'!$B$5*(1-MAX(0,MIN(1,(X31-'Scoring Setup'!$K$10)/(100-'Scoring Setup'!$K$10)))),1),"")</x:f>
        <x:v>0.9791548797736916</x:v>
      </x:c>
      <x:c r="AQ31" s="27" t="n">
        <x:f>IF(ISNUMBER(Y31),IF('Scoring Setup'!$L$11=1,1-'Scoring Setup'!$B$5*(1-MAX(0,MIN(1,(Y31-'Scoring Setup'!$K$11)/(100-'Scoring Setup'!$K$11)))),1),"")</x:f>
        <x:v>0.8247693315791842</x:v>
      </x:c>
      <x:c r="AR31" s="27" t="n">
        <x:f>IF(ISNUMBER(Z31),IF('Scoring Setup'!$L$12=1,1-'Scoring Setup'!$B$5*(1-MAX(0,MIN(1,(Z31-'Scoring Setup'!$K$12)/(100-'Scoring Setup'!$K$12)))),1),"")</x:f>
        <x:v>0.8026971710534301</x:v>
      </x:c>
      <x:c r="AS31" s="27" t="n">
        <x:f>IF(ISNUMBER(AA31),IF('Scoring Setup'!$L$13=1,1-'Scoring Setup'!$B$5*(1-MAX(0,MIN(1,(AA31-'Scoring Setup'!$K$13)/(100-'Scoring Setup'!$K$13)))),1),"")</x:f>
        <x:v>0.9889266555905227</x:v>
      </x:c>
      <x:c r="AT31" s="27" t="n">
        <x:f>IF(ISNUMBER(AB31),IF('Scoring Setup'!$L$14=1,1-'Scoring Setup'!$B$5*(1-MAX(0,MIN(1,(AB31-'Scoring Setup'!$K$14)/(100-'Scoring Setup'!$K$14)))),1),"")</x:f>
        <x:v>1</x:v>
      </x:c>
      <x:c r="AU31" s="27" t="n">
        <x:f>IF(ISNUMBER(AC31),IF('Scoring Setup'!$L$15=1,1-'Scoring Setup'!$B$5*(1-MAX(0,MIN(1,(AC31-'Scoring Setup'!$K$15)/(100-'Scoring Setup'!$K$15)))),1),"")</x:f>
        <x:v>0.9629877825020486</x:v>
      </x:c>
      <x:c r="AV31" s="27" t="n">
        <x:f>IF(ISNUMBER(AD31),IF('Scoring Setup'!$L$16=1,1-'Scoring Setup'!$B$5*(1-MAX(0,MIN(1,(AD31-'Scoring Setup'!$K$16)/(100-'Scoring Setup'!$K$16)))),1),"")</x:f>
        <x:v>0.8</x:v>
      </x:c>
      <x:c r="AW31" s="27" t="n">
        <x:f>IF(ISNUMBER(AE31),IF('Scoring Setup'!$L$17=1,1-'Scoring Setup'!$B$5*(1-MAX(0,MIN(1,(AE31-'Scoring Setup'!$K$17)/(100-'Scoring Setup'!$K$17)))),1),"")</x:f>
        <x:v>0.8</x:v>
      </x:c>
      <x:c r="AX31" s="27" t="n">
        <x:f>IF(ISNUMBER(AF31),IF('Scoring Setup'!$L$18=1,1-'Scoring Setup'!$B$5*(1-MAX(0,MIN(1,(AF31-'Scoring Setup'!$K$18)/(100-'Scoring Setup'!$K$18)))),1),"")</x:f>
        <x:v>0.8909414782050809</x:v>
      </x:c>
      <x:c r="AY31" s="27" t="n">
        <x:f>IF(ISNUMBER(AG31),IF('Scoring Setup'!$L$19=1,1-'Scoring Setup'!$B$5*(1-MAX(0,MIN(1,(AG31-'Scoring Setup'!$K$19)/(100-'Scoring Setup'!$K$19)))),1),"")</x:f>
        <x:v>0.9386444444444444</x:v>
      </x:c>
      <x:c r="AZ31" s="27" t="n">
        <x:f>IF(ISNUMBER(AH31),IF('Scoring Setup'!$L$20=1,1-'Scoring Setup'!$B$5*(1-MAX(0,MIN(1,(AH31-'Scoring Setup'!$K$20)/(100-'Scoring Setup'!$K$20)))),1),"")</x:f>
        <x:v>0.920618404405382</x:v>
      </x:c>
      <x:c r="BA31" s="27" t="n">
        <x:f>IF(ISNUMBER(AI31),IF('Scoring Setup'!$L$21=1,1-'Scoring Setup'!$B$5*(1-MAX(0,MIN(1,(AI31-'Scoring Setup'!$K$21)/(100-'Scoring Setup'!$K$21)))),1),"")</x:f>
        <x:v>0.9234439422970726</x:v>
      </x:c>
      <x:c r="BB31" s="27" t="n">
        <x:f>IF(ISNUMBER(AJ31),IF('Scoring Setup'!$L$22=1,1-'Scoring Setup'!$B$5*(1-MAX(0,MIN(1,(AJ31-'Scoring Setup'!$K$22)/(100-'Scoring Setup'!$K$22)))),1),"")</x:f>
        <x:v>1</x:v>
      </x:c>
      <x:c r="BC31" s="27" t="n">
        <x:f>IF(ISNUMBER(AK31),IF('Scoring Setup'!$L$23=1,1-'Scoring Setup'!$B$5*(1-MAX(0,MIN(1,(AK31-'Scoring Setup'!$K$23)/(100-'Scoring Setup'!$K$23)))),1),"")</x:f>
        <x:v>0.895053924024027</x:v>
      </x:c>
      <x:c r="BD31" s="27" t="n">
        <x:f>IF(ISNUMBER(AL31),IF('Scoring Setup'!$L$24=1,1-'Scoring Setup'!$B$5*(1-MAX(0,MIN(1,(AL31-'Scoring Setup'!$K$24)/(100-'Scoring Setup'!$K$24)))),1),"")</x:f>
        <x:v>0.9094545454545454</x:v>
      </x:c>
      <x:c r="BE31" s="27" t="n">
        <x:f>IF(ISNUMBER(AM31),IF('Scoring Setup'!$L$25=1,1-'Scoring Setup'!$B$5*(1-MAX(0,MIN(1,(AM31-'Scoring Setup'!$K$25)/(100-'Scoring Setup'!$K$25)))),1),"")</x:f>
        <x:v>0.8549228700052378</x:v>
      </x:c>
      <x:c r="BF31" s="27" t="n">
        <x:f>IF(ISNUMBER(AN31),IF('Scoring Setup'!$L$26=1,1-'Scoring Setup'!$B$5*(1-MAX(0,MIN(1,(AN31-'Scoring Setup'!$K$26)/(100-'Scoring Setup'!$K$26)))),1),"")</x:f>
        <x:v>0.977621005370185</x:v>
      </x:c>
      <x:c r="BG31" s="34" t="n">
        <x:f>IF(COUNT(W31,X31)=2,AVERAGE(W31,X31),"")</x:f>
        <x:v>84.71729137199435</x:v>
      </x:c>
      <x:c r="BH31" s="34" t="n">
        <x:f>IF(COUNT(Y31,Z31)=2,AVERAGE(Y31,Z31),"")</x:f>
        <x:v>6.866625658153562</x:v>
      </x:c>
      <x:c r="BI31" s="34" t="n">
        <x:f>IF(COUNT(AA31,AB31,AC31)=3,AVERAGE(AA31,AB31,AC31),"")</x:f>
        <x:v>91.98573968209524</x:v>
      </x:c>
      <x:c r="BJ31" s="34" t="n">
        <x:f>IF(COUNT(AD31,AE31)=2,AVERAGE(AD31,AE31),"")</x:f>
        <x:v>0</x:v>
      </x:c>
      <x:c r="BK31" s="34" t="n">
        <x:f>IF(COUNT(AF31,AG31)=2,AVERAGE(AF31,AG31),"")</x:f>
        <x:v>57.39648066238133</x:v>
      </x:c>
      <x:c r="BL31" s="34" t="n">
        <x:f>IF(COUNT(AH31,AI31)=2,AVERAGE(AH31,AI31),"")</x:f>
        <x:v>61.015586675613655</x:v>
      </x:c>
      <x:c r="BM31" s="34" t="n">
        <x:f>IF(COUNT(AJ31,AK31)=2,AVERAGE(AJ31,AK31),"")</x:f>
        <x:v>73.76348100600674</x:v>
      </x:c>
      <x:c r="BN31" s="34" t="n">
        <x:f>IF(COUNT(AL31,AM31,AN31)=3,AVERAGE(AL31,AM31,AN31),"")</x:f>
        <x:v>56.999736804994704</x:v>
      </x:c>
      <x:c r="BO31" s="35" t="n">
        <x:f>IF(AND(COUNT(BG31:BN31)=8,ABS('Scoring Setup'!$C$17-1)&lt;0.000001),BG31*'Scoring Setup'!$C$9+BH31*'Scoring Setup'!$C$10+BI31*'Scoring Setup'!$C$11+BJ31*'Scoring Setup'!$C$12+BK31*'Scoring Setup'!$C$13+BL31*'Scoring Setup'!$C$14+BM31*'Scoring Setup'!$C$15+BN31*'Scoring Setup'!$C$16,"")</x:f>
        <x:v>48.622150728857235</x:v>
      </x:c>
      <x:c r="BP31" s="36" t="n">
        <x:f>IF(COUNT(AO31:BF31)=18,MIN(AO31:BF31),"")</x:f>
        <x:v>0.8</x:v>
      </x:c>
      <x:c r="BQ31" s="35" t="n">
        <x:f>IF(AND(ISNUMBER(BO31),ISNUMBER(BP31)),BO31*BP31,"")</x:f>
        <x:v>38.89772058308579</x:v>
      </x:c>
      <x:c r="BR31" s="17" t="str">
        <x:f>IF(COUNT(AO31:BF31)=18,INDEX('Scoring Setup'!$F$9:$F$26,MATCH(MIN(AO31:BF31),AO31:BF31,0),1),"")</x:f>
        <x:v>商业光纤100/20覆盖率</x:v>
      </x:c>
    </x:row>
    <x:row r="32">
      <x:c r="A32" s="28" t="str">
        <x:v>51057</x:v>
      </x:c>
      <x:c r="B32" s="28" t="str">
        <x:v>Essex County</x:v>
      </x:c>
      <x:c r="C32" s="28" t="str">
        <x:v>VA</x:v>
      </x:c>
      <x:c r="D32" s="31" t="n">
        <x:v>666.543883</x:v>
      </x:c>
      <x:c r="E32" s="32" t="n">
        <x:v>0.257</x:v>
      </x:c>
      <x:c r="F32" s="32" t="n">
        <x:v>0.0640470297029703</x:v>
      </x:c>
      <x:c r="G32" s="32" t="n">
        <x:v>2.8251253707149635</x:v>
      </x:c>
      <x:c r="H32" s="32" t="n">
        <x:v>3.1688572662298014</x:v>
      </x:c>
      <x:c r="I32" s="32" t="n">
        <x:v>0.9520736222429033</x:v>
      </x:c>
      <x:c r="J32" s="32" t="n">
        <x:v>0.030160964209093487</x:v>
      </x:c>
      <x:c r="K32" s="32" t="n">
        <x:v>0.14333199100866945</x:v>
      </x:c>
      <x:c r="L32" s="32" t="n">
        <x:v>0.005986232</x:v>
      </x:c>
      <x:c r="M32" s="32" t="n">
        <x:v>0.005836576</x:v>
      </x:c>
      <x:c r="N32" s="32" t="n">
        <x:v>4938</x:v>
      </x:c>
      <x:c r="O32" s="32" t="n">
        <x:v>0.8272</x:v>
      </x:c>
      <x:c r="P32" s="32" t="n">
        <x:v>1322.6714965820313</x:v>
      </x:c>
      <x:c r="Q32" s="32" t="n">
        <x:v>31.04402364095052</x:v>
      </x:c>
      <x:c r="R32" s="32" t="n">
        <x:v>46.18375943434977</x:v>
      </x:c>
      <x:c r="S32" s="32" t="n">
        <x:v>37.82462183187374</x:v>
      </x:c>
      <x:c r="T32" s="32" t="n">
        <x:v>89.9</x:v>
      </x:c>
      <x:c r="U32" s="32" t="n">
        <x:v>245.07712999476223</x:v>
      </x:c>
      <x:c r="V32" s="32" t="n">
        <x:v>244.75798925963002</x:v>
      </x:c>
      <x:c r="W32" s="33" t="n">
        <x:f>IF(ISNUMBER(E32),100*MAX(0,MIN(1,('Anchors'!$H$6-E32)/('Anchors'!$H$6-'Anchors'!$G$6))),"")</x:f>
        <x:v>91.85714285714288</x:v>
      </x:c>
      <x:c r="X32" s="33" t="n">
        <x:f>IF(ISNUMBER(F32),100*MAX(0,MIN(1,('Anchors'!$H$7-F32)/('Anchors'!$H$7-'Anchors'!$G$7))),"")</x:f>
        <x:v>100</x:v>
      </x:c>
      <x:c r="Y32" s="33" t="n">
        <x:f>IF(ISNUMBER(G32),100*MAX(0,MIN(1,('Anchors'!$H$8-G32)/('Anchors'!$H$8-'Anchors'!$G$8))),"")</x:f>
        <x:v>39.16248764283455</x:v>
      </x:c>
      <x:c r="Z32" s="33" t="n">
        <x:f>IF(ISNUMBER(H32),100*MAX(0,MIN(1,('Anchors'!$H$9-H32)/('Anchors'!$H$9-'Anchors'!$G$9))),"")</x:f>
        <x:v>27.704757792339958</x:v>
      </x:c>
      <x:c r="AA32" s="33" t="n">
        <x:f>IF(ISNUMBER(I32),100*MAX(0,MIN(1,(I32-'Anchors'!$H$10)/('Anchors'!$G$10-'Anchors'!$H$10))),"")</x:f>
        <x:v>96.1744688003977</x:v>
      </x:c>
      <x:c r="AB32" s="33" t="n">
        <x:f>IF(ISNUMBER(J32),100*MAX(0,MIN(1,('Anchors'!$H$11-J32)/('Anchors'!$H$11-'Anchors'!$G$11))),"")</x:f>
        <x:v>87.9356143163626</x:v>
      </x:c>
      <x:c r="AC32" s="33" t="n">
        <x:f>IF(ISNUMBER(K32),100*MAX(0,MIN(1,('Anchors'!$H$12-K32)/('Anchors'!$H$12-'Anchors'!$G$12))),"")</x:f>
        <x:v>64.16700224783264</x:v>
      </x:c>
      <x:c r="AD32" s="33" t="n">
        <x:f>IF(ISNUMBER(L32),100*MAX(0,MIN(1,(L32-'Anchors'!$H$13)/('Anchors'!$G$13-'Anchors'!$H$13))),"")</x:f>
        <x:v>0</x:v>
      </x:c>
      <x:c r="AE32" s="33" t="n">
        <x:f>IF(ISNUMBER(M32),100*MAX(0,MIN(1,(M32-'Anchors'!$H$14)/('Anchors'!$G$14-'Anchors'!$H$14))),"")</x:f>
        <x:v>0</x:v>
      </x:c>
      <x:c r="AF32" s="33" t="n">
        <x:f>IF(ISNUMBER(N32),100*MAX(0,MIN(1,(LN(1+N32)-LN(1+'Anchors'!$H$15))/(LN(1+'Anchors'!$G$15)-LN(1+'Anchors'!$H$15)))),"")</x:f>
        <x:v>20.92927709692948</x:v>
      </x:c>
      <x:c r="AG32" s="33" t="n">
        <x:f>IF(ISNUMBER(O32),100*MAX(0,MIN(1,('Anchors'!$H$16-O32)/('Anchors'!$H$16-'Anchors'!$G$16))),"")</x:f>
        <x:v>13.644444444444437</x:v>
      </x:c>
      <x:c r="AH32" s="33" t="n">
        <x:f>IF(ISNUMBER(P32),100*MAX(0,MIN(1,('Anchors'!$H$17-P32)/('Anchors'!$H$17-'Anchors'!$G$17))),"")</x:f>
        <x:v>58.488566894531246</x:v>
      </x:c>
      <x:c r="AI32" s="33" t="n">
        <x:f>IF(ISNUMBER(Q32),100*MAX(0,MIN(1,('Anchors'!$H$18-Q32)/('Anchors'!$H$18-'Anchors'!$G$18))),"")</x:f>
        <x:v>62.794251941499255</x:v>
      </x:c>
      <x:c r="AJ32" s="33" t="n">
        <x:f>IF(ISNUMBER(R32),100*MAX(0,MIN(1,('Anchors'!$H$19-R32)/('Anchors'!$H$19-'Anchors'!$G$19))),"")</x:f>
        <x:v>8.48053459033385</x:v>
      </x:c>
      <x:c r="AK32" s="33" t="n">
        <x:f>IF(ISNUMBER(S32),100*MAX(0,MIN(1,('Anchors'!$H$20-S32)/('Anchors'!$H$20-'Anchors'!$G$20))),"")</x:f>
        <x:v>0</x:v>
      </x:c>
      <x:c r="AL32" s="33" t="n">
        <x:f>IF(ISNUMBER(T32),100*MAX(0,MIN(1,('Anchors'!$H$21-T32)/('Anchors'!$H$21-'Anchors'!$G$21))),"")</x:f>
        <x:v>54.72727272727271</x:v>
      </x:c>
      <x:c r="AM32" s="33" t="n">
        <x:f>IF(ISNUMBER(U32),100*MAX(0,MIN(1,('Anchors'!$H$22-U32)/('Anchors'!$H$22-'Anchors'!$G$22))),"")</x:f>
        <x:v>27.461435002618884</x:v>
      </x:c>
      <x:c r="AN32" s="33" t="n">
        <x:f>IF(ISNUMBER(V32),100*MAX(0,MIN(1,('Anchors'!$H$23-V32)/('Anchors'!$H$23-'Anchors'!$G$23))),"")</x:f>
        <x:v>88.8105026850925</x:v>
      </x:c>
      <x:c r="AO32" s="27" t="n">
        <x:f>IF(ISNUMBER(W32),IF('Scoring Setup'!$L$9=1,1-'Scoring Setup'!$B$5*(1-MAX(0,MIN(1,(W32-'Scoring Setup'!$K$9)/(100-'Scoring Setup'!$K$9)))),1),"")</x:f>
        <x:v>0.9837142857142858</x:v>
      </x:c>
      <x:c r="AP32" s="27" t="n">
        <x:f>IF(ISNUMBER(X32),IF('Scoring Setup'!$L$10=1,1-'Scoring Setup'!$B$5*(1-MAX(0,MIN(1,(X32-'Scoring Setup'!$K$10)/(100-'Scoring Setup'!$K$10)))),1),"")</x:f>
        <x:v>1</x:v>
      </x:c>
      <x:c r="AQ32" s="27" t="n">
        <x:f>IF(ISNUMBER(Y32),IF('Scoring Setup'!$L$11=1,1-'Scoring Setup'!$B$5*(1-MAX(0,MIN(1,(Y32-'Scoring Setup'!$K$11)/(100-'Scoring Setup'!$K$11)))),1),"")</x:f>
        <x:v>0.8783249752856691</x:v>
      </x:c>
      <x:c r="AR32" s="27" t="n">
        <x:f>IF(ISNUMBER(Z32),IF('Scoring Setup'!$L$12=1,1-'Scoring Setup'!$B$5*(1-MAX(0,MIN(1,(Z32-'Scoring Setup'!$K$12)/(100-'Scoring Setup'!$K$12)))),1),"")</x:f>
        <x:v>0.8554095155846799</x:v>
      </x:c>
      <x:c r="AS32" s="27" t="n">
        <x:f>IF(ISNUMBER(AA32),IF('Scoring Setup'!$L$13=1,1-'Scoring Setup'!$B$5*(1-MAX(0,MIN(1,(AA32-'Scoring Setup'!$K$13)/(100-'Scoring Setup'!$K$13)))),1),"")</x:f>
        <x:v>0.9923489376007955</x:v>
      </x:c>
      <x:c r="AT32" s="27" t="n">
        <x:f>IF(ISNUMBER(AB32),IF('Scoring Setup'!$L$14=1,1-'Scoring Setup'!$B$5*(1-MAX(0,MIN(1,(AB32-'Scoring Setup'!$K$14)/(100-'Scoring Setup'!$K$14)))),1),"")</x:f>
        <x:v>0.9758712286327252</x:v>
      </x:c>
      <x:c r="AU32" s="27" t="n">
        <x:f>IF(ISNUMBER(AC32),IF('Scoring Setup'!$L$15=1,1-'Scoring Setup'!$B$5*(1-MAX(0,MIN(1,(AC32-'Scoring Setup'!$K$15)/(100-'Scoring Setup'!$K$15)))),1),"")</x:f>
        <x:v>0.9283340044956653</x:v>
      </x:c>
      <x:c r="AV32" s="27" t="n">
        <x:f>IF(ISNUMBER(AD32),IF('Scoring Setup'!$L$16=1,1-'Scoring Setup'!$B$5*(1-MAX(0,MIN(1,(AD32-'Scoring Setup'!$K$16)/(100-'Scoring Setup'!$K$16)))),1),"")</x:f>
        <x:v>0.8</x:v>
      </x:c>
      <x:c r="AW32" s="27" t="n">
        <x:f>IF(ISNUMBER(AE32),IF('Scoring Setup'!$L$17=1,1-'Scoring Setup'!$B$5*(1-MAX(0,MIN(1,(AE32-'Scoring Setup'!$K$17)/(100-'Scoring Setup'!$K$17)))),1),"")</x:f>
        <x:v>0.8</x:v>
      </x:c>
      <x:c r="AX32" s="27" t="n">
        <x:f>IF(ISNUMBER(AF32),IF('Scoring Setup'!$L$18=1,1-'Scoring Setup'!$B$5*(1-MAX(0,MIN(1,(AF32-'Scoring Setup'!$K$18)/(100-'Scoring Setup'!$K$18)))),1),"")</x:f>
        <x:v>0.8418585541938589</x:v>
      </x:c>
      <x:c r="AY32" s="27" t="n">
        <x:f>IF(ISNUMBER(AG32),IF('Scoring Setup'!$L$19=1,1-'Scoring Setup'!$B$5*(1-MAX(0,MIN(1,(AG32-'Scoring Setup'!$K$19)/(100-'Scoring Setup'!$K$19)))),1),"")</x:f>
        <x:v>0.8272888888888889</x:v>
      </x:c>
      <x:c r="AZ32" s="27" t="n">
        <x:f>IF(ISNUMBER(AH32),IF('Scoring Setup'!$L$20=1,1-'Scoring Setup'!$B$5*(1-MAX(0,MIN(1,(AH32-'Scoring Setup'!$K$20)/(100-'Scoring Setup'!$K$20)))),1),"")</x:f>
        <x:v>0.9169771337890624</x:v>
      </x:c>
      <x:c r="BA32" s="27" t="n">
        <x:f>IF(ISNUMBER(AI32),IF('Scoring Setup'!$L$21=1,1-'Scoring Setup'!$B$5*(1-MAX(0,MIN(1,(AI32-'Scoring Setup'!$K$21)/(100-'Scoring Setup'!$K$21)))),1),"")</x:f>
        <x:v>0.9255885038829985</x:v>
      </x:c>
      <x:c r="BB32" s="27" t="n">
        <x:f>IF(ISNUMBER(AJ32),IF('Scoring Setup'!$L$22=1,1-'Scoring Setup'!$B$5*(1-MAX(0,MIN(1,(AJ32-'Scoring Setup'!$K$22)/(100-'Scoring Setup'!$K$22)))),1),"")</x:f>
        <x:v>0.8169610691806677</x:v>
      </x:c>
      <x:c r="BC32" s="27" t="n">
        <x:f>IF(ISNUMBER(AK32),IF('Scoring Setup'!$L$23=1,1-'Scoring Setup'!$B$5*(1-MAX(0,MIN(1,(AK32-'Scoring Setup'!$K$23)/(100-'Scoring Setup'!$K$23)))),1),"")</x:f>
        <x:v>0.8</x:v>
      </x:c>
      <x:c r="BD32" s="27" t="n">
        <x:f>IF(ISNUMBER(AL32),IF('Scoring Setup'!$L$24=1,1-'Scoring Setup'!$B$5*(1-MAX(0,MIN(1,(AL32-'Scoring Setup'!$K$24)/(100-'Scoring Setup'!$K$24)))),1),"")</x:f>
        <x:v>0.9094545454545454</x:v>
      </x:c>
      <x:c r="BE32" s="27" t="n">
        <x:f>IF(ISNUMBER(AM32),IF('Scoring Setup'!$L$25=1,1-'Scoring Setup'!$B$5*(1-MAX(0,MIN(1,(AM32-'Scoring Setup'!$K$25)/(100-'Scoring Setup'!$K$25)))),1),"")</x:f>
        <x:v>0.8549228700052378</x:v>
      </x:c>
      <x:c r="BF32" s="27" t="n">
        <x:f>IF(ISNUMBER(AN32),IF('Scoring Setup'!$L$26=1,1-'Scoring Setup'!$B$5*(1-MAX(0,MIN(1,(AN32-'Scoring Setup'!$K$26)/(100-'Scoring Setup'!$K$26)))),1),"")</x:f>
        <x:v>0.977621005370185</x:v>
      </x:c>
      <x:c r="BG32" s="34" t="n">
        <x:f>IF(COUNT(W32,X32)=2,AVERAGE(W32,X32),"")</x:f>
        <x:v>95.92857142857144</x:v>
      </x:c>
      <x:c r="BH32" s="34" t="n">
        <x:f>IF(COUNT(Y32,Z32)=2,AVERAGE(Y32,Z32),"")</x:f>
        <x:v>33.433622717587255</x:v>
      </x:c>
      <x:c r="BI32" s="34" t="n">
        <x:f>IF(COUNT(AA32,AB32,AC32)=3,AVERAGE(AA32,AB32,AC32),"")</x:f>
        <x:v>82.75902845486432</x:v>
      </x:c>
      <x:c r="BJ32" s="34" t="n">
        <x:f>IF(COUNT(AD32,AE32)=2,AVERAGE(AD32,AE32),"")</x:f>
        <x:v>0</x:v>
      </x:c>
      <x:c r="BK32" s="34" t="n">
        <x:f>IF(COUNT(AF32,AG32)=2,AVERAGE(AF32,AG32),"")</x:f>
        <x:v>17.286860770686957</x:v>
      </x:c>
      <x:c r="BL32" s="34" t="n">
        <x:f>IF(COUNT(AH32,AI32)=2,AVERAGE(AH32,AI32),"")</x:f>
        <x:v>60.64140941801525</x:v>
      </x:c>
      <x:c r="BM32" s="34" t="n">
        <x:f>IF(COUNT(AJ32,AK32)=2,AVERAGE(AJ32,AK32),"")</x:f>
        <x:v>4.240267295166925</x:v>
      </x:c>
      <x:c r="BN32" s="34" t="n">
        <x:f>IF(COUNT(AL32,AM32,AN32)=3,AVERAGE(AL32,AM32,AN32),"")</x:f>
        <x:v>56.999736804994704</x:v>
      </x:c>
      <x:c r="BO32" s="35" t="n">
        <x:f>IF(AND(COUNT(BG32:BN32)=8,ABS('Scoring Setup'!$C$17-1)&lt;0.000001),BG32*'Scoring Setup'!$C$9+BH32*'Scoring Setup'!$C$10+BI32*'Scoring Setup'!$C$11+BJ32*'Scoring Setup'!$C$12+BK32*'Scoring Setup'!$C$13+BL32*'Scoring Setup'!$C$14+BM32*'Scoring Setup'!$C$15+BN32*'Scoring Setup'!$C$16,"")</x:f>
        <x:v>46.628175486087244</x:v>
      </x:c>
      <x:c r="BP32" s="36" t="n">
        <x:f>IF(COUNT(AO32:BF32)=18,MIN(AO32:BF32),"")</x:f>
        <x:v>0.8</x:v>
      </x:c>
      <x:c r="BQ32" s="35" t="n">
        <x:f>IF(AND(ISNUMBER(BO32),ISNUMBER(BP32)),BO32*BP32,"")</x:f>
        <x:v>37.302540388869794</x:v>
      </x:c>
      <x:c r="BR32" s="17" t="str">
        <x:f>IF(COUNT(AO32:BF32)=18,INDEX('Scoring Setup'!$F$9:$F$26,MATCH(MIN(AO32:BF32),AO32:BF32,0),1),"")</x:f>
        <x:v>商业光纤100/20覆盖率</x:v>
      </x:c>
    </x:row>
    <x:row r="33">
      <x:c r="A33" s="28" t="str">
        <x:v>51059</x:v>
      </x:c>
      <x:c r="B33" s="28" t="str">
        <x:v>Fairfax County</x:v>
      </x:c>
      <x:c r="C33" s="28" t="str">
        <x:v>VA</x:v>
      </x:c>
      <x:c r="D33" s="31" t="n">
        <x:v>1012.738308</x:v>
      </x:c>
      <x:c r="E33" s="32" t="n">
        <x:v>0.157</x:v>
      </x:c>
      <x:c r="F33" s="32" t="n">
        <x:v>0.269492574257426</x:v>
      </x:c>
      <x:c r="G33" s="32" t="n">
        <x:v>2.5458454150152194</x:v>
      </x:c>
      <x:c r="H33" s="32" t="n">
        <x:v>2.940970590372003</x:v>
      </x:c>
      <x:c r="I33" s="32" t="n">
        <x:v>0.4607667814855819</x:v>
      </x:c>
      <x:c r="J33" s="32" t="n">
        <x:v>0.0556416666701398</x:v>
      </x:c>
      <x:c r="K33" s="32" t="n">
        <x:v>0.04395915802591258</x:v>
      </x:c>
      <x:c r="L33" s="32" t="n">
        <x:v>0.862499152</x:v>
      </x:c>
      <x:c r="M33" s="32" t="n">
        <x:v>0.497105893</x:v>
      </x:c>
      <x:c r="N33" s="32" t="n">
        <x:v>644674</x:v>
      </x:c>
      <x:c r="O33" s="32" t="n">
        <x:v>0.2412</x:v>
      </x:c>
      <x:c r="P33" s="32" t="n">
        <x:v>1116.6178344726563</x:v>
      </x:c>
      <x:c r="Q33" s="32" t="n">
        <x:v>22.107075691223145</x:v>
      </x:c>
      <x:c r="R33" s="32" t="n">
        <x:v>4.4936621531184615</x:v>
      </x:c>
      <x:c r="S33" s="32" t="n">
        <x:v>3.4685480253583956</x:v>
      </x:c>
      <x:c r="T33" s="32" t="n">
        <x:v>89.9</x:v>
      </x:c>
      <x:c r="U33" s="32" t="n">
        <x:v>245.07712999476223</x:v>
      </x:c>
      <x:c r="V33" s="32" t="n">
        <x:v>244.75798925963002</x:v>
      </x:c>
      <x:c r="W33" s="33" t="n">
        <x:f>IF(ISNUMBER(E33),100*MAX(0,MIN(1,('Anchors'!$H$6-E33)/('Anchors'!$H$6-'Anchors'!$G$6))),"")</x:f>
        <x:v>100</x:v>
      </x:c>
      <x:c r="X33" s="33" t="n">
        <x:f>IF(ISNUMBER(F33),100*MAX(0,MIN(1,('Anchors'!$H$7-F33)/('Anchors'!$H$7-'Anchors'!$G$7))),"")</x:f>
        <x:v>75.78677510608199</x:v>
      </x:c>
      <x:c r="Y33" s="33" t="n">
        <x:f>IF(ISNUMBER(G33),100*MAX(0,MIN(1,('Anchors'!$H$8-G33)/('Anchors'!$H$8-'Anchors'!$G$8))),"")</x:f>
        <x:v>48.47181949949268</x:v>
      </x:c>
      <x:c r="Z33" s="33" t="n">
        <x:f>IF(ISNUMBER(H33),100*MAX(0,MIN(1,('Anchors'!$H$9-H33)/('Anchors'!$H$9-'Anchors'!$G$9))),"")</x:f>
        <x:v>35.300980320933235</x:v>
      </x:c>
      <x:c r="AA33" s="33" t="n">
        <x:f>IF(ISNUMBER(I33),100*MAX(0,MIN(1,(I33-'Anchors'!$H$10)/('Anchors'!$G$10-'Anchors'!$H$10))),"")</x:f>
        <x:v>28.87216184733999</x:v>
      </x:c>
      <x:c r="AB33" s="33" t="n">
        <x:f>IF(ISNUMBER(J33),100*MAX(0,MIN(1,('Anchors'!$H$11-J33)/('Anchors'!$H$11-'Anchors'!$G$11))),"")</x:f>
        <x:v>77.74333333194407</x:v>
      </x:c>
      <x:c r="AC33" s="33" t="n">
        <x:f>IF(ISNUMBER(K33),100*MAX(0,MIN(1,('Anchors'!$H$12-K33)/('Anchors'!$H$12-'Anchors'!$G$12))),"")</x:f>
        <x:v>89.01021049352184</x:v>
      </x:c>
      <x:c r="AD33" s="33" t="n">
        <x:f>IF(ISNUMBER(L33),100*MAX(0,MIN(1,(L33-'Anchors'!$H$13)/('Anchors'!$G$13-'Anchors'!$H$13))),"")</x:f>
        <x:v>94.64273600000001</x:v>
      </x:c>
      <x:c r="AE33" s="33" t="n">
        <x:f>IF(ISNUMBER(M33),100*MAX(0,MIN(1,(M33-'Anchors'!$H$14)/('Anchors'!$G$14-'Anchors'!$H$14))),"")</x:f>
        <x:v>49.638236625</x:v>
      </x:c>
      <x:c r="AF33" s="33" t="n">
        <x:f>IF(ISNUMBER(N33),100*MAX(0,MIN(1,(LN(1+N33)-LN(1+'Anchors'!$H$15))/(LN(1+'Anchors'!$G$15)-LN(1+'Anchors'!$H$15)))),"")</x:f>
        <x:v>100</x:v>
      </x:c>
      <x:c r="AG33" s="33" t="n">
        <x:f>IF(ISNUMBER(O33),100*MAX(0,MIN(1,('Anchors'!$H$16-O33)/('Anchors'!$H$16-'Anchors'!$G$16))),"")</x:f>
        <x:v>78.75555555555556</x:v>
      </x:c>
      <x:c r="AH33" s="33" t="n">
        <x:f>IF(ISNUMBER(P33),100*MAX(0,MIN(1,('Anchors'!$H$17-P33)/('Anchors'!$H$17-'Anchors'!$G$17))),"")</x:f>
        <x:v>72.22547770182291</x:v>
      </x:c>
      <x:c r="AI33" s="33" t="n">
        <x:f>IF(ISNUMBER(Q33),100*MAX(0,MIN(1,('Anchors'!$H$18-Q33)/('Anchors'!$H$18-'Anchors'!$G$18))),"")</x:f>
        <x:v>75.56132044110979</x:v>
      </x:c>
      <x:c r="AJ33" s="33" t="n">
        <x:f>IF(ISNUMBER(R33),100*MAX(0,MIN(1,('Anchors'!$H$19-R33)/('Anchors'!$H$19-'Anchors'!$G$19))),"")</x:f>
        <x:v>100</x:v>
      </x:c>
      <x:c r="AK33" s="33" t="n">
        <x:f>IF(ISNUMBER(S33),100*MAX(0,MIN(1,('Anchors'!$H$20-S33)/('Anchors'!$H$20-'Anchors'!$G$20))),"")</x:f>
        <x:v>87.00764197179792</x:v>
      </x:c>
      <x:c r="AL33" s="33" t="n">
        <x:f>IF(ISNUMBER(T33),100*MAX(0,MIN(1,('Anchors'!$H$21-T33)/('Anchors'!$H$21-'Anchors'!$G$21))),"")</x:f>
        <x:v>54.72727272727271</x:v>
      </x:c>
      <x:c r="AM33" s="33" t="n">
        <x:f>IF(ISNUMBER(U33),100*MAX(0,MIN(1,('Anchors'!$H$22-U33)/('Anchors'!$H$22-'Anchors'!$G$22))),"")</x:f>
        <x:v>27.461435002618884</x:v>
      </x:c>
      <x:c r="AN33" s="33" t="n">
        <x:f>IF(ISNUMBER(V33),100*MAX(0,MIN(1,('Anchors'!$H$23-V33)/('Anchors'!$H$23-'Anchors'!$G$23))),"")</x:f>
        <x:v>88.8105026850925</x:v>
      </x:c>
      <x:c r="AO33" s="27" t="n">
        <x:f>IF(ISNUMBER(W33),IF('Scoring Setup'!$L$9=1,1-'Scoring Setup'!$B$5*(1-MAX(0,MIN(1,(W33-'Scoring Setup'!$K$9)/(100-'Scoring Setup'!$K$9)))),1),"")</x:f>
        <x:v>1</x:v>
      </x:c>
      <x:c r="AP33" s="27" t="n">
        <x:f>IF(ISNUMBER(X33),IF('Scoring Setup'!$L$10=1,1-'Scoring Setup'!$B$5*(1-MAX(0,MIN(1,(X33-'Scoring Setup'!$K$10)/(100-'Scoring Setup'!$K$10)))),1),"")</x:f>
        <x:v>0.9515735502121639</x:v>
      </x:c>
      <x:c r="AQ33" s="27" t="n">
        <x:f>IF(ISNUMBER(Y33),IF('Scoring Setup'!$L$11=1,1-'Scoring Setup'!$B$5*(1-MAX(0,MIN(1,(Y33-'Scoring Setup'!$K$11)/(100-'Scoring Setup'!$K$11)))),1),"")</x:f>
        <x:v>0.8969436389989853</x:v>
      </x:c>
      <x:c r="AR33" s="27" t="n">
        <x:f>IF(ISNUMBER(Z33),IF('Scoring Setup'!$L$12=1,1-'Scoring Setup'!$B$5*(1-MAX(0,MIN(1,(Z33-'Scoring Setup'!$K$12)/(100-'Scoring Setup'!$K$12)))),1),"")</x:f>
        <x:v>0.8706019606418665</x:v>
      </x:c>
      <x:c r="AS33" s="27" t="n">
        <x:f>IF(ISNUMBER(AA33),IF('Scoring Setup'!$L$13=1,1-'Scoring Setup'!$B$5*(1-MAX(0,MIN(1,(AA33-'Scoring Setup'!$K$13)/(100-'Scoring Setup'!$K$13)))),1),"")</x:f>
        <x:v>0.85774432369468</x:v>
      </x:c>
      <x:c r="AT33" s="27" t="n">
        <x:f>IF(ISNUMBER(AB33),IF('Scoring Setup'!$L$14=1,1-'Scoring Setup'!$B$5*(1-MAX(0,MIN(1,(AB33-'Scoring Setup'!$K$14)/(100-'Scoring Setup'!$K$14)))),1),"")</x:f>
        <x:v>0.9554866666638882</x:v>
      </x:c>
      <x:c r="AU33" s="27" t="n">
        <x:f>IF(ISNUMBER(AC33),IF('Scoring Setup'!$L$15=1,1-'Scoring Setup'!$B$5*(1-MAX(0,MIN(1,(AC33-'Scoring Setup'!$K$15)/(100-'Scoring Setup'!$K$15)))),1),"")</x:f>
        <x:v>0.9780204209870437</x:v>
      </x:c>
      <x:c r="AV33" s="27" t="n">
        <x:f>IF(ISNUMBER(AD33),IF('Scoring Setup'!$L$16=1,1-'Scoring Setup'!$B$5*(1-MAX(0,MIN(1,(AD33-'Scoring Setup'!$K$16)/(100-'Scoring Setup'!$K$16)))),1),"")</x:f>
        <x:v>0.989285472</x:v>
      </x:c>
      <x:c r="AW33" s="27" t="n">
        <x:f>IF(ISNUMBER(AE33),IF('Scoring Setup'!$L$17=1,1-'Scoring Setup'!$B$5*(1-MAX(0,MIN(1,(AE33-'Scoring Setup'!$K$17)/(100-'Scoring Setup'!$K$17)))),1),"")</x:f>
        <x:v>0.89927647325</x:v>
      </x:c>
      <x:c r="AX33" s="27" t="n">
        <x:f>IF(ISNUMBER(AF33),IF('Scoring Setup'!$L$18=1,1-'Scoring Setup'!$B$5*(1-MAX(0,MIN(1,(AF33-'Scoring Setup'!$K$18)/(100-'Scoring Setup'!$K$18)))),1),"")</x:f>
        <x:v>1</x:v>
      </x:c>
      <x:c r="AY33" s="27" t="n">
        <x:f>IF(ISNUMBER(AG33),IF('Scoring Setup'!$L$19=1,1-'Scoring Setup'!$B$5*(1-MAX(0,MIN(1,(AG33-'Scoring Setup'!$K$19)/(100-'Scoring Setup'!$K$19)))),1),"")</x:f>
        <x:v>0.9575111111111111</x:v>
      </x:c>
      <x:c r="AZ33" s="27" t="n">
        <x:f>IF(ISNUMBER(AH33),IF('Scoring Setup'!$L$20=1,1-'Scoring Setup'!$B$5*(1-MAX(0,MIN(1,(AH33-'Scoring Setup'!$K$20)/(100-'Scoring Setup'!$K$20)))),1),"")</x:f>
        <x:v>0.9444509554036459</x:v>
      </x:c>
      <x:c r="BA33" s="27" t="n">
        <x:f>IF(ISNUMBER(AI33),IF('Scoring Setup'!$L$21=1,1-'Scoring Setup'!$B$5*(1-MAX(0,MIN(1,(AI33-'Scoring Setup'!$K$21)/(100-'Scoring Setup'!$K$21)))),1),"")</x:f>
        <x:v>0.9511226408822195</x:v>
      </x:c>
      <x:c r="BB33" s="27" t="n">
        <x:f>IF(ISNUMBER(AJ33),IF('Scoring Setup'!$L$22=1,1-'Scoring Setup'!$B$5*(1-MAX(0,MIN(1,(AJ33-'Scoring Setup'!$K$22)/(100-'Scoring Setup'!$K$22)))),1),"")</x:f>
        <x:v>1</x:v>
      </x:c>
      <x:c r="BC33" s="27" t="n">
        <x:f>IF(ISNUMBER(AK33),IF('Scoring Setup'!$L$23=1,1-'Scoring Setup'!$B$5*(1-MAX(0,MIN(1,(AK33-'Scoring Setup'!$K$23)/(100-'Scoring Setup'!$K$23)))),1),"")</x:f>
        <x:v>0.9740152839435958</x:v>
      </x:c>
      <x:c r="BD33" s="27" t="n">
        <x:f>IF(ISNUMBER(AL33),IF('Scoring Setup'!$L$24=1,1-'Scoring Setup'!$B$5*(1-MAX(0,MIN(1,(AL33-'Scoring Setup'!$K$24)/(100-'Scoring Setup'!$K$24)))),1),"")</x:f>
        <x:v>0.9094545454545454</x:v>
      </x:c>
      <x:c r="BE33" s="27" t="n">
        <x:f>IF(ISNUMBER(AM33),IF('Scoring Setup'!$L$25=1,1-'Scoring Setup'!$B$5*(1-MAX(0,MIN(1,(AM33-'Scoring Setup'!$K$25)/(100-'Scoring Setup'!$K$25)))),1),"")</x:f>
        <x:v>0.8549228700052378</x:v>
      </x:c>
      <x:c r="BF33" s="27" t="n">
        <x:f>IF(ISNUMBER(AN33),IF('Scoring Setup'!$L$26=1,1-'Scoring Setup'!$B$5*(1-MAX(0,MIN(1,(AN33-'Scoring Setup'!$K$26)/(100-'Scoring Setup'!$K$26)))),1),"")</x:f>
        <x:v>0.977621005370185</x:v>
      </x:c>
      <x:c r="BG33" s="34" t="n">
        <x:f>IF(COUNT(W33,X33)=2,AVERAGE(W33,X33),"")</x:f>
        <x:v>87.893387553041</x:v>
      </x:c>
      <x:c r="BH33" s="34" t="n">
        <x:f>IF(COUNT(Y33,Z33)=2,AVERAGE(Y33,Z33),"")</x:f>
        <x:v>41.88639991021296</x:v>
      </x:c>
      <x:c r="BI33" s="34" t="n">
        <x:f>IF(COUNT(AA33,AB33,AC33)=3,AVERAGE(AA33,AB33,AC33),"")</x:f>
        <x:v>65.20856855760196</x:v>
      </x:c>
      <x:c r="BJ33" s="34" t="n">
        <x:f>IF(COUNT(AD33,AE33)=2,AVERAGE(AD33,AE33),"")</x:f>
        <x:v>72.1404863125</x:v>
      </x:c>
      <x:c r="BK33" s="34" t="n">
        <x:f>IF(COUNT(AF33,AG33)=2,AVERAGE(AF33,AG33),"")</x:f>
        <x:v>89.37777777777778</x:v>
      </x:c>
      <x:c r="BL33" s="34" t="n">
        <x:f>IF(COUNT(AH33,AI33)=2,AVERAGE(AH33,AI33),"")</x:f>
        <x:v>73.89339907146635</x:v>
      </x:c>
      <x:c r="BM33" s="34" t="n">
        <x:f>IF(COUNT(AJ33,AK33)=2,AVERAGE(AJ33,AK33),"")</x:f>
        <x:v>93.50382098589895</x:v>
      </x:c>
      <x:c r="BN33" s="34" t="n">
        <x:f>IF(COUNT(AL33,AM33,AN33)=3,AVERAGE(AL33,AM33,AN33),"")</x:f>
        <x:v>56.999736804994704</x:v>
      </x:c>
      <x:c r="BO33" s="35" t="n">
        <x:f>IF(AND(COUNT(BG33:BN33)=8,ABS('Scoring Setup'!$C$17-1)&lt;0.000001),BG33*'Scoring Setup'!$C$9+BH33*'Scoring Setup'!$C$10+BI33*'Scoring Setup'!$C$11+BJ33*'Scoring Setup'!$C$12+BK33*'Scoring Setup'!$C$13+BL33*'Scoring Setup'!$C$14+BM33*'Scoring Setup'!$C$15+BN33*'Scoring Setup'!$C$16,"")</x:f>
        <x:v>65.30908404650134</x:v>
      </x:c>
      <x:c r="BP33" s="36" t="n">
        <x:f>IF(COUNT(AO33:BF33)=18,MIN(AO33:BF33),"")</x:f>
        <x:v>0.8549228700052378</x:v>
      </x:c>
      <x:c r="BQ33" s="35" t="n">
        <x:f>IF(AND(ISNUMBER(BO33),ISNUMBER(BP33)),BO33*BP33,"")</x:f>
        <x:v>55.834229570448215</x:v>
      </x:c>
      <x:c r="BR33" s="17" t="str">
        <x:f>IF(COUNT(AO33:BF33)=18,INDEX('Scoring Setup'!$F$9:$F$26,MATCH(MIN(AO33:BF33),AO33:BF33,0),1),"")</x:f>
        <x:v>州SAIDI不含重大事件日</x:v>
      </x:c>
    </x:row>
    <x:row r="34">
      <x:c r="A34" s="28" t="str">
        <x:v>51061</x:v>
      </x:c>
      <x:c r="B34" s="28" t="str">
        <x:v>Fauquier County</x:v>
      </x:c>
      <x:c r="C34" s="28" t="str">
        <x:v>VA</x:v>
      </x:c>
      <x:c r="D34" s="31" t="n">
        <x:v>1678.296516</x:v>
      </x:c>
      <x:c r="E34" s="32" t="n">
        <x:v>0.271</x:v>
      </x:c>
      <x:c r="F34" s="32" t="n">
        <x:v>0.567141089108911</x:v>
      </x:c>
      <x:c r="G34" s="32" t="n">
        <x:v>2.4107519217707027</x:v>
      </x:c>
      <x:c r="H34" s="32" t="n">
        <x:v>2.7860531574254677</x:v>
      </x:c>
      <x:c r="I34" s="32" t="n">
        <x:v>0.9503877861157101</x:v>
      </x:c>
      <x:c r="J34" s="32" t="n">
        <x:v>0.030508967857351525</x:v>
      </x:c>
      <x:c r="K34" s="32" t="n">
        <x:v>0.02944112657901935</x:v>
      </x:c>
      <x:c r="L34" s="32" t="n">
        <x:v>0.150109326</x:v>
      </x:c>
      <x:c r="M34" s="32" t="n">
        <x:v>0.141521691</x:v>
      </x:c>
      <x:c r="N34" s="32" t="n">
        <x:v>41754</x:v>
      </x:c>
      <x:c r="O34" s="32" t="n">
        <x:v>0.0732</x:v>
      </x:c>
      <x:c r="P34" s="32" t="n">
        <x:v>975.415205891927</x:v>
      </x:c>
      <x:c r="Q34" s="32" t="n">
        <x:v>16.178626537322998</x:v>
      </x:c>
      <x:c r="R34" s="32" t="n">
        <x:v>11.953978840829102</x:v>
      </x:c>
      <x:c r="S34" s="32" t="n">
        <x:v>9.831196182642868</x:v>
      </x:c>
      <x:c r="T34" s="32" t="n">
        <x:v>89.9</x:v>
      </x:c>
      <x:c r="U34" s="32" t="n">
        <x:v>245.07712999476223</x:v>
      </x:c>
      <x:c r="V34" s="32" t="n">
        <x:v>244.75798925963002</x:v>
      </x:c>
      <x:c r="W34" s="33" t="n">
        <x:f>IF(ISNUMBER(E34),100*MAX(0,MIN(1,('Anchors'!$H$6-E34)/('Anchors'!$H$6-'Anchors'!$G$6))),"")</x:f>
        <x:v>89.85714285714288</x:v>
      </x:c>
      <x:c r="X34" s="33" t="n">
        <x:f>IF(ISNUMBER(F34),100*MAX(0,MIN(1,('Anchors'!$H$7-F34)/('Anchors'!$H$7-'Anchors'!$G$7))),"")</x:f>
        <x:v>33.265558698727</x:v>
      </x:c>
      <x:c r="Y34" s="33" t="n">
        <x:f>IF(ISNUMBER(G34),100*MAX(0,MIN(1,('Anchors'!$H$8-G34)/('Anchors'!$H$8-'Anchors'!$G$8))),"")</x:f>
        <x:v>52.97493594097658</x:v>
      </x:c>
      <x:c r="Z34" s="33" t="n">
        <x:f>IF(ISNUMBER(H34),100*MAX(0,MIN(1,('Anchors'!$H$9-H34)/('Anchors'!$H$9-'Anchors'!$G$9))),"")</x:f>
        <x:v>40.46489475248441</x:v>
      </x:c>
      <x:c r="AA34" s="33" t="n">
        <x:f>IF(ISNUMBER(I34),100*MAX(0,MIN(1,(I34-'Anchors'!$H$10)/('Anchors'!$G$10-'Anchors'!$H$10))),"")</x:f>
        <x:v>95.94353234461782</x:v>
      </x:c>
      <x:c r="AB34" s="33" t="n">
        <x:f>IF(ISNUMBER(J34),100*MAX(0,MIN(1,('Anchors'!$H$11-J34)/('Anchors'!$H$11-'Anchors'!$G$11))),"")</x:f>
        <x:v>87.7964128570594</x:v>
      </x:c>
      <x:c r="AC34" s="33" t="n">
        <x:f>IF(ISNUMBER(K34),100*MAX(0,MIN(1,('Anchors'!$H$12-K34)/('Anchors'!$H$12-'Anchors'!$G$12))),"")</x:f>
        <x:v>92.63971835524517</x:v>
      </x:c>
      <x:c r="AD34" s="33" t="n">
        <x:f>IF(ISNUMBER(L34),100*MAX(0,MIN(1,(L34-'Anchors'!$H$13)/('Anchors'!$G$13-'Anchors'!$H$13))),"")</x:f>
        <x:v>0</x:v>
      </x:c>
      <x:c r="AE34" s="33" t="n">
        <x:f>IF(ISNUMBER(M34),100*MAX(0,MIN(1,(M34-'Anchors'!$H$14)/('Anchors'!$G$14-'Anchors'!$H$14))),"")</x:f>
        <x:v>5.190211375</x:v>
      </x:c>
      <x:c r="AF34" s="33" t="n">
        <x:f>IF(ISNUMBER(N34),100*MAX(0,MIN(1,(LN(1+N34)-LN(1+'Anchors'!$H$15))/(LN(1+'Anchors'!$G$15)-LN(1+'Anchors'!$H$15)))),"")</x:f>
        <x:v>70.37701493200393</x:v>
      </x:c>
      <x:c r="AG34" s="33" t="n">
        <x:f>IF(ISNUMBER(O34),100*MAX(0,MIN(1,('Anchors'!$H$16-O34)/('Anchors'!$H$16-'Anchors'!$G$16))),"")</x:f>
        <x:v>97.42222222222222</x:v>
      </x:c>
      <x:c r="AH34" s="33" t="n">
        <x:f>IF(ISNUMBER(P34),100*MAX(0,MIN(1,('Anchors'!$H$17-P34)/('Anchors'!$H$17-'Anchors'!$G$17))),"")</x:f>
        <x:v>81.63898627387152</x:v>
      </x:c>
      <x:c r="AI34" s="33" t="n">
        <x:f>IF(ISNUMBER(Q34),100*MAX(0,MIN(1,('Anchors'!$H$18-Q34)/('Anchors'!$H$18-'Anchors'!$G$18))),"")</x:f>
        <x:v>84.03053351811</x:v>
      </x:c>
      <x:c r="AJ34" s="33" t="n">
        <x:f>IF(ISNUMBER(R34),100*MAX(0,MIN(1,('Anchors'!$H$19-R34)/('Anchors'!$H$19-'Anchors'!$G$19))),"")</x:f>
        <x:v>84.54671368704643</x:v>
      </x:c>
      <x:c r="AK34" s="33" t="n">
        <x:f>IF(ISNUMBER(S34),100*MAX(0,MIN(1,('Anchors'!$H$20-S34)/('Anchors'!$H$20-'Anchors'!$G$20))),"")</x:f>
        <x:v>53.520020091353324</x:v>
      </x:c>
      <x:c r="AL34" s="33" t="n">
        <x:f>IF(ISNUMBER(T34),100*MAX(0,MIN(1,('Anchors'!$H$21-T34)/('Anchors'!$H$21-'Anchors'!$G$21))),"")</x:f>
        <x:v>54.72727272727271</x:v>
      </x:c>
      <x:c r="AM34" s="33" t="n">
        <x:f>IF(ISNUMBER(U34),100*MAX(0,MIN(1,('Anchors'!$H$22-U34)/('Anchors'!$H$22-'Anchors'!$G$22))),"")</x:f>
        <x:v>27.461435002618884</x:v>
      </x:c>
      <x:c r="AN34" s="33" t="n">
        <x:f>IF(ISNUMBER(V34),100*MAX(0,MIN(1,('Anchors'!$H$23-V34)/('Anchors'!$H$23-'Anchors'!$G$23))),"")</x:f>
        <x:v>88.8105026850925</x:v>
      </x:c>
      <x:c r="AO34" s="27" t="n">
        <x:f>IF(ISNUMBER(W34),IF('Scoring Setup'!$L$9=1,1-'Scoring Setup'!$B$5*(1-MAX(0,MIN(1,(W34-'Scoring Setup'!$K$9)/(100-'Scoring Setup'!$K$9)))),1),"")</x:f>
        <x:v>0.9797142857142858</x:v>
      </x:c>
      <x:c r="AP34" s="27" t="n">
        <x:f>IF(ISNUMBER(X34),IF('Scoring Setup'!$L$10=1,1-'Scoring Setup'!$B$5*(1-MAX(0,MIN(1,(X34-'Scoring Setup'!$K$10)/(100-'Scoring Setup'!$K$10)))),1),"")</x:f>
        <x:v>0.866531117397454</x:v>
      </x:c>
      <x:c r="AQ34" s="27" t="n">
        <x:f>IF(ISNUMBER(Y34),IF('Scoring Setup'!$L$11=1,1-'Scoring Setup'!$B$5*(1-MAX(0,MIN(1,(Y34-'Scoring Setup'!$K$11)/(100-'Scoring Setup'!$K$11)))),1),"")</x:f>
        <x:v>0.9059498718819532</x:v>
      </x:c>
      <x:c r="AR34" s="27" t="n">
        <x:f>IF(ISNUMBER(Z34),IF('Scoring Setup'!$L$12=1,1-'Scoring Setup'!$B$5*(1-MAX(0,MIN(1,(Z34-'Scoring Setup'!$K$12)/(100-'Scoring Setup'!$K$12)))),1),"")</x:f>
        <x:v>0.8809297895049688</x:v>
      </x:c>
      <x:c r="AS34" s="27" t="n">
        <x:f>IF(ISNUMBER(AA34),IF('Scoring Setup'!$L$13=1,1-'Scoring Setup'!$B$5*(1-MAX(0,MIN(1,(AA34-'Scoring Setup'!$K$13)/(100-'Scoring Setup'!$K$13)))),1),"")</x:f>
        <x:v>0.9918870646892356</x:v>
      </x:c>
      <x:c r="AT34" s="27" t="n">
        <x:f>IF(ISNUMBER(AB34),IF('Scoring Setup'!$L$14=1,1-'Scoring Setup'!$B$5*(1-MAX(0,MIN(1,(AB34-'Scoring Setup'!$K$14)/(100-'Scoring Setup'!$K$14)))),1),"")</x:f>
        <x:v>0.9755928257141188</x:v>
      </x:c>
      <x:c r="AU34" s="27" t="n">
        <x:f>IF(ISNUMBER(AC34),IF('Scoring Setup'!$L$15=1,1-'Scoring Setup'!$B$5*(1-MAX(0,MIN(1,(AC34-'Scoring Setup'!$K$15)/(100-'Scoring Setup'!$K$15)))),1),"")</x:f>
        <x:v>0.9852794367104903</x:v>
      </x:c>
      <x:c r="AV34" s="27" t="n">
        <x:f>IF(ISNUMBER(AD34),IF('Scoring Setup'!$L$16=1,1-'Scoring Setup'!$B$5*(1-MAX(0,MIN(1,(AD34-'Scoring Setup'!$K$16)/(100-'Scoring Setup'!$K$16)))),1),"")</x:f>
        <x:v>0.8</x:v>
      </x:c>
      <x:c r="AW34" s="27" t="n">
        <x:f>IF(ISNUMBER(AE34),IF('Scoring Setup'!$L$17=1,1-'Scoring Setup'!$B$5*(1-MAX(0,MIN(1,(AE34-'Scoring Setup'!$K$17)/(100-'Scoring Setup'!$K$17)))),1),"")</x:f>
        <x:v>0.81038042275</x:v>
      </x:c>
      <x:c r="AX34" s="27" t="n">
        <x:f>IF(ISNUMBER(AF34),IF('Scoring Setup'!$L$18=1,1-'Scoring Setup'!$B$5*(1-MAX(0,MIN(1,(AF34-'Scoring Setup'!$K$18)/(100-'Scoring Setup'!$K$18)))),1),"")</x:f>
        <x:v>0.9407540298640079</x:v>
      </x:c>
      <x:c r="AY34" s="27" t="n">
        <x:f>IF(ISNUMBER(AG34),IF('Scoring Setup'!$L$19=1,1-'Scoring Setup'!$B$5*(1-MAX(0,MIN(1,(AG34-'Scoring Setup'!$K$19)/(100-'Scoring Setup'!$K$19)))),1),"")</x:f>
        <x:v>0.9948444444444444</x:v>
      </x:c>
      <x:c r="AZ34" s="27" t="n">
        <x:f>IF(ISNUMBER(AH34),IF('Scoring Setup'!$L$20=1,1-'Scoring Setup'!$B$5*(1-MAX(0,MIN(1,(AH34-'Scoring Setup'!$K$20)/(100-'Scoring Setup'!$K$20)))),1),"")</x:f>
        <x:v>0.963277972547743</x:v>
      </x:c>
      <x:c r="BA34" s="27" t="n">
        <x:f>IF(ISNUMBER(AI34),IF('Scoring Setup'!$L$21=1,1-'Scoring Setup'!$B$5*(1-MAX(0,MIN(1,(AI34-'Scoring Setup'!$K$21)/(100-'Scoring Setup'!$K$21)))),1),"")</x:f>
        <x:v>0.96806106703622</x:v>
      </x:c>
      <x:c r="BB34" s="27" t="n">
        <x:f>IF(ISNUMBER(AJ34),IF('Scoring Setup'!$L$22=1,1-'Scoring Setup'!$B$5*(1-MAX(0,MIN(1,(AJ34-'Scoring Setup'!$K$22)/(100-'Scoring Setup'!$K$22)))),1),"")</x:f>
        <x:v>0.9690934273740929</x:v>
      </x:c>
      <x:c r="BC34" s="27" t="n">
        <x:f>IF(ISNUMBER(AK34),IF('Scoring Setup'!$L$23=1,1-'Scoring Setup'!$B$5*(1-MAX(0,MIN(1,(AK34-'Scoring Setup'!$K$23)/(100-'Scoring Setup'!$K$23)))),1),"")</x:f>
        <x:v>0.9070400401827067</x:v>
      </x:c>
      <x:c r="BD34" s="27" t="n">
        <x:f>IF(ISNUMBER(AL34),IF('Scoring Setup'!$L$24=1,1-'Scoring Setup'!$B$5*(1-MAX(0,MIN(1,(AL34-'Scoring Setup'!$K$24)/(100-'Scoring Setup'!$K$24)))),1),"")</x:f>
        <x:v>0.9094545454545454</x:v>
      </x:c>
      <x:c r="BE34" s="27" t="n">
        <x:f>IF(ISNUMBER(AM34),IF('Scoring Setup'!$L$25=1,1-'Scoring Setup'!$B$5*(1-MAX(0,MIN(1,(AM34-'Scoring Setup'!$K$25)/(100-'Scoring Setup'!$K$25)))),1),"")</x:f>
        <x:v>0.8549228700052378</x:v>
      </x:c>
      <x:c r="BF34" s="27" t="n">
        <x:f>IF(ISNUMBER(AN34),IF('Scoring Setup'!$L$26=1,1-'Scoring Setup'!$B$5*(1-MAX(0,MIN(1,(AN34-'Scoring Setup'!$K$26)/(100-'Scoring Setup'!$K$26)))),1),"")</x:f>
        <x:v>0.977621005370185</x:v>
      </x:c>
      <x:c r="BG34" s="34" t="n">
        <x:f>IF(COUNT(W34,X34)=2,AVERAGE(W34,X34),"")</x:f>
        <x:v>61.56135077793493</x:v>
      </x:c>
      <x:c r="BH34" s="34" t="n">
        <x:f>IF(COUNT(Y34,Z34)=2,AVERAGE(Y34,Z34),"")</x:f>
        <x:v>46.719915346730495</x:v>
      </x:c>
      <x:c r="BI34" s="34" t="n">
        <x:f>IF(COUNT(AA34,AB34,AC34)=3,AVERAGE(AA34,AB34,AC34),"")</x:f>
        <x:v>92.12655451897412</x:v>
      </x:c>
      <x:c r="BJ34" s="34" t="n">
        <x:f>IF(COUNT(AD34,AE34)=2,AVERAGE(AD34,AE34),"")</x:f>
        <x:v>2.5951056875</x:v>
      </x:c>
      <x:c r="BK34" s="34" t="n">
        <x:f>IF(COUNT(AF34,AG34)=2,AVERAGE(AF34,AG34),"")</x:f>
        <x:v>83.89961857711307</x:v>
      </x:c>
      <x:c r="BL34" s="34" t="n">
        <x:f>IF(COUNT(AH34,AI34)=2,AVERAGE(AH34,AI34),"")</x:f>
        <x:v>82.83475989599077</x:v>
      </x:c>
      <x:c r="BM34" s="34" t="n">
        <x:f>IF(COUNT(AJ34,AK34)=2,AVERAGE(AJ34,AK34),"")</x:f>
        <x:v>69.03336688919988</x:v>
      </x:c>
      <x:c r="BN34" s="34" t="n">
        <x:f>IF(COUNT(AL34,AM34,AN34)=3,AVERAGE(AL34,AM34,AN34),"")</x:f>
        <x:v>56.999736804994704</x:v>
      </x:c>
      <x:c r="BO34" s="35" t="n">
        <x:f>IF(AND(COUNT(BG34:BN34)=8,ABS('Scoring Setup'!$C$17-1)&lt;0.000001),BG34*'Scoring Setup'!$C$9+BH34*'Scoring Setup'!$C$10+BI34*'Scoring Setup'!$C$11+BJ34*'Scoring Setup'!$C$12+BK34*'Scoring Setup'!$C$13+BL34*'Scoring Setup'!$C$14+BM34*'Scoring Setup'!$C$15+BN34*'Scoring Setup'!$C$16,"")</x:f>
        <x:v>58.055573406256265</x:v>
      </x:c>
      <x:c r="BP34" s="36" t="n">
        <x:f>IF(COUNT(AO34:BF34)=18,MIN(AO34:BF34),"")</x:f>
        <x:v>0.8</x:v>
      </x:c>
      <x:c r="BQ34" s="35" t="n">
        <x:f>IF(AND(ISNUMBER(BO34),ISNUMBER(BP34)),BO34*BP34,"")</x:f>
        <x:v>46.44445872500501</x:v>
      </x:c>
      <x:c r="BR34" s="17" t="str">
        <x:f>IF(COUNT(AO34:BF34)=18,INDEX('Scoring Setup'!$F$9:$F$26,MATCH(MIN(AO34:BF34),AO34:BF34,0),1),"")</x:f>
        <x:v>商业光纤100/20覆盖率</x:v>
      </x:c>
    </x:row>
    <x:row r="35">
      <x:c r="A35" s="28" t="str">
        <x:v>51063</x:v>
      </x:c>
      <x:c r="B35" s="28" t="str">
        <x:v>Floyd County</x:v>
      </x:c>
      <x:c r="C35" s="28" t="str">
        <x:v>VA</x:v>
      </x:c>
      <x:c r="D35" s="31" t="n">
        <x:v>986.585624</x:v>
      </x:c>
      <x:c r="E35" s="32" t="n">
        <x:v>0.642</x:v>
      </x:c>
      <x:c r="F35" s="32" t="n">
        <x:v>0.405321782178218</x:v>
      </x:c>
      <x:c r="G35" s="32" t="n">
        <x:v>1.9851704756533912</x:v>
      </x:c>
      <x:c r="H35" s="32" t="n">
        <x:v>2.3810166263385715</x:v>
      </x:c>
      <x:c r="I35" s="32" t="n">
        <x:v>0.9703626461695385</x:v>
      </x:c>
      <x:c r="J35" s="32" t="n">
        <x:v>0.007969459998008079</x:v>
      </x:c>
      <x:c r="K35" s="32" t="n">
        <x:v>0.0017185166296309789</x:v>
      </x:c>
      <x:c r="L35" s="32" t="n">
        <x:v>0.942991141</x:v>
      </x:c>
      <x:c r="M35" s="32" t="n">
        <x:v>0.942991141</x:v>
      </x:c>
      <x:c r="N35" s="32" t="n">
        <x:v>8360</x:v>
      </x:c>
      <x:c r="O35" s="32" t="n">
        <x:v>0.0929</x:v>
      </x:c>
      <x:c r="P35" s="32" t="n">
        <x:v>448.19280598958335</x:v>
      </x:c>
      <x:c r="Q35" s="32" t="n">
        <x:v>1.4712213079134624</x:v>
      </x:c>
      <x:c r="R35" s="32" t="n">
        <x:v>21.43222372293155</x:v>
      </x:c>
      <x:c r="S35" s="32" t="n">
        <x:v>22.481047513099046</x:v>
      </x:c>
      <x:c r="T35" s="32" t="n">
        <x:v>89.9</x:v>
      </x:c>
      <x:c r="U35" s="32" t="n">
        <x:v>245.07712999476223</x:v>
      </x:c>
      <x:c r="V35" s="32" t="n">
        <x:v>244.75798925963002</x:v>
      </x:c>
      <x:c r="W35" s="33" t="n">
        <x:f>IF(ISNUMBER(E35),100*MAX(0,MIN(1,('Anchors'!$H$6-E35)/('Anchors'!$H$6-'Anchors'!$G$6))),"")</x:f>
        <x:v>36.85714285714286</x:v>
      </x:c>
      <x:c r="X35" s="33" t="n">
        <x:f>IF(ISNUMBER(F35),100*MAX(0,MIN(1,('Anchors'!$H$7-F35)/('Anchors'!$H$7-'Anchors'!$G$7))),"")</x:f>
        <x:v>56.38260254596885</x:v>
      </x:c>
      <x:c r="Y35" s="33" t="n">
        <x:f>IF(ISNUMBER(G35),100*MAX(0,MIN(1,('Anchors'!$H$8-G35)/('Anchors'!$H$8-'Anchors'!$G$8))),"")</x:f>
        <x:v>67.16098414488695</x:v>
      </x:c>
      <x:c r="Z35" s="33" t="n">
        <x:f>IF(ISNUMBER(H35),100*MAX(0,MIN(1,('Anchors'!$H$9-H35)/('Anchors'!$H$9-'Anchors'!$G$9))),"")</x:f>
        <x:v>53.96611245538095</x:v>
      </x:c>
      <x:c r="AA35" s="33" t="n">
        <x:f>IF(ISNUMBER(I35),100*MAX(0,MIN(1,(I35-'Anchors'!$H$10)/('Anchors'!$G$10-'Anchors'!$H$10))),"")</x:f>
        <x:v>98.6798145437724</x:v>
      </x:c>
      <x:c r="AB35" s="33" t="n">
        <x:f>IF(ISNUMBER(J35),100*MAX(0,MIN(1,('Anchors'!$H$11-J35)/('Anchors'!$H$11-'Anchors'!$G$11))),"")</x:f>
        <x:v>96.81221600079677</x:v>
      </x:c>
      <x:c r="AC35" s="33" t="n">
        <x:f>IF(ISNUMBER(K35),100*MAX(0,MIN(1,('Anchors'!$H$12-K35)/('Anchors'!$H$12-'Anchors'!$G$12))),"")</x:f>
        <x:v>99.57037084259225</x:v>
      </x:c>
      <x:c r="AD35" s="33" t="n">
        <x:f>IF(ISNUMBER(L35),100*MAX(0,MIN(1,(L35-'Anchors'!$H$13)/('Anchors'!$G$13-'Anchors'!$H$13))),"")</x:f>
        <x:v>100</x:v>
      </x:c>
      <x:c r="AE35" s="33" t="n">
        <x:f>IF(ISNUMBER(M35),100*MAX(0,MIN(1,(M35-'Anchors'!$H$14)/('Anchors'!$G$14-'Anchors'!$H$14))),"")</x:f>
        <x:v>100</x:v>
      </x:c>
      <x:c r="AF35" s="33" t="n">
        <x:f>IF(ISNUMBER(N35),100*MAX(0,MIN(1,(LN(1+N35)-LN(1+'Anchors'!$H$15))/(LN(1+'Anchors'!$G$15)-LN(1+'Anchors'!$H$15)))),"")</x:f>
        <x:v>33.12329555599158</x:v>
      </x:c>
      <x:c r="AG35" s="33" t="n">
        <x:f>IF(ISNUMBER(O35),100*MAX(0,MIN(1,('Anchors'!$H$16-O35)/('Anchors'!$H$16-'Anchors'!$G$16))),"")</x:f>
        <x:v>95.23333333333333</x:v>
      </x:c>
      <x:c r="AH35" s="33" t="n">
        <x:f>IF(ISNUMBER(P35),100*MAX(0,MIN(1,('Anchors'!$H$17-P35)/('Anchors'!$H$17-'Anchors'!$G$17))),"")</x:f>
        <x:v>100</x:v>
      </x:c>
      <x:c r="AI35" s="33" t="n">
        <x:f>IF(ISNUMBER(Q35),100*MAX(0,MIN(1,('Anchors'!$H$18-Q35)/('Anchors'!$H$18-'Anchors'!$G$18))),"")</x:f>
        <x:v>100</x:v>
      </x:c>
      <x:c r="AJ35" s="33" t="n">
        <x:f>IF(ISNUMBER(R35),100*MAX(0,MIN(1,('Anchors'!$H$19-R35)/('Anchors'!$H$19-'Anchors'!$G$19))),"")</x:f>
        <x:v>63.48394728237433</x:v>
      </x:c>
      <x:c r="AK35" s="33" t="n">
        <x:f>IF(ISNUMBER(S35),100*MAX(0,MIN(1,('Anchors'!$H$20-S35)/('Anchors'!$H$20-'Anchors'!$G$20))),"")</x:f>
        <x:v>0</x:v>
      </x:c>
      <x:c r="AL35" s="33" t="n">
        <x:f>IF(ISNUMBER(T35),100*MAX(0,MIN(1,('Anchors'!$H$21-T35)/('Anchors'!$H$21-'Anchors'!$G$21))),"")</x:f>
        <x:v>54.72727272727271</x:v>
      </x:c>
      <x:c r="AM35" s="33" t="n">
        <x:f>IF(ISNUMBER(U35),100*MAX(0,MIN(1,('Anchors'!$H$22-U35)/('Anchors'!$H$22-'Anchors'!$G$22))),"")</x:f>
        <x:v>27.461435002618884</x:v>
      </x:c>
      <x:c r="AN35" s="33" t="n">
        <x:f>IF(ISNUMBER(V35),100*MAX(0,MIN(1,('Anchors'!$H$23-V35)/('Anchors'!$H$23-'Anchors'!$G$23))),"")</x:f>
        <x:v>88.8105026850925</x:v>
      </x:c>
      <x:c r="AO35" s="27" t="n">
        <x:f>IF(ISNUMBER(W35),IF('Scoring Setup'!$L$9=1,1-'Scoring Setup'!$B$5*(1-MAX(0,MIN(1,(W35-'Scoring Setup'!$K$9)/(100-'Scoring Setup'!$K$9)))),1),"")</x:f>
        <x:v>0.8737142857142857</x:v>
      </x:c>
      <x:c r="AP35" s="27" t="n">
        <x:f>IF(ISNUMBER(X35),IF('Scoring Setup'!$L$10=1,1-'Scoring Setup'!$B$5*(1-MAX(0,MIN(1,(X35-'Scoring Setup'!$K$10)/(100-'Scoring Setup'!$K$10)))),1),"")</x:f>
        <x:v>0.9127652050919377</x:v>
      </x:c>
      <x:c r="AQ35" s="27" t="n">
        <x:f>IF(ISNUMBER(Y35),IF('Scoring Setup'!$L$11=1,1-'Scoring Setup'!$B$5*(1-MAX(0,MIN(1,(Y35-'Scoring Setup'!$K$11)/(100-'Scoring Setup'!$K$11)))),1),"")</x:f>
        <x:v>0.9343219682897739</x:v>
      </x:c>
      <x:c r="AR35" s="27" t="n">
        <x:f>IF(ISNUMBER(Z35),IF('Scoring Setup'!$L$12=1,1-'Scoring Setup'!$B$5*(1-MAX(0,MIN(1,(Z35-'Scoring Setup'!$K$12)/(100-'Scoring Setup'!$K$12)))),1),"")</x:f>
        <x:v>0.9079322249107619</x:v>
      </x:c>
      <x:c r="AS35" s="27" t="n">
        <x:f>IF(ISNUMBER(AA35),IF('Scoring Setup'!$L$13=1,1-'Scoring Setup'!$B$5*(1-MAX(0,MIN(1,(AA35-'Scoring Setup'!$K$13)/(100-'Scoring Setup'!$K$13)))),1),"")</x:f>
        <x:v>0.9973596290875448</x:v>
      </x:c>
      <x:c r="AT35" s="27" t="n">
        <x:f>IF(ISNUMBER(AB35),IF('Scoring Setup'!$L$14=1,1-'Scoring Setup'!$B$5*(1-MAX(0,MIN(1,(AB35-'Scoring Setup'!$K$14)/(100-'Scoring Setup'!$K$14)))),1),"")</x:f>
        <x:v>0.9936244320015936</x:v>
      </x:c>
      <x:c r="AU35" s="27" t="n">
        <x:f>IF(ISNUMBER(AC35),IF('Scoring Setup'!$L$15=1,1-'Scoring Setup'!$B$5*(1-MAX(0,MIN(1,(AC35-'Scoring Setup'!$K$15)/(100-'Scoring Setup'!$K$15)))),1),"")</x:f>
        <x:v>0.9991407416851845</x:v>
      </x:c>
      <x:c r="AV35" s="27" t="n">
        <x:f>IF(ISNUMBER(AD35),IF('Scoring Setup'!$L$16=1,1-'Scoring Setup'!$B$5*(1-MAX(0,MIN(1,(AD35-'Scoring Setup'!$K$16)/(100-'Scoring Setup'!$K$16)))),1),"")</x:f>
        <x:v>1</x:v>
      </x:c>
      <x:c r="AW35" s="27" t="n">
        <x:f>IF(ISNUMBER(AE35),IF('Scoring Setup'!$L$17=1,1-'Scoring Setup'!$B$5*(1-MAX(0,MIN(1,(AE35-'Scoring Setup'!$K$17)/(100-'Scoring Setup'!$K$17)))),1),"")</x:f>
        <x:v>1</x:v>
      </x:c>
      <x:c r="AX35" s="27" t="n">
        <x:f>IF(ISNUMBER(AF35),IF('Scoring Setup'!$L$18=1,1-'Scoring Setup'!$B$5*(1-MAX(0,MIN(1,(AF35-'Scoring Setup'!$K$18)/(100-'Scoring Setup'!$K$18)))),1),"")</x:f>
        <x:v>0.8662465911119832</x:v>
      </x:c>
      <x:c r="AY35" s="27" t="n">
        <x:f>IF(ISNUMBER(AG35),IF('Scoring Setup'!$L$19=1,1-'Scoring Setup'!$B$5*(1-MAX(0,MIN(1,(AG35-'Scoring Setup'!$K$19)/(100-'Scoring Setup'!$K$19)))),1),"")</x:f>
        <x:v>0.9904666666666667</x:v>
      </x:c>
      <x:c r="AZ35" s="27" t="n">
        <x:f>IF(ISNUMBER(AH35),IF('Scoring Setup'!$L$20=1,1-'Scoring Setup'!$B$5*(1-MAX(0,MIN(1,(AH35-'Scoring Setup'!$K$20)/(100-'Scoring Setup'!$K$20)))),1),"")</x:f>
        <x:v>1</x:v>
      </x:c>
      <x:c r="BA35" s="27" t="n">
        <x:f>IF(ISNUMBER(AI35),IF('Scoring Setup'!$L$21=1,1-'Scoring Setup'!$B$5*(1-MAX(0,MIN(1,(AI35-'Scoring Setup'!$K$21)/(100-'Scoring Setup'!$K$21)))),1),"")</x:f>
        <x:v>1</x:v>
      </x:c>
      <x:c r="BB35" s="27" t="n">
        <x:f>IF(ISNUMBER(AJ35),IF('Scoring Setup'!$L$22=1,1-'Scoring Setup'!$B$5*(1-MAX(0,MIN(1,(AJ35-'Scoring Setup'!$K$22)/(100-'Scoring Setup'!$K$22)))),1),"")</x:f>
        <x:v>0.9269678945647487</x:v>
      </x:c>
      <x:c r="BC35" s="27" t="n">
        <x:f>IF(ISNUMBER(AK35),IF('Scoring Setup'!$L$23=1,1-'Scoring Setup'!$B$5*(1-MAX(0,MIN(1,(AK35-'Scoring Setup'!$K$23)/(100-'Scoring Setup'!$K$23)))),1),"")</x:f>
        <x:v>0.8</x:v>
      </x:c>
      <x:c r="BD35" s="27" t="n">
        <x:f>IF(ISNUMBER(AL35),IF('Scoring Setup'!$L$24=1,1-'Scoring Setup'!$B$5*(1-MAX(0,MIN(1,(AL35-'Scoring Setup'!$K$24)/(100-'Scoring Setup'!$K$24)))),1),"")</x:f>
        <x:v>0.9094545454545454</x:v>
      </x:c>
      <x:c r="BE35" s="27" t="n">
        <x:f>IF(ISNUMBER(AM35),IF('Scoring Setup'!$L$25=1,1-'Scoring Setup'!$B$5*(1-MAX(0,MIN(1,(AM35-'Scoring Setup'!$K$25)/(100-'Scoring Setup'!$K$25)))),1),"")</x:f>
        <x:v>0.8549228700052378</x:v>
      </x:c>
      <x:c r="BF35" s="27" t="n">
        <x:f>IF(ISNUMBER(AN35),IF('Scoring Setup'!$L$26=1,1-'Scoring Setup'!$B$5*(1-MAX(0,MIN(1,(AN35-'Scoring Setup'!$K$26)/(100-'Scoring Setup'!$K$26)))),1),"")</x:f>
        <x:v>0.977621005370185</x:v>
      </x:c>
      <x:c r="BG35" s="34" t="n">
        <x:f>IF(COUNT(W35,X35)=2,AVERAGE(W35,X35),"")</x:f>
        <x:v>46.619872701555856</x:v>
      </x:c>
      <x:c r="BH35" s="34" t="n">
        <x:f>IF(COUNT(Y35,Z35)=2,AVERAGE(Y35,Z35),"")</x:f>
        <x:v>60.56354830013395</x:v>
      </x:c>
      <x:c r="BI35" s="34" t="n">
        <x:f>IF(COUNT(AA35,AB35,AC35)=3,AVERAGE(AA35,AB35,AC35),"")</x:f>
        <x:v>98.35413379572047</x:v>
      </x:c>
      <x:c r="BJ35" s="34" t="n">
        <x:f>IF(COUNT(AD35,AE35)=2,AVERAGE(AD35,AE35),"")</x:f>
        <x:v>100</x:v>
      </x:c>
      <x:c r="BK35" s="34" t="n">
        <x:f>IF(COUNT(AF35,AG35)=2,AVERAGE(AF35,AG35),"")</x:f>
        <x:v>64.17831444466246</x:v>
      </x:c>
      <x:c r="BL35" s="34" t="n">
        <x:f>IF(COUNT(AH35,AI35)=2,AVERAGE(AH35,AI35),"")</x:f>
        <x:v>100</x:v>
      </x:c>
      <x:c r="BM35" s="34" t="n">
        <x:f>IF(COUNT(AJ35,AK35)=2,AVERAGE(AJ35,AK35),"")</x:f>
        <x:v>31.741973641187165</x:v>
      </x:c>
      <x:c r="BN35" s="34" t="n">
        <x:f>IF(COUNT(AL35,AM35,AN35)=3,AVERAGE(AL35,AM35,AN35),"")</x:f>
        <x:v>56.999736804994704</x:v>
      </x:c>
      <x:c r="BO35" s="35" t="n">
        <x:f>IF(AND(COUNT(BG35:BN35)=8,ABS('Scoring Setup'!$C$17-1)&lt;0.000001),BG35*'Scoring Setup'!$C$9+BH35*'Scoring Setup'!$C$10+BI35*'Scoring Setup'!$C$11+BJ35*'Scoring Setup'!$C$12+BK35*'Scoring Setup'!$C$13+BL35*'Scoring Setup'!$C$14+BM35*'Scoring Setup'!$C$15+BN35*'Scoring Setup'!$C$16,"")</x:f>
        <x:v>66.71496147777844</x:v>
      </x:c>
      <x:c r="BP35" s="36" t="n">
        <x:f>IF(COUNT(AO35:BF35)=18,MIN(AO35:BF35),"")</x:f>
        <x:v>0.8</x:v>
      </x:c>
      <x:c r="BQ35" s="35" t="n">
        <x:f>IF(AND(ISNUMBER(BO35),ISNUMBER(BP35)),BO35*BP35,"")</x:f>
        <x:v>53.371969182222756</x:v>
      </x:c>
      <x:c r="BR35" s="17" t="str">
        <x:f>IF(COUNT(AO35:BF35)=18,INDEX('Scoring Setup'!$F$9:$F$26,MATCH(MIN(AO35:BF35),AO35:BF35,0),1),"")</x:f>
        <x:v>到铁路距离</x:v>
      </x:c>
    </x:row>
    <x:row r="36">
      <x:c r="A36" s="28" t="str">
        <x:v>51065</x:v>
      </x:c>
      <x:c r="B36" s="28" t="str">
        <x:v>Fluvanna County</x:v>
      </x:c>
      <x:c r="C36" s="28" t="str">
        <x:v>VA</x:v>
      </x:c>
      <x:c r="D36" s="31" t="n">
        <x:v>743.630405</x:v>
      </x:c>
      <x:c r="E36" s="32" t="n">
        <x:v>0.339</x:v>
      </x:c>
      <x:c r="F36" s="32" t="n">
        <x:v>0.440284653465347</x:v>
      </x:c>
      <x:c r="G36" s="32" t="n">
        <x:v>2.346516140275985</x:v>
      </x:c>
      <x:c r="H36" s="32" t="n">
        <x:v>2.6445841989707772</x:v>
      </x:c>
      <x:c r="I36" s="32" t="n">
        <x:v>0.9569544416605115</x:v>
      </x:c>
      <x:c r="J36" s="32" t="n">
        <x:v>0.006863231032992752</x:v>
      </x:c>
      <x:c r="K36" s="32" t="n">
        <x:v>0.01923206897717014</x:v>
      </x:c>
      <x:c r="L36" s="32" t="n">
        <x:v>0.908376754</x:v>
      </x:c>
      <x:c r="M36" s="32" t="n">
        <x:v>0.899799599</x:v>
      </x:c>
      <x:c r="N36" s="32" t="n">
        <x:v>14736</x:v>
      </x:c>
      <x:c r="O36" s="32" t="n">
        <x:v>0.0582</x:v>
      </x:c>
      <x:c r="P36" s="32" t="n">
        <x:v>1120.311592610677</x:v>
      </x:c>
      <x:c r="Q36" s="32" t="n">
        <x:v>25.22671095530192</x:v>
      </x:c>
      <x:c r="R36" s="32" t="n">
        <x:v>17.23381030215436</x:v>
      </x:c>
      <x:c r="S36" s="32" t="n">
        <x:v>12.568681907719393</x:v>
      </x:c>
      <x:c r="T36" s="32" t="n">
        <x:v>89.9</x:v>
      </x:c>
      <x:c r="U36" s="32" t="n">
        <x:v>245.07712999476223</x:v>
      </x:c>
      <x:c r="V36" s="32" t="n">
        <x:v>244.75798925963002</x:v>
      </x:c>
      <x:c r="W36" s="33" t="n">
        <x:f>IF(ISNUMBER(E36),100*MAX(0,MIN(1,('Anchors'!$H$6-E36)/('Anchors'!$H$6-'Anchors'!$G$6))),"")</x:f>
        <x:v>80.14285714285714</x:v>
      </x:c>
      <x:c r="X36" s="33" t="n">
        <x:f>IF(ISNUMBER(F36),100*MAX(0,MIN(1,('Anchors'!$H$7-F36)/('Anchors'!$H$7-'Anchors'!$G$7))),"")</x:f>
        <x:v>51.38790664780757</x:v>
      </x:c>
      <x:c r="Y36" s="33" t="n">
        <x:f>IF(ISNUMBER(G36),100*MAX(0,MIN(1,('Anchors'!$H$8-G36)/('Anchors'!$H$8-'Anchors'!$G$8))),"")</x:f>
        <x:v>55.116128657467165</x:v>
      </x:c>
      <x:c r="Z36" s="33" t="n">
        <x:f>IF(ISNUMBER(H36),100*MAX(0,MIN(1,('Anchors'!$H$9-H36)/('Anchors'!$H$9-'Anchors'!$G$9))),"")</x:f>
        <x:v>45.18052670097409</x:v>
      </x:c>
      <x:c r="AA36" s="33" t="n">
        <x:f>IF(ISNUMBER(I36),100*MAX(0,MIN(1,(I36-'Anchors'!$H$10)/('Anchors'!$G$10-'Anchors'!$H$10))),"")</x:f>
        <x:v>96.84307420007006</x:v>
      </x:c>
      <x:c r="AB36" s="33" t="n">
        <x:f>IF(ISNUMBER(J36),100*MAX(0,MIN(1,('Anchors'!$H$11-J36)/('Anchors'!$H$11-'Anchors'!$G$11))),"")</x:f>
        <x:v>97.25470758680291</x:v>
      </x:c>
      <x:c r="AC36" s="33" t="n">
        <x:f>IF(ISNUMBER(K36),100*MAX(0,MIN(1,('Anchors'!$H$12-K36)/('Anchors'!$H$12-'Anchors'!$G$12))),"")</x:f>
        <x:v>95.19198275570747</x:v>
      </x:c>
      <x:c r="AD36" s="33" t="n">
        <x:f>IF(ISNUMBER(L36),100*MAX(0,MIN(1,(L36-'Anchors'!$H$13)/('Anchors'!$G$13-'Anchors'!$H$13))),"")</x:f>
        <x:v>100</x:v>
      </x:c>
      <x:c r="AE36" s="33" t="n">
        <x:f>IF(ISNUMBER(M36),100*MAX(0,MIN(1,(M36-'Anchors'!$H$14)/('Anchors'!$G$14-'Anchors'!$H$14))),"")</x:f>
        <x:v>99.974949875</x:v>
      </x:c>
      <x:c r="AF36" s="33" t="n">
        <x:f>IF(ISNUMBER(N36),100*MAX(0,MIN(1,(LN(1+N36)-LN(1+'Anchors'!$H$15))/(LN(1+'Anchors'!$G$15)-LN(1+'Anchors'!$H$15)))),"")</x:f>
        <x:v>46.25241230311784</x:v>
      </x:c>
      <x:c r="AG36" s="33" t="n">
        <x:f>IF(ISNUMBER(O36),100*MAX(0,MIN(1,('Anchors'!$H$16-O36)/('Anchors'!$H$16-'Anchors'!$G$16))),"")</x:f>
        <x:v>99.08888888888889</x:v>
      </x:c>
      <x:c r="AH36" s="33" t="n">
        <x:f>IF(ISNUMBER(P36),100*MAX(0,MIN(1,('Anchors'!$H$17-P36)/('Anchors'!$H$17-'Anchors'!$G$17))),"")</x:f>
        <x:v>71.9792271592882</x:v>
      </x:c>
      <x:c r="AI36" s="33" t="n">
        <x:f>IF(ISNUMBER(Q36),100*MAX(0,MIN(1,('Anchors'!$H$18-Q36)/('Anchors'!$H$18-'Anchors'!$G$18))),"")</x:f>
        <x:v>71.10469863528296</x:v>
      </x:c>
      <x:c r="AJ36" s="33" t="n">
        <x:f>IF(ISNUMBER(R36),100*MAX(0,MIN(1,('Anchors'!$H$19-R36)/('Anchors'!$H$19-'Anchors'!$G$19))),"")</x:f>
        <x:v>72.81375488410143</x:v>
      </x:c>
      <x:c r="AK36" s="33" t="n">
        <x:f>IF(ISNUMBER(S36),100*MAX(0,MIN(1,('Anchors'!$H$20-S36)/('Anchors'!$H$20-'Anchors'!$G$20))),"")</x:f>
        <x:v>39.1122004856874</x:v>
      </x:c>
      <x:c r="AL36" s="33" t="n">
        <x:f>IF(ISNUMBER(T36),100*MAX(0,MIN(1,('Anchors'!$H$21-T36)/('Anchors'!$H$21-'Anchors'!$G$21))),"")</x:f>
        <x:v>54.72727272727271</x:v>
      </x:c>
      <x:c r="AM36" s="33" t="n">
        <x:f>IF(ISNUMBER(U36),100*MAX(0,MIN(1,('Anchors'!$H$22-U36)/('Anchors'!$H$22-'Anchors'!$G$22))),"")</x:f>
        <x:v>27.461435002618884</x:v>
      </x:c>
      <x:c r="AN36" s="33" t="n">
        <x:f>IF(ISNUMBER(V36),100*MAX(0,MIN(1,('Anchors'!$H$23-V36)/('Anchors'!$H$23-'Anchors'!$G$23))),"")</x:f>
        <x:v>88.8105026850925</x:v>
      </x:c>
      <x:c r="AO36" s="27" t="n">
        <x:f>IF(ISNUMBER(W36),IF('Scoring Setup'!$L$9=1,1-'Scoring Setup'!$B$5*(1-MAX(0,MIN(1,(W36-'Scoring Setup'!$K$9)/(100-'Scoring Setup'!$K$9)))),1),"")</x:f>
        <x:v>0.9602857142857143</x:v>
      </x:c>
      <x:c r="AP36" s="27" t="n">
        <x:f>IF(ISNUMBER(X36),IF('Scoring Setup'!$L$10=1,1-'Scoring Setup'!$B$5*(1-MAX(0,MIN(1,(X36-'Scoring Setup'!$K$10)/(100-'Scoring Setup'!$K$10)))),1),"")</x:f>
        <x:v>0.9027758132956152</x:v>
      </x:c>
      <x:c r="AQ36" s="27" t="n">
        <x:f>IF(ISNUMBER(Y36),IF('Scoring Setup'!$L$11=1,1-'Scoring Setup'!$B$5*(1-MAX(0,MIN(1,(Y36-'Scoring Setup'!$K$11)/(100-'Scoring Setup'!$K$11)))),1),"")</x:f>
        <x:v>0.9102322573149343</x:v>
      </x:c>
      <x:c r="AR36" s="27" t="n">
        <x:f>IF(ISNUMBER(Z36),IF('Scoring Setup'!$L$12=1,1-'Scoring Setup'!$B$5*(1-MAX(0,MIN(1,(Z36-'Scoring Setup'!$K$12)/(100-'Scoring Setup'!$K$12)))),1),"")</x:f>
        <x:v>0.8903610534019482</x:v>
      </x:c>
      <x:c r="AS36" s="27" t="n">
        <x:f>IF(ISNUMBER(AA36),IF('Scoring Setup'!$L$13=1,1-'Scoring Setup'!$B$5*(1-MAX(0,MIN(1,(AA36-'Scoring Setup'!$K$13)/(100-'Scoring Setup'!$K$13)))),1),"")</x:f>
        <x:v>0.9936861484001401</x:v>
      </x:c>
      <x:c r="AT36" s="27" t="n">
        <x:f>IF(ISNUMBER(AB36),IF('Scoring Setup'!$L$14=1,1-'Scoring Setup'!$B$5*(1-MAX(0,MIN(1,(AB36-'Scoring Setup'!$K$14)/(100-'Scoring Setup'!$K$14)))),1),"")</x:f>
        <x:v>0.9945094151736058</x:v>
      </x:c>
      <x:c r="AU36" s="27" t="n">
        <x:f>IF(ISNUMBER(AC36),IF('Scoring Setup'!$L$15=1,1-'Scoring Setup'!$B$5*(1-MAX(0,MIN(1,(AC36-'Scoring Setup'!$K$15)/(100-'Scoring Setup'!$K$15)))),1),"")</x:f>
        <x:v>0.9903839655114149</x:v>
      </x:c>
      <x:c r="AV36" s="27" t="n">
        <x:f>IF(ISNUMBER(AD36),IF('Scoring Setup'!$L$16=1,1-'Scoring Setup'!$B$5*(1-MAX(0,MIN(1,(AD36-'Scoring Setup'!$K$16)/(100-'Scoring Setup'!$K$16)))),1),"")</x:f>
        <x:v>1</x:v>
      </x:c>
      <x:c r="AW36" s="27" t="n">
        <x:f>IF(ISNUMBER(AE36),IF('Scoring Setup'!$L$17=1,1-'Scoring Setup'!$B$5*(1-MAX(0,MIN(1,(AE36-'Scoring Setup'!$K$17)/(100-'Scoring Setup'!$K$17)))),1),"")</x:f>
        <x:v>0.99994989975</x:v>
      </x:c>
      <x:c r="AX36" s="27" t="n">
        <x:f>IF(ISNUMBER(AF36),IF('Scoring Setup'!$L$18=1,1-'Scoring Setup'!$B$5*(1-MAX(0,MIN(1,(AF36-'Scoring Setup'!$K$18)/(100-'Scoring Setup'!$K$18)))),1),"")</x:f>
        <x:v>0.8925048246062357</x:v>
      </x:c>
      <x:c r="AY36" s="27" t="n">
        <x:f>IF(ISNUMBER(AG36),IF('Scoring Setup'!$L$19=1,1-'Scoring Setup'!$B$5*(1-MAX(0,MIN(1,(AG36-'Scoring Setup'!$K$19)/(100-'Scoring Setup'!$K$19)))),1),"")</x:f>
        <x:v>0.9981777777777778</x:v>
      </x:c>
      <x:c r="AZ36" s="27" t="n">
        <x:f>IF(ISNUMBER(AH36),IF('Scoring Setup'!$L$20=1,1-'Scoring Setup'!$B$5*(1-MAX(0,MIN(1,(AH36-'Scoring Setup'!$K$20)/(100-'Scoring Setup'!$K$20)))),1),"")</x:f>
        <x:v>0.9439584543185764</x:v>
      </x:c>
      <x:c r="BA36" s="27" t="n">
        <x:f>IF(ISNUMBER(AI36),IF('Scoring Setup'!$L$21=1,1-'Scoring Setup'!$B$5*(1-MAX(0,MIN(1,(AI36-'Scoring Setup'!$K$21)/(100-'Scoring Setup'!$K$21)))),1),"")</x:f>
        <x:v>0.942209397270566</x:v>
      </x:c>
      <x:c r="BB36" s="27" t="n">
        <x:f>IF(ISNUMBER(AJ36),IF('Scoring Setup'!$L$22=1,1-'Scoring Setup'!$B$5*(1-MAX(0,MIN(1,(AJ36-'Scoring Setup'!$K$22)/(100-'Scoring Setup'!$K$22)))),1),"")</x:f>
        <x:v>0.9456275097682029</x:v>
      </x:c>
      <x:c r="BC36" s="27" t="n">
        <x:f>IF(ISNUMBER(AK36),IF('Scoring Setup'!$L$23=1,1-'Scoring Setup'!$B$5*(1-MAX(0,MIN(1,(AK36-'Scoring Setup'!$K$23)/(100-'Scoring Setup'!$K$23)))),1),"")</x:f>
        <x:v>0.8782244009713748</x:v>
      </x:c>
      <x:c r="BD36" s="27" t="n">
        <x:f>IF(ISNUMBER(AL36),IF('Scoring Setup'!$L$24=1,1-'Scoring Setup'!$B$5*(1-MAX(0,MIN(1,(AL36-'Scoring Setup'!$K$24)/(100-'Scoring Setup'!$K$24)))),1),"")</x:f>
        <x:v>0.9094545454545454</x:v>
      </x:c>
      <x:c r="BE36" s="27" t="n">
        <x:f>IF(ISNUMBER(AM36),IF('Scoring Setup'!$L$25=1,1-'Scoring Setup'!$B$5*(1-MAX(0,MIN(1,(AM36-'Scoring Setup'!$K$25)/(100-'Scoring Setup'!$K$25)))),1),"")</x:f>
        <x:v>0.8549228700052378</x:v>
      </x:c>
      <x:c r="BF36" s="27" t="n">
        <x:f>IF(ISNUMBER(AN36),IF('Scoring Setup'!$L$26=1,1-'Scoring Setup'!$B$5*(1-MAX(0,MIN(1,(AN36-'Scoring Setup'!$K$26)/(100-'Scoring Setup'!$K$26)))),1),"")</x:f>
        <x:v>0.977621005370185</x:v>
      </x:c>
      <x:c r="BG36" s="34" t="n">
        <x:f>IF(COUNT(W36,X36)=2,AVERAGE(W36,X36),"")</x:f>
        <x:v>65.76538189533235</x:v>
      </x:c>
      <x:c r="BH36" s="34" t="n">
        <x:f>IF(COUNT(Y36,Z36)=2,AVERAGE(Y36,Z36),"")</x:f>
        <x:v>50.14832767922063</x:v>
      </x:c>
      <x:c r="BI36" s="34" t="n">
        <x:f>IF(COUNT(AA36,AB36,AC36)=3,AVERAGE(AA36,AB36,AC36),"")</x:f>
        <x:v>96.42992151419348</x:v>
      </x:c>
      <x:c r="BJ36" s="34" t="n">
        <x:f>IF(COUNT(AD36,AE36)=2,AVERAGE(AD36,AE36),"")</x:f>
        <x:v>99.9874749375</x:v>
      </x:c>
      <x:c r="BK36" s="34" t="n">
        <x:f>IF(COUNT(AF36,AG36)=2,AVERAGE(AF36,AG36),"")</x:f>
        <x:v>72.67065059600337</x:v>
      </x:c>
      <x:c r="BL36" s="34" t="n">
        <x:f>IF(COUNT(AH36,AI36)=2,AVERAGE(AH36,AI36),"")</x:f>
        <x:v>71.54196289728557</x:v>
      </x:c>
      <x:c r="BM36" s="34" t="n">
        <x:f>IF(COUNT(AJ36,AK36)=2,AVERAGE(AJ36,AK36),"")</x:f>
        <x:v>55.96297768489441</x:v>
      </x:c>
      <x:c r="BN36" s="34" t="n">
        <x:f>IF(COUNT(AL36,AM36,AN36)=3,AVERAGE(AL36,AM36,AN36),"")</x:f>
        <x:v>56.999736804994704</x:v>
      </x:c>
      <x:c r="BO36" s="35" t="n">
        <x:f>IF(AND(COUNT(BG36:BN36)=8,ABS('Scoring Setup'!$C$17-1)&lt;0.000001),BG36*'Scoring Setup'!$C$9+BH36*'Scoring Setup'!$C$10+BI36*'Scoring Setup'!$C$11+BJ36*'Scoring Setup'!$C$12+BK36*'Scoring Setup'!$C$13+BL36*'Scoring Setup'!$C$14+BM36*'Scoring Setup'!$C$15+BN36*'Scoring Setup'!$C$16,"")</x:f>
        <x:v>66.99017650075446</x:v>
      </x:c>
      <x:c r="BP36" s="36" t="n">
        <x:f>IF(COUNT(AO36:BF36)=18,MIN(AO36:BF36),"")</x:f>
        <x:v>0.8549228700052378</x:v>
      </x:c>
      <x:c r="BQ36" s="35" t="n">
        <x:f>IF(AND(ISNUMBER(BO36),ISNUMBER(BP36)),BO36*BP36,"")</x:f>
        <x:v>57.27143395618244</x:v>
      </x:c>
      <x:c r="BR36" s="17" t="str">
        <x:f>IF(COUNT(AO36:BF36)=18,INDEX('Scoring Setup'!$F$9:$F$26,MATCH(MIN(AO36:BF36),AO36:BF36,0),1),"")</x:f>
        <x:v>州SAIDI不含重大事件日</x:v>
      </x:c>
    </x:row>
    <x:row r="37">
      <x:c r="A37" s="28" t="str">
        <x:v>51067</x:v>
      </x:c>
      <x:c r="B37" s="28" t="str">
        <x:v>Franklin County</x:v>
      </x:c>
      <x:c r="C37" s="28" t="str">
        <x:v>VA</x:v>
      </x:c>
      <x:c r="D37" s="31" t="n">
        <x:v>1788.673576</x:v>
      </x:c>
      <x:c r="E37" s="32" t="n">
        <x:v>0.428</x:v>
      </x:c>
      <x:c r="F37" s="32" t="n">
        <x:v>0.612314356435644</x:v>
      </x:c>
      <x:c r="G37" s="32" t="n">
        <x:v>2.769614453338184</x:v>
      </x:c>
      <x:c r="H37" s="32" t="n">
        <x:v>3.15493236615613</x:v>
      </x:c>
      <x:c r="I37" s="32" t="n">
        <x:v>0.9469220853681029</x:v>
      </x:c>
      <x:c r="J37" s="32" t="n">
        <x:v>0.005608742064579221</x:v>
      </x:c>
      <x:c r="K37" s="32" t="n">
        <x:v>0.0005252311417963707</x:v>
      </x:c>
      <x:c r="L37" s="32" t="n">
        <x:v>0.245920709</x:v>
      </x:c>
      <x:c r="M37" s="32" t="n">
        <x:v>0.138491527</x:v>
      </x:c>
      <x:c r="N37" s="32" t="n">
        <x:v>26324</x:v>
      </x:c>
      <x:c r="O37" s="32" t="n">
        <x:v>0.321</x:v>
      </x:c>
      <x:c r="P37" s="32" t="n">
        <x:v>951.2546305338542</x:v>
      </x:c>
      <x:c r="Q37" s="32" t="n">
        <x:v>16.051398022969565</x:v>
      </x:c>
      <x:c r="R37" s="32" t="n">
        <x:v>27.662871053936286</x:v>
      </x:c>
      <x:c r="S37" s="32" t="n">
        <x:v>1.3971710899330834</x:v>
      </x:c>
      <x:c r="T37" s="32" t="n">
        <x:v>89.9</x:v>
      </x:c>
      <x:c r="U37" s="32" t="n">
        <x:v>245.07712999476223</x:v>
      </x:c>
      <x:c r="V37" s="32" t="n">
        <x:v>244.75798925963002</x:v>
      </x:c>
      <x:c r="W37" s="33" t="n">
        <x:f>IF(ISNUMBER(E37),100*MAX(0,MIN(1,('Anchors'!$H$6-E37)/('Anchors'!$H$6-'Anchors'!$G$6))),"")</x:f>
        <x:v>67.42857142857144</x:v>
      </x:c>
      <x:c r="X37" s="33" t="n">
        <x:f>IF(ISNUMBER(F37),100*MAX(0,MIN(1,('Anchors'!$H$7-F37)/('Anchors'!$H$7-'Anchors'!$G$7))),"")</x:f>
        <x:v>26.812234794908</x:v>
      </x:c>
      <x:c r="Y37" s="33" t="n">
        <x:f>IF(ISNUMBER(G37),100*MAX(0,MIN(1,('Anchors'!$H$8-G37)/('Anchors'!$H$8-'Anchors'!$G$8))),"")</x:f>
        <x:v>41.012851555393866</x:v>
      </x:c>
      <x:c r="Z37" s="33" t="n">
        <x:f>IF(ISNUMBER(H37),100*MAX(0,MIN(1,('Anchors'!$H$9-H37)/('Anchors'!$H$9-'Anchors'!$G$9))),"")</x:f>
        <x:v>28.168921128129004</x:v>
      </x:c>
      <x:c r="AA37" s="33" t="n">
        <x:f>IF(ISNUMBER(I37),100*MAX(0,MIN(1,(I37-'Anchors'!$H$10)/('Anchors'!$G$10-'Anchors'!$H$10))),"")</x:f>
        <x:v>95.46877881754834</x:v>
      </x:c>
      <x:c r="AB37" s="33" t="n">
        <x:f>IF(ISNUMBER(J37),100*MAX(0,MIN(1,('Anchors'!$H$11-J37)/('Anchors'!$H$11-'Anchors'!$G$11))),"")</x:f>
        <x:v>97.7565031741683</x:v>
      </x:c>
      <x:c r="AC37" s="33" t="n">
        <x:f>IF(ISNUMBER(K37),100*MAX(0,MIN(1,('Anchors'!$H$12-K37)/('Anchors'!$H$12-'Anchors'!$G$12))),"")</x:f>
        <x:v>99.86869221455092</x:v>
      </x:c>
      <x:c r="AD37" s="33" t="n">
        <x:f>IF(ISNUMBER(L37),100*MAX(0,MIN(1,(L37-'Anchors'!$H$13)/('Anchors'!$G$13-'Anchors'!$H$13))),"")</x:f>
        <x:v>6.560101285714283</x:v>
      </x:c>
      <x:c r="AE37" s="33" t="n">
        <x:f>IF(ISNUMBER(M37),100*MAX(0,MIN(1,(M37-'Anchors'!$H$14)/('Anchors'!$G$14-'Anchors'!$H$14))),"")</x:f>
        <x:v>4.811440875</x:v>
      </x:c>
      <x:c r="AF37" s="33" t="n">
        <x:f>IF(ISNUMBER(N37),100*MAX(0,MIN(1,(LN(1+N37)-LN(1+'Anchors'!$H$15))/(LN(1+'Anchors'!$G$15)-LN(1+'Anchors'!$H$15)))),"")</x:f>
        <x:v>59.691337586496616</x:v>
      </x:c>
      <x:c r="AG37" s="33" t="n">
        <x:f>IF(ISNUMBER(O37),100*MAX(0,MIN(1,('Anchors'!$H$16-O37)/('Anchors'!$H$16-'Anchors'!$G$16))),"")</x:f>
        <x:v>69.8888888888889</x:v>
      </x:c>
      <x:c r="AH37" s="33" t="n">
        <x:f>IF(ISNUMBER(P37),100*MAX(0,MIN(1,('Anchors'!$H$17-P37)/('Anchors'!$H$17-'Anchors'!$G$17))),"")</x:f>
        <x:v>83.24969129774306</x:v>
      </x:c>
      <x:c r="AI37" s="33" t="n">
        <x:f>IF(ISNUMBER(Q37),100*MAX(0,MIN(1,('Anchors'!$H$18-Q37)/('Anchors'!$H$18-'Anchors'!$G$18))),"")</x:f>
        <x:v>84.21228853861491</x:v>
      </x:c>
      <x:c r="AJ37" s="33" t="n">
        <x:f>IF(ISNUMBER(R37),100*MAX(0,MIN(1,('Anchors'!$H$19-R37)/('Anchors'!$H$19-'Anchors'!$G$19))),"")</x:f>
        <x:v>49.63806432458603</x:v>
      </x:c>
      <x:c r="AK37" s="33" t="n">
        <x:f>IF(ISNUMBER(S37),100*MAX(0,MIN(1,('Anchors'!$H$20-S37)/('Anchors'!$H$20-'Anchors'!$G$20))),"")</x:f>
        <x:v>97.90962584245747</x:v>
      </x:c>
      <x:c r="AL37" s="33" t="n">
        <x:f>IF(ISNUMBER(T37),100*MAX(0,MIN(1,('Anchors'!$H$21-T37)/('Anchors'!$H$21-'Anchors'!$G$21))),"")</x:f>
        <x:v>54.72727272727271</x:v>
      </x:c>
      <x:c r="AM37" s="33" t="n">
        <x:f>IF(ISNUMBER(U37),100*MAX(0,MIN(1,('Anchors'!$H$22-U37)/('Anchors'!$H$22-'Anchors'!$G$22))),"")</x:f>
        <x:v>27.461435002618884</x:v>
      </x:c>
      <x:c r="AN37" s="33" t="n">
        <x:f>IF(ISNUMBER(V37),100*MAX(0,MIN(1,('Anchors'!$H$23-V37)/('Anchors'!$H$23-'Anchors'!$G$23))),"")</x:f>
        <x:v>88.8105026850925</x:v>
      </x:c>
      <x:c r="AO37" s="27" t="n">
        <x:f>IF(ISNUMBER(W37),IF('Scoring Setup'!$L$9=1,1-'Scoring Setup'!$B$5*(1-MAX(0,MIN(1,(W37-'Scoring Setup'!$K$9)/(100-'Scoring Setup'!$K$9)))),1),"")</x:f>
        <x:v>0.9348571428571429</x:v>
      </x:c>
      <x:c r="AP37" s="27" t="n">
        <x:f>IF(ISNUMBER(X37),IF('Scoring Setup'!$L$10=1,1-'Scoring Setup'!$B$5*(1-MAX(0,MIN(1,(X37-'Scoring Setup'!$K$10)/(100-'Scoring Setup'!$K$10)))),1),"")</x:f>
        <x:v>0.853624469589816</x:v>
      </x:c>
      <x:c r="AQ37" s="27" t="n">
        <x:f>IF(ISNUMBER(Y37),IF('Scoring Setup'!$L$11=1,1-'Scoring Setup'!$B$5*(1-MAX(0,MIN(1,(Y37-'Scoring Setup'!$K$11)/(100-'Scoring Setup'!$K$11)))),1),"")</x:f>
        <x:v>0.8820257031107878</x:v>
      </x:c>
      <x:c r="AR37" s="27" t="n">
        <x:f>IF(ISNUMBER(Z37),IF('Scoring Setup'!$L$12=1,1-'Scoring Setup'!$B$5*(1-MAX(0,MIN(1,(Z37-'Scoring Setup'!$K$12)/(100-'Scoring Setup'!$K$12)))),1),"")</x:f>
        <x:v>0.856337842256258</x:v>
      </x:c>
      <x:c r="AS37" s="27" t="n">
        <x:f>IF(ISNUMBER(AA37),IF('Scoring Setup'!$L$13=1,1-'Scoring Setup'!$B$5*(1-MAX(0,MIN(1,(AA37-'Scoring Setup'!$K$13)/(100-'Scoring Setup'!$K$13)))),1),"")</x:f>
        <x:v>0.9909375576350967</x:v>
      </x:c>
      <x:c r="AT37" s="27" t="n">
        <x:f>IF(ISNUMBER(AB37),IF('Scoring Setup'!$L$14=1,1-'Scoring Setup'!$B$5*(1-MAX(0,MIN(1,(AB37-'Scoring Setup'!$K$14)/(100-'Scoring Setup'!$K$14)))),1),"")</x:f>
        <x:v>0.9955130063483366</x:v>
      </x:c>
      <x:c r="AU37" s="27" t="n">
        <x:f>IF(ISNUMBER(AC37),IF('Scoring Setup'!$L$15=1,1-'Scoring Setup'!$B$5*(1-MAX(0,MIN(1,(AC37-'Scoring Setup'!$K$15)/(100-'Scoring Setup'!$K$15)))),1),"")</x:f>
        <x:v>0.9997373844291019</x:v>
      </x:c>
      <x:c r="AV37" s="27" t="n">
        <x:f>IF(ISNUMBER(AD37),IF('Scoring Setup'!$L$16=1,1-'Scoring Setup'!$B$5*(1-MAX(0,MIN(1,(AD37-'Scoring Setup'!$K$16)/(100-'Scoring Setup'!$K$16)))),1),"")</x:f>
        <x:v>0.8131202025714286</x:v>
      </x:c>
      <x:c r="AW37" s="27" t="n">
        <x:f>IF(ISNUMBER(AE37),IF('Scoring Setup'!$L$17=1,1-'Scoring Setup'!$B$5*(1-MAX(0,MIN(1,(AE37-'Scoring Setup'!$K$17)/(100-'Scoring Setup'!$K$17)))),1),"")</x:f>
        <x:v>0.80962288175</x:v>
      </x:c>
      <x:c r="AX37" s="27" t="n">
        <x:f>IF(ISNUMBER(AF37),IF('Scoring Setup'!$L$18=1,1-'Scoring Setup'!$B$5*(1-MAX(0,MIN(1,(AF37-'Scoring Setup'!$K$18)/(100-'Scoring Setup'!$K$18)))),1),"")</x:f>
        <x:v>0.9193826751729932</x:v>
      </x:c>
      <x:c r="AY37" s="27" t="n">
        <x:f>IF(ISNUMBER(AG37),IF('Scoring Setup'!$L$19=1,1-'Scoring Setup'!$B$5*(1-MAX(0,MIN(1,(AG37-'Scoring Setup'!$K$19)/(100-'Scoring Setup'!$K$19)))),1),"")</x:f>
        <x:v>0.9397777777777778</x:v>
      </x:c>
      <x:c r="AZ37" s="27" t="n">
        <x:f>IF(ISNUMBER(AH37),IF('Scoring Setup'!$L$20=1,1-'Scoring Setup'!$B$5*(1-MAX(0,MIN(1,(AH37-'Scoring Setup'!$K$20)/(100-'Scoring Setup'!$K$20)))),1),"")</x:f>
        <x:v>0.9664993825954861</x:v>
      </x:c>
      <x:c r="BA37" s="27" t="n">
        <x:f>IF(ISNUMBER(AI37),IF('Scoring Setup'!$L$21=1,1-'Scoring Setup'!$B$5*(1-MAX(0,MIN(1,(AI37-'Scoring Setup'!$K$21)/(100-'Scoring Setup'!$K$21)))),1),"")</x:f>
        <x:v>0.9684245770772298</x:v>
      </x:c>
      <x:c r="BB37" s="27" t="n">
        <x:f>IF(ISNUMBER(AJ37),IF('Scoring Setup'!$L$22=1,1-'Scoring Setup'!$B$5*(1-MAX(0,MIN(1,(AJ37-'Scoring Setup'!$K$22)/(100-'Scoring Setup'!$K$22)))),1),"")</x:f>
        <x:v>0.8992761286491721</x:v>
      </x:c>
      <x:c r="BC37" s="27" t="n">
        <x:f>IF(ISNUMBER(AK37),IF('Scoring Setup'!$L$23=1,1-'Scoring Setup'!$B$5*(1-MAX(0,MIN(1,(AK37-'Scoring Setup'!$K$23)/(100-'Scoring Setup'!$K$23)))),1),"")</x:f>
        <x:v>0.9958192516849149</x:v>
      </x:c>
      <x:c r="BD37" s="27" t="n">
        <x:f>IF(ISNUMBER(AL37),IF('Scoring Setup'!$L$24=1,1-'Scoring Setup'!$B$5*(1-MAX(0,MIN(1,(AL37-'Scoring Setup'!$K$24)/(100-'Scoring Setup'!$K$24)))),1),"")</x:f>
        <x:v>0.9094545454545454</x:v>
      </x:c>
      <x:c r="BE37" s="27" t="n">
        <x:f>IF(ISNUMBER(AM37),IF('Scoring Setup'!$L$25=1,1-'Scoring Setup'!$B$5*(1-MAX(0,MIN(1,(AM37-'Scoring Setup'!$K$25)/(100-'Scoring Setup'!$K$25)))),1),"")</x:f>
        <x:v>0.8549228700052378</x:v>
      </x:c>
      <x:c r="BF37" s="27" t="n">
        <x:f>IF(ISNUMBER(AN37),IF('Scoring Setup'!$L$26=1,1-'Scoring Setup'!$B$5*(1-MAX(0,MIN(1,(AN37-'Scoring Setup'!$K$26)/(100-'Scoring Setup'!$K$26)))),1),"")</x:f>
        <x:v>0.977621005370185</x:v>
      </x:c>
      <x:c r="BG37" s="34" t="n">
        <x:f>IF(COUNT(W37,X37)=2,AVERAGE(W37,X37),"")</x:f>
        <x:v>47.12040311173972</x:v>
      </x:c>
      <x:c r="BH37" s="34" t="n">
        <x:f>IF(COUNT(Y37,Z37)=2,AVERAGE(Y37,Z37),"")</x:f>
        <x:v>34.59088634176143</x:v>
      </x:c>
      <x:c r="BI37" s="34" t="n">
        <x:f>IF(COUNT(AA37,AB37,AC37)=3,AVERAGE(AA37,AB37,AC37),"")</x:f>
        <x:v>97.6979914020892</x:v>
      </x:c>
      <x:c r="BJ37" s="34" t="n">
        <x:f>IF(COUNT(AD37,AE37)=2,AVERAGE(AD37,AE37),"")</x:f>
        <x:v>5.685771080357141</x:v>
      </x:c>
      <x:c r="BK37" s="34" t="n">
        <x:f>IF(COUNT(AF37,AG37)=2,AVERAGE(AF37,AG37),"")</x:f>
        <x:v>64.79011323769276</x:v>
      </x:c>
      <x:c r="BL37" s="34" t="n">
        <x:f>IF(COUNT(AH37,AI37)=2,AVERAGE(AH37,AI37),"")</x:f>
        <x:v>83.73098991817898</x:v>
      </x:c>
      <x:c r="BM37" s="34" t="n">
        <x:f>IF(COUNT(AJ37,AK37)=2,AVERAGE(AJ37,AK37),"")</x:f>
        <x:v>73.77384508352175</x:v>
      </x:c>
      <x:c r="BN37" s="34" t="n">
        <x:f>IF(COUNT(AL37,AM37,AN37)=3,AVERAGE(AL37,AM37,AN37),"")</x:f>
        <x:v>56.999736804994704</x:v>
      </x:c>
      <x:c r="BO37" s="35" t="n">
        <x:f>IF(AND(COUNT(BG37:BN37)=8,ABS('Scoring Setup'!$C$17-1)&lt;0.000001),BG37*'Scoring Setup'!$C$9+BH37*'Scoring Setup'!$C$10+BI37*'Scoring Setup'!$C$11+BJ37*'Scoring Setup'!$C$12+BK37*'Scoring Setup'!$C$13+BL37*'Scoring Setup'!$C$14+BM37*'Scoring Setup'!$C$15+BN37*'Scoring Setup'!$C$16,"")</x:f>
        <x:v>53.422767943123624</x:v>
      </x:c>
      <x:c r="BP37" s="36" t="n">
        <x:f>IF(COUNT(AO37:BF37)=18,MIN(AO37:BF37),"")</x:f>
        <x:v>0.80962288175</x:v>
      </x:c>
      <x:c r="BQ37" s="35" t="n">
        <x:f>IF(AND(ISNUMBER(BO37),ISNUMBER(BP37)),BO37*BP37,"")</x:f>
        <x:v>43.252295333173265</x:v>
      </x:c>
      <x:c r="BR37" s="17" t="str">
        <x:f>IF(COUNT(AO37:BF37)=18,INDEX('Scoring Setup'!$F$9:$F$26,MATCH(MIN(AO37:BF37),AO37:BF37,0),1),"")</x:f>
        <x:v>商业光纤1000/100覆盖率</x:v>
      </x:c>
    </x:row>
    <x:row r="38">
      <x:c r="A38" s="28" t="str">
        <x:v>51069</x:v>
      </x:c>
      <x:c r="B38" s="28" t="str">
        <x:v>Frederick County</x:v>
      </x:c>
      <x:c r="C38" s="28" t="str">
        <x:v>VA</x:v>
      </x:c>
      <x:c r="D38" s="31" t="n">
        <x:v>1070.014045</x:v>
      </x:c>
      <x:c r="E38" s="32" t="n">
        <x:v>0.473</x:v>
      </x:c>
      <x:c r="F38" s="32" t="n">
        <x:v>0.24969059405940602</x:v>
      </x:c>
      <x:c r="G38" s="32" t="n">
        <x:v>2.817386513410663</x:v>
      </x:c>
      <x:c r="H38" s="32" t="n">
        <x:v>3.193939064011559</x:v>
      </x:c>
      <x:c r="I38" s="32" t="n">
        <x:v>0.8774905854590328</x:v>
      </x:c>
      <x:c r="J38" s="32" t="n">
        <x:v>0.0009742612744840876</x:v>
      </x:c>
      <x:c r="K38" s="32" t="n">
        <x:v>0.00027683658001122446</x:v>
      </x:c>
      <x:c r="L38" s="32" t="n">
        <x:v>0.516389871</x:v>
      </x:c>
      <x:c r="M38" s="32" t="n">
        <x:v>0.427468164</x:v>
      </x:c>
      <x:c r="N38" s="32" t="n">
        <x:v>50664</x:v>
      </x:c>
      <x:c r="O38" s="32" t="n">
        <x:v>0.2545</x:v>
      </x:c>
      <x:c r="P38" s="32" t="n">
        <x:v>773.333642578125</x:v>
      </x:c>
      <x:c r="Q38" s="32" t="n">
        <x:v>13.499966144561768</x:v>
      </x:c>
      <x:c r="R38" s="32" t="n">
        <x:v>10.093284126681855</x:v>
      </x:c>
      <x:c r="S38" s="32" t="n">
        <x:v>0.23022705429005008</x:v>
      </x:c>
      <x:c r="T38" s="32" t="n">
        <x:v>89.9</x:v>
      </x:c>
      <x:c r="U38" s="32" t="n">
        <x:v>245.07712999476223</x:v>
      </x:c>
      <x:c r="V38" s="32" t="n">
        <x:v>244.75798925963002</x:v>
      </x:c>
      <x:c r="W38" s="33" t="n">
        <x:f>IF(ISNUMBER(E38),100*MAX(0,MIN(1,('Anchors'!$H$6-E38)/('Anchors'!$H$6-'Anchors'!$G$6))),"")</x:f>
        <x:v>61.00000000000001</x:v>
      </x:c>
      <x:c r="X38" s="33" t="n">
        <x:f>IF(ISNUMBER(F38),100*MAX(0,MIN(1,('Anchors'!$H$7-F38)/('Anchors'!$H$7-'Anchors'!$G$7))),"")</x:f>
        <x:v>78.61562942008484</x:v>
      </x:c>
      <x:c r="Y38" s="33" t="n">
        <x:f>IF(ISNUMBER(G38),100*MAX(0,MIN(1,('Anchors'!$H$8-G38)/('Anchors'!$H$8-'Anchors'!$G$8))),"")</x:f>
        <x:v>39.42044955297791</x:v>
      </x:c>
      <x:c r="Z38" s="33" t="n">
        <x:f>IF(ISNUMBER(H38),100*MAX(0,MIN(1,('Anchors'!$H$9-H38)/('Anchors'!$H$9-'Anchors'!$G$9))),"")</x:f>
        <x:v>26.868697866281366</x:v>
      </x:c>
      <x:c r="AA38" s="33" t="n">
        <x:f>IF(ISNUMBER(I38),100*MAX(0,MIN(1,(I38-'Anchors'!$H$10)/('Anchors'!$G$10-'Anchors'!$H$10))),"")</x:f>
        <x:v>85.95761444644285</x:v>
      </x:c>
      <x:c r="AB38" s="33" t="n">
        <x:f>IF(ISNUMBER(J38),100*MAX(0,MIN(1,('Anchors'!$H$11-J38)/('Anchors'!$H$11-'Anchors'!$G$11))),"")</x:f>
        <x:v>99.61029549020637</x:v>
      </x:c>
      <x:c r="AC38" s="33" t="n">
        <x:f>IF(ISNUMBER(K38),100*MAX(0,MIN(1,('Anchors'!$H$12-K38)/('Anchors'!$H$12-'Anchors'!$G$12))),"")</x:f>
        <x:v>99.9307908549972</x:v>
      </x:c>
      <x:c r="AD38" s="33" t="n">
        <x:f>IF(ISNUMBER(L38),100*MAX(0,MIN(1,(L38-'Anchors'!$H$13)/('Anchors'!$G$13-'Anchors'!$H$13))),"")</x:f>
        <x:v>45.198553000000004</x:v>
      </x:c>
      <x:c r="AE38" s="33" t="n">
        <x:f>IF(ISNUMBER(M38),100*MAX(0,MIN(1,(M38-'Anchors'!$H$14)/('Anchors'!$G$14-'Anchors'!$H$14))),"")</x:f>
        <x:v>40.9335205</x:v>
      </x:c>
      <x:c r="AF38" s="33" t="n">
        <x:f>IF(ISNUMBER(N38),100*MAX(0,MIN(1,(LN(1+N38)-LN(1+'Anchors'!$H$15))/(LN(1+'Anchors'!$G$15)-LN(1+'Anchors'!$H$15)))),"")</x:f>
        <x:v>74.85735684912869</x:v>
      </x:c>
      <x:c r="AG38" s="33" t="n">
        <x:f>IF(ISNUMBER(O38),100*MAX(0,MIN(1,('Anchors'!$H$16-O38)/('Anchors'!$H$16-'Anchors'!$G$16))),"")</x:f>
        <x:v>77.27777777777779</x:v>
      </x:c>
      <x:c r="AH38" s="33" t="n">
        <x:f>IF(ISNUMBER(P38),100*MAX(0,MIN(1,('Anchors'!$H$17-P38)/('Anchors'!$H$17-'Anchors'!$G$17))),"")</x:f>
        <x:v>95.11109049479167</x:v>
      </x:c>
      <x:c r="AI38" s="33" t="n">
        <x:f>IF(ISNUMBER(Q38),100*MAX(0,MIN(1,('Anchors'!$H$18-Q38)/('Anchors'!$H$18-'Anchors'!$G$18))),"")</x:f>
        <x:v>87.85719122205462</x:v>
      </x:c>
      <x:c r="AJ38" s="33" t="n">
        <x:f>IF(ISNUMBER(R38),100*MAX(0,MIN(1,('Anchors'!$H$19-R38)/('Anchors'!$H$19-'Anchors'!$G$19))),"")</x:f>
        <x:v>88.68159082959589</x:v>
      </x:c>
      <x:c r="AK38" s="33" t="n">
        <x:f>IF(ISNUMBER(S38),100*MAX(0,MIN(1,('Anchors'!$H$20-S38)/('Anchors'!$H$20-'Anchors'!$G$20))),"")</x:f>
        <x:v>100</x:v>
      </x:c>
      <x:c r="AL38" s="33" t="n">
        <x:f>IF(ISNUMBER(T38),100*MAX(0,MIN(1,('Anchors'!$H$21-T38)/('Anchors'!$H$21-'Anchors'!$G$21))),"")</x:f>
        <x:v>54.72727272727271</x:v>
      </x:c>
      <x:c r="AM38" s="33" t="n">
        <x:f>IF(ISNUMBER(U38),100*MAX(0,MIN(1,('Anchors'!$H$22-U38)/('Anchors'!$H$22-'Anchors'!$G$22))),"")</x:f>
        <x:v>27.461435002618884</x:v>
      </x:c>
      <x:c r="AN38" s="33" t="n">
        <x:f>IF(ISNUMBER(V38),100*MAX(0,MIN(1,('Anchors'!$H$23-V38)/('Anchors'!$H$23-'Anchors'!$G$23))),"")</x:f>
        <x:v>88.8105026850925</x:v>
      </x:c>
      <x:c r="AO38" s="27" t="n">
        <x:f>IF(ISNUMBER(W38),IF('Scoring Setup'!$L$9=1,1-'Scoring Setup'!$B$5*(1-MAX(0,MIN(1,(W38-'Scoring Setup'!$K$9)/(100-'Scoring Setup'!$K$9)))),1),"")</x:f>
        <x:v>0.922</x:v>
      </x:c>
      <x:c r="AP38" s="27" t="n">
        <x:f>IF(ISNUMBER(X38),IF('Scoring Setup'!$L$10=1,1-'Scoring Setup'!$B$5*(1-MAX(0,MIN(1,(X38-'Scoring Setup'!$K$10)/(100-'Scoring Setup'!$K$10)))),1),"")</x:f>
        <x:v>0.9572312588401697</x:v>
      </x:c>
      <x:c r="AQ38" s="27" t="n">
        <x:f>IF(ISNUMBER(Y38),IF('Scoring Setup'!$L$11=1,1-'Scoring Setup'!$B$5*(1-MAX(0,MIN(1,(Y38-'Scoring Setup'!$K$11)/(100-'Scoring Setup'!$K$11)))),1),"")</x:f>
        <x:v>0.8788408991059558</x:v>
      </x:c>
      <x:c r="AR38" s="27" t="n">
        <x:f>IF(ISNUMBER(Z38),IF('Scoring Setup'!$L$12=1,1-'Scoring Setup'!$B$5*(1-MAX(0,MIN(1,(Z38-'Scoring Setup'!$K$12)/(100-'Scoring Setup'!$K$12)))),1),"")</x:f>
        <x:v>0.8537373957325627</x:v>
      </x:c>
      <x:c r="AS38" s="27" t="n">
        <x:f>IF(ISNUMBER(AA38),IF('Scoring Setup'!$L$13=1,1-'Scoring Setup'!$B$5*(1-MAX(0,MIN(1,(AA38-'Scoring Setup'!$K$13)/(100-'Scoring Setup'!$K$13)))),1),"")</x:f>
        <x:v>0.9719152288928857</x:v>
      </x:c>
      <x:c r="AT38" s="27" t="n">
        <x:f>IF(ISNUMBER(AB38),IF('Scoring Setup'!$L$14=1,1-'Scoring Setup'!$B$5*(1-MAX(0,MIN(1,(AB38-'Scoring Setup'!$K$14)/(100-'Scoring Setup'!$K$14)))),1),"")</x:f>
        <x:v>0.9992205909804127</x:v>
      </x:c>
      <x:c r="AU38" s="27" t="n">
        <x:f>IF(ISNUMBER(AC38),IF('Scoring Setup'!$L$15=1,1-'Scoring Setup'!$B$5*(1-MAX(0,MIN(1,(AC38-'Scoring Setup'!$K$15)/(100-'Scoring Setup'!$K$15)))),1),"")</x:f>
        <x:v>0.9998615817099944</x:v>
      </x:c>
      <x:c r="AV38" s="27" t="n">
        <x:f>IF(ISNUMBER(AD38),IF('Scoring Setup'!$L$16=1,1-'Scoring Setup'!$B$5*(1-MAX(0,MIN(1,(AD38-'Scoring Setup'!$K$16)/(100-'Scoring Setup'!$K$16)))),1),"")</x:f>
        <x:v>0.890397106</x:v>
      </x:c>
      <x:c r="AW38" s="27" t="n">
        <x:f>IF(ISNUMBER(AE38),IF('Scoring Setup'!$L$17=1,1-'Scoring Setup'!$B$5*(1-MAX(0,MIN(1,(AE38-'Scoring Setup'!$K$17)/(100-'Scoring Setup'!$K$17)))),1),"")</x:f>
        <x:v>0.881867041</x:v>
      </x:c>
      <x:c r="AX38" s="27" t="n">
        <x:f>IF(ISNUMBER(AF38),IF('Scoring Setup'!$L$18=1,1-'Scoring Setup'!$B$5*(1-MAX(0,MIN(1,(AF38-'Scoring Setup'!$K$18)/(100-'Scoring Setup'!$K$18)))),1),"")</x:f>
        <x:v>0.9497147136982573</x:v>
      </x:c>
      <x:c r="AY38" s="27" t="n">
        <x:f>IF(ISNUMBER(AG38),IF('Scoring Setup'!$L$19=1,1-'Scoring Setup'!$B$5*(1-MAX(0,MIN(1,(AG38-'Scoring Setup'!$K$19)/(100-'Scoring Setup'!$K$19)))),1),"")</x:f>
        <x:v>0.9545555555555556</x:v>
      </x:c>
      <x:c r="AZ38" s="27" t="n">
        <x:f>IF(ISNUMBER(AH38),IF('Scoring Setup'!$L$20=1,1-'Scoring Setup'!$B$5*(1-MAX(0,MIN(1,(AH38-'Scoring Setup'!$K$20)/(100-'Scoring Setup'!$K$20)))),1),"")</x:f>
        <x:v>0.9902221809895834</x:v>
      </x:c>
      <x:c r="BA38" s="27" t="n">
        <x:f>IF(ISNUMBER(AI38),IF('Scoring Setup'!$L$21=1,1-'Scoring Setup'!$B$5*(1-MAX(0,MIN(1,(AI38-'Scoring Setup'!$K$21)/(100-'Scoring Setup'!$K$21)))),1),"")</x:f>
        <x:v>0.9757143824441092</x:v>
      </x:c>
      <x:c r="BB38" s="27" t="n">
        <x:f>IF(ISNUMBER(AJ38),IF('Scoring Setup'!$L$22=1,1-'Scoring Setup'!$B$5*(1-MAX(0,MIN(1,(AJ38-'Scoring Setup'!$K$22)/(100-'Scoring Setup'!$K$22)))),1),"")</x:f>
        <x:v>0.9773631816591918</x:v>
      </x:c>
      <x:c r="BC38" s="27" t="n">
        <x:f>IF(ISNUMBER(AK38),IF('Scoring Setup'!$L$23=1,1-'Scoring Setup'!$B$5*(1-MAX(0,MIN(1,(AK38-'Scoring Setup'!$K$23)/(100-'Scoring Setup'!$K$23)))),1),"")</x:f>
        <x:v>1</x:v>
      </x:c>
      <x:c r="BD38" s="27" t="n">
        <x:f>IF(ISNUMBER(AL38),IF('Scoring Setup'!$L$24=1,1-'Scoring Setup'!$B$5*(1-MAX(0,MIN(1,(AL38-'Scoring Setup'!$K$24)/(100-'Scoring Setup'!$K$24)))),1),"")</x:f>
        <x:v>0.9094545454545454</x:v>
      </x:c>
      <x:c r="BE38" s="27" t="n">
        <x:f>IF(ISNUMBER(AM38),IF('Scoring Setup'!$L$25=1,1-'Scoring Setup'!$B$5*(1-MAX(0,MIN(1,(AM38-'Scoring Setup'!$K$25)/(100-'Scoring Setup'!$K$25)))),1),"")</x:f>
        <x:v>0.8549228700052378</x:v>
      </x:c>
      <x:c r="BF38" s="27" t="n">
        <x:f>IF(ISNUMBER(AN38),IF('Scoring Setup'!$L$26=1,1-'Scoring Setup'!$B$5*(1-MAX(0,MIN(1,(AN38-'Scoring Setup'!$K$26)/(100-'Scoring Setup'!$K$26)))),1),"")</x:f>
        <x:v>0.977621005370185</x:v>
      </x:c>
      <x:c r="BG38" s="34" t="n">
        <x:f>IF(COUNT(W38,X38)=2,AVERAGE(W38,X38),"")</x:f>
        <x:v>69.80781471004242</x:v>
      </x:c>
      <x:c r="BH38" s="34" t="n">
        <x:f>IF(COUNT(Y38,Z38)=2,AVERAGE(Y38,Z38),"")</x:f>
        <x:v>33.14457370962964</x:v>
      </x:c>
      <x:c r="BI38" s="34" t="n">
        <x:f>IF(COUNT(AA38,AB38,AC38)=3,AVERAGE(AA38,AB38,AC38),"")</x:f>
        <x:v>95.16623359721547</x:v>
      </x:c>
      <x:c r="BJ38" s="34" t="n">
        <x:f>IF(COUNT(AD38,AE38)=2,AVERAGE(AD38,AE38),"")</x:f>
        <x:v>43.06603675</x:v>
      </x:c>
      <x:c r="BK38" s="34" t="n">
        <x:f>IF(COUNT(AF38,AG38)=2,AVERAGE(AF38,AG38),"")</x:f>
        <x:v>76.06756731345324</x:v>
      </x:c>
      <x:c r="BL38" s="34" t="n">
        <x:f>IF(COUNT(AH38,AI38)=2,AVERAGE(AH38,AI38),"")</x:f>
        <x:v>91.48414085842315</x:v>
      </x:c>
      <x:c r="BM38" s="34" t="n">
        <x:f>IF(COUNT(AJ38,AK38)=2,AVERAGE(AJ38,AK38),"")</x:f>
        <x:v>94.34079541479795</x:v>
      </x:c>
      <x:c r="BN38" s="34" t="n">
        <x:f>IF(COUNT(AL38,AM38,AN38)=3,AVERAGE(AL38,AM38,AN38),"")</x:f>
        <x:v>56.999736804994704</x:v>
      </x:c>
      <x:c r="BO38" s="35" t="n">
        <x:f>IF(AND(COUNT(BG38:BN38)=8,ABS('Scoring Setup'!$C$17-1)&lt;0.000001),BG38*'Scoring Setup'!$C$9+BH38*'Scoring Setup'!$C$10+BI38*'Scoring Setup'!$C$11+BJ38*'Scoring Setup'!$C$12+BK38*'Scoring Setup'!$C$13+BL38*'Scoring Setup'!$C$14+BM38*'Scoring Setup'!$C$15+BN38*'Scoring Setup'!$C$16,"")</x:f>
        <x:v>61.43084783415651</x:v>
      </x:c>
      <x:c r="BP38" s="36" t="n">
        <x:f>IF(COUNT(AO38:BF38)=18,MIN(AO38:BF38),"")</x:f>
        <x:v>0.8537373957325627</x:v>
      </x:c>
      <x:c r="BQ38" s="35" t="n">
        <x:f>IF(AND(ISNUMBER(BO38),ISNUMBER(BP38)),BO38*BP38,"")</x:f>
        <x:v>52.44581204757612</x:v>
      </x:c>
      <x:c r="BR38" s="17" t="str">
        <x:f>IF(COUNT(AO38:BF38)=18,INDEX('Scoring Setup'!$F$9:$F$26,MATCH(MIN(AO38:BF38),AO38:BF38,0),1),"")</x:f>
        <x:v>2050 BAU水压力</x:v>
      </x:c>
    </x:row>
    <x:row r="39">
      <x:c r="A39" s="28" t="str">
        <x:v>51071</x:v>
      </x:c>
      <x:c r="B39" s="28" t="str">
        <x:v>Giles County</x:v>
      </x:c>
      <x:c r="C39" s="28" t="str">
        <x:v>VA</x:v>
      </x:c>
      <x:c r="D39" s="31" t="n">
        <x:v>925.20724</x:v>
      </x:c>
      <x:c r="E39" s="32" t="n">
        <x:v>0.567</x:v>
      </x:c>
      <x:c r="F39" s="32" t="n">
        <x:v>0.879022277227723</x:v>
      </x:c>
      <x:c r="G39" s="32" t="n">
        <x:v>1.8996510225747727</x:v>
      </x:c>
      <x:c r="H39" s="32" t="n">
        <x:v>2.293711300731786</x:v>
      </x:c>
      <x:c r="I39" s="32" t="n">
        <x:v>0.9655697919441955</x:v>
      </x:c>
      <x:c r="J39" s="32" t="n">
        <x:v>0.06264398258068277</x:v>
      </x:c>
      <x:c r="K39" s="32" t="n">
        <x:v>0.0003371521302104779</x:v>
      </x:c>
      <x:c r="L39" s="32" t="n">
        <x:v>0.237610248</x:v>
      </x:c>
      <x:c r="M39" s="32" t="n">
        <x:v>0.237610248</x:v>
      </x:c>
      <x:c r="N39" s="32" t="n">
        <x:v>7753</x:v>
      </x:c>
      <x:c r="O39" s="32" t="n">
        <x:v>0.1037</x:v>
      </x:c>
      <x:c r="P39" s="32" t="n">
        <x:v>430.1556376139323</x:v>
      </x:c>
      <x:c r="Q39" s="32" t="n">
        <x:v>1.806439503033956</x:v>
      </x:c>
      <x:c r="R39" s="32" t="n">
        <x:v>26.12494497171362</x:v>
      </x:c>
      <x:c r="S39" s="32" t="n">
        <x:v>1.358464304835096</x:v>
      </x:c>
      <x:c r="T39" s="32" t="n">
        <x:v>89.9</x:v>
      </x:c>
      <x:c r="U39" s="32" t="n">
        <x:v>245.07712999476223</x:v>
      </x:c>
      <x:c r="V39" s="32" t="n">
        <x:v>244.75798925963002</x:v>
      </x:c>
      <x:c r="W39" s="33" t="n">
        <x:f>IF(ISNUMBER(E39),100*MAX(0,MIN(1,('Anchors'!$H$6-E39)/('Anchors'!$H$6-'Anchors'!$G$6))),"")</x:f>
        <x:v>47.571428571428584</x:v>
      </x:c>
      <x:c r="X39" s="33" t="n">
        <x:f>IF(ISNUMBER(F39),100*MAX(0,MIN(1,('Anchors'!$H$7-F39)/('Anchors'!$H$7-'Anchors'!$G$7))),"")</x:f>
        <x:v>0</x:v>
      </x:c>
      <x:c r="Y39" s="33" t="n">
        <x:f>IF(ISNUMBER(G39),100*MAX(0,MIN(1,('Anchors'!$H$8-G39)/('Anchors'!$H$8-'Anchors'!$G$8))),"")</x:f>
        <x:v>70.01163258084091</x:v>
      </x:c>
      <x:c r="Z39" s="33" t="n">
        <x:f>IF(ISNUMBER(H39),100*MAX(0,MIN(1,('Anchors'!$H$9-H39)/('Anchors'!$H$9-'Anchors'!$G$9))),"")</x:f>
        <x:v>56.87628997560713</x:v>
      </x:c>
      <x:c r="AA39" s="33" t="n">
        <x:f>IF(ISNUMBER(I39),100*MAX(0,MIN(1,(I39-'Anchors'!$H$10)/('Anchors'!$G$10-'Anchors'!$H$10))),"")</x:f>
        <x:v>98.02325917043774</x:v>
      </x:c>
      <x:c r="AB39" s="33" t="n">
        <x:f>IF(ISNUMBER(J39),100*MAX(0,MIN(1,('Anchors'!$H$11-J39)/('Anchors'!$H$11-'Anchors'!$G$11))),"")</x:f>
        <x:v>74.9424069677269</x:v>
      </x:c>
      <x:c r="AC39" s="33" t="n">
        <x:f>IF(ISNUMBER(K39),100*MAX(0,MIN(1,('Anchors'!$H$12-K39)/('Anchors'!$H$12-'Anchors'!$G$12))),"")</x:f>
        <x:v>99.91571196744738</x:v>
      </x:c>
      <x:c r="AD39" s="33" t="n">
        <x:f>IF(ISNUMBER(L39),100*MAX(0,MIN(1,(L39-'Anchors'!$H$13)/('Anchors'!$G$13-'Anchors'!$H$13))),"")</x:f>
        <x:v>5.37289257142857</x:v>
      </x:c>
      <x:c r="AE39" s="33" t="n">
        <x:f>IF(ISNUMBER(M39),100*MAX(0,MIN(1,(M39-'Anchors'!$H$14)/('Anchors'!$G$14-'Anchors'!$H$14))),"")</x:f>
        <x:v>17.201280999999998</x:v>
      </x:c>
      <x:c r="AF39" s="33" t="n">
        <x:f>IF(ISNUMBER(N39),100*MAX(0,MIN(1,(LN(1+N39)-LN(1+'Anchors'!$H$15))/(LN(1+'Anchors'!$G$15)-LN(1+'Anchors'!$H$15)))),"")</x:f>
        <x:v>31.377423726736897</x:v>
      </x:c>
      <x:c r="AG39" s="33" t="n">
        <x:f>IF(ISNUMBER(O39),100*MAX(0,MIN(1,('Anchors'!$H$16-O39)/('Anchors'!$H$16-'Anchors'!$G$16))),"")</x:f>
        <x:v>94.03333333333333</x:v>
      </x:c>
      <x:c r="AH39" s="33" t="n">
        <x:f>IF(ISNUMBER(P39),100*MAX(0,MIN(1,('Anchors'!$H$17-P39)/('Anchors'!$H$17-'Anchors'!$G$17))),"")</x:f>
        <x:v>100</x:v>
      </x:c>
      <x:c r="AI39" s="33" t="n">
        <x:f>IF(ISNUMBER(Q39),100*MAX(0,MIN(1,('Anchors'!$H$18-Q39)/('Anchors'!$H$18-'Anchors'!$G$18))),"")</x:f>
        <x:v>100</x:v>
      </x:c>
      <x:c r="AJ39" s="33" t="n">
        <x:f>IF(ISNUMBER(R39),100*MAX(0,MIN(1,('Anchors'!$H$19-R39)/('Anchors'!$H$19-'Anchors'!$G$19))),"")</x:f>
        <x:v>53.05567784063639</x:v>
      </x:c>
      <x:c r="AK39" s="33" t="n">
        <x:f>IF(ISNUMBER(S39),100*MAX(0,MIN(1,('Anchors'!$H$20-S39)/('Anchors'!$H$20-'Anchors'!$G$20))),"")</x:f>
        <x:v>98.11334576402582</x:v>
      </x:c>
      <x:c r="AL39" s="33" t="n">
        <x:f>IF(ISNUMBER(T39),100*MAX(0,MIN(1,('Anchors'!$H$21-T39)/('Anchors'!$H$21-'Anchors'!$G$21))),"")</x:f>
        <x:v>54.72727272727271</x:v>
      </x:c>
      <x:c r="AM39" s="33" t="n">
        <x:f>IF(ISNUMBER(U39),100*MAX(0,MIN(1,('Anchors'!$H$22-U39)/('Anchors'!$H$22-'Anchors'!$G$22))),"")</x:f>
        <x:v>27.461435002618884</x:v>
      </x:c>
      <x:c r="AN39" s="33" t="n">
        <x:f>IF(ISNUMBER(V39),100*MAX(0,MIN(1,('Anchors'!$H$23-V39)/('Anchors'!$H$23-'Anchors'!$G$23))),"")</x:f>
        <x:v>88.8105026850925</x:v>
      </x:c>
      <x:c r="AO39" s="27" t="n">
        <x:f>IF(ISNUMBER(W39),IF('Scoring Setup'!$L$9=1,1-'Scoring Setup'!$B$5*(1-MAX(0,MIN(1,(W39-'Scoring Setup'!$K$9)/(100-'Scoring Setup'!$K$9)))),1),"")</x:f>
        <x:v>0.8951428571428571</x:v>
      </x:c>
      <x:c r="AP39" s="27" t="n">
        <x:f>IF(ISNUMBER(X39),IF('Scoring Setup'!$L$10=1,1-'Scoring Setup'!$B$5*(1-MAX(0,MIN(1,(X39-'Scoring Setup'!$K$10)/(100-'Scoring Setup'!$K$10)))),1),"")</x:f>
        <x:v>0.8</x:v>
      </x:c>
      <x:c r="AQ39" s="27" t="n">
        <x:f>IF(ISNUMBER(Y39),IF('Scoring Setup'!$L$11=1,1-'Scoring Setup'!$B$5*(1-MAX(0,MIN(1,(Y39-'Scoring Setup'!$K$11)/(100-'Scoring Setup'!$K$11)))),1),"")</x:f>
        <x:v>0.9400232651616818</x:v>
      </x:c>
      <x:c r="AR39" s="27" t="n">
        <x:f>IF(ISNUMBER(Z39),IF('Scoring Setup'!$L$12=1,1-'Scoring Setup'!$B$5*(1-MAX(0,MIN(1,(Z39-'Scoring Setup'!$K$12)/(100-'Scoring Setup'!$K$12)))),1),"")</x:f>
        <x:v>0.9137525799512143</x:v>
      </x:c>
      <x:c r="AS39" s="27" t="n">
        <x:f>IF(ISNUMBER(AA39),IF('Scoring Setup'!$L$13=1,1-'Scoring Setup'!$B$5*(1-MAX(0,MIN(1,(AA39-'Scoring Setup'!$K$13)/(100-'Scoring Setup'!$K$13)))),1),"")</x:f>
        <x:v>0.9960465183408754</x:v>
      </x:c>
      <x:c r="AT39" s="27" t="n">
        <x:f>IF(ISNUMBER(AB39),IF('Scoring Setup'!$L$14=1,1-'Scoring Setup'!$B$5*(1-MAX(0,MIN(1,(AB39-'Scoring Setup'!$K$14)/(100-'Scoring Setup'!$K$14)))),1),"")</x:f>
        <x:v>0.9498848139354538</x:v>
      </x:c>
      <x:c r="AU39" s="27" t="n">
        <x:f>IF(ISNUMBER(AC39),IF('Scoring Setup'!$L$15=1,1-'Scoring Setup'!$B$5*(1-MAX(0,MIN(1,(AC39-'Scoring Setup'!$K$15)/(100-'Scoring Setup'!$K$15)))),1),"")</x:f>
        <x:v>0.9998314239348948</x:v>
      </x:c>
      <x:c r="AV39" s="27" t="n">
        <x:f>IF(ISNUMBER(AD39),IF('Scoring Setup'!$L$16=1,1-'Scoring Setup'!$B$5*(1-MAX(0,MIN(1,(AD39-'Scoring Setup'!$K$16)/(100-'Scoring Setup'!$K$16)))),1),"")</x:f>
        <x:v>0.8107457851428571</x:v>
      </x:c>
      <x:c r="AW39" s="27" t="n">
        <x:f>IF(ISNUMBER(AE39),IF('Scoring Setup'!$L$17=1,1-'Scoring Setup'!$B$5*(1-MAX(0,MIN(1,(AE39-'Scoring Setup'!$K$17)/(100-'Scoring Setup'!$K$17)))),1),"")</x:f>
        <x:v>0.834402562</x:v>
      </x:c>
      <x:c r="AX39" s="27" t="n">
        <x:f>IF(ISNUMBER(AF39),IF('Scoring Setup'!$L$18=1,1-'Scoring Setup'!$B$5*(1-MAX(0,MIN(1,(AF39-'Scoring Setup'!$K$18)/(100-'Scoring Setup'!$K$18)))),1),"")</x:f>
        <x:v>0.8627548474534737</x:v>
      </x:c>
      <x:c r="AY39" s="27" t="n">
        <x:f>IF(ISNUMBER(AG39),IF('Scoring Setup'!$L$19=1,1-'Scoring Setup'!$B$5*(1-MAX(0,MIN(1,(AG39-'Scoring Setup'!$K$19)/(100-'Scoring Setup'!$K$19)))),1),"")</x:f>
        <x:v>0.9880666666666666</x:v>
      </x:c>
      <x:c r="AZ39" s="27" t="n">
        <x:f>IF(ISNUMBER(AH39),IF('Scoring Setup'!$L$20=1,1-'Scoring Setup'!$B$5*(1-MAX(0,MIN(1,(AH39-'Scoring Setup'!$K$20)/(100-'Scoring Setup'!$K$20)))),1),"")</x:f>
        <x:v>1</x:v>
      </x:c>
      <x:c r="BA39" s="27" t="n">
        <x:f>IF(ISNUMBER(AI39),IF('Scoring Setup'!$L$21=1,1-'Scoring Setup'!$B$5*(1-MAX(0,MIN(1,(AI39-'Scoring Setup'!$K$21)/(100-'Scoring Setup'!$K$21)))),1),"")</x:f>
        <x:v>1</x:v>
      </x:c>
      <x:c r="BB39" s="27" t="n">
        <x:f>IF(ISNUMBER(AJ39),IF('Scoring Setup'!$L$22=1,1-'Scoring Setup'!$B$5*(1-MAX(0,MIN(1,(AJ39-'Scoring Setup'!$K$22)/(100-'Scoring Setup'!$K$22)))),1),"")</x:f>
        <x:v>0.9061113556812728</x:v>
      </x:c>
      <x:c r="BC39" s="27" t="n">
        <x:f>IF(ISNUMBER(AK39),IF('Scoring Setup'!$L$23=1,1-'Scoring Setup'!$B$5*(1-MAX(0,MIN(1,(AK39-'Scoring Setup'!$K$23)/(100-'Scoring Setup'!$K$23)))),1),"")</x:f>
        <x:v>0.9962266915280517</x:v>
      </x:c>
      <x:c r="BD39" s="27" t="n">
        <x:f>IF(ISNUMBER(AL39),IF('Scoring Setup'!$L$24=1,1-'Scoring Setup'!$B$5*(1-MAX(0,MIN(1,(AL39-'Scoring Setup'!$K$24)/(100-'Scoring Setup'!$K$24)))),1),"")</x:f>
        <x:v>0.9094545454545454</x:v>
      </x:c>
      <x:c r="BE39" s="27" t="n">
        <x:f>IF(ISNUMBER(AM39),IF('Scoring Setup'!$L$25=1,1-'Scoring Setup'!$B$5*(1-MAX(0,MIN(1,(AM39-'Scoring Setup'!$K$25)/(100-'Scoring Setup'!$K$25)))),1),"")</x:f>
        <x:v>0.8549228700052378</x:v>
      </x:c>
      <x:c r="BF39" s="27" t="n">
        <x:f>IF(ISNUMBER(AN39),IF('Scoring Setup'!$L$26=1,1-'Scoring Setup'!$B$5*(1-MAX(0,MIN(1,(AN39-'Scoring Setup'!$K$26)/(100-'Scoring Setup'!$K$26)))),1),"")</x:f>
        <x:v>0.977621005370185</x:v>
      </x:c>
      <x:c r="BG39" s="34" t="n">
        <x:f>IF(COUNT(W39,X39)=2,AVERAGE(W39,X39),"")</x:f>
        <x:v>23.785714285714292</x:v>
      </x:c>
      <x:c r="BH39" s="34" t="n">
        <x:f>IF(COUNT(Y39,Z39)=2,AVERAGE(Y39,Z39),"")</x:f>
        <x:v>63.44396127822402</x:v>
      </x:c>
      <x:c r="BI39" s="34" t="n">
        <x:f>IF(COUNT(AA39,AB39,AC39)=3,AVERAGE(AA39,AB39,AC39),"")</x:f>
        <x:v>90.96045936853734</x:v>
      </x:c>
      <x:c r="BJ39" s="34" t="n">
        <x:f>IF(COUNT(AD39,AE39)=2,AVERAGE(AD39,AE39),"")</x:f>
        <x:v>11.287086785714283</x:v>
      </x:c>
      <x:c r="BK39" s="34" t="n">
        <x:f>IF(COUNT(AF39,AG39)=2,AVERAGE(AF39,AG39),"")</x:f>
        <x:v>62.70537853003511</x:v>
      </x:c>
      <x:c r="BL39" s="34" t="n">
        <x:f>IF(COUNT(AH39,AI39)=2,AVERAGE(AH39,AI39),"")</x:f>
        <x:v>100</x:v>
      </x:c>
      <x:c r="BM39" s="34" t="n">
        <x:f>IF(COUNT(AJ39,AK39)=2,AVERAGE(AJ39,AK39),"")</x:f>
        <x:v>75.58451180233111</x:v>
      </x:c>
      <x:c r="BN39" s="34" t="n">
        <x:f>IF(COUNT(AL39,AM39,AN39)=3,AVERAGE(AL39,AM39,AN39),"")</x:f>
        <x:v>56.999736804994704</x:v>
      </x:c>
      <x:c r="BO39" s="35" t="n">
        <x:f>IF(AND(COUNT(BG39:BN39)=8,ABS('Scoring Setup'!$C$17-1)&lt;0.000001),BG39*'Scoring Setup'!$C$9+BH39*'Scoring Setup'!$C$10+BI39*'Scoring Setup'!$C$11+BJ39*'Scoring Setup'!$C$12+BK39*'Scoring Setup'!$C$13+BL39*'Scoring Setup'!$C$14+BM39*'Scoring Setup'!$C$15+BN39*'Scoring Setup'!$C$16,"")</x:f>
        <x:v>57.44180278425987</x:v>
      </x:c>
      <x:c r="BP39" s="36" t="n">
        <x:f>IF(COUNT(AO39:BF39)=18,MIN(AO39:BF39),"")</x:f>
        <x:v>0.8</x:v>
      </x:c>
      <x:c r="BQ39" s="35" t="n">
        <x:f>IF(AND(ISNUMBER(BO39),ISNUMBER(BP39)),BO39*BP39,"")</x:f>
        <x:v>45.9534422274079</x:v>
      </x:c>
      <x:c r="BR39" s="17" t="str">
        <x:f>IF(COUNT(AO39:BF39)=18,INDEX('Scoring Setup'!$F$9:$F$26,MATCH(MIN(AO39:BF39),AO39:BF39,0),1),"")</x:f>
        <x:v>洪水损失率全国百分位</x:v>
      </x:c>
    </x:row>
    <x:row r="40">
      <x:c r="A40" s="28" t="str">
        <x:v>51073</x:v>
      </x:c>
      <x:c r="B40" s="28" t="str">
        <x:v>Gloucester County</x:v>
      </x:c>
      <x:c r="C40" s="28" t="str">
        <x:v>VA</x:v>
      </x:c>
      <x:c r="D40" s="31" t="n">
        <x:v>564.124717</x:v>
      </x:c>
      <x:c r="E40" s="32" t="n">
        <x:v>0.372</x:v>
      </x:c>
      <x:c r="F40" s="32" t="n">
        <x:v>0.0764232673267327</x:v>
      </x:c>
      <x:c r="G40" s="32" t="n">
        <x:v>2.8441451824923965</x:v>
      </x:c>
      <x:c r="H40" s="32" t="n">
        <x:v>3.186925486</x:v>
      </x:c>
      <x:c r="I40" s="32" t="n">
        <x:v>0.9047722972788647</x:v>
      </x:c>
      <x:c r="J40" s="32" t="n">
        <x:v>0.01752911957831195</x:v>
      </x:c>
      <x:c r="K40" s="32" t="n">
        <x:v>0.27139943417330087</x:v>
      </x:c>
      <x:c r="L40" s="32" t="n">
        <x:v>0.006762826</x:v>
      </x:c>
      <x:c r="M40" s="32" t="n">
        <x:v>0.002694563</x:v>
      </x:c>
      <x:c r="N40" s="32" t="n">
        <x:v>20420</x:v>
      </x:c>
      <x:c r="O40" s="32" t="n">
        <x:v>0.0344</x:v>
      </x:c>
      <x:c r="P40" s="32" t="n">
        <x:v>1388.5063557942708</x:v>
      </x:c>
      <x:c r="Q40" s="32" t="n">
        <x:v>25.37721125284831</x:v>
      </x:c>
      <x:c r="R40" s="32" t="n">
        <x:v>17.81822270447094</x:v>
      </x:c>
      <x:c r="S40" s="32" t="n">
        <x:v>19.587237357482262</x:v>
      </x:c>
      <x:c r="T40" s="32" t="n">
        <x:v>89.9</x:v>
      </x:c>
      <x:c r="U40" s="32" t="n">
        <x:v>245.07712999476223</x:v>
      </x:c>
      <x:c r="V40" s="32" t="n">
        <x:v>244.75798925963002</x:v>
      </x:c>
      <x:c r="W40" s="33" t="n">
        <x:f>IF(ISNUMBER(E40),100*MAX(0,MIN(1,('Anchors'!$H$6-E40)/('Anchors'!$H$6-'Anchors'!$G$6))),"")</x:f>
        <x:v>75.42857142857143</x:v>
      </x:c>
      <x:c r="X40" s="33" t="n">
        <x:f>IF(ISNUMBER(F40),100*MAX(0,MIN(1,('Anchors'!$H$7-F40)/('Anchors'!$H$7-'Anchors'!$G$7))),"")</x:f>
        <x:v>100</x:v>
      </x:c>
      <x:c r="Y40" s="33" t="n">
        <x:f>IF(ISNUMBER(G40),100*MAX(0,MIN(1,('Anchors'!$H$8-G40)/('Anchors'!$H$8-'Anchors'!$G$8))),"")</x:f>
        <x:v>38.52849391692012</x:v>
      </x:c>
      <x:c r="Z40" s="33" t="n">
        <x:f>IF(ISNUMBER(H40),100*MAX(0,MIN(1,('Anchors'!$H$9-H40)/('Anchors'!$H$9-'Anchors'!$G$9))),"")</x:f>
        <x:v>27.102483800000005</x:v>
      </x:c>
      <x:c r="AA40" s="33" t="n">
        <x:f>IF(ISNUMBER(I40),100*MAX(0,MIN(1,(I40-'Anchors'!$H$10)/('Anchors'!$G$10-'Anchors'!$H$10))),"")</x:f>
        <x:v>89.69483524368009</x:v>
      </x:c>
      <x:c r="AB40" s="33" t="n">
        <x:f>IF(ISNUMBER(J40),100*MAX(0,MIN(1,('Anchors'!$H$11-J40)/('Anchors'!$H$11-'Anchors'!$G$11))),"")</x:f>
        <x:v>92.98835216867522</x:v>
      </x:c>
      <x:c r="AC40" s="33" t="n">
        <x:f>IF(ISNUMBER(K40),100*MAX(0,MIN(1,('Anchors'!$H$12-K40)/('Anchors'!$H$12-'Anchors'!$G$12))),"")</x:f>
        <x:v>32.15014145667479</x:v>
      </x:c>
      <x:c r="AD40" s="33" t="n">
        <x:f>IF(ISNUMBER(L40),100*MAX(0,MIN(1,(L40-'Anchors'!$H$13)/('Anchors'!$G$13-'Anchors'!$H$13))),"")</x:f>
        <x:v>0</x:v>
      </x:c>
      <x:c r="AE40" s="33" t="n">
        <x:f>IF(ISNUMBER(M40),100*MAX(0,MIN(1,(M40-'Anchors'!$H$14)/('Anchors'!$G$14-'Anchors'!$H$14))),"")</x:f>
        <x:v>0</x:v>
      </x:c>
      <x:c r="AF40" s="33" t="n">
        <x:f>IF(ISNUMBER(N40),100*MAX(0,MIN(1,(LN(1+N40)-LN(1+'Anchors'!$H$15))/(LN(1+'Anchors'!$G$15)-LN(1+'Anchors'!$H$15)))),"")</x:f>
        <x:v>53.80865112365652</x:v>
      </x:c>
      <x:c r="AG40" s="33" t="n">
        <x:f>IF(ISNUMBER(O40),100*MAX(0,MIN(1,('Anchors'!$H$16-O40)/('Anchors'!$H$16-'Anchors'!$G$16))),"")</x:f>
        <x:v>100</x:v>
      </x:c>
      <x:c r="AH40" s="33" t="n">
        <x:f>IF(ISNUMBER(P40),100*MAX(0,MIN(1,('Anchors'!$H$17-P40)/('Anchors'!$H$17-'Anchors'!$G$17))),"")</x:f>
        <x:v>54.099576280381946</x:v>
      </x:c>
      <x:c r="AI40" s="33" t="n">
        <x:f>IF(ISNUMBER(Q40),100*MAX(0,MIN(1,('Anchors'!$H$18-Q40)/('Anchors'!$H$18-'Anchors'!$G$18))),"")</x:f>
        <x:v>70.88969821021671</x:v>
      </x:c>
      <x:c r="AJ40" s="33" t="n">
        <x:f>IF(ISNUMBER(R40),100*MAX(0,MIN(1,('Anchors'!$H$19-R40)/('Anchors'!$H$19-'Anchors'!$G$19))),"")</x:f>
        <x:v>71.51506065673125</x:v>
      </x:c>
      <x:c r="AK40" s="33" t="n">
        <x:f>IF(ISNUMBER(S40),100*MAX(0,MIN(1,('Anchors'!$H$20-S40)/('Anchors'!$H$20-'Anchors'!$G$20))),"")</x:f>
        <x:v>2.1724349606196713</x:v>
      </x:c>
      <x:c r="AL40" s="33" t="n">
        <x:f>IF(ISNUMBER(T40),100*MAX(0,MIN(1,('Anchors'!$H$21-T40)/('Anchors'!$H$21-'Anchors'!$G$21))),"")</x:f>
        <x:v>54.72727272727271</x:v>
      </x:c>
      <x:c r="AM40" s="33" t="n">
        <x:f>IF(ISNUMBER(U40),100*MAX(0,MIN(1,('Anchors'!$H$22-U40)/('Anchors'!$H$22-'Anchors'!$G$22))),"")</x:f>
        <x:v>27.461435002618884</x:v>
      </x:c>
      <x:c r="AN40" s="33" t="n">
        <x:f>IF(ISNUMBER(V40),100*MAX(0,MIN(1,('Anchors'!$H$23-V40)/('Anchors'!$H$23-'Anchors'!$G$23))),"")</x:f>
        <x:v>88.8105026850925</x:v>
      </x:c>
      <x:c r="AO40" s="27" t="n">
        <x:f>IF(ISNUMBER(W40),IF('Scoring Setup'!$L$9=1,1-'Scoring Setup'!$B$5*(1-MAX(0,MIN(1,(W40-'Scoring Setup'!$K$9)/(100-'Scoring Setup'!$K$9)))),1),"")</x:f>
        <x:v>0.9508571428571428</x:v>
      </x:c>
      <x:c r="AP40" s="27" t="n">
        <x:f>IF(ISNUMBER(X40),IF('Scoring Setup'!$L$10=1,1-'Scoring Setup'!$B$5*(1-MAX(0,MIN(1,(X40-'Scoring Setup'!$K$10)/(100-'Scoring Setup'!$K$10)))),1),"")</x:f>
        <x:v>1</x:v>
      </x:c>
      <x:c r="AQ40" s="27" t="n">
        <x:f>IF(ISNUMBER(Y40),IF('Scoring Setup'!$L$11=1,1-'Scoring Setup'!$B$5*(1-MAX(0,MIN(1,(Y40-'Scoring Setup'!$K$11)/(100-'Scoring Setup'!$K$11)))),1),"")</x:f>
        <x:v>0.8770569878338402</x:v>
      </x:c>
      <x:c r="AR40" s="27" t="n">
        <x:f>IF(ISNUMBER(Z40),IF('Scoring Setup'!$L$12=1,1-'Scoring Setup'!$B$5*(1-MAX(0,MIN(1,(Z40-'Scoring Setup'!$K$12)/(100-'Scoring Setup'!$K$12)))),1),"")</x:f>
        <x:v>0.8542049676</x:v>
      </x:c>
      <x:c r="AS40" s="27" t="n">
        <x:f>IF(ISNUMBER(AA40),IF('Scoring Setup'!$L$13=1,1-'Scoring Setup'!$B$5*(1-MAX(0,MIN(1,(AA40-'Scoring Setup'!$K$13)/(100-'Scoring Setup'!$K$13)))),1),"")</x:f>
        <x:v>0.9793896704873601</x:v>
      </x:c>
      <x:c r="AT40" s="27" t="n">
        <x:f>IF(ISNUMBER(AB40),IF('Scoring Setup'!$L$14=1,1-'Scoring Setup'!$B$5*(1-MAX(0,MIN(1,(AB40-'Scoring Setup'!$K$14)/(100-'Scoring Setup'!$K$14)))),1),"")</x:f>
        <x:v>0.9859767043373504</x:v>
      </x:c>
      <x:c r="AU40" s="27" t="n">
        <x:f>IF(ISNUMBER(AC40),IF('Scoring Setup'!$L$15=1,1-'Scoring Setup'!$B$5*(1-MAX(0,MIN(1,(AC40-'Scoring Setup'!$K$15)/(100-'Scoring Setup'!$K$15)))),1),"")</x:f>
        <x:v>0.8643002829133496</x:v>
      </x:c>
      <x:c r="AV40" s="27" t="n">
        <x:f>IF(ISNUMBER(AD40),IF('Scoring Setup'!$L$16=1,1-'Scoring Setup'!$B$5*(1-MAX(0,MIN(1,(AD40-'Scoring Setup'!$K$16)/(100-'Scoring Setup'!$K$16)))),1),"")</x:f>
        <x:v>0.8</x:v>
      </x:c>
      <x:c r="AW40" s="27" t="n">
        <x:f>IF(ISNUMBER(AE40),IF('Scoring Setup'!$L$17=1,1-'Scoring Setup'!$B$5*(1-MAX(0,MIN(1,(AE40-'Scoring Setup'!$K$17)/(100-'Scoring Setup'!$K$17)))),1),"")</x:f>
        <x:v>0.8</x:v>
      </x:c>
      <x:c r="AX40" s="27" t="n">
        <x:f>IF(ISNUMBER(AF40),IF('Scoring Setup'!$L$18=1,1-'Scoring Setup'!$B$5*(1-MAX(0,MIN(1,(AF40-'Scoring Setup'!$K$18)/(100-'Scoring Setup'!$K$18)))),1),"")</x:f>
        <x:v>0.9076173022473131</x:v>
      </x:c>
      <x:c r="AY40" s="27" t="n">
        <x:f>IF(ISNUMBER(AG40),IF('Scoring Setup'!$L$19=1,1-'Scoring Setup'!$B$5*(1-MAX(0,MIN(1,(AG40-'Scoring Setup'!$K$19)/(100-'Scoring Setup'!$K$19)))),1),"")</x:f>
        <x:v>1</x:v>
      </x:c>
      <x:c r="AZ40" s="27" t="n">
        <x:f>IF(ISNUMBER(AH40),IF('Scoring Setup'!$L$20=1,1-'Scoring Setup'!$B$5*(1-MAX(0,MIN(1,(AH40-'Scoring Setup'!$K$20)/(100-'Scoring Setup'!$K$20)))),1),"")</x:f>
        <x:v>0.9081991525607639</x:v>
      </x:c>
      <x:c r="BA40" s="27" t="n">
        <x:f>IF(ISNUMBER(AI40),IF('Scoring Setup'!$L$21=1,1-'Scoring Setup'!$B$5*(1-MAX(0,MIN(1,(AI40-'Scoring Setup'!$K$21)/(100-'Scoring Setup'!$K$21)))),1),"")</x:f>
        <x:v>0.9417793964204334</x:v>
      </x:c>
      <x:c r="BB40" s="27" t="n">
        <x:f>IF(ISNUMBER(AJ40),IF('Scoring Setup'!$L$22=1,1-'Scoring Setup'!$B$5*(1-MAX(0,MIN(1,(AJ40-'Scoring Setup'!$K$22)/(100-'Scoring Setup'!$K$22)))),1),"")</x:f>
        <x:v>0.9430301213134625</x:v>
      </x:c>
      <x:c r="BC40" s="27" t="n">
        <x:f>IF(ISNUMBER(AK40),IF('Scoring Setup'!$L$23=1,1-'Scoring Setup'!$B$5*(1-MAX(0,MIN(1,(AK40-'Scoring Setup'!$K$23)/(100-'Scoring Setup'!$K$23)))),1),"")</x:f>
        <x:v>0.8043448699212393</x:v>
      </x:c>
      <x:c r="BD40" s="27" t="n">
        <x:f>IF(ISNUMBER(AL40),IF('Scoring Setup'!$L$24=1,1-'Scoring Setup'!$B$5*(1-MAX(0,MIN(1,(AL40-'Scoring Setup'!$K$24)/(100-'Scoring Setup'!$K$24)))),1),"")</x:f>
        <x:v>0.9094545454545454</x:v>
      </x:c>
      <x:c r="BE40" s="27" t="n">
        <x:f>IF(ISNUMBER(AM40),IF('Scoring Setup'!$L$25=1,1-'Scoring Setup'!$B$5*(1-MAX(0,MIN(1,(AM40-'Scoring Setup'!$K$25)/(100-'Scoring Setup'!$K$25)))),1),"")</x:f>
        <x:v>0.8549228700052378</x:v>
      </x:c>
      <x:c r="BF40" s="27" t="n">
        <x:f>IF(ISNUMBER(AN40),IF('Scoring Setup'!$L$26=1,1-'Scoring Setup'!$B$5*(1-MAX(0,MIN(1,(AN40-'Scoring Setup'!$K$26)/(100-'Scoring Setup'!$K$26)))),1),"")</x:f>
        <x:v>0.977621005370185</x:v>
      </x:c>
      <x:c r="BG40" s="34" t="n">
        <x:f>IF(COUNT(W40,X40)=2,AVERAGE(W40,X40),"")</x:f>
        <x:v>87.71428571428572</x:v>
      </x:c>
      <x:c r="BH40" s="34" t="n">
        <x:f>IF(COUNT(Y40,Z40)=2,AVERAGE(Y40,Z40),"")</x:f>
        <x:v>32.815488858460064</x:v>
      </x:c>
      <x:c r="BI40" s="34" t="n">
        <x:f>IF(COUNT(AA40,AB40,AC40)=3,AVERAGE(AA40,AB40,AC40),"")</x:f>
        <x:v>71.61110962301004</x:v>
      </x:c>
      <x:c r="BJ40" s="34" t="n">
        <x:f>IF(COUNT(AD40,AE40)=2,AVERAGE(AD40,AE40),"")</x:f>
        <x:v>0</x:v>
      </x:c>
      <x:c r="BK40" s="34" t="n">
        <x:f>IF(COUNT(AF40,AG40)=2,AVERAGE(AF40,AG40),"")</x:f>
        <x:v>76.90432556182826</x:v>
      </x:c>
      <x:c r="BL40" s="34" t="n">
        <x:f>IF(COUNT(AH40,AI40)=2,AVERAGE(AH40,AI40),"")</x:f>
        <x:v>62.49463724529933</x:v>
      </x:c>
      <x:c r="BM40" s="34" t="n">
        <x:f>IF(COUNT(AJ40,AK40)=2,AVERAGE(AJ40,AK40),"")</x:f>
        <x:v>36.84374780867546</x:v>
      </x:c>
      <x:c r="BN40" s="34" t="n">
        <x:f>IF(COUNT(AL40,AM40,AN40)=3,AVERAGE(AL40,AM40,AN40),"")</x:f>
        <x:v>56.999736804994704</x:v>
      </x:c>
      <x:c r="BO40" s="35" t="n">
        <x:f>IF(AND(COUNT(BG40:BN40)=8,ABS('Scoring Setup'!$C$17-1)&lt;0.000001),BG40*'Scoring Setup'!$C$9+BH40*'Scoring Setup'!$C$10+BI40*'Scoring Setup'!$C$11+BJ40*'Scoring Setup'!$C$12+BK40*'Scoring Setup'!$C$13+BL40*'Scoring Setup'!$C$14+BM40*'Scoring Setup'!$C$15+BN40*'Scoring Setup'!$C$16,"")</x:f>
        <x:v>52.252910155801565</x:v>
      </x:c>
      <x:c r="BP40" s="36" t="n">
        <x:f>IF(COUNT(AO40:BF40)=18,MIN(AO40:BF40),"")</x:f>
        <x:v>0.8</x:v>
      </x:c>
      <x:c r="BQ40" s="35" t="n">
        <x:f>IF(AND(ISNUMBER(BO40),ISNUMBER(BP40)),BO40*BP40,"")</x:f>
        <x:v>41.80232812464126</x:v>
      </x:c>
      <x:c r="BR40" s="17" t="str">
        <x:f>IF(COUNT(AO40:BF40)=18,INDEX('Scoring Setup'!$F$9:$F$26,MATCH(MIN(AO40:BF40),AO40:BF40,0),1),"")</x:f>
        <x:v>商业光纤100/20覆盖率</x:v>
      </x:c>
    </x:row>
    <x:row r="41">
      <x:c r="A41" s="28" t="str">
        <x:v>51075</x:v>
      </x:c>
      <x:c r="B41" s="28" t="str">
        <x:v>Goochland County</x:v>
      </x:c>
      <x:c r="C41" s="28" t="str">
        <x:v>VA</x:v>
      </x:c>
      <x:c r="D41" s="31" t="n">
        <x:v>730.637052</x:v>
      </x:c>
      <x:c r="E41" s="32" t="n">
        <x:v>0.267</x:v>
      </x:c>
      <x:c r="F41" s="32" t="n">
        <x:v>0.24350247524752502</x:v>
      </x:c>
      <x:c r="G41" s="32" t="n">
        <x:v>2.3181685306796718</x:v>
      </x:c>
      <x:c r="H41" s="32" t="n">
        <x:v>2.620948860168973</x:v>
      </x:c>
      <x:c r="I41" s="32" t="n">
        <x:v>0.932681377833513</x:v>
      </x:c>
      <x:c r="J41" s="32" t="n">
        <x:v>0.00034970834665027766</x:v>
      </x:c>
      <x:c r="K41" s="32" t="n">
        <x:v>0.040244257193633476</x:v>
      </x:c>
      <x:c r="L41" s="32" t="n">
        <x:v>0.368396337</x:v>
      </x:c>
      <x:c r="M41" s="32" t="n">
        <x:v>0.274634108</x:v>
      </x:c>
      <x:c r="N41" s="32" t="n">
        <x:v>13769</x:v>
      </x:c>
      <x:c r="O41" s="32" t="n">
        <x:v>0.0592</x:v>
      </x:c>
      <x:c r="P41" s="32" t="n">
        <x:v>1124.5735595703125</x:v>
      </x:c>
      <x:c r="Q41" s="32" t="n">
        <x:v>27.101297696431477</x:v>
      </x:c>
      <x:c r="R41" s="32" t="n">
        <x:v>6.632914082750527</x:v>
      </x:c>
      <x:c r="S41" s="32" t="n">
        <x:v>2.7738726222031276</x:v>
      </x:c>
      <x:c r="T41" s="32" t="n">
        <x:v>89.9</x:v>
      </x:c>
      <x:c r="U41" s="32" t="n">
        <x:v>245.07712999476223</x:v>
      </x:c>
      <x:c r="V41" s="32" t="n">
        <x:v>244.75798925963002</x:v>
      </x:c>
      <x:c r="W41" s="33" t="n">
        <x:f>IF(ISNUMBER(E41),100*MAX(0,MIN(1,('Anchors'!$H$6-E41)/('Anchors'!$H$6-'Anchors'!$G$6))),"")</x:f>
        <x:v>90.42857142857143</x:v>
      </x:c>
      <x:c r="X41" s="33" t="n">
        <x:f>IF(ISNUMBER(F41),100*MAX(0,MIN(1,('Anchors'!$H$7-F41)/('Anchors'!$H$7-'Anchors'!$G$7))),"")</x:f>
        <x:v>79.49964639321071</x:v>
      </x:c>
      <x:c r="Y41" s="33" t="n">
        <x:f>IF(ISNUMBER(G41),100*MAX(0,MIN(1,('Anchors'!$H$8-G41)/('Anchors'!$H$8-'Anchors'!$G$8))),"")</x:f>
        <x:v>56.06104897734427</x:v>
      </x:c>
      <x:c r="Z41" s="33" t="n">
        <x:f>IF(ISNUMBER(H41),100*MAX(0,MIN(1,('Anchors'!$H$9-H41)/('Anchors'!$H$9-'Anchors'!$G$9))),"")</x:f>
        <x:v>45.96837132770089</x:v>
      </x:c>
      <x:c r="AA41" s="33" t="n">
        <x:f>IF(ISNUMBER(I41),100*MAX(0,MIN(1,(I41-'Anchors'!$H$10)/('Anchors'!$G$10-'Anchors'!$H$10))),"")</x:f>
        <x:v>93.51799696349494</x:v>
      </x:c>
      <x:c r="AB41" s="33" t="n">
        <x:f>IF(ISNUMBER(J41),100*MAX(0,MIN(1,('Anchors'!$H$11-J41)/('Anchors'!$H$11-'Anchors'!$G$11))),"")</x:f>
        <x:v>99.86011666133989</x:v>
      </x:c>
      <x:c r="AC41" s="33" t="n">
        <x:f>IF(ISNUMBER(K41),100*MAX(0,MIN(1,('Anchors'!$H$12-K41)/('Anchors'!$H$12-'Anchors'!$G$12))),"")</x:f>
        <x:v>89.93893570159163</x:v>
      </x:c>
      <x:c r="AD41" s="33" t="n">
        <x:f>IF(ISNUMBER(L41),100*MAX(0,MIN(1,(L41-'Anchors'!$H$13)/('Anchors'!$G$13-'Anchors'!$H$13))),"")</x:f>
        <x:v>24.056619571428577</x:v>
      </x:c>
      <x:c r="AE41" s="33" t="n">
        <x:f>IF(ISNUMBER(M41),100*MAX(0,MIN(1,(M41-'Anchors'!$H$14)/('Anchors'!$G$14-'Anchors'!$H$14))),"")</x:f>
        <x:v>21.829263499999996</x:v>
      </x:c>
      <x:c r="AF41" s="33" t="n">
        <x:f>IF(ISNUMBER(N41),100*MAX(0,MIN(1,(LN(1+N41)-LN(1+'Anchors'!$H$15))/(LN(1+'Anchors'!$G$15)-LN(1+'Anchors'!$H$15)))),"")</x:f>
        <x:v>44.68027643124621</x:v>
      </x:c>
      <x:c r="AG41" s="33" t="n">
        <x:f>IF(ISNUMBER(O41),100*MAX(0,MIN(1,('Anchors'!$H$16-O41)/('Anchors'!$H$16-'Anchors'!$G$16))),"")</x:f>
        <x:v>98.97777777777777</x:v>
      </x:c>
      <x:c r="AH41" s="33" t="n">
        <x:f>IF(ISNUMBER(P41),100*MAX(0,MIN(1,('Anchors'!$H$17-P41)/('Anchors'!$H$17-'Anchors'!$G$17))),"")</x:f>
        <x:v>71.69509602864584</x:v>
      </x:c>
      <x:c r="AI41" s="33" t="n">
        <x:f>IF(ISNUMBER(Q41),100*MAX(0,MIN(1,('Anchors'!$H$18-Q41)/('Anchors'!$H$18-'Anchors'!$G$18))),"")</x:f>
        <x:v>68.42671757652646</x:v>
      </x:c>
      <x:c r="AJ41" s="33" t="n">
        <x:f>IF(ISNUMBER(R41),100*MAX(0,MIN(1,('Anchors'!$H$19-R41)/('Anchors'!$H$19-'Anchors'!$G$19))),"")</x:f>
        <x:v>96.37130203833217</x:v>
      </x:c>
      <x:c r="AK41" s="33" t="n">
        <x:f>IF(ISNUMBER(S41),100*MAX(0,MIN(1,('Anchors'!$H$20-S41)/('Anchors'!$H$20-'Anchors'!$G$20))),"")</x:f>
        <x:v>90.66382830419406</x:v>
      </x:c>
      <x:c r="AL41" s="33" t="n">
        <x:f>IF(ISNUMBER(T41),100*MAX(0,MIN(1,('Anchors'!$H$21-T41)/('Anchors'!$H$21-'Anchors'!$G$21))),"")</x:f>
        <x:v>54.72727272727271</x:v>
      </x:c>
      <x:c r="AM41" s="33" t="n">
        <x:f>IF(ISNUMBER(U41),100*MAX(0,MIN(1,('Anchors'!$H$22-U41)/('Anchors'!$H$22-'Anchors'!$G$22))),"")</x:f>
        <x:v>27.461435002618884</x:v>
      </x:c>
      <x:c r="AN41" s="33" t="n">
        <x:f>IF(ISNUMBER(V41),100*MAX(0,MIN(1,('Anchors'!$H$23-V41)/('Anchors'!$H$23-'Anchors'!$G$23))),"")</x:f>
        <x:v>88.8105026850925</x:v>
      </x:c>
      <x:c r="AO41" s="27" t="n">
        <x:f>IF(ISNUMBER(W41),IF('Scoring Setup'!$L$9=1,1-'Scoring Setup'!$B$5*(1-MAX(0,MIN(1,(W41-'Scoring Setup'!$K$9)/(100-'Scoring Setup'!$K$9)))),1),"")</x:f>
        <x:v>0.9808571428571429</x:v>
      </x:c>
      <x:c r="AP41" s="27" t="n">
        <x:f>IF(ISNUMBER(X41),IF('Scoring Setup'!$L$10=1,1-'Scoring Setup'!$B$5*(1-MAX(0,MIN(1,(X41-'Scoring Setup'!$K$10)/(100-'Scoring Setup'!$K$10)))),1),"")</x:f>
        <x:v>0.9589992927864214</x:v>
      </x:c>
      <x:c r="AQ41" s="27" t="n">
        <x:f>IF(ISNUMBER(Y41),IF('Scoring Setup'!$L$11=1,1-'Scoring Setup'!$B$5*(1-MAX(0,MIN(1,(Y41-'Scoring Setup'!$K$11)/(100-'Scoring Setup'!$K$11)))),1),"")</x:f>
        <x:v>0.9121220979546886</x:v>
      </x:c>
      <x:c r="AR41" s="27" t="n">
        <x:f>IF(ISNUMBER(Z41),IF('Scoring Setup'!$L$12=1,1-'Scoring Setup'!$B$5*(1-MAX(0,MIN(1,(Z41-'Scoring Setup'!$K$12)/(100-'Scoring Setup'!$K$12)))),1),"")</x:f>
        <x:v>0.8919367426554018</x:v>
      </x:c>
      <x:c r="AS41" s="27" t="n">
        <x:f>IF(ISNUMBER(AA41),IF('Scoring Setup'!$L$13=1,1-'Scoring Setup'!$B$5*(1-MAX(0,MIN(1,(AA41-'Scoring Setup'!$K$13)/(100-'Scoring Setup'!$K$13)))),1),"")</x:f>
        <x:v>0.9870359939269899</x:v>
      </x:c>
      <x:c r="AT41" s="27" t="n">
        <x:f>IF(ISNUMBER(AB41),IF('Scoring Setup'!$L$14=1,1-'Scoring Setup'!$B$5*(1-MAX(0,MIN(1,(AB41-'Scoring Setup'!$K$14)/(100-'Scoring Setup'!$K$14)))),1),"")</x:f>
        <x:v>0.9997202333226798</x:v>
      </x:c>
      <x:c r="AU41" s="27" t="n">
        <x:f>IF(ISNUMBER(AC41),IF('Scoring Setup'!$L$15=1,1-'Scoring Setup'!$B$5*(1-MAX(0,MIN(1,(AC41-'Scoring Setup'!$K$15)/(100-'Scoring Setup'!$K$15)))),1),"")</x:f>
        <x:v>0.9798778714031833</x:v>
      </x:c>
      <x:c r="AV41" s="27" t="n">
        <x:f>IF(ISNUMBER(AD41),IF('Scoring Setup'!$L$16=1,1-'Scoring Setup'!$B$5*(1-MAX(0,MIN(1,(AD41-'Scoring Setup'!$K$16)/(100-'Scoring Setup'!$K$16)))),1),"")</x:f>
        <x:v>0.8481132391428572</x:v>
      </x:c>
      <x:c r="AW41" s="27" t="n">
        <x:f>IF(ISNUMBER(AE41),IF('Scoring Setup'!$L$17=1,1-'Scoring Setup'!$B$5*(1-MAX(0,MIN(1,(AE41-'Scoring Setup'!$K$17)/(100-'Scoring Setup'!$K$17)))),1),"")</x:f>
        <x:v>0.843658527</x:v>
      </x:c>
      <x:c r="AX41" s="27" t="n">
        <x:f>IF(ISNUMBER(AF41),IF('Scoring Setup'!$L$18=1,1-'Scoring Setup'!$B$5*(1-MAX(0,MIN(1,(AF41-'Scoring Setup'!$K$18)/(100-'Scoring Setup'!$K$18)))),1),"")</x:f>
        <x:v>0.8893605528624924</x:v>
      </x:c>
      <x:c r="AY41" s="27" t="n">
        <x:f>IF(ISNUMBER(AG41),IF('Scoring Setup'!$L$19=1,1-'Scoring Setup'!$B$5*(1-MAX(0,MIN(1,(AG41-'Scoring Setup'!$K$19)/(100-'Scoring Setup'!$K$19)))),1),"")</x:f>
        <x:v>0.9979555555555556</x:v>
      </x:c>
      <x:c r="AZ41" s="27" t="n">
        <x:f>IF(ISNUMBER(AH41),IF('Scoring Setup'!$L$20=1,1-'Scoring Setup'!$B$5*(1-MAX(0,MIN(1,(AH41-'Scoring Setup'!$K$20)/(100-'Scoring Setup'!$K$20)))),1),"")</x:f>
        <x:v>0.9433901920572917</x:v>
      </x:c>
      <x:c r="BA41" s="27" t="n">
        <x:f>IF(ISNUMBER(AI41),IF('Scoring Setup'!$L$21=1,1-'Scoring Setup'!$B$5*(1-MAX(0,MIN(1,(AI41-'Scoring Setup'!$K$21)/(100-'Scoring Setup'!$K$21)))),1),"")</x:f>
        <x:v>0.9368534351530529</x:v>
      </x:c>
      <x:c r="BB41" s="27" t="n">
        <x:f>IF(ISNUMBER(AJ41),IF('Scoring Setup'!$L$22=1,1-'Scoring Setup'!$B$5*(1-MAX(0,MIN(1,(AJ41-'Scoring Setup'!$K$22)/(100-'Scoring Setup'!$K$22)))),1),"")</x:f>
        <x:v>0.9927426040766644</x:v>
      </x:c>
      <x:c r="BC41" s="27" t="n">
        <x:f>IF(ISNUMBER(AK41),IF('Scoring Setup'!$L$23=1,1-'Scoring Setup'!$B$5*(1-MAX(0,MIN(1,(AK41-'Scoring Setup'!$K$23)/(100-'Scoring Setup'!$K$23)))),1),"")</x:f>
        <x:v>0.9813276566083882</x:v>
      </x:c>
      <x:c r="BD41" s="27" t="n">
        <x:f>IF(ISNUMBER(AL41),IF('Scoring Setup'!$L$24=1,1-'Scoring Setup'!$B$5*(1-MAX(0,MIN(1,(AL41-'Scoring Setup'!$K$24)/(100-'Scoring Setup'!$K$24)))),1),"")</x:f>
        <x:v>0.9094545454545454</x:v>
      </x:c>
      <x:c r="BE41" s="27" t="n">
        <x:f>IF(ISNUMBER(AM41),IF('Scoring Setup'!$L$25=1,1-'Scoring Setup'!$B$5*(1-MAX(0,MIN(1,(AM41-'Scoring Setup'!$K$25)/(100-'Scoring Setup'!$K$25)))),1),"")</x:f>
        <x:v>0.8549228700052378</x:v>
      </x:c>
      <x:c r="BF41" s="27" t="n">
        <x:f>IF(ISNUMBER(AN41),IF('Scoring Setup'!$L$26=1,1-'Scoring Setup'!$B$5*(1-MAX(0,MIN(1,(AN41-'Scoring Setup'!$K$26)/(100-'Scoring Setup'!$K$26)))),1),"")</x:f>
        <x:v>0.977621005370185</x:v>
      </x:c>
      <x:c r="BG41" s="34" t="n">
        <x:f>IF(COUNT(W41,X41)=2,AVERAGE(W41,X41),"")</x:f>
        <x:v>84.96410891089107</x:v>
      </x:c>
      <x:c r="BH41" s="34" t="n">
        <x:f>IF(COUNT(Y41,Z41)=2,AVERAGE(Y41,Z41),"")</x:f>
        <x:v>51.01471015252258</x:v>
      </x:c>
      <x:c r="BI41" s="34" t="n">
        <x:f>IF(COUNT(AA41,AB41,AC41)=3,AVERAGE(AA41,AB41,AC41),"")</x:f>
        <x:v>94.43901644214215</x:v>
      </x:c>
      <x:c r="BJ41" s="34" t="n">
        <x:f>IF(COUNT(AD41,AE41)=2,AVERAGE(AD41,AE41),"")</x:f>
        <x:v>22.942941535714287</x:v>
      </x:c>
      <x:c r="BK41" s="34" t="n">
        <x:f>IF(COUNT(AF41,AG41)=2,AVERAGE(AF41,AG41),"")</x:f>
        <x:v>71.829027104512</x:v>
      </x:c>
      <x:c r="BL41" s="34" t="n">
        <x:f>IF(COUNT(AH41,AI41)=2,AVERAGE(AH41,AI41),"")</x:f>
        <x:v>70.06090680258615</x:v>
      </x:c>
      <x:c r="BM41" s="34" t="n">
        <x:f>IF(COUNT(AJ41,AK41)=2,AVERAGE(AJ41,AK41),"")</x:f>
        <x:v>93.51756517126312</x:v>
      </x:c>
      <x:c r="BN41" s="34" t="n">
        <x:f>IF(COUNT(AL41,AM41,AN41)=3,AVERAGE(AL41,AM41,AN41),"")</x:f>
        <x:v>56.999736804994704</x:v>
      </x:c>
      <x:c r="BO41" s="35" t="n">
        <x:f>IF(AND(COUNT(BG41:BN41)=8,ABS('Scoring Setup'!$C$17-1)&lt;0.000001),BG41*'Scoring Setup'!$C$9+BH41*'Scoring Setup'!$C$10+BI41*'Scoring Setup'!$C$11+BJ41*'Scoring Setup'!$C$12+BK41*'Scoring Setup'!$C$13+BL41*'Scoring Setup'!$C$14+BM41*'Scoring Setup'!$C$15+BN41*'Scoring Setup'!$C$16,"")</x:f>
        <x:v>62.89929607002134</x:v>
      </x:c>
      <x:c r="BP41" s="36" t="n">
        <x:f>IF(COUNT(AO41:BF41)=18,MIN(AO41:BF41),"")</x:f>
        <x:v>0.843658527</x:v>
      </x:c>
      <x:c r="BQ41" s="35" t="n">
        <x:f>IF(AND(ISNUMBER(BO41),ISNUMBER(BP41)),BO41*BP41,"")</x:f>
        <x:v>53.0655274717711</x:v>
      </x:c>
      <x:c r="BR41" s="17" t="str">
        <x:f>IF(COUNT(AO41:BF41)=18,INDEX('Scoring Setup'!$F$9:$F$26,MATCH(MIN(AO41:BF41),AO41:BF41,0),1),"")</x:f>
        <x:v>商业光纤1000/100覆盖率</x:v>
      </x:c>
    </x:row>
    <x:row r="42">
      <x:c r="A42" s="28" t="str">
        <x:v>51077</x:v>
      </x:c>
      <x:c r="B42" s="28" t="str">
        <x:v>Grayson County</x:v>
      </x:c>
      <x:c r="C42" s="28" t="str">
        <x:v>VA</x:v>
      </x:c>
      <x:c r="D42" s="31" t="n">
        <x:v>1144.218745</x:v>
      </x:c>
      <x:c r="E42" s="32" t="n">
        <x:v>0.575</x:v>
      </x:c>
      <x:c r="F42" s="32" t="n">
        <x:v>0.692141089108911</x:v>
      </x:c>
      <x:c r="G42" s="32" t="n">
        <x:v>1.8824315624200825</x:v>
      </x:c>
      <x:c r="H42" s="32" t="n">
        <x:v>2.2766447646357553</x:v>
      </x:c>
      <x:c r="I42" s="32" t="n">
        <x:v>0.9784424294182659</x:v>
      </x:c>
      <x:c r="J42" s="32" t="n">
        <x:v>0.04798140909914173</x:v>
      </x:c>
      <x:c r="K42" s="32" t="n">
        <x:v>0.00039325454636792925</x:v>
      </x:c>
      <x:c r="L42" s="32" t="n">
        <x:v>0.140098916</x:v>
      </x:c>
      <x:c r="M42" s="32" t="n">
        <x:v>0.140098916</x:v>
      </x:c>
      <x:c r="N42" s="32" t="n">
        <x:v>6624</x:v>
      </x:c>
      <x:c r="O42" s="32" t="n">
        <x:v>0.5851</x:v>
      </x:c>
      <x:c r="P42" s="32" t="n">
        <x:v>280.3023106892904</x:v>
      </x:c>
      <x:c r="Q42" s="32" t="n">
        <x:v>0.572783546646436</x:v>
      </x:c>
      <x:c r="R42" s="32" t="n">
        <x:v>29.371625876559705</x:v>
      </x:c>
      <x:c r="S42" s="32" t="n">
        <x:v>22.283227192201878</x:v>
      </x:c>
      <x:c r="T42" s="32" t="n">
        <x:v>89.9</x:v>
      </x:c>
      <x:c r="U42" s="32" t="n">
        <x:v>245.07712999476223</x:v>
      </x:c>
      <x:c r="V42" s="32" t="n">
        <x:v>244.75798925963002</x:v>
      </x:c>
      <x:c r="W42" s="33" t="n">
        <x:f>IF(ISNUMBER(E42),100*MAX(0,MIN(1,('Anchors'!$H$6-E42)/('Anchors'!$H$6-'Anchors'!$G$6))),"")</x:f>
        <x:v>46.428571428571445</x:v>
      </x:c>
      <x:c r="X42" s="33" t="n">
        <x:f>IF(ISNUMBER(F42),100*MAX(0,MIN(1,('Anchors'!$H$7-F42)/('Anchors'!$H$7-'Anchors'!$G$7))),"")</x:f>
        <x:v>15.40841584158414</x:v>
      </x:c>
      <x:c r="Y42" s="33" t="n">
        <x:f>IF(ISNUMBER(G42),100*MAX(0,MIN(1,('Anchors'!$H$8-G42)/('Anchors'!$H$8-'Anchors'!$G$8))),"")</x:f>
        <x:v>70.58561458599725</x:v>
      </x:c>
      <x:c r="Z42" s="33" t="n">
        <x:f>IF(ISNUMBER(H42),100*MAX(0,MIN(1,('Anchors'!$H$9-H42)/('Anchors'!$H$9-'Anchors'!$G$9))),"")</x:f>
        <x:v>57.44517451214149</x:v>
      </x:c>
      <x:c r="AA42" s="33" t="n">
        <x:f>IF(ISNUMBER(I42),100*MAX(0,MIN(1,(I42-'Anchors'!$H$10)/('Anchors'!$G$10-'Anchors'!$H$10))),"")</x:f>
        <x:v>99.78663416688573</x:v>
      </x:c>
      <x:c r="AB42" s="33" t="n">
        <x:f>IF(ISNUMBER(J42),100*MAX(0,MIN(1,('Anchors'!$H$11-J42)/('Anchors'!$H$11-'Anchors'!$G$11))),"")</x:f>
        <x:v>80.8074363603433</x:v>
      </x:c>
      <x:c r="AC42" s="33" t="n">
        <x:f>IF(ISNUMBER(K42),100*MAX(0,MIN(1,('Anchors'!$H$12-K42)/('Anchors'!$H$12-'Anchors'!$G$12))),"")</x:f>
        <x:v>99.90168636340803</x:v>
      </x:c>
      <x:c r="AD42" s="33" t="n">
        <x:f>IF(ISNUMBER(L42),100*MAX(0,MIN(1,(L42-'Anchors'!$H$13)/('Anchors'!$G$13-'Anchors'!$H$13))),"")</x:f>
        <x:v>0</x:v>
      </x:c>
      <x:c r="AE42" s="33" t="n">
        <x:f>IF(ISNUMBER(M42),100*MAX(0,MIN(1,(M42-'Anchors'!$H$14)/('Anchors'!$G$14-'Anchors'!$H$14))),"")</x:f>
        <x:v>5.012364499999998</x:v>
      </x:c>
      <x:c r="AF42" s="33" t="n">
        <x:f>IF(ISNUMBER(N42),100*MAX(0,MIN(1,(LN(1+N42)-LN(1+'Anchors'!$H$15))/(LN(1+'Anchors'!$G$15)-LN(1+'Anchors'!$H$15)))),"")</x:f>
        <x:v>27.732330998248255</x:v>
      </x:c>
      <x:c r="AG42" s="33" t="n">
        <x:f>IF(ISNUMBER(O42),100*MAX(0,MIN(1,('Anchors'!$H$16-O42)/('Anchors'!$H$16-'Anchors'!$G$16))),"")</x:f>
        <x:v>40.54444444444445</x:v>
      </x:c>
      <x:c r="AH42" s="33" t="n">
        <x:f>IF(ISNUMBER(P42),100*MAX(0,MIN(1,('Anchors'!$H$17-P42)/('Anchors'!$H$17-'Anchors'!$G$17))),"")</x:f>
        <x:v>100</x:v>
      </x:c>
      <x:c r="AI42" s="33" t="n">
        <x:f>IF(ISNUMBER(Q42),100*MAX(0,MIN(1,('Anchors'!$H$18-Q42)/('Anchors'!$H$18-'Anchors'!$G$18))),"")</x:f>
        <x:v>100</x:v>
      </x:c>
      <x:c r="AJ42" s="33" t="n">
        <x:f>IF(ISNUMBER(R42),100*MAX(0,MIN(1,('Anchors'!$H$19-R42)/('Anchors'!$H$19-'Anchors'!$G$19))),"")</x:f>
        <x:v>45.84083138542288</x:v>
      </x:c>
      <x:c r="AK42" s="33" t="n">
        <x:f>IF(ISNUMBER(S42),100*MAX(0,MIN(1,('Anchors'!$H$20-S42)/('Anchors'!$H$20-'Anchors'!$G$20))),"")</x:f>
        <x:v>0</x:v>
      </x:c>
      <x:c r="AL42" s="33" t="n">
        <x:f>IF(ISNUMBER(T42),100*MAX(0,MIN(1,('Anchors'!$H$21-T42)/('Anchors'!$H$21-'Anchors'!$G$21))),"")</x:f>
        <x:v>54.72727272727271</x:v>
      </x:c>
      <x:c r="AM42" s="33" t="n">
        <x:f>IF(ISNUMBER(U42),100*MAX(0,MIN(1,('Anchors'!$H$22-U42)/('Anchors'!$H$22-'Anchors'!$G$22))),"")</x:f>
        <x:v>27.461435002618884</x:v>
      </x:c>
      <x:c r="AN42" s="33" t="n">
        <x:f>IF(ISNUMBER(V42),100*MAX(0,MIN(1,('Anchors'!$H$23-V42)/('Anchors'!$H$23-'Anchors'!$G$23))),"")</x:f>
        <x:v>88.8105026850925</x:v>
      </x:c>
      <x:c r="AO42" s="27" t="n">
        <x:f>IF(ISNUMBER(W42),IF('Scoring Setup'!$L$9=1,1-'Scoring Setup'!$B$5*(1-MAX(0,MIN(1,(W42-'Scoring Setup'!$K$9)/(100-'Scoring Setup'!$K$9)))),1),"")</x:f>
        <x:v>0.8928571428571429</x:v>
      </x:c>
      <x:c r="AP42" s="27" t="n">
        <x:f>IF(ISNUMBER(X42),IF('Scoring Setup'!$L$10=1,1-'Scoring Setup'!$B$5*(1-MAX(0,MIN(1,(X42-'Scoring Setup'!$K$10)/(100-'Scoring Setup'!$K$10)))),1),"")</x:f>
        <x:v>0.8308168316831683</x:v>
      </x:c>
      <x:c r="AQ42" s="27" t="n">
        <x:f>IF(ISNUMBER(Y42),IF('Scoring Setup'!$L$11=1,1-'Scoring Setup'!$B$5*(1-MAX(0,MIN(1,(Y42-'Scoring Setup'!$K$11)/(100-'Scoring Setup'!$K$11)))),1),"")</x:f>
        <x:v>0.9411712291719945</x:v>
      </x:c>
      <x:c r="AR42" s="27" t="n">
        <x:f>IF(ISNUMBER(Z42),IF('Scoring Setup'!$L$12=1,1-'Scoring Setup'!$B$5*(1-MAX(0,MIN(1,(Z42-'Scoring Setup'!$K$12)/(100-'Scoring Setup'!$K$12)))),1),"")</x:f>
        <x:v>0.914890349024283</x:v>
      </x:c>
      <x:c r="AS42" s="27" t="n">
        <x:f>IF(ISNUMBER(AA42),IF('Scoring Setup'!$L$13=1,1-'Scoring Setup'!$B$5*(1-MAX(0,MIN(1,(AA42-'Scoring Setup'!$K$13)/(100-'Scoring Setup'!$K$13)))),1),"")</x:f>
        <x:v>0.9995732683337715</x:v>
      </x:c>
      <x:c r="AT42" s="27" t="n">
        <x:f>IF(ISNUMBER(AB42),IF('Scoring Setup'!$L$14=1,1-'Scoring Setup'!$B$5*(1-MAX(0,MIN(1,(AB42-'Scoring Setup'!$K$14)/(100-'Scoring Setup'!$K$14)))),1),"")</x:f>
        <x:v>0.9616148727206866</x:v>
      </x:c>
      <x:c r="AU42" s="27" t="n">
        <x:f>IF(ISNUMBER(AC42),IF('Scoring Setup'!$L$15=1,1-'Scoring Setup'!$B$5*(1-MAX(0,MIN(1,(AC42-'Scoring Setup'!$K$15)/(100-'Scoring Setup'!$K$15)))),1),"")</x:f>
        <x:v>0.9998033727268161</x:v>
      </x:c>
      <x:c r="AV42" s="27" t="n">
        <x:f>IF(ISNUMBER(AD42),IF('Scoring Setup'!$L$16=1,1-'Scoring Setup'!$B$5*(1-MAX(0,MIN(1,(AD42-'Scoring Setup'!$K$16)/(100-'Scoring Setup'!$K$16)))),1),"")</x:f>
        <x:v>0.8</x:v>
      </x:c>
      <x:c r="AW42" s="27" t="n">
        <x:f>IF(ISNUMBER(AE42),IF('Scoring Setup'!$L$17=1,1-'Scoring Setup'!$B$5*(1-MAX(0,MIN(1,(AE42-'Scoring Setup'!$K$17)/(100-'Scoring Setup'!$K$17)))),1),"")</x:f>
        <x:v>0.810024729</x:v>
      </x:c>
      <x:c r="AX42" s="27" t="n">
        <x:f>IF(ISNUMBER(AF42),IF('Scoring Setup'!$L$18=1,1-'Scoring Setup'!$B$5*(1-MAX(0,MIN(1,(AF42-'Scoring Setup'!$K$18)/(100-'Scoring Setup'!$K$18)))),1),"")</x:f>
        <x:v>0.8554646619964965</x:v>
      </x:c>
      <x:c r="AY42" s="27" t="n">
        <x:f>IF(ISNUMBER(AG42),IF('Scoring Setup'!$L$19=1,1-'Scoring Setup'!$B$5*(1-MAX(0,MIN(1,(AG42-'Scoring Setup'!$K$19)/(100-'Scoring Setup'!$K$19)))),1),"")</x:f>
        <x:v>0.8810888888888889</x:v>
      </x:c>
      <x:c r="AZ42" s="27" t="n">
        <x:f>IF(ISNUMBER(AH42),IF('Scoring Setup'!$L$20=1,1-'Scoring Setup'!$B$5*(1-MAX(0,MIN(1,(AH42-'Scoring Setup'!$K$20)/(100-'Scoring Setup'!$K$20)))),1),"")</x:f>
        <x:v>1</x:v>
      </x:c>
      <x:c r="BA42" s="27" t="n">
        <x:f>IF(ISNUMBER(AI42),IF('Scoring Setup'!$L$21=1,1-'Scoring Setup'!$B$5*(1-MAX(0,MIN(1,(AI42-'Scoring Setup'!$K$21)/(100-'Scoring Setup'!$K$21)))),1),"")</x:f>
        <x:v>1</x:v>
      </x:c>
      <x:c r="BB42" s="27" t="n">
        <x:f>IF(ISNUMBER(AJ42),IF('Scoring Setup'!$L$22=1,1-'Scoring Setup'!$B$5*(1-MAX(0,MIN(1,(AJ42-'Scoring Setup'!$K$22)/(100-'Scoring Setup'!$K$22)))),1),"")</x:f>
        <x:v>0.8916816627708457</x:v>
      </x:c>
      <x:c r="BC42" s="27" t="n">
        <x:f>IF(ISNUMBER(AK42),IF('Scoring Setup'!$L$23=1,1-'Scoring Setup'!$B$5*(1-MAX(0,MIN(1,(AK42-'Scoring Setup'!$K$23)/(100-'Scoring Setup'!$K$23)))),1),"")</x:f>
        <x:v>0.8</x:v>
      </x:c>
      <x:c r="BD42" s="27" t="n">
        <x:f>IF(ISNUMBER(AL42),IF('Scoring Setup'!$L$24=1,1-'Scoring Setup'!$B$5*(1-MAX(0,MIN(1,(AL42-'Scoring Setup'!$K$24)/(100-'Scoring Setup'!$K$24)))),1),"")</x:f>
        <x:v>0.9094545454545454</x:v>
      </x:c>
      <x:c r="BE42" s="27" t="n">
        <x:f>IF(ISNUMBER(AM42),IF('Scoring Setup'!$L$25=1,1-'Scoring Setup'!$B$5*(1-MAX(0,MIN(1,(AM42-'Scoring Setup'!$K$25)/(100-'Scoring Setup'!$K$25)))),1),"")</x:f>
        <x:v>0.8549228700052378</x:v>
      </x:c>
      <x:c r="BF42" s="27" t="n">
        <x:f>IF(ISNUMBER(AN42),IF('Scoring Setup'!$L$26=1,1-'Scoring Setup'!$B$5*(1-MAX(0,MIN(1,(AN42-'Scoring Setup'!$K$26)/(100-'Scoring Setup'!$K$26)))),1),"")</x:f>
        <x:v>0.977621005370185</x:v>
      </x:c>
      <x:c r="BG42" s="34" t="n">
        <x:f>IF(COUNT(W42,X42)=2,AVERAGE(W42,X42),"")</x:f>
        <x:v>30.918493635077795</x:v>
      </x:c>
      <x:c r="BH42" s="34" t="n">
        <x:f>IF(COUNT(Y42,Z42)=2,AVERAGE(Y42,Z42),"")</x:f>
        <x:v>64.01539454906937</x:v>
      </x:c>
      <x:c r="BI42" s="34" t="n">
        <x:f>IF(COUNT(AA42,AB42,AC42)=3,AVERAGE(AA42,AB42,AC42),"")</x:f>
        <x:v>93.49858563021235</x:v>
      </x:c>
      <x:c r="BJ42" s="34" t="n">
        <x:f>IF(COUNT(AD42,AE42)=2,AVERAGE(AD42,AE42),"")</x:f>
        <x:v>2.506182249999999</x:v>
      </x:c>
      <x:c r="BK42" s="34" t="n">
        <x:f>IF(COUNT(AF42,AG42)=2,AVERAGE(AF42,AG42),"")</x:f>
        <x:v>34.138387721346355</x:v>
      </x:c>
      <x:c r="BL42" s="34" t="n">
        <x:f>IF(COUNT(AH42,AI42)=2,AVERAGE(AH42,AI42),"")</x:f>
        <x:v>100</x:v>
      </x:c>
      <x:c r="BM42" s="34" t="n">
        <x:f>IF(COUNT(AJ42,AK42)=2,AVERAGE(AJ42,AK42),"")</x:f>
        <x:v>22.92041569271144</x:v>
      </x:c>
      <x:c r="BN42" s="34" t="n">
        <x:f>IF(COUNT(AL42,AM42,AN42)=3,AVERAGE(AL42,AM42,AN42),"")</x:f>
        <x:v>56.999736804994704</x:v>
      </x:c>
      <x:c r="BO42" s="35" t="n">
        <x:f>IF(AND(COUNT(BG42:BN42)=8,ABS('Scoring Setup'!$C$17-1)&lt;0.000001),BG42*'Scoring Setup'!$C$9+BH42*'Scoring Setup'!$C$10+BI42*'Scoring Setup'!$C$11+BJ42*'Scoring Setup'!$C$12+BK42*'Scoring Setup'!$C$13+BL42*'Scoring Setup'!$C$14+BM42*'Scoring Setup'!$C$15+BN42*'Scoring Setup'!$C$16,"")</x:f>
        <x:v>52.15518565961151</x:v>
      </x:c>
      <x:c r="BP42" s="36" t="n">
        <x:f>IF(COUNT(AO42:BF42)=18,MIN(AO42:BF42),"")</x:f>
        <x:v>0.8</x:v>
      </x:c>
      <x:c r="BQ42" s="35" t="n">
        <x:f>IF(AND(ISNUMBER(BO42),ISNUMBER(BP42)),BO42*BP42,"")</x:f>
        <x:v>41.72414852768921</x:v>
      </x:c>
      <x:c r="BR42" s="17" t="str">
        <x:f>IF(COUNT(AO42:BF42)=18,INDEX('Scoring Setup'!$F$9:$F$26,MATCH(MIN(AO42:BF42),AO42:BF42,0),1),"")</x:f>
        <x:v>商业光纤100/20覆盖率</x:v>
      </x:c>
    </x:row>
    <x:row r="43">
      <x:c r="A43" s="28" t="str">
        <x:v>51079</x:v>
      </x:c>
      <x:c r="B43" s="28" t="str">
        <x:v>Greene County</x:v>
      </x:c>
      <x:c r="C43" s="28" t="str">
        <x:v>VA</x:v>
      </x:c>
      <x:c r="D43" s="31" t="n">
        <x:v>403.900921</x:v>
      </x:c>
      <x:c r="E43" s="32" t="n">
        <x:v>0.483</x:v>
      </x:c>
      <x:c r="F43" s="32" t="n">
        <x:v>0.606435643564356</x:v>
      </x:c>
      <x:c r="G43" s="32" t="n">
        <x:v>2.4920633416949443</x:v>
      </x:c>
      <x:c r="H43" s="32" t="n">
        <x:v>2.810297266400528</x:v>
      </x:c>
      <x:c r="I43" s="32" t="n">
        <x:v>0.9464494632935493</x:v>
      </x:c>
      <x:c r="J43" s="32" t="n">
        <x:v>0.16813731711847354</x:v>
      </x:c>
      <x:c r="K43" s="32" t="n">
        <x:v>0.0009675396023968291</x:v>
      </x:c>
      <x:c r="L43" s="32" t="n">
        <x:v>0.450311203</x:v>
      </x:c>
      <x:c r="M43" s="32" t="n">
        <x:v>0.415456432</x:v>
      </x:c>
      <x:c r="N43" s="32" t="n">
        <x:v>11737</x:v>
      </x:c>
      <x:c r="O43" s="32" t="n">
        <x:v>0.2199</x:v>
      </x:c>
      <x:c r="P43" s="32" t="n">
        <x:v>895.867997233073</x:v>
      </x:c>
      <x:c r="Q43" s="32" t="n">
        <x:v>11.744675795237224</x:v>
      </x:c>
      <x:c r="R43" s="32" t="n">
        <x:v>30.960691848888985</x:v>
      </x:c>
      <x:c r="S43" s="32" t="n">
        <x:v>17.058626627366603</x:v>
      </x:c>
      <x:c r="T43" s="32" t="n">
        <x:v>89.9</x:v>
      </x:c>
      <x:c r="U43" s="32" t="n">
        <x:v>245.07712999476223</x:v>
      </x:c>
      <x:c r="V43" s="32" t="n">
        <x:v>244.75798925963002</x:v>
      </x:c>
      <x:c r="W43" s="33" t="n">
        <x:f>IF(ISNUMBER(E43),100*MAX(0,MIN(1,('Anchors'!$H$6-E43)/('Anchors'!$H$6-'Anchors'!$G$6))),"")</x:f>
        <x:v>59.57142857142858</x:v>
      </x:c>
      <x:c r="X43" s="33" t="n">
        <x:f>IF(ISNUMBER(F43),100*MAX(0,MIN(1,('Anchors'!$H$7-F43)/('Anchors'!$H$7-'Anchors'!$G$7))),"")</x:f>
        <x:v>27.652050919377725</x:v>
      </x:c>
      <x:c r="Y43" s="33" t="n">
        <x:f>IF(ISNUMBER(G43),100*MAX(0,MIN(1,('Anchors'!$H$8-G43)/('Anchors'!$H$8-'Anchors'!$G$8))),"")</x:f>
        <x:v>50.26455527683519</x:v>
      </x:c>
      <x:c r="Z43" s="33" t="n">
        <x:f>IF(ISNUMBER(H43),100*MAX(0,MIN(1,('Anchors'!$H$9-H43)/('Anchors'!$H$9-'Anchors'!$G$9))),"")</x:f>
        <x:v>39.65675778664906</x:v>
      </x:c>
      <x:c r="AA43" s="33" t="n">
        <x:f>IF(ISNUMBER(I43),100*MAX(0,MIN(1,(I43-'Anchors'!$H$10)/('Anchors'!$G$10-'Anchors'!$H$10))),"")</x:f>
        <x:v>95.4040360676095</x:v>
      </x:c>
      <x:c r="AB43" s="33" t="n">
        <x:f>IF(ISNUMBER(J43),100*MAX(0,MIN(1,('Anchors'!$H$11-J43)/('Anchors'!$H$11-'Anchors'!$G$11))),"")</x:f>
        <x:v>32.74507315261058</x:v>
      </x:c>
      <x:c r="AC43" s="33" t="n">
        <x:f>IF(ISNUMBER(K43),100*MAX(0,MIN(1,('Anchors'!$H$12-K43)/('Anchors'!$H$12-'Anchors'!$G$12))),"")</x:f>
        <x:v>99.7581150994008</x:v>
      </x:c>
      <x:c r="AD43" s="33" t="n">
        <x:f>IF(ISNUMBER(L43),100*MAX(0,MIN(1,(L43-'Anchors'!$H$13)/('Anchors'!$G$13-'Anchors'!$H$13))),"")</x:f>
        <x:v>35.75874328571428</x:v>
      </x:c>
      <x:c r="AE43" s="33" t="n">
        <x:f>IF(ISNUMBER(M43),100*MAX(0,MIN(1,(M43-'Anchors'!$H$14)/('Anchors'!$G$14-'Anchors'!$H$14))),"")</x:f>
        <x:v>39.432053999999994</x:v>
      </x:c>
      <x:c r="AF43" s="33" t="n">
        <x:f>IF(ISNUMBER(N43),100*MAX(0,MIN(1,(LN(1+N43)-LN(1+'Anchors'!$H$15))/(LN(1+'Anchors'!$G$15)-LN(1+'Anchors'!$H$15)))),"")</x:f>
        <x:v>40.98185023170738</x:v>
      </x:c>
      <x:c r="AG43" s="33" t="n">
        <x:f>IF(ISNUMBER(O43),100*MAX(0,MIN(1,('Anchors'!$H$16-O43)/('Anchors'!$H$16-'Anchors'!$G$16))),"")</x:f>
        <x:v>81.12222222222223</x:v>
      </x:c>
      <x:c r="AH43" s="33" t="n">
        <x:f>IF(ISNUMBER(P43),100*MAX(0,MIN(1,('Anchors'!$H$17-P43)/('Anchors'!$H$17-'Anchors'!$G$17))),"")</x:f>
        <x:v>86.94213351779514</x:v>
      </x:c>
      <x:c r="AI43" s="33" t="n">
        <x:f>IF(ISNUMBER(Q43),100*MAX(0,MIN(1,('Anchors'!$H$18-Q43)/('Anchors'!$H$18-'Anchors'!$G$18))),"")</x:f>
        <x:v>90.36474886394682</x:v>
      </x:c>
      <x:c r="AJ43" s="33" t="n">
        <x:f>IF(ISNUMBER(R43),100*MAX(0,MIN(1,('Anchors'!$H$19-R43)/('Anchors'!$H$19-'Anchors'!$G$19))),"")</x:f>
        <x:v>42.30957366913559</x:v>
      </x:c>
      <x:c r="AK43" s="33" t="n">
        <x:f>IF(ISNUMBER(S43),100*MAX(0,MIN(1,('Anchors'!$H$20-S43)/('Anchors'!$H$20-'Anchors'!$G$20))),"")</x:f>
        <x:v>15.480912487544193</x:v>
      </x:c>
      <x:c r="AL43" s="33" t="n">
        <x:f>IF(ISNUMBER(T43),100*MAX(0,MIN(1,('Anchors'!$H$21-T43)/('Anchors'!$H$21-'Anchors'!$G$21))),"")</x:f>
        <x:v>54.72727272727271</x:v>
      </x:c>
      <x:c r="AM43" s="33" t="n">
        <x:f>IF(ISNUMBER(U43),100*MAX(0,MIN(1,('Anchors'!$H$22-U43)/('Anchors'!$H$22-'Anchors'!$G$22))),"")</x:f>
        <x:v>27.461435002618884</x:v>
      </x:c>
      <x:c r="AN43" s="33" t="n">
        <x:f>IF(ISNUMBER(V43),100*MAX(0,MIN(1,('Anchors'!$H$23-V43)/('Anchors'!$H$23-'Anchors'!$G$23))),"")</x:f>
        <x:v>88.8105026850925</x:v>
      </x:c>
      <x:c r="AO43" s="27" t="n">
        <x:f>IF(ISNUMBER(W43),IF('Scoring Setup'!$L$9=1,1-'Scoring Setup'!$B$5*(1-MAX(0,MIN(1,(W43-'Scoring Setup'!$K$9)/(100-'Scoring Setup'!$K$9)))),1),"")</x:f>
        <x:v>0.9191428571428572</x:v>
      </x:c>
      <x:c r="AP43" s="27" t="n">
        <x:f>IF(ISNUMBER(X43),IF('Scoring Setup'!$L$10=1,1-'Scoring Setup'!$B$5*(1-MAX(0,MIN(1,(X43-'Scoring Setup'!$K$10)/(100-'Scoring Setup'!$K$10)))),1),"")</x:f>
        <x:v>0.8553041018387555</x:v>
      </x:c>
      <x:c r="AQ43" s="27" t="n">
        <x:f>IF(ISNUMBER(Y43),IF('Scoring Setup'!$L$11=1,1-'Scoring Setup'!$B$5*(1-MAX(0,MIN(1,(Y43-'Scoring Setup'!$K$11)/(100-'Scoring Setup'!$K$11)))),1),"")</x:f>
        <x:v>0.9005291105536704</x:v>
      </x:c>
      <x:c r="AR43" s="27" t="n">
        <x:f>IF(ISNUMBER(Z43),IF('Scoring Setup'!$L$12=1,1-'Scoring Setup'!$B$5*(1-MAX(0,MIN(1,(Z43-'Scoring Setup'!$K$12)/(100-'Scoring Setup'!$K$12)))),1),"")</x:f>
        <x:v>0.8793135155732981</x:v>
      </x:c>
      <x:c r="AS43" s="27" t="n">
        <x:f>IF(ISNUMBER(AA43),IF('Scoring Setup'!$L$13=1,1-'Scoring Setup'!$B$5*(1-MAX(0,MIN(1,(AA43-'Scoring Setup'!$K$13)/(100-'Scoring Setup'!$K$13)))),1),"")</x:f>
        <x:v>0.990808072135219</x:v>
      </x:c>
      <x:c r="AT43" s="27" t="n">
        <x:f>IF(ISNUMBER(AB43),IF('Scoring Setup'!$L$14=1,1-'Scoring Setup'!$B$5*(1-MAX(0,MIN(1,(AB43-'Scoring Setup'!$K$14)/(100-'Scoring Setup'!$K$14)))),1),"")</x:f>
        <x:v>0.8654901463052211</x:v>
      </x:c>
      <x:c r="AU43" s="27" t="n">
        <x:f>IF(ISNUMBER(AC43),IF('Scoring Setup'!$L$15=1,1-'Scoring Setup'!$B$5*(1-MAX(0,MIN(1,(AC43-'Scoring Setup'!$K$15)/(100-'Scoring Setup'!$K$15)))),1),"")</x:f>
        <x:v>0.9995162301988016</x:v>
      </x:c>
      <x:c r="AV43" s="27" t="n">
        <x:f>IF(ISNUMBER(AD43),IF('Scoring Setup'!$L$16=1,1-'Scoring Setup'!$B$5*(1-MAX(0,MIN(1,(AD43-'Scoring Setup'!$K$16)/(100-'Scoring Setup'!$K$16)))),1),"")</x:f>
        <x:v>0.8715174865714286</x:v>
      </x:c>
      <x:c r="AW43" s="27" t="n">
        <x:f>IF(ISNUMBER(AE43),IF('Scoring Setup'!$L$17=1,1-'Scoring Setup'!$B$5*(1-MAX(0,MIN(1,(AE43-'Scoring Setup'!$K$17)/(100-'Scoring Setup'!$K$17)))),1),"")</x:f>
        <x:v>0.8788641079999999</x:v>
      </x:c>
      <x:c r="AX43" s="27" t="n">
        <x:f>IF(ISNUMBER(AF43),IF('Scoring Setup'!$L$18=1,1-'Scoring Setup'!$B$5*(1-MAX(0,MIN(1,(AF43-'Scoring Setup'!$K$18)/(100-'Scoring Setup'!$K$18)))),1),"")</x:f>
        <x:v>0.8819637004634148</x:v>
      </x:c>
      <x:c r="AY43" s="27" t="n">
        <x:f>IF(ISNUMBER(AG43),IF('Scoring Setup'!$L$19=1,1-'Scoring Setup'!$B$5*(1-MAX(0,MIN(1,(AG43-'Scoring Setup'!$K$19)/(100-'Scoring Setup'!$K$19)))),1),"")</x:f>
        <x:v>0.9622444444444445</x:v>
      </x:c>
      <x:c r="AZ43" s="27" t="n">
        <x:f>IF(ISNUMBER(AH43),IF('Scoring Setup'!$L$20=1,1-'Scoring Setup'!$B$5*(1-MAX(0,MIN(1,(AH43-'Scoring Setup'!$K$20)/(100-'Scoring Setup'!$K$20)))),1),"")</x:f>
        <x:v>0.9738842670355903</x:v>
      </x:c>
      <x:c r="BA43" s="27" t="n">
        <x:f>IF(ISNUMBER(AI43),IF('Scoring Setup'!$L$21=1,1-'Scoring Setup'!$B$5*(1-MAX(0,MIN(1,(AI43-'Scoring Setup'!$K$21)/(100-'Scoring Setup'!$K$21)))),1),"")</x:f>
        <x:v>0.9807294977278936</x:v>
      </x:c>
      <x:c r="BB43" s="27" t="n">
        <x:f>IF(ISNUMBER(AJ43),IF('Scoring Setup'!$L$22=1,1-'Scoring Setup'!$B$5*(1-MAX(0,MIN(1,(AJ43-'Scoring Setup'!$K$22)/(100-'Scoring Setup'!$K$22)))),1),"")</x:f>
        <x:v>0.8846191473382712</x:v>
      </x:c>
      <x:c r="BC43" s="27" t="n">
        <x:f>IF(ISNUMBER(AK43),IF('Scoring Setup'!$L$23=1,1-'Scoring Setup'!$B$5*(1-MAX(0,MIN(1,(AK43-'Scoring Setup'!$K$23)/(100-'Scoring Setup'!$K$23)))),1),"")</x:f>
        <x:v>0.8309618249750884</x:v>
      </x:c>
      <x:c r="BD43" s="27" t="n">
        <x:f>IF(ISNUMBER(AL43),IF('Scoring Setup'!$L$24=1,1-'Scoring Setup'!$B$5*(1-MAX(0,MIN(1,(AL43-'Scoring Setup'!$K$24)/(100-'Scoring Setup'!$K$24)))),1),"")</x:f>
        <x:v>0.9094545454545454</x:v>
      </x:c>
      <x:c r="BE43" s="27" t="n">
        <x:f>IF(ISNUMBER(AM43),IF('Scoring Setup'!$L$25=1,1-'Scoring Setup'!$B$5*(1-MAX(0,MIN(1,(AM43-'Scoring Setup'!$K$25)/(100-'Scoring Setup'!$K$25)))),1),"")</x:f>
        <x:v>0.8549228700052378</x:v>
      </x:c>
      <x:c r="BF43" s="27" t="n">
        <x:f>IF(ISNUMBER(AN43),IF('Scoring Setup'!$L$26=1,1-'Scoring Setup'!$B$5*(1-MAX(0,MIN(1,(AN43-'Scoring Setup'!$K$26)/(100-'Scoring Setup'!$K$26)))),1),"")</x:f>
        <x:v>0.977621005370185</x:v>
      </x:c>
      <x:c r="BG43" s="34" t="n">
        <x:f>IF(COUNT(W43,X43)=2,AVERAGE(W43,X43),"")</x:f>
        <x:v>43.61173974540315</x:v>
      </x:c>
      <x:c r="BH43" s="34" t="n">
        <x:f>IF(COUNT(Y43,Z43)=2,AVERAGE(Y43,Z43),"")</x:f>
        <x:v>44.960656531742124</x:v>
      </x:c>
      <x:c r="BI43" s="34" t="n">
        <x:f>IF(COUNT(AA43,AB43,AC43)=3,AVERAGE(AA43,AB43,AC43),"")</x:f>
        <x:v>75.96907477320696</x:v>
      </x:c>
      <x:c r="BJ43" s="34" t="n">
        <x:f>IF(COUNT(AD43,AE43)=2,AVERAGE(AD43,AE43),"")</x:f>
        <x:v>37.595398642857134</x:v>
      </x:c>
      <x:c r="BK43" s="34" t="n">
        <x:f>IF(COUNT(AF43,AG43)=2,AVERAGE(AF43,AG43),"")</x:f>
        <x:v>61.0520362269648</x:v>
      </x:c>
      <x:c r="BL43" s="34" t="n">
        <x:f>IF(COUNT(AH43,AI43)=2,AVERAGE(AH43,AI43),"")</x:f>
        <x:v>88.65344119087098</x:v>
      </x:c>
      <x:c r="BM43" s="34" t="n">
        <x:f>IF(COUNT(AJ43,AK43)=2,AVERAGE(AJ43,AK43),"")</x:f>
        <x:v>28.89524307833989</x:v>
      </x:c>
      <x:c r="BN43" s="34" t="n">
        <x:f>IF(COUNT(AL43,AM43,AN43)=3,AVERAGE(AL43,AM43,AN43),"")</x:f>
        <x:v>56.999736804994704</x:v>
      </x:c>
      <x:c r="BO43" s="35" t="n">
        <x:f>IF(AND(COUNT(BG43:BN43)=8,ABS('Scoring Setup'!$C$17-1)&lt;0.000001),BG43*'Scoring Setup'!$C$9+BH43*'Scoring Setup'!$C$10+BI43*'Scoring Setup'!$C$11+BJ43*'Scoring Setup'!$C$12+BK43*'Scoring Setup'!$C$13+BL43*'Scoring Setup'!$C$14+BM43*'Scoring Setup'!$C$15+BN43*'Scoring Setup'!$C$16,"")</x:f>
        <x:v>53.79231150015059</x:v>
      </x:c>
      <x:c r="BP43" s="36" t="n">
        <x:f>IF(COUNT(AO43:BF43)=18,MIN(AO43:BF43),"")</x:f>
        <x:v>0.8309618249750884</x:v>
      </x:c>
      <x:c r="BQ43" s="35" t="n">
        <x:f>IF(AND(ISNUMBER(BO43),ISNUMBER(BP43)),BO43*BP43,"")</x:f>
        <x:v>44.69935733379357</x:v>
      </x:c>
      <x:c r="BR43" s="17" t="str">
        <x:f>IF(COUNT(AO43:BF43)=18,INDEX('Scoring Setup'!$F$9:$F$26,MATCH(MIN(AO43:BF43),AO43:BF43,0),1),"")</x:f>
        <x:v>到铁路距离</x:v>
      </x:c>
    </x:row>
    <x:row r="44">
      <x:c r="A44" s="28" t="str">
        <x:v>51081</x:v>
      </x:c>
      <x:c r="B44" s="28" t="str">
        <x:v>Greensville County</x:v>
      </x:c>
      <x:c r="C44" s="28" t="str">
        <x:v>VA</x:v>
      </x:c>
      <x:c r="D44" s="31" t="n">
        <x:v>765.023848</x:v>
      </x:c>
      <x:c r="E44" s="32" t="n">
        <x:v>0.338</x:v>
      </x:c>
      <x:c r="F44" s="32" t="n">
        <x:v>0.219368811881188</x:v>
      </x:c>
      <x:c r="G44" s="32" t="n">
        <x:v>3.7205495379841893</x:v>
      </x:c>
      <x:c r="H44" s="32" t="n">
        <x:v>4.058068907</x:v>
      </x:c>
      <x:c r="I44" s="32" t="n">
        <x:v>0.9506478389691012</x:v>
      </x:c>
      <x:c r="J44" s="32" t="n">
        <x:v>0.0020384362043033254</x:v>
      </x:c>
      <x:c r="K44" s="32" t="n">
        <x:v>0.2057799934157927</x:v>
      </x:c>
      <x:c r="L44" s="32" t="n">
        <x:v>0.677313498</x:v>
      </x:c>
      <x:c r="M44" s="32" t="n">
        <x:v>0.677313498</x:v>
      </x:c>
      <x:c r="N44" s="32" t="n">
        <x:v>3519</x:v>
      </x:c>
      <x:c r="O44" s="32" t="n">
        <x:v>0.8979</x:v>
      </x:c>
      <x:c r="P44" s="32" t="n">
        <x:v>1344.000439453125</x:v>
      </x:c>
      <x:c r="Q44" s="32" t="n">
        <x:v>34.5699120203654</x:v>
      </x:c>
      <x:c r="R44" s="32" t="n">
        <x:v>0.2407284800489219</x:v>
      </x:c>
      <x:c r="S44" s="32" t="n">
        <x:v>1.2866810441857353</x:v>
      </x:c>
      <x:c r="T44" s="32" t="n">
        <x:v>89.9</x:v>
      </x:c>
      <x:c r="U44" s="32" t="n">
        <x:v>245.07712999476223</x:v>
      </x:c>
      <x:c r="V44" s="32" t="n">
        <x:v>244.75798925963002</x:v>
      </x:c>
      <x:c r="W44" s="33" t="n">
        <x:f>IF(ISNUMBER(E44),100*MAX(0,MIN(1,('Anchors'!$H$6-E44)/('Anchors'!$H$6-'Anchors'!$G$6))),"")</x:f>
        <x:v>80.28571428571429</x:v>
      </x:c>
      <x:c r="X44" s="33" t="n">
        <x:f>IF(ISNUMBER(F44),100*MAX(0,MIN(1,('Anchors'!$H$7-F44)/('Anchors'!$H$7-'Anchors'!$G$7))),"")</x:f>
        <x:v>82.9473125884017</x:v>
      </x:c>
      <x:c r="Y44" s="33" t="n">
        <x:f>IF(ISNUMBER(G44),100*MAX(0,MIN(1,('Anchors'!$H$8-G44)/('Anchors'!$H$8-'Anchors'!$G$8))),"")</x:f>
        <x:v>9.315015400527022</x:v>
      </x:c>
      <x:c r="Z44" s="33" t="n">
        <x:f>IF(ISNUMBER(H44),100*MAX(0,MIN(1,('Anchors'!$H$9-H44)/('Anchors'!$H$9-'Anchors'!$G$9))),"")</x:f>
        <x:v>0</x:v>
      </x:c>
      <x:c r="AA44" s="33" t="n">
        <x:f>IF(ISNUMBER(I44),100*MAX(0,MIN(1,(I44-'Anchors'!$H$10)/('Anchors'!$G$10-'Anchors'!$H$10))),"")</x:f>
        <x:v>95.97915602316455</x:v>
      </x:c>
      <x:c r="AB44" s="33" t="n">
        <x:f>IF(ISNUMBER(J44),100*MAX(0,MIN(1,('Anchors'!$H$11-J44)/('Anchors'!$H$11-'Anchors'!$G$11))),"")</x:f>
        <x:v>99.18462551827866</x:v>
      </x:c>
      <x:c r="AC44" s="33" t="n">
        <x:f>IF(ISNUMBER(K44),100*MAX(0,MIN(1,('Anchors'!$H$12-K44)/('Anchors'!$H$12-'Anchors'!$G$12))),"")</x:f>
        <x:v>48.55500164605183</x:v>
      </x:c>
      <x:c r="AD44" s="33" t="n">
        <x:f>IF(ISNUMBER(L44),100*MAX(0,MIN(1,(L44-'Anchors'!$H$13)/('Anchors'!$G$13-'Anchors'!$H$13))),"")</x:f>
        <x:v>68.18764257142857</x:v>
      </x:c>
      <x:c r="AE44" s="33" t="n">
        <x:f>IF(ISNUMBER(M44),100*MAX(0,MIN(1,(M44-'Anchors'!$H$14)/('Anchors'!$G$14-'Anchors'!$H$14))),"")</x:f>
        <x:v>72.16418724999998</x:v>
      </x:c>
      <x:c r="AF44" s="33" t="n">
        <x:f>IF(ISNUMBER(N44),100*MAX(0,MIN(1,(LN(1+N44)-LN(1+'Anchors'!$H$15))/(LN(1+'Anchors'!$G$15)-LN(1+'Anchors'!$H$15)))),"")</x:f>
        <x:v>13.083497813167085</x:v>
      </x:c>
      <x:c r="AG44" s="33" t="n">
        <x:f>IF(ISNUMBER(O44),100*MAX(0,MIN(1,('Anchors'!$H$16-O44)/('Anchors'!$H$16-'Anchors'!$G$16))),"")</x:f>
        <x:v>5.788888888888881</x:v>
      </x:c>
      <x:c r="AH44" s="33" t="n">
        <x:f>IF(ISNUMBER(P44),100*MAX(0,MIN(1,('Anchors'!$H$17-P44)/('Anchors'!$H$17-'Anchors'!$G$17))),"")</x:f>
        <x:v>57.06663736979167</x:v>
      </x:c>
      <x:c r="AI44" s="33" t="n">
        <x:f>IF(ISNUMBER(Q44),100*MAX(0,MIN(1,('Anchors'!$H$18-Q44)/('Anchors'!$H$18-'Anchors'!$G$18))),"")</x:f>
        <x:v>57.75726854233514</x:v>
      </x:c>
      <x:c r="AJ44" s="33" t="n">
        <x:f>IF(ISNUMBER(R44),100*MAX(0,MIN(1,('Anchors'!$H$19-R44)/('Anchors'!$H$19-'Anchors'!$G$19))),"")</x:f>
        <x:v>100</x:v>
      </x:c>
      <x:c r="AK44" s="33" t="n">
        <x:f>IF(ISNUMBER(S44),100*MAX(0,MIN(1,('Anchors'!$H$20-S44)/('Anchors'!$H$20-'Anchors'!$G$20))),"")</x:f>
        <x:v>98.49115239902245</x:v>
      </x:c>
      <x:c r="AL44" s="33" t="n">
        <x:f>IF(ISNUMBER(T44),100*MAX(0,MIN(1,('Anchors'!$H$21-T44)/('Anchors'!$H$21-'Anchors'!$G$21))),"")</x:f>
        <x:v>54.72727272727271</x:v>
      </x:c>
      <x:c r="AM44" s="33" t="n">
        <x:f>IF(ISNUMBER(U44),100*MAX(0,MIN(1,('Anchors'!$H$22-U44)/('Anchors'!$H$22-'Anchors'!$G$22))),"")</x:f>
        <x:v>27.461435002618884</x:v>
      </x:c>
      <x:c r="AN44" s="33" t="n">
        <x:f>IF(ISNUMBER(V44),100*MAX(0,MIN(1,('Anchors'!$H$23-V44)/('Anchors'!$H$23-'Anchors'!$G$23))),"")</x:f>
        <x:v>88.8105026850925</x:v>
      </x:c>
      <x:c r="AO44" s="27" t="n">
        <x:f>IF(ISNUMBER(W44),IF('Scoring Setup'!$L$9=1,1-'Scoring Setup'!$B$5*(1-MAX(0,MIN(1,(W44-'Scoring Setup'!$K$9)/(100-'Scoring Setup'!$K$9)))),1),"")</x:f>
        <x:v>0.9605714285714286</x:v>
      </x:c>
      <x:c r="AP44" s="27" t="n">
        <x:f>IF(ISNUMBER(X44),IF('Scoring Setup'!$L$10=1,1-'Scoring Setup'!$B$5*(1-MAX(0,MIN(1,(X44-'Scoring Setup'!$K$10)/(100-'Scoring Setup'!$K$10)))),1),"")</x:f>
        <x:v>0.9658946251768034</x:v>
      </x:c>
      <x:c r="AQ44" s="27" t="n">
        <x:f>IF(ISNUMBER(Y44),IF('Scoring Setup'!$L$11=1,1-'Scoring Setup'!$B$5*(1-MAX(0,MIN(1,(Y44-'Scoring Setup'!$K$11)/(100-'Scoring Setup'!$K$11)))),1),"")</x:f>
        <x:v>0.818630030801054</x:v>
      </x:c>
      <x:c r="AR44" s="27" t="n">
        <x:f>IF(ISNUMBER(Z44),IF('Scoring Setup'!$L$12=1,1-'Scoring Setup'!$B$5*(1-MAX(0,MIN(1,(Z44-'Scoring Setup'!$K$12)/(100-'Scoring Setup'!$K$12)))),1),"")</x:f>
        <x:v>0.8</x:v>
      </x:c>
      <x:c r="AS44" s="27" t="n">
        <x:f>IF(ISNUMBER(AA44),IF('Scoring Setup'!$L$13=1,1-'Scoring Setup'!$B$5*(1-MAX(0,MIN(1,(AA44-'Scoring Setup'!$K$13)/(100-'Scoring Setup'!$K$13)))),1),"")</x:f>
        <x:v>0.9919583120463291</x:v>
      </x:c>
      <x:c r="AT44" s="27" t="n">
        <x:f>IF(ISNUMBER(AB44),IF('Scoring Setup'!$L$14=1,1-'Scoring Setup'!$B$5*(1-MAX(0,MIN(1,(AB44-'Scoring Setup'!$K$14)/(100-'Scoring Setup'!$K$14)))),1),"")</x:f>
        <x:v>0.9983692510365574</x:v>
      </x:c>
      <x:c r="AU44" s="27" t="n">
        <x:f>IF(ISNUMBER(AC44),IF('Scoring Setup'!$L$15=1,1-'Scoring Setup'!$B$5*(1-MAX(0,MIN(1,(AC44-'Scoring Setup'!$K$15)/(100-'Scoring Setup'!$K$15)))),1),"")</x:f>
        <x:v>0.8971100032921037</x:v>
      </x:c>
      <x:c r="AV44" s="27" t="n">
        <x:f>IF(ISNUMBER(AD44),IF('Scoring Setup'!$L$16=1,1-'Scoring Setup'!$B$5*(1-MAX(0,MIN(1,(AD44-'Scoring Setup'!$K$16)/(100-'Scoring Setup'!$K$16)))),1),"")</x:f>
        <x:v>0.9363752851428572</x:v>
      </x:c>
      <x:c r="AW44" s="27" t="n">
        <x:f>IF(ISNUMBER(AE44),IF('Scoring Setup'!$L$17=1,1-'Scoring Setup'!$B$5*(1-MAX(0,MIN(1,(AE44-'Scoring Setup'!$K$17)/(100-'Scoring Setup'!$K$17)))),1),"")</x:f>
        <x:v>0.9443283745</x:v>
      </x:c>
      <x:c r="AX44" s="27" t="n">
        <x:f>IF(ISNUMBER(AF44),IF('Scoring Setup'!$L$18=1,1-'Scoring Setup'!$B$5*(1-MAX(0,MIN(1,(AF44-'Scoring Setup'!$K$18)/(100-'Scoring Setup'!$K$18)))),1),"")</x:f>
        <x:v>0.8261669956263342</x:v>
      </x:c>
      <x:c r="AY44" s="27" t="n">
        <x:f>IF(ISNUMBER(AG44),IF('Scoring Setup'!$L$19=1,1-'Scoring Setup'!$B$5*(1-MAX(0,MIN(1,(AG44-'Scoring Setup'!$K$19)/(100-'Scoring Setup'!$K$19)))),1),"")</x:f>
        <x:v>0.8115777777777777</x:v>
      </x:c>
      <x:c r="AZ44" s="27" t="n">
        <x:f>IF(ISNUMBER(AH44),IF('Scoring Setup'!$L$20=1,1-'Scoring Setup'!$B$5*(1-MAX(0,MIN(1,(AH44-'Scoring Setup'!$K$20)/(100-'Scoring Setup'!$K$20)))),1),"")</x:f>
        <x:v>0.9141332747395834</x:v>
      </x:c>
      <x:c r="BA44" s="27" t="n">
        <x:f>IF(ISNUMBER(AI44),IF('Scoring Setup'!$L$21=1,1-'Scoring Setup'!$B$5*(1-MAX(0,MIN(1,(AI44-'Scoring Setup'!$K$21)/(100-'Scoring Setup'!$K$21)))),1),"")</x:f>
        <x:v>0.9155145370846702</x:v>
      </x:c>
      <x:c r="BB44" s="27" t="n">
        <x:f>IF(ISNUMBER(AJ44),IF('Scoring Setup'!$L$22=1,1-'Scoring Setup'!$B$5*(1-MAX(0,MIN(1,(AJ44-'Scoring Setup'!$K$22)/(100-'Scoring Setup'!$K$22)))),1),"")</x:f>
        <x:v>1</x:v>
      </x:c>
      <x:c r="BC44" s="27" t="n">
        <x:f>IF(ISNUMBER(AK44),IF('Scoring Setup'!$L$23=1,1-'Scoring Setup'!$B$5*(1-MAX(0,MIN(1,(AK44-'Scoring Setup'!$K$23)/(100-'Scoring Setup'!$K$23)))),1),"")</x:f>
        <x:v>0.996982304798045</x:v>
      </x:c>
      <x:c r="BD44" s="27" t="n">
        <x:f>IF(ISNUMBER(AL44),IF('Scoring Setup'!$L$24=1,1-'Scoring Setup'!$B$5*(1-MAX(0,MIN(1,(AL44-'Scoring Setup'!$K$24)/(100-'Scoring Setup'!$K$24)))),1),"")</x:f>
        <x:v>0.9094545454545454</x:v>
      </x:c>
      <x:c r="BE44" s="27" t="n">
        <x:f>IF(ISNUMBER(AM44),IF('Scoring Setup'!$L$25=1,1-'Scoring Setup'!$B$5*(1-MAX(0,MIN(1,(AM44-'Scoring Setup'!$K$25)/(100-'Scoring Setup'!$K$25)))),1),"")</x:f>
        <x:v>0.8549228700052378</x:v>
      </x:c>
      <x:c r="BF44" s="27" t="n">
        <x:f>IF(ISNUMBER(AN44),IF('Scoring Setup'!$L$26=1,1-'Scoring Setup'!$B$5*(1-MAX(0,MIN(1,(AN44-'Scoring Setup'!$K$26)/(100-'Scoring Setup'!$K$26)))),1),"")</x:f>
        <x:v>0.977621005370185</x:v>
      </x:c>
      <x:c r="BG44" s="34" t="n">
        <x:f>IF(COUNT(W44,X44)=2,AVERAGE(W44,X44),"")</x:f>
        <x:v>81.61651343705799</x:v>
      </x:c>
      <x:c r="BH44" s="34" t="n">
        <x:f>IF(COUNT(Y44,Z44)=2,AVERAGE(Y44,Z44),"")</x:f>
        <x:v>4.657507700263511</x:v>
      </x:c>
      <x:c r="BI44" s="34" t="n">
        <x:f>IF(COUNT(AA44,AB44,AC44)=3,AVERAGE(AA44,AB44,AC44),"")</x:f>
        <x:v>81.23959439583167</x:v>
      </x:c>
      <x:c r="BJ44" s="34" t="n">
        <x:f>IF(COUNT(AD44,AE44)=2,AVERAGE(AD44,AE44),"")</x:f>
        <x:v>70.17591491071428</x:v>
      </x:c>
      <x:c r="BK44" s="34" t="n">
        <x:f>IF(COUNT(AF44,AG44)=2,AVERAGE(AF44,AG44),"")</x:f>
        <x:v>9.436193351027983</x:v>
      </x:c>
      <x:c r="BL44" s="34" t="n">
        <x:f>IF(COUNT(AH44,AI44)=2,AVERAGE(AH44,AI44),"")</x:f>
        <x:v>57.4119529560634</x:v>
      </x:c>
      <x:c r="BM44" s="34" t="n">
        <x:f>IF(COUNT(AJ44,AK44)=2,AVERAGE(AJ44,AK44),"")</x:f>
        <x:v>99.24557619951122</x:v>
      </x:c>
      <x:c r="BN44" s="34" t="n">
        <x:f>IF(COUNT(AL44,AM44,AN44)=3,AVERAGE(AL44,AM44,AN44),"")</x:f>
        <x:v>56.999736804994704</x:v>
      </x:c>
      <x:c r="BO44" s="35" t="n">
        <x:f>IF(AND(COUNT(BG44:BN44)=8,ABS('Scoring Setup'!$C$17-1)&lt;0.000001),BG44*'Scoring Setup'!$C$9+BH44*'Scoring Setup'!$C$10+BI44*'Scoring Setup'!$C$11+BJ44*'Scoring Setup'!$C$12+BK44*'Scoring Setup'!$C$13+BL44*'Scoring Setup'!$C$14+BM44*'Scoring Setup'!$C$15+BN44*'Scoring Setup'!$C$16,"")</x:f>
        <x:v>50.11112064879304</x:v>
      </x:c>
      <x:c r="BP44" s="36" t="n">
        <x:f>IF(COUNT(AO44:BF44)=18,MIN(AO44:BF44),"")</x:f>
        <x:v>0.8</x:v>
      </x:c>
      <x:c r="BQ44" s="35" t="n">
        <x:f>IF(AND(ISNUMBER(BO44),ISNUMBER(BP44)),BO44*BP44,"")</x:f>
        <x:v>40.088896519034435</x:v>
      </x:c>
      <x:c r="BR44" s="17" t="str">
        <x:f>IF(COUNT(AO44:BF44)=18,INDEX('Scoring Setup'!$F$9:$F$26,MATCH(MIN(AO44:BF44),AO44:BF44,0),1),"")</x:f>
        <x:v>2050 BAU水压力</x:v>
      </x:c>
    </x:row>
    <x:row r="45">
      <x:c r="A45" s="28" t="str">
        <x:v>51083</x:v>
      </x:c>
      <x:c r="B45" s="28" t="str">
        <x:v>Halifax County</x:v>
      </x:c>
      <x:c r="C45" s="28" t="str">
        <x:v>VA</x:v>
      </x:c>
      <x:c r="D45" s="31" t="n">
        <x:v>2117.913727</x:v>
      </x:c>
      <x:c r="E45" s="32" t="n">
        <x:v>0.28</x:v>
      </x:c>
      <x:c r="F45" s="32" t="n">
        <x:v>0.206064356435644</x:v>
      </x:c>
      <x:c r="G45" s="32" t="n">
        <x:v>2.7697299319853768</x:v>
      </x:c>
      <x:c r="H45" s="32" t="n">
        <x:v>3.155046543</x:v>
      </x:c>
      <x:c r="I45" s="32" t="n">
        <x:v>0.9497389617917062</x:v>
      </x:c>
      <x:c r="J45" s="32" t="n">
        <x:v>0.010253379354039818</x:v>
      </x:c>
      <x:c r="K45" s="32" t="n">
        <x:v>0.042623449893511335</x:v>
      </x:c>
      <x:c r="L45" s="32" t="n">
        <x:v>0.464537212</x:v>
      </x:c>
      <x:c r="M45" s="32" t="n">
        <x:v>0.463018364</x:v>
      </x:c>
      <x:c r="N45" s="32" t="n">
        <x:v>14432</x:v>
      </x:c>
      <x:c r="O45" s="32" t="n">
        <x:v>0.7684</x:v>
      </x:c>
      <x:c r="P45" s="32" t="n">
        <x:v>1178.5864624023438</x:v>
      </x:c>
      <x:c r="Q45" s="32" t="n">
        <x:v>29.13109563191732</x:v>
      </x:c>
      <x:c r="R45" s="32" t="n">
        <x:v>61.35572661464156</x:v>
      </x:c>
      <x:c r="S45" s="32" t="n">
        <x:v>1.30914287505748</x:v>
      </x:c>
      <x:c r="T45" s="32" t="n">
        <x:v>89.9</x:v>
      </x:c>
      <x:c r="U45" s="32" t="n">
        <x:v>245.07712999476223</x:v>
      </x:c>
      <x:c r="V45" s="32" t="n">
        <x:v>244.75798925963002</x:v>
      </x:c>
      <x:c r="W45" s="33" t="n">
        <x:f>IF(ISNUMBER(E45),100*MAX(0,MIN(1,('Anchors'!$H$6-E45)/('Anchors'!$H$6-'Anchors'!$G$6))),"")</x:f>
        <x:v>88.57142857142858</x:v>
      </x:c>
      <x:c r="X45" s="33" t="n">
        <x:f>IF(ISNUMBER(F45),100*MAX(0,MIN(1,('Anchors'!$H$7-F45)/('Anchors'!$H$7-'Anchors'!$G$7))),"")</x:f>
        <x:v>84.84794908062227</x:v>
      </x:c>
      <x:c r="Y45" s="33" t="n">
        <x:f>IF(ISNUMBER(G45),100*MAX(0,MIN(1,('Anchors'!$H$8-G45)/('Anchors'!$H$8-'Anchors'!$G$8))),"")</x:f>
        <x:v>41.00900226715411</x:v>
      </x:c>
      <x:c r="Z45" s="33" t="n">
        <x:f>IF(ISNUMBER(H45),100*MAX(0,MIN(1,('Anchors'!$H$9-H45)/('Anchors'!$H$9-'Anchors'!$G$9))),"")</x:f>
        <x:v>28.16511523333333</x:v>
      </x:c>
      <x:c r="AA45" s="33" t="n">
        <x:f>IF(ISNUMBER(I45),100*MAX(0,MIN(1,(I45-'Anchors'!$H$10)/('Anchors'!$G$10-'Anchors'!$H$10))),"")</x:f>
        <x:v>95.85465230023374</x:v>
      </x:c>
      <x:c r="AB45" s="33" t="n">
        <x:f>IF(ISNUMBER(J45),100*MAX(0,MIN(1,('Anchors'!$H$11-J45)/('Anchors'!$H$11-'Anchors'!$G$11))),"")</x:f>
        <x:v>95.89864825838407</x:v>
      </x:c>
      <x:c r="AC45" s="33" t="n">
        <x:f>IF(ISNUMBER(K45),100*MAX(0,MIN(1,('Anchors'!$H$12-K45)/('Anchors'!$H$12-'Anchors'!$G$12))),"")</x:f>
        <x:v>89.34413752662216</x:v>
      </x:c>
      <x:c r="AD45" s="33" t="n">
        <x:f>IF(ISNUMBER(L45),100*MAX(0,MIN(1,(L45-'Anchors'!$H$13)/('Anchors'!$G$13-'Anchors'!$H$13))),"")</x:f>
        <x:v>37.791030285714285</x:v>
      </x:c>
      <x:c r="AE45" s="33" t="n">
        <x:f>IF(ISNUMBER(M45),100*MAX(0,MIN(1,(M45-'Anchors'!$H$14)/('Anchors'!$G$14-'Anchors'!$H$14))),"")</x:f>
        <x:v>45.377295499999995</x:v>
      </x:c>
      <x:c r="AF45" s="33" t="n">
        <x:f>IF(ISNUMBER(N45),100*MAX(0,MIN(1,(LN(1+N45)-LN(1+'Anchors'!$H$15))/(LN(1+'Anchors'!$G$15)-LN(1+'Anchors'!$H$15)))),"")</x:f>
        <x:v>45.769574419272175</x:v>
      </x:c>
      <x:c r="AG45" s="33" t="n">
        <x:f>IF(ISNUMBER(O45),100*MAX(0,MIN(1,('Anchors'!$H$16-O45)/('Anchors'!$H$16-'Anchors'!$G$16))),"")</x:f>
        <x:v>20.177777777777777</x:v>
      </x:c>
      <x:c r="AH45" s="33" t="n">
        <x:f>IF(ISNUMBER(P45),100*MAX(0,MIN(1,('Anchors'!$H$17-P45)/('Anchors'!$H$17-'Anchors'!$G$17))),"")</x:f>
        <x:v>68.09423583984375</x:v>
      </x:c>
      <x:c r="AI45" s="33" t="n">
        <x:f>IF(ISNUMBER(Q45),100*MAX(0,MIN(1,('Anchors'!$H$18-Q45)/('Anchors'!$H$18-'Anchors'!$G$18))),"")</x:f>
        <x:v>65.52700624011811</x:v>
      </x:c>
      <x:c r="AJ45" s="33" t="n">
        <x:f>IF(ISNUMBER(R45),100*MAX(0,MIN(1,('Anchors'!$H$19-R45)/('Anchors'!$H$19-'Anchors'!$G$19))),"")</x:f>
        <x:v>0</x:v>
      </x:c>
      <x:c r="AK45" s="33" t="n">
        <x:f>IF(ISNUMBER(S45),100*MAX(0,MIN(1,('Anchors'!$H$20-S45)/('Anchors'!$H$20-'Anchors'!$G$20))),"")</x:f>
        <x:v>98.37293223653958</x:v>
      </x:c>
      <x:c r="AL45" s="33" t="n">
        <x:f>IF(ISNUMBER(T45),100*MAX(0,MIN(1,('Anchors'!$H$21-T45)/('Anchors'!$H$21-'Anchors'!$G$21))),"")</x:f>
        <x:v>54.72727272727271</x:v>
      </x:c>
      <x:c r="AM45" s="33" t="n">
        <x:f>IF(ISNUMBER(U45),100*MAX(0,MIN(1,('Anchors'!$H$22-U45)/('Anchors'!$H$22-'Anchors'!$G$22))),"")</x:f>
        <x:v>27.461435002618884</x:v>
      </x:c>
      <x:c r="AN45" s="33" t="n">
        <x:f>IF(ISNUMBER(V45),100*MAX(0,MIN(1,('Anchors'!$H$23-V45)/('Anchors'!$H$23-'Anchors'!$G$23))),"")</x:f>
        <x:v>88.8105026850925</x:v>
      </x:c>
      <x:c r="AO45" s="27" t="n">
        <x:f>IF(ISNUMBER(W45),IF('Scoring Setup'!$L$9=1,1-'Scoring Setup'!$B$5*(1-MAX(0,MIN(1,(W45-'Scoring Setup'!$K$9)/(100-'Scoring Setup'!$K$9)))),1),"")</x:f>
        <x:v>0.9771428571428572</x:v>
      </x:c>
      <x:c r="AP45" s="27" t="n">
        <x:f>IF(ISNUMBER(X45),IF('Scoring Setup'!$L$10=1,1-'Scoring Setup'!$B$5*(1-MAX(0,MIN(1,(X45-'Scoring Setup'!$K$10)/(100-'Scoring Setup'!$K$10)))),1),"")</x:f>
        <x:v>0.9696958981612446</x:v>
      </x:c>
      <x:c r="AQ45" s="27" t="n">
        <x:f>IF(ISNUMBER(Y45),IF('Scoring Setup'!$L$11=1,1-'Scoring Setup'!$B$5*(1-MAX(0,MIN(1,(Y45-'Scoring Setup'!$K$11)/(100-'Scoring Setup'!$K$11)))),1),"")</x:f>
        <x:v>0.8820180045343082</x:v>
      </x:c>
      <x:c r="AR45" s="27" t="n">
        <x:f>IF(ISNUMBER(Z45),IF('Scoring Setup'!$L$12=1,1-'Scoring Setup'!$B$5*(1-MAX(0,MIN(1,(Z45-'Scoring Setup'!$K$12)/(100-'Scoring Setup'!$K$12)))),1),"")</x:f>
        <x:v>0.8563302304666667</x:v>
      </x:c>
      <x:c r="AS45" s="27" t="n">
        <x:f>IF(ISNUMBER(AA45),IF('Scoring Setup'!$L$13=1,1-'Scoring Setup'!$B$5*(1-MAX(0,MIN(1,(AA45-'Scoring Setup'!$K$13)/(100-'Scoring Setup'!$K$13)))),1),"")</x:f>
        <x:v>0.9917093046004675</x:v>
      </x:c>
      <x:c r="AT45" s="27" t="n">
        <x:f>IF(ISNUMBER(AB45),IF('Scoring Setup'!$L$14=1,1-'Scoring Setup'!$B$5*(1-MAX(0,MIN(1,(AB45-'Scoring Setup'!$K$14)/(100-'Scoring Setup'!$K$14)))),1),"")</x:f>
        <x:v>0.9917972965167682</x:v>
      </x:c>
      <x:c r="AU45" s="27" t="n">
        <x:f>IF(ISNUMBER(AC45),IF('Scoring Setup'!$L$15=1,1-'Scoring Setup'!$B$5*(1-MAX(0,MIN(1,(AC45-'Scoring Setup'!$K$15)/(100-'Scoring Setup'!$K$15)))),1),"")</x:f>
        <x:v>0.9786882750532443</x:v>
      </x:c>
      <x:c r="AV45" s="27" t="n">
        <x:f>IF(ISNUMBER(AD45),IF('Scoring Setup'!$L$16=1,1-'Scoring Setup'!$B$5*(1-MAX(0,MIN(1,(AD45-'Scoring Setup'!$K$16)/(100-'Scoring Setup'!$K$16)))),1),"")</x:f>
        <x:v>0.8755820605714286</x:v>
      </x:c>
      <x:c r="AW45" s="27" t="n">
        <x:f>IF(ISNUMBER(AE45),IF('Scoring Setup'!$L$17=1,1-'Scoring Setup'!$B$5*(1-MAX(0,MIN(1,(AE45-'Scoring Setup'!$K$17)/(100-'Scoring Setup'!$K$17)))),1),"")</x:f>
        <x:v>0.890754591</x:v>
      </x:c>
      <x:c r="AX45" s="27" t="n">
        <x:f>IF(ISNUMBER(AF45),IF('Scoring Setup'!$L$18=1,1-'Scoring Setup'!$B$5*(1-MAX(0,MIN(1,(AF45-'Scoring Setup'!$K$18)/(100-'Scoring Setup'!$K$18)))),1),"")</x:f>
        <x:v>0.8915391488385443</x:v>
      </x:c>
      <x:c r="AY45" s="27" t="n">
        <x:f>IF(ISNUMBER(AG45),IF('Scoring Setup'!$L$19=1,1-'Scoring Setup'!$B$5*(1-MAX(0,MIN(1,(AG45-'Scoring Setup'!$K$19)/(100-'Scoring Setup'!$K$19)))),1),"")</x:f>
        <x:v>0.8403555555555555</x:v>
      </x:c>
      <x:c r="AZ45" s="27" t="n">
        <x:f>IF(ISNUMBER(AH45),IF('Scoring Setup'!$L$20=1,1-'Scoring Setup'!$B$5*(1-MAX(0,MIN(1,(AH45-'Scoring Setup'!$K$20)/(100-'Scoring Setup'!$K$20)))),1),"")</x:f>
        <x:v>0.9361884716796876</x:v>
      </x:c>
      <x:c r="BA45" s="27" t="n">
        <x:f>IF(ISNUMBER(AI45),IF('Scoring Setup'!$L$21=1,1-'Scoring Setup'!$B$5*(1-MAX(0,MIN(1,(AI45-'Scoring Setup'!$K$21)/(100-'Scoring Setup'!$K$21)))),1),"")</x:f>
        <x:v>0.9310540124802362</x:v>
      </x:c>
      <x:c r="BB45" s="27" t="n">
        <x:f>IF(ISNUMBER(AJ45),IF('Scoring Setup'!$L$22=1,1-'Scoring Setup'!$B$5*(1-MAX(0,MIN(1,(AJ45-'Scoring Setup'!$K$22)/(100-'Scoring Setup'!$K$22)))),1),"")</x:f>
        <x:v>0.8</x:v>
      </x:c>
      <x:c r="BC45" s="27" t="n">
        <x:f>IF(ISNUMBER(AK45),IF('Scoring Setup'!$L$23=1,1-'Scoring Setup'!$B$5*(1-MAX(0,MIN(1,(AK45-'Scoring Setup'!$K$23)/(100-'Scoring Setup'!$K$23)))),1),"")</x:f>
        <x:v>0.9967458644730791</x:v>
      </x:c>
      <x:c r="BD45" s="27" t="n">
        <x:f>IF(ISNUMBER(AL45),IF('Scoring Setup'!$L$24=1,1-'Scoring Setup'!$B$5*(1-MAX(0,MIN(1,(AL45-'Scoring Setup'!$K$24)/(100-'Scoring Setup'!$K$24)))),1),"")</x:f>
        <x:v>0.9094545454545454</x:v>
      </x:c>
      <x:c r="BE45" s="27" t="n">
        <x:f>IF(ISNUMBER(AM45),IF('Scoring Setup'!$L$25=1,1-'Scoring Setup'!$B$5*(1-MAX(0,MIN(1,(AM45-'Scoring Setup'!$K$25)/(100-'Scoring Setup'!$K$25)))),1),"")</x:f>
        <x:v>0.8549228700052378</x:v>
      </x:c>
      <x:c r="BF45" s="27" t="n">
        <x:f>IF(ISNUMBER(AN45),IF('Scoring Setup'!$L$26=1,1-'Scoring Setup'!$B$5*(1-MAX(0,MIN(1,(AN45-'Scoring Setup'!$K$26)/(100-'Scoring Setup'!$K$26)))),1),"")</x:f>
        <x:v>0.977621005370185</x:v>
      </x:c>
      <x:c r="BG45" s="34" t="n">
        <x:f>IF(COUNT(W45,X45)=2,AVERAGE(W45,X45),"")</x:f>
        <x:v>86.70968882602543</x:v>
      </x:c>
      <x:c r="BH45" s="34" t="n">
        <x:f>IF(COUNT(Y45,Z45)=2,AVERAGE(Y45,Z45),"")</x:f>
        <x:v>34.58705875024372</x:v>
      </x:c>
      <x:c r="BI45" s="34" t="n">
        <x:f>IF(COUNT(AA45,AB45,AC45)=3,AVERAGE(AA45,AB45,AC45),"")</x:f>
        <x:v>93.69914602841332</x:v>
      </x:c>
      <x:c r="BJ45" s="34" t="n">
        <x:f>IF(COUNT(AD45,AE45)=2,AVERAGE(AD45,AE45),"")</x:f>
        <x:v>41.58416289285714</x:v>
      </x:c>
      <x:c r="BK45" s="34" t="n">
        <x:f>IF(COUNT(AF45,AG45)=2,AVERAGE(AF45,AG45),"")</x:f>
        <x:v>32.973676098524976</x:v>
      </x:c>
      <x:c r="BL45" s="34" t="n">
        <x:f>IF(COUNT(AH45,AI45)=2,AVERAGE(AH45,AI45),"")</x:f>
        <x:v>66.81062103998093</x:v>
      </x:c>
      <x:c r="BM45" s="34" t="n">
        <x:f>IF(COUNT(AJ45,AK45)=2,AVERAGE(AJ45,AK45),"")</x:f>
        <x:v>49.18646611826979</x:v>
      </x:c>
      <x:c r="BN45" s="34" t="n">
        <x:f>IF(COUNT(AL45,AM45,AN45)=3,AVERAGE(AL45,AM45,AN45),"")</x:f>
        <x:v>56.999736804994704</x:v>
      </x:c>
      <x:c r="BO45" s="35" t="n">
        <x:f>IF(AND(COUNT(BG45:BN45)=8,ABS('Scoring Setup'!$C$17-1)&lt;0.000001),BG45*'Scoring Setup'!$C$9+BH45*'Scoring Setup'!$C$10+BI45*'Scoring Setup'!$C$11+BJ45*'Scoring Setup'!$C$12+BK45*'Scoring Setup'!$C$13+BL45*'Scoring Setup'!$C$14+BM45*'Scoring Setup'!$C$15+BN45*'Scoring Setup'!$C$16,"")</x:f>
        <x:v>55.31385453404177</x:v>
      </x:c>
      <x:c r="BP45" s="36" t="n">
        <x:f>IF(COUNT(AO45:BF45)=18,MIN(AO45:BF45),"")</x:f>
        <x:v>0.8</x:v>
      </x:c>
      <x:c r="BQ45" s="35" t="n">
        <x:f>IF(AND(ISNUMBER(BO45),ISNUMBER(BP45)),BO45*BP45,"")</x:f>
        <x:v>44.25108362723342</x:v>
      </x:c>
      <x:c r="BR45" s="17" t="str">
        <x:f>IF(COUNT(AO45:BF45)=18,INDEX('Scoring Setup'!$F$9:$F$26,MATCH(MIN(AO45:BF45),AO45:BF45,0),1),"")</x:f>
        <x:v>到Interstate距离</x:v>
      </x:c>
    </x:row>
    <x:row r="46">
      <x:c r="A46" s="28" t="str">
        <x:v>51085</x:v>
      </x:c>
      <x:c r="B46" s="28" t="str">
        <x:v>Hanover County</x:v>
      </x:c>
      <x:c r="C46" s="28" t="str">
        <x:v>VA</x:v>
      </x:c>
      <x:c r="D46" s="31" t="n">
        <x:v>1211.009692</x:v>
      </x:c>
      <x:c r="E46" s="32" t="n">
        <x:v>0.273</x:v>
      </x:c>
      <x:c r="F46" s="32" t="n">
        <x:v>0.17264851485148502</x:v>
      </x:c>
      <x:c r="G46" s="32" t="n">
        <x:v>1.9379325328868395</x:v>
      </x:c>
      <x:c r="H46" s="32" t="n">
        <x:v>2.3327351983676343</x:v>
      </x:c>
      <x:c r="I46" s="32" t="n">
        <x:v>0.8726298092619704</x:v>
      </x:c>
      <x:c r="J46" s="32" t="n">
        <x:v>0.00039541992416523717</x:v>
      </x:c>
      <x:c r="K46" s="32" t="n">
        <x:v>0.11635595962162633</x:v>
      </x:c>
      <x:c r="L46" s="32" t="n">
        <x:v>0.580829814</x:v>
      </x:c>
      <x:c r="M46" s="32" t="n">
        <x:v>0.528150832</x:v>
      </x:c>
      <x:c r="N46" s="32" t="n">
        <x:v>62089</x:v>
      </x:c>
      <x:c r="O46" s="32" t="n">
        <x:v>0.0274</x:v>
      </x:c>
      <x:c r="P46" s="32" t="n">
        <x:v>1198.5546264648438</x:v>
      </x:c>
      <x:c r="Q46" s="32" t="n">
        <x:v>25.60501340230306</x:v>
      </x:c>
      <x:c r="R46" s="32" t="n">
        <x:v>2.7098102775290616</x:v>
      </x:c>
      <x:c r="S46" s="32" t="n">
        <x:v>0.8941238958008734</x:v>
      </x:c>
      <x:c r="T46" s="32" t="n">
        <x:v>89.9</x:v>
      </x:c>
      <x:c r="U46" s="32" t="n">
        <x:v>245.07712999476223</x:v>
      </x:c>
      <x:c r="V46" s="32" t="n">
        <x:v>244.75798925963002</x:v>
      </x:c>
      <x:c r="W46" s="33" t="n">
        <x:f>IF(ISNUMBER(E46),100*MAX(0,MIN(1,('Anchors'!$H$6-E46)/('Anchors'!$H$6-'Anchors'!$G$6))),"")</x:f>
        <x:v>89.57142857142858</x:v>
      </x:c>
      <x:c r="X46" s="33" t="n">
        <x:f>IF(ISNUMBER(F46),100*MAX(0,MIN(1,('Anchors'!$H$7-F46)/('Anchors'!$H$7-'Anchors'!$G$7))),"")</x:f>
        <x:v>89.62164073550214</x:v>
      </x:c>
      <x:c r="Y46" s="33" t="n">
        <x:f>IF(ISNUMBER(G46),100*MAX(0,MIN(1,('Anchors'!$H$8-G46)/('Anchors'!$H$8-'Anchors'!$G$8))),"")</x:f>
        <x:v>68.73558223710535</x:v>
      </x:c>
      <x:c r="Z46" s="33" t="n">
        <x:f>IF(ISNUMBER(H46),100*MAX(0,MIN(1,('Anchors'!$H$9-H46)/('Anchors'!$H$9-'Anchors'!$G$9))),"")</x:f>
        <x:v>55.575493387745524</x:v>
      </x:c>
      <x:c r="AA46" s="33" t="n">
        <x:f>IF(ISNUMBER(I46),100*MAX(0,MIN(1,(I46-'Anchors'!$H$10)/('Anchors'!$G$10-'Anchors'!$H$10))),"")</x:f>
        <x:v>85.29175469342061</x:v>
      </x:c>
      <x:c r="AB46" s="33" t="n">
        <x:f>IF(ISNUMBER(J46),100*MAX(0,MIN(1,('Anchors'!$H$11-J46)/('Anchors'!$H$11-'Anchors'!$G$11))),"")</x:f>
        <x:v>99.8418320303339</x:v>
      </x:c>
      <x:c r="AC46" s="33" t="n">
        <x:f>IF(ISNUMBER(K46),100*MAX(0,MIN(1,('Anchors'!$H$12-K46)/('Anchors'!$H$12-'Anchors'!$G$12))),"")</x:f>
        <x:v>70.91101009459342</x:v>
      </x:c>
      <x:c r="AD46" s="33" t="n">
        <x:f>IF(ISNUMBER(L46),100*MAX(0,MIN(1,(L46-'Anchors'!$H$13)/('Anchors'!$G$13-'Anchors'!$H$13))),"")</x:f>
        <x:v>54.40425914285715</x:v>
      </x:c>
      <x:c r="AE46" s="33" t="n">
        <x:f>IF(ISNUMBER(M46),100*MAX(0,MIN(1,(M46-'Anchors'!$H$14)/('Anchors'!$G$14-'Anchors'!$H$14))),"")</x:f>
        <x:v>53.518854000000005</x:v>
      </x:c>
      <x:c r="AF46" s="33" t="n">
        <x:f>IF(ISNUMBER(N46),100*MAX(0,MIN(1,(LN(1+N46)-LN(1+'Anchors'!$H$15))/(LN(1+'Anchors'!$G$15)-LN(1+'Anchors'!$H$15)))),"")</x:f>
        <x:v>79.56780040870865</x:v>
      </x:c>
      <x:c r="AG46" s="33" t="n">
        <x:f>IF(ISNUMBER(O46),100*MAX(0,MIN(1,('Anchors'!$H$16-O46)/('Anchors'!$H$16-'Anchors'!$G$16))),"")</x:f>
        <x:v>100</x:v>
      </x:c>
      <x:c r="AH46" s="33" t="n">
        <x:f>IF(ISNUMBER(P46),100*MAX(0,MIN(1,('Anchors'!$H$17-P46)/('Anchors'!$H$17-'Anchors'!$G$17))),"")</x:f>
        <x:v>66.76302490234374</x:v>
      </x:c>
      <x:c r="AI46" s="33" t="n">
        <x:f>IF(ISNUMBER(Q46),100*MAX(0,MIN(1,('Anchors'!$H$18-Q46)/('Anchors'!$H$18-'Anchors'!$G$18))),"")</x:f>
        <x:v>70.56426656813849</x:v>
      </x:c>
      <x:c r="AJ46" s="33" t="n">
        <x:f>IF(ISNUMBER(R46),100*MAX(0,MIN(1,('Anchors'!$H$19-R46)/('Anchors'!$H$19-'Anchors'!$G$19))),"")</x:f>
        <x:v>100</x:v>
      </x:c>
      <x:c r="AK46" s="33" t="n">
        <x:f>IF(ISNUMBER(S46),100*MAX(0,MIN(1,('Anchors'!$H$20-S46)/('Anchors'!$H$20-'Anchors'!$G$20))),"")</x:f>
        <x:v>100</x:v>
      </x:c>
      <x:c r="AL46" s="33" t="n">
        <x:f>IF(ISNUMBER(T46),100*MAX(0,MIN(1,('Anchors'!$H$21-T46)/('Anchors'!$H$21-'Anchors'!$G$21))),"")</x:f>
        <x:v>54.72727272727271</x:v>
      </x:c>
      <x:c r="AM46" s="33" t="n">
        <x:f>IF(ISNUMBER(U46),100*MAX(0,MIN(1,('Anchors'!$H$22-U46)/('Anchors'!$H$22-'Anchors'!$G$22))),"")</x:f>
        <x:v>27.461435002618884</x:v>
      </x:c>
      <x:c r="AN46" s="33" t="n">
        <x:f>IF(ISNUMBER(V46),100*MAX(0,MIN(1,('Anchors'!$H$23-V46)/('Anchors'!$H$23-'Anchors'!$G$23))),"")</x:f>
        <x:v>88.8105026850925</x:v>
      </x:c>
      <x:c r="AO46" s="27" t="n">
        <x:f>IF(ISNUMBER(W46),IF('Scoring Setup'!$L$9=1,1-'Scoring Setup'!$B$5*(1-MAX(0,MIN(1,(W46-'Scoring Setup'!$K$9)/(100-'Scoring Setup'!$K$9)))),1),"")</x:f>
        <x:v>0.9791428571428572</x:v>
      </x:c>
      <x:c r="AP46" s="27" t="n">
        <x:f>IF(ISNUMBER(X46),IF('Scoring Setup'!$L$10=1,1-'Scoring Setup'!$B$5*(1-MAX(0,MIN(1,(X46-'Scoring Setup'!$K$10)/(100-'Scoring Setup'!$K$10)))),1),"")</x:f>
        <x:v>0.9792432814710043</x:v>
      </x:c>
      <x:c r="AQ46" s="27" t="n">
        <x:f>IF(ISNUMBER(Y46),IF('Scoring Setup'!$L$11=1,1-'Scoring Setup'!$B$5*(1-MAX(0,MIN(1,(Y46-'Scoring Setup'!$K$11)/(100-'Scoring Setup'!$K$11)))),1),"")</x:f>
        <x:v>0.9374711644742107</x:v>
      </x:c>
      <x:c r="AR46" s="27" t="n">
        <x:f>IF(ISNUMBER(Z46),IF('Scoring Setup'!$L$12=1,1-'Scoring Setup'!$B$5*(1-MAX(0,MIN(1,(Z46-'Scoring Setup'!$K$12)/(100-'Scoring Setup'!$K$12)))),1),"")</x:f>
        <x:v>0.911150986775491</x:v>
      </x:c>
      <x:c r="AS46" s="27" t="n">
        <x:f>IF(ISNUMBER(AA46),IF('Scoring Setup'!$L$13=1,1-'Scoring Setup'!$B$5*(1-MAX(0,MIN(1,(AA46-'Scoring Setup'!$K$13)/(100-'Scoring Setup'!$K$13)))),1),"")</x:f>
        <x:v>0.9705835093868412</x:v>
      </x:c>
      <x:c r="AT46" s="27" t="n">
        <x:f>IF(ISNUMBER(AB46),IF('Scoring Setup'!$L$14=1,1-'Scoring Setup'!$B$5*(1-MAX(0,MIN(1,(AB46-'Scoring Setup'!$K$14)/(100-'Scoring Setup'!$K$14)))),1),"")</x:f>
        <x:v>0.9996836640606678</x:v>
      </x:c>
      <x:c r="AU46" s="27" t="n">
        <x:f>IF(ISNUMBER(AC46),IF('Scoring Setup'!$L$15=1,1-'Scoring Setup'!$B$5*(1-MAX(0,MIN(1,(AC46-'Scoring Setup'!$K$15)/(100-'Scoring Setup'!$K$15)))),1),"")</x:f>
        <x:v>0.9418220201891868</x:v>
      </x:c>
      <x:c r="AV46" s="27" t="n">
        <x:f>IF(ISNUMBER(AD46),IF('Scoring Setup'!$L$16=1,1-'Scoring Setup'!$B$5*(1-MAX(0,MIN(1,(AD46-'Scoring Setup'!$K$16)/(100-'Scoring Setup'!$K$16)))),1),"")</x:f>
        <x:v>0.9088085182857143</x:v>
      </x:c>
      <x:c r="AW46" s="27" t="n">
        <x:f>IF(ISNUMBER(AE46),IF('Scoring Setup'!$L$17=1,1-'Scoring Setup'!$B$5*(1-MAX(0,MIN(1,(AE46-'Scoring Setup'!$K$17)/(100-'Scoring Setup'!$K$17)))),1),"")</x:f>
        <x:v>0.907037708</x:v>
      </x:c>
      <x:c r="AX46" s="27" t="n">
        <x:f>IF(ISNUMBER(AF46),IF('Scoring Setup'!$L$18=1,1-'Scoring Setup'!$B$5*(1-MAX(0,MIN(1,(AF46-'Scoring Setup'!$K$18)/(100-'Scoring Setup'!$K$18)))),1),"")</x:f>
        <x:v>0.9591356008174173</x:v>
      </x:c>
      <x:c r="AY46" s="27" t="n">
        <x:f>IF(ISNUMBER(AG46),IF('Scoring Setup'!$L$19=1,1-'Scoring Setup'!$B$5*(1-MAX(0,MIN(1,(AG46-'Scoring Setup'!$K$19)/(100-'Scoring Setup'!$K$19)))),1),"")</x:f>
        <x:v>1</x:v>
      </x:c>
      <x:c r="AZ46" s="27" t="n">
        <x:f>IF(ISNUMBER(AH46),IF('Scoring Setup'!$L$20=1,1-'Scoring Setup'!$B$5*(1-MAX(0,MIN(1,(AH46-'Scoring Setup'!$K$20)/(100-'Scoring Setup'!$K$20)))),1),"")</x:f>
        <x:v>0.9335260498046875</x:v>
      </x:c>
      <x:c r="BA46" s="27" t="n">
        <x:f>IF(ISNUMBER(AI46),IF('Scoring Setup'!$L$21=1,1-'Scoring Setup'!$B$5*(1-MAX(0,MIN(1,(AI46-'Scoring Setup'!$K$21)/(100-'Scoring Setup'!$K$21)))),1),"")</x:f>
        <x:v>0.941128533136277</x:v>
      </x:c>
      <x:c r="BB46" s="27" t="n">
        <x:f>IF(ISNUMBER(AJ46),IF('Scoring Setup'!$L$22=1,1-'Scoring Setup'!$B$5*(1-MAX(0,MIN(1,(AJ46-'Scoring Setup'!$K$22)/(100-'Scoring Setup'!$K$22)))),1),"")</x:f>
        <x:v>1</x:v>
      </x:c>
      <x:c r="BC46" s="27" t="n">
        <x:f>IF(ISNUMBER(AK46),IF('Scoring Setup'!$L$23=1,1-'Scoring Setup'!$B$5*(1-MAX(0,MIN(1,(AK46-'Scoring Setup'!$K$23)/(100-'Scoring Setup'!$K$23)))),1),"")</x:f>
        <x:v>1</x:v>
      </x:c>
      <x:c r="BD46" s="27" t="n">
        <x:f>IF(ISNUMBER(AL46),IF('Scoring Setup'!$L$24=1,1-'Scoring Setup'!$B$5*(1-MAX(0,MIN(1,(AL46-'Scoring Setup'!$K$24)/(100-'Scoring Setup'!$K$24)))),1),"")</x:f>
        <x:v>0.9094545454545454</x:v>
      </x:c>
      <x:c r="BE46" s="27" t="n">
        <x:f>IF(ISNUMBER(AM46),IF('Scoring Setup'!$L$25=1,1-'Scoring Setup'!$B$5*(1-MAX(0,MIN(1,(AM46-'Scoring Setup'!$K$25)/(100-'Scoring Setup'!$K$25)))),1),"")</x:f>
        <x:v>0.8549228700052378</x:v>
      </x:c>
      <x:c r="BF46" s="27" t="n">
        <x:f>IF(ISNUMBER(AN46),IF('Scoring Setup'!$L$26=1,1-'Scoring Setup'!$B$5*(1-MAX(0,MIN(1,(AN46-'Scoring Setup'!$K$26)/(100-'Scoring Setup'!$K$26)))),1),"")</x:f>
        <x:v>0.977621005370185</x:v>
      </x:c>
      <x:c r="BG46" s="34" t="n">
        <x:f>IF(COUNT(W46,X46)=2,AVERAGE(W46,X46),"")</x:f>
        <x:v>89.59653465346537</x:v>
      </x:c>
      <x:c r="BH46" s="34" t="n">
        <x:f>IF(COUNT(Y46,Z46)=2,AVERAGE(Y46,Z46),"")</x:f>
        <x:v>62.155537812425436</x:v>
      </x:c>
      <x:c r="BI46" s="34" t="n">
        <x:f>IF(COUNT(AA46,AB46,AC46)=3,AVERAGE(AA46,AB46,AC46),"")</x:f>
        <x:v>85.34819893944932</x:v>
      </x:c>
      <x:c r="BJ46" s="34" t="n">
        <x:f>IF(COUNT(AD46,AE46)=2,AVERAGE(AD46,AE46),"")</x:f>
        <x:v>53.961556571428574</x:v>
      </x:c>
      <x:c r="BK46" s="34" t="n">
        <x:f>IF(COUNT(AF46,AG46)=2,AVERAGE(AF46,AG46),"")</x:f>
        <x:v>89.78390020435432</x:v>
      </x:c>
      <x:c r="BL46" s="34" t="n">
        <x:f>IF(COUNT(AH46,AI46)=2,AVERAGE(AH46,AI46),"")</x:f>
        <x:v>68.66364573524112</x:v>
      </x:c>
      <x:c r="BM46" s="34" t="n">
        <x:f>IF(COUNT(AJ46,AK46)=2,AVERAGE(AJ46,AK46),"")</x:f>
        <x:v>100</x:v>
      </x:c>
      <x:c r="BN46" s="34" t="n">
        <x:f>IF(COUNT(AL46,AM46,AN46)=3,AVERAGE(AL46,AM46,AN46),"")</x:f>
        <x:v>56.999736804994704</x:v>
      </x:c>
      <x:c r="BO46" s="35" t="n">
        <x:f>IF(AND(COUNT(BG46:BN46)=8,ABS('Scoring Setup'!$C$17-1)&lt;0.000001),BG46*'Scoring Setup'!$C$9+BH46*'Scoring Setup'!$C$10+BI46*'Scoring Setup'!$C$11+BJ46*'Scoring Setup'!$C$12+BK46*'Scoring Setup'!$C$13+BL46*'Scoring Setup'!$C$14+BM46*'Scoring Setup'!$C$15+BN46*'Scoring Setup'!$C$16,"")</x:f>
        <x:v>69.83322992761532</x:v>
      </x:c>
      <x:c r="BP46" s="36" t="n">
        <x:f>IF(COUNT(AO46:BF46)=18,MIN(AO46:BF46),"")</x:f>
        <x:v>0.8549228700052378</x:v>
      </x:c>
      <x:c r="BQ46" s="35" t="n">
        <x:f>IF(AND(ISNUMBER(BO46),ISNUMBER(BP46)),BO46*BP46,"")</x:f>
        <x:v>59.702025351452555</x:v>
      </x:c>
      <x:c r="BR46" s="17" t="str">
        <x:f>IF(COUNT(AO46:BF46)=18,INDEX('Scoring Setup'!$F$9:$F$26,MATCH(MIN(AO46:BF46),AO46:BF46,0),1),"")</x:f>
        <x:v>州SAIDI不含重大事件日</x:v>
      </x:c>
    </x:row>
    <x:row r="47">
      <x:c r="A47" s="28" t="str">
        <x:v>51087</x:v>
      </x:c>
      <x:c r="B47" s="28" t="str">
        <x:v>Henrico County</x:v>
      </x:c>
      <x:c r="C47" s="28" t="str">
        <x:v>VA</x:v>
      </x:c>
      <x:c r="D47" s="31" t="n">
        <x:v>605.276759</x:v>
      </x:c>
      <x:c r="E47" s="32" t="n">
        <x:v>0.246</x:v>
      </x:c>
      <x:c r="F47" s="32" t="n">
        <x:v>0.078279702970297</x:v>
      </x:c>
      <x:c r="G47" s="32" t="n">
        <x:v>3.0289768462658917</x:v>
      </x:c>
      <x:c r="H47" s="32" t="n">
        <x:v>3.305137836903937</x:v>
      </x:c>
      <x:c r="I47" s="32" t="n">
        <x:v>0.531850266565564</x:v>
      </x:c>
      <x:c r="J47" s="32" t="n">
        <x:v>0.007109099369410904</x:v>
      </x:c>
      <x:c r="K47" s="32" t="n">
        <x:v>0.1421317047607058</x:v>
      </x:c>
      <x:c r="L47" s="32" t="n">
        <x:v>0.789355845</x:v>
      </x:c>
      <x:c r="M47" s="32" t="n">
        <x:v>0.004251545</x:v>
      </x:c>
      <x:c r="N47" s="32" t="n">
        <x:v>185131</x:v>
      </x:c>
      <x:c r="O47" s="32" t="n">
        <x:v>0.3414</x:v>
      </x:c>
      <x:c r="P47" s="32" t="n">
        <x:v>1331.1063883463542</x:v>
      </x:c>
      <x:c r="Q47" s="32" t="n">
        <x:v>30.182514699300132</x:v>
      </x:c>
      <x:c r="R47" s="32" t="n">
        <x:v>2.3705507283732823</x:v>
      </x:c>
      <x:c r="S47" s="32" t="n">
        <x:v>5.60715842641278</x:v>
      </x:c>
      <x:c r="T47" s="32" t="n">
        <x:v>89.9</x:v>
      </x:c>
      <x:c r="U47" s="32" t="n">
        <x:v>245.07712999476223</x:v>
      </x:c>
      <x:c r="V47" s="32" t="n">
        <x:v>244.75798925963002</x:v>
      </x:c>
      <x:c r="W47" s="33" t="n">
        <x:f>IF(ISNUMBER(E47),100*MAX(0,MIN(1,('Anchors'!$H$6-E47)/('Anchors'!$H$6-'Anchors'!$G$6))),"")</x:f>
        <x:v>93.42857142857144</x:v>
      </x:c>
      <x:c r="X47" s="33" t="n">
        <x:f>IF(ISNUMBER(F47),100*MAX(0,MIN(1,('Anchors'!$H$7-F47)/('Anchors'!$H$7-'Anchors'!$G$7))),"")</x:f>
        <x:v>100</x:v>
      </x:c>
      <x:c r="Y47" s="33" t="n">
        <x:f>IF(ISNUMBER(G47),100*MAX(0,MIN(1,('Anchors'!$H$8-G47)/('Anchors'!$H$8-'Anchors'!$G$8))),"")</x:f>
        <x:v>32.36743845780361</x:v>
      </x:c>
      <x:c r="Z47" s="33" t="n">
        <x:f>IF(ISNUMBER(H47),100*MAX(0,MIN(1,('Anchors'!$H$9-H47)/('Anchors'!$H$9-'Anchors'!$G$9))),"")</x:f>
        <x:v>23.1620721032021</x:v>
      </x:c>
      <x:c r="AA47" s="33" t="n">
        <x:f>IF(ISNUMBER(I47),100*MAX(0,MIN(1,(I47-'Anchors'!$H$10)/('Anchors'!$G$10-'Anchors'!$H$10))),"")</x:f>
        <x:v>38.609625556926574</x:v>
      </x:c>
      <x:c r="AB47" s="33" t="n">
        <x:f>IF(ISNUMBER(J47),100*MAX(0,MIN(1,('Anchors'!$H$11-J47)/('Anchors'!$H$11-'Anchors'!$G$11))),"")</x:f>
        <x:v>97.15636025223564</x:v>
      </x:c>
      <x:c r="AC47" s="33" t="n">
        <x:f>IF(ISNUMBER(K47),100*MAX(0,MIN(1,('Anchors'!$H$12-K47)/('Anchors'!$H$12-'Anchors'!$G$12))),"")</x:f>
        <x:v>64.46707380982355</x:v>
      </x:c>
      <x:c r="AD47" s="33" t="n">
        <x:f>IF(ISNUMBER(L47),100*MAX(0,MIN(1,(L47-'Anchors'!$H$13)/('Anchors'!$G$13-'Anchors'!$H$13))),"")</x:f>
        <x:v>84.19369214285716</x:v>
      </x:c>
      <x:c r="AE47" s="33" t="n">
        <x:f>IF(ISNUMBER(M47),100*MAX(0,MIN(1,(M47-'Anchors'!$H$14)/('Anchors'!$G$14-'Anchors'!$H$14))),"")</x:f>
        <x:v>0</x:v>
      </x:c>
      <x:c r="AF47" s="33" t="n">
        <x:f>IF(ISNUMBER(N47),100*MAX(0,MIN(1,(LN(1+N47)-LN(1+'Anchors'!$H$15))/(LN(1+'Anchors'!$G$15)-LN(1+'Anchors'!$H$15)))),"")</x:f>
        <x:v>100</x:v>
      </x:c>
      <x:c r="AG47" s="33" t="n">
        <x:f>IF(ISNUMBER(O47),100*MAX(0,MIN(1,('Anchors'!$H$16-O47)/('Anchors'!$H$16-'Anchors'!$G$16))),"")</x:f>
        <x:v>67.62222222222223</x:v>
      </x:c>
      <x:c r="AH47" s="33" t="n">
        <x:f>IF(ISNUMBER(P47),100*MAX(0,MIN(1,('Anchors'!$H$17-P47)/('Anchors'!$H$17-'Anchors'!$G$17))),"")</x:f>
        <x:v>57.92624077690972</x:v>
      </x:c>
      <x:c r="AI47" s="33" t="n">
        <x:f>IF(ISNUMBER(Q47),100*MAX(0,MIN(1,('Anchors'!$H$18-Q47)/('Anchors'!$H$18-'Anchors'!$G$18))),"")</x:f>
        <x:v>64.02497900099982</x:v>
      </x:c>
      <x:c r="AJ47" s="33" t="n">
        <x:f>IF(ISNUMBER(R47),100*MAX(0,MIN(1,('Anchors'!$H$19-R47)/('Anchors'!$H$19-'Anchors'!$G$19))),"")</x:f>
        <x:v>100</x:v>
      </x:c>
      <x:c r="AK47" s="33" t="n">
        <x:f>IF(ISNUMBER(S47),100*MAX(0,MIN(1,('Anchors'!$H$20-S47)/('Anchors'!$H$20-'Anchors'!$G$20))),"")</x:f>
        <x:v>75.75179775572221</x:v>
      </x:c>
      <x:c r="AL47" s="33" t="n">
        <x:f>IF(ISNUMBER(T47),100*MAX(0,MIN(1,('Anchors'!$H$21-T47)/('Anchors'!$H$21-'Anchors'!$G$21))),"")</x:f>
        <x:v>54.72727272727271</x:v>
      </x:c>
      <x:c r="AM47" s="33" t="n">
        <x:f>IF(ISNUMBER(U47),100*MAX(0,MIN(1,('Anchors'!$H$22-U47)/('Anchors'!$H$22-'Anchors'!$G$22))),"")</x:f>
        <x:v>27.461435002618884</x:v>
      </x:c>
      <x:c r="AN47" s="33" t="n">
        <x:f>IF(ISNUMBER(V47),100*MAX(0,MIN(1,('Anchors'!$H$23-V47)/('Anchors'!$H$23-'Anchors'!$G$23))),"")</x:f>
        <x:v>88.8105026850925</x:v>
      </x:c>
      <x:c r="AO47" s="27" t="n">
        <x:f>IF(ISNUMBER(W47),IF('Scoring Setup'!$L$9=1,1-'Scoring Setup'!$B$5*(1-MAX(0,MIN(1,(W47-'Scoring Setup'!$K$9)/(100-'Scoring Setup'!$K$9)))),1),"")</x:f>
        <x:v>0.9868571428571429</x:v>
      </x:c>
      <x:c r="AP47" s="27" t="n">
        <x:f>IF(ISNUMBER(X47),IF('Scoring Setup'!$L$10=1,1-'Scoring Setup'!$B$5*(1-MAX(0,MIN(1,(X47-'Scoring Setup'!$K$10)/(100-'Scoring Setup'!$K$10)))),1),"")</x:f>
        <x:v>1</x:v>
      </x:c>
      <x:c r="AQ47" s="27" t="n">
        <x:f>IF(ISNUMBER(Y47),IF('Scoring Setup'!$L$11=1,1-'Scoring Setup'!$B$5*(1-MAX(0,MIN(1,(Y47-'Scoring Setup'!$K$11)/(100-'Scoring Setup'!$K$11)))),1),"")</x:f>
        <x:v>0.8647348769156072</x:v>
      </x:c>
      <x:c r="AR47" s="27" t="n">
        <x:f>IF(ISNUMBER(Z47),IF('Scoring Setup'!$L$12=1,1-'Scoring Setup'!$B$5*(1-MAX(0,MIN(1,(Z47-'Scoring Setup'!$K$12)/(100-'Scoring Setup'!$K$12)))),1),"")</x:f>
        <x:v>0.8463241442064042</x:v>
      </x:c>
      <x:c r="AS47" s="27" t="n">
        <x:f>IF(ISNUMBER(AA47),IF('Scoring Setup'!$L$13=1,1-'Scoring Setup'!$B$5*(1-MAX(0,MIN(1,(AA47-'Scoring Setup'!$K$13)/(100-'Scoring Setup'!$K$13)))),1),"")</x:f>
        <x:v>0.8772192511138531</x:v>
      </x:c>
      <x:c r="AT47" s="27" t="n">
        <x:f>IF(ISNUMBER(AB47),IF('Scoring Setup'!$L$14=1,1-'Scoring Setup'!$B$5*(1-MAX(0,MIN(1,(AB47-'Scoring Setup'!$K$14)/(100-'Scoring Setup'!$K$14)))),1),"")</x:f>
        <x:v>0.9943127205044713</x:v>
      </x:c>
      <x:c r="AU47" s="27" t="n">
        <x:f>IF(ISNUMBER(AC47),IF('Scoring Setup'!$L$15=1,1-'Scoring Setup'!$B$5*(1-MAX(0,MIN(1,(AC47-'Scoring Setup'!$K$15)/(100-'Scoring Setup'!$K$15)))),1),"")</x:f>
        <x:v>0.9289341476196471</x:v>
      </x:c>
      <x:c r="AV47" s="27" t="n">
        <x:f>IF(ISNUMBER(AD47),IF('Scoring Setup'!$L$16=1,1-'Scoring Setup'!$B$5*(1-MAX(0,MIN(1,(AD47-'Scoring Setup'!$K$16)/(100-'Scoring Setup'!$K$16)))),1),"")</x:f>
        <x:v>0.9683873842857144</x:v>
      </x:c>
      <x:c r="AW47" s="27" t="n">
        <x:f>IF(ISNUMBER(AE47),IF('Scoring Setup'!$L$17=1,1-'Scoring Setup'!$B$5*(1-MAX(0,MIN(1,(AE47-'Scoring Setup'!$K$17)/(100-'Scoring Setup'!$K$17)))),1),"")</x:f>
        <x:v>0.8</x:v>
      </x:c>
      <x:c r="AX47" s="27" t="n">
        <x:f>IF(ISNUMBER(AF47),IF('Scoring Setup'!$L$18=1,1-'Scoring Setup'!$B$5*(1-MAX(0,MIN(1,(AF47-'Scoring Setup'!$K$18)/(100-'Scoring Setup'!$K$18)))),1),"")</x:f>
        <x:v>1</x:v>
      </x:c>
      <x:c r="AY47" s="27" t="n">
        <x:f>IF(ISNUMBER(AG47),IF('Scoring Setup'!$L$19=1,1-'Scoring Setup'!$B$5*(1-MAX(0,MIN(1,(AG47-'Scoring Setup'!$K$19)/(100-'Scoring Setup'!$K$19)))),1),"")</x:f>
        <x:v>0.9352444444444444</x:v>
      </x:c>
      <x:c r="AZ47" s="27" t="n">
        <x:f>IF(ISNUMBER(AH47),IF('Scoring Setup'!$L$20=1,1-'Scoring Setup'!$B$5*(1-MAX(0,MIN(1,(AH47-'Scoring Setup'!$K$20)/(100-'Scoring Setup'!$K$20)))),1),"")</x:f>
        <x:v>0.9158524815538194</x:v>
      </x:c>
      <x:c r="BA47" s="27" t="n">
        <x:f>IF(ISNUMBER(AI47),IF('Scoring Setup'!$L$21=1,1-'Scoring Setup'!$B$5*(1-MAX(0,MIN(1,(AI47-'Scoring Setup'!$K$21)/(100-'Scoring Setup'!$K$21)))),1),"")</x:f>
        <x:v>0.9280499580019996</x:v>
      </x:c>
      <x:c r="BB47" s="27" t="n">
        <x:f>IF(ISNUMBER(AJ47),IF('Scoring Setup'!$L$22=1,1-'Scoring Setup'!$B$5*(1-MAX(0,MIN(1,(AJ47-'Scoring Setup'!$K$22)/(100-'Scoring Setup'!$K$22)))),1),"")</x:f>
        <x:v>1</x:v>
      </x:c>
      <x:c r="BC47" s="27" t="n">
        <x:f>IF(ISNUMBER(AK47),IF('Scoring Setup'!$L$23=1,1-'Scoring Setup'!$B$5*(1-MAX(0,MIN(1,(AK47-'Scoring Setup'!$K$23)/(100-'Scoring Setup'!$K$23)))),1),"")</x:f>
        <x:v>0.9515035955114444</x:v>
      </x:c>
      <x:c r="BD47" s="27" t="n">
        <x:f>IF(ISNUMBER(AL47),IF('Scoring Setup'!$L$24=1,1-'Scoring Setup'!$B$5*(1-MAX(0,MIN(1,(AL47-'Scoring Setup'!$K$24)/(100-'Scoring Setup'!$K$24)))),1),"")</x:f>
        <x:v>0.9094545454545454</x:v>
      </x:c>
      <x:c r="BE47" s="27" t="n">
        <x:f>IF(ISNUMBER(AM47),IF('Scoring Setup'!$L$25=1,1-'Scoring Setup'!$B$5*(1-MAX(0,MIN(1,(AM47-'Scoring Setup'!$K$25)/(100-'Scoring Setup'!$K$25)))),1),"")</x:f>
        <x:v>0.8549228700052378</x:v>
      </x:c>
      <x:c r="BF47" s="27" t="n">
        <x:f>IF(ISNUMBER(AN47),IF('Scoring Setup'!$L$26=1,1-'Scoring Setup'!$B$5*(1-MAX(0,MIN(1,(AN47-'Scoring Setup'!$K$26)/(100-'Scoring Setup'!$K$26)))),1),"")</x:f>
        <x:v>0.977621005370185</x:v>
      </x:c>
      <x:c r="BG47" s="34" t="n">
        <x:f>IF(COUNT(W47,X47)=2,AVERAGE(W47,X47),"")</x:f>
        <x:v>96.71428571428572</x:v>
      </x:c>
      <x:c r="BH47" s="34" t="n">
        <x:f>IF(COUNT(Y47,Z47)=2,AVERAGE(Y47,Z47),"")</x:f>
        <x:v>27.764755280502854</x:v>
      </x:c>
      <x:c r="BI47" s="34" t="n">
        <x:f>IF(COUNT(AA47,AB47,AC47)=3,AVERAGE(AA47,AB47,AC47),"")</x:f>
        <x:v>66.74435320632858</x:v>
      </x:c>
      <x:c r="BJ47" s="34" t="n">
        <x:f>IF(COUNT(AD47,AE47)=2,AVERAGE(AD47,AE47),"")</x:f>
        <x:v>42.09684607142858</x:v>
      </x:c>
      <x:c r="BK47" s="34" t="n">
        <x:f>IF(COUNT(AF47,AG47)=2,AVERAGE(AF47,AG47),"")</x:f>
        <x:v>83.81111111111112</x:v>
      </x:c>
      <x:c r="BL47" s="34" t="n">
        <x:f>IF(COUNT(AH47,AI47)=2,AVERAGE(AH47,AI47),"")</x:f>
        <x:v>60.97560988895477</x:v>
      </x:c>
      <x:c r="BM47" s="34" t="n">
        <x:f>IF(COUNT(AJ47,AK47)=2,AVERAGE(AJ47,AK47),"")</x:f>
        <x:v>87.8758988778611</x:v>
      </x:c>
      <x:c r="BN47" s="34" t="n">
        <x:f>IF(COUNT(AL47,AM47,AN47)=3,AVERAGE(AL47,AM47,AN47),"")</x:f>
        <x:v>56.999736804994704</x:v>
      </x:c>
      <x:c r="BO47" s="35" t="n">
        <x:f>IF(AND(COUNT(BG47:BN47)=8,ABS('Scoring Setup'!$C$17-1)&lt;0.000001),BG47*'Scoring Setup'!$C$9+BH47*'Scoring Setup'!$C$10+BI47*'Scoring Setup'!$C$11+BJ47*'Scoring Setup'!$C$12+BK47*'Scoring Setup'!$C$13+BL47*'Scoring Setup'!$C$14+BM47*'Scoring Setup'!$C$15+BN47*'Scoring Setup'!$C$16,"")</x:f>
        <x:v>59.03210714625518</x:v>
      </x:c>
      <x:c r="BP47" s="36" t="n">
        <x:f>IF(COUNT(AO47:BF47)=18,MIN(AO47:BF47),"")</x:f>
        <x:v>0.8</x:v>
      </x:c>
      <x:c r="BQ47" s="35" t="n">
        <x:f>IF(AND(ISNUMBER(BO47),ISNUMBER(BP47)),BO47*BP47,"")</x:f>
        <x:v>47.22568571700415</x:v>
      </x:c>
      <x:c r="BR47" s="17" t="str">
        <x:f>IF(COUNT(AO47:BF47)=18,INDEX('Scoring Setup'!$F$9:$F$26,MATCH(MIN(AO47:BF47),AO47:BF47,0),1),"")</x:f>
        <x:v>商业光纤1000/100覆盖率</x:v>
      </x:c>
    </x:row>
    <x:row r="48">
      <x:c r="A48" s="28" t="str">
        <x:v>51089</x:v>
      </x:c>
      <x:c r="B48" s="28" t="str">
        <x:v>Henry County</x:v>
      </x:c>
      <x:c r="C48" s="28" t="str">
        <x:v>VA</x:v>
      </x:c>
      <x:c r="D48" s="31" t="n">
        <x:v>990.284625</x:v>
      </x:c>
      <x:c r="E48" s="32" t="n">
        <x:v>0.26</x:v>
      </x:c>
      <x:c r="F48" s="32" t="n">
        <x:v>0.435024752475247</x:v>
      </x:c>
      <x:c r="G48" s="32" t="n">
        <x:v>2.7697299319853768</x:v>
      </x:c>
      <x:c r="H48" s="32" t="n">
        <x:v>3.155046543</x:v>
      </x:c>
      <x:c r="I48" s="32" t="n">
        <x:v>0.9099270132665992</x:v>
      </x:c>
      <x:c r="J48" s="32" t="n">
        <x:v>0.018693292916252484</x:v>
      </x:c>
      <x:c r="K48" s="32" t="n">
        <x:v>0.0012780626495955526</x:v>
      </x:c>
      <x:c r="L48" s="32" t="n">
        <x:v>0.280384738</x:v>
      </x:c>
      <x:c r="M48" s="32" t="n">
        <x:v>0.279606775</x:v>
      </x:c>
      <x:c r="N48" s="32" t="n">
        <x:v>20515</x:v>
      </x:c>
      <x:c r="O48" s="32" t="n">
        <x:v>0.7757</x:v>
      </x:c>
      <x:c r="P48" s="32" t="n">
        <x:v>987.2169209798176</x:v>
      </x:c>
      <x:c r="Q48" s="32" t="n">
        <x:v>19.6994348526001</x:v>
      </x:c>
      <x:c r="R48" s="32" t="n">
        <x:v>41.12848463679932</x:v>
      </x:c>
      <x:c r="S48" s="32" t="n">
        <x:v>8.91158280538729</x:v>
      </x:c>
      <x:c r="T48" s="32" t="n">
        <x:v>89.9</x:v>
      </x:c>
      <x:c r="U48" s="32" t="n">
        <x:v>245.07712999476223</x:v>
      </x:c>
      <x:c r="V48" s="32" t="n">
        <x:v>244.75798925963002</x:v>
      </x:c>
      <x:c r="W48" s="33" t="n">
        <x:f>IF(ISNUMBER(E48),100*MAX(0,MIN(1,('Anchors'!$H$6-E48)/('Anchors'!$H$6-'Anchors'!$G$6))),"")</x:f>
        <x:v>91.42857142857143</x:v>
      </x:c>
      <x:c r="X48" s="33" t="n">
        <x:f>IF(ISNUMBER(F48),100*MAX(0,MIN(1,('Anchors'!$H$7-F48)/('Anchors'!$H$7-'Anchors'!$G$7))),"")</x:f>
        <x:v>52.13932107496472</x:v>
      </x:c>
      <x:c r="Y48" s="33" t="n">
        <x:f>IF(ISNUMBER(G48),100*MAX(0,MIN(1,('Anchors'!$H$8-G48)/('Anchors'!$H$8-'Anchors'!$G$8))),"")</x:f>
        <x:v>41.00900226715411</x:v>
      </x:c>
      <x:c r="Z48" s="33" t="n">
        <x:f>IF(ISNUMBER(H48),100*MAX(0,MIN(1,('Anchors'!$H$9-H48)/('Anchors'!$H$9-'Anchors'!$G$9))),"")</x:f>
        <x:v>28.16511523333333</x:v>
      </x:c>
      <x:c r="AA48" s="33" t="n">
        <x:f>IF(ISNUMBER(I48),100*MAX(0,MIN(1,(I48-'Anchors'!$H$10)/('Anchors'!$G$10-'Anchors'!$H$10))),"")</x:f>
        <x:v>90.40096072145195</x:v>
      </x:c>
      <x:c r="AB48" s="33" t="n">
        <x:f>IF(ISNUMBER(J48),100*MAX(0,MIN(1,('Anchors'!$H$11-J48)/('Anchors'!$H$11-'Anchors'!$G$11))),"")</x:f>
        <x:v>92.522682833499</x:v>
      </x:c>
      <x:c r="AC48" s="33" t="n">
        <x:f>IF(ISNUMBER(K48),100*MAX(0,MIN(1,('Anchors'!$H$12-K48)/('Anchors'!$H$12-'Anchors'!$G$12))),"")</x:f>
        <x:v>99.6804843376011</x:v>
      </x:c>
      <x:c r="AD48" s="33" t="n">
        <x:f>IF(ISNUMBER(L48),100*MAX(0,MIN(1,(L48-'Anchors'!$H$13)/('Anchors'!$G$13-'Anchors'!$H$13))),"")</x:f>
        <x:v>11.483534000000002</x:v>
      </x:c>
      <x:c r="AE48" s="33" t="n">
        <x:f>IF(ISNUMBER(M48),100*MAX(0,MIN(1,(M48-'Anchors'!$H$14)/('Anchors'!$G$14-'Anchors'!$H$14))),"")</x:f>
        <x:v>22.450846874999993</x:v>
      </x:c>
      <x:c r="AF48" s="33" t="n">
        <x:f>IF(ISNUMBER(N48),100*MAX(0,MIN(1,(LN(1+N48)-LN(1+'Anchors'!$H$15))/(LN(1+'Anchors'!$G$15)-LN(1+'Anchors'!$H$15)))),"")</x:f>
        <x:v>53.916163096570216</x:v>
      </x:c>
      <x:c r="AG48" s="33" t="n">
        <x:f>IF(ISNUMBER(O48),100*MAX(0,MIN(1,('Anchors'!$H$16-O48)/('Anchors'!$H$16-'Anchors'!$G$16))),"")</x:f>
        <x:v>19.36666666666667</x:v>
      </x:c>
      <x:c r="AH48" s="33" t="n">
        <x:f>IF(ISNUMBER(P48),100*MAX(0,MIN(1,('Anchors'!$H$17-P48)/('Anchors'!$H$17-'Anchors'!$G$17))),"")</x:f>
        <x:v>80.85220526801216</x:v>
      </x:c>
      <x:c r="AI48" s="33" t="n">
        <x:f>IF(ISNUMBER(Q48),100*MAX(0,MIN(1,('Anchors'!$H$18-Q48)/('Anchors'!$H$18-'Anchors'!$G$18))),"")</x:f>
        <x:v>79.00080735342843</x:v>
      </x:c>
      <x:c r="AJ48" s="33" t="n">
        <x:f>IF(ISNUMBER(R48),100*MAX(0,MIN(1,('Anchors'!$H$19-R48)/('Anchors'!$H$19-'Anchors'!$G$19))),"")</x:f>
        <x:v>19.714478584890397</x:v>
      </x:c>
      <x:c r="AK48" s="33" t="n">
        <x:f>IF(ISNUMBER(S48),100*MAX(0,MIN(1,('Anchors'!$H$20-S48)/('Anchors'!$H$20-'Anchors'!$G$20))),"")</x:f>
        <x:v>58.36009049796162</x:v>
      </x:c>
      <x:c r="AL48" s="33" t="n">
        <x:f>IF(ISNUMBER(T48),100*MAX(0,MIN(1,('Anchors'!$H$21-T48)/('Anchors'!$H$21-'Anchors'!$G$21))),"")</x:f>
        <x:v>54.72727272727271</x:v>
      </x:c>
      <x:c r="AM48" s="33" t="n">
        <x:f>IF(ISNUMBER(U48),100*MAX(0,MIN(1,('Anchors'!$H$22-U48)/('Anchors'!$H$22-'Anchors'!$G$22))),"")</x:f>
        <x:v>27.461435002618884</x:v>
      </x:c>
      <x:c r="AN48" s="33" t="n">
        <x:f>IF(ISNUMBER(V48),100*MAX(0,MIN(1,('Anchors'!$H$23-V48)/('Anchors'!$H$23-'Anchors'!$G$23))),"")</x:f>
        <x:v>88.8105026850925</x:v>
      </x:c>
      <x:c r="AO48" s="27" t="n">
        <x:f>IF(ISNUMBER(W48),IF('Scoring Setup'!$L$9=1,1-'Scoring Setup'!$B$5*(1-MAX(0,MIN(1,(W48-'Scoring Setup'!$K$9)/(100-'Scoring Setup'!$K$9)))),1),"")</x:f>
        <x:v>0.9828571428571429</x:v>
      </x:c>
      <x:c r="AP48" s="27" t="n">
        <x:f>IF(ISNUMBER(X48),IF('Scoring Setup'!$L$10=1,1-'Scoring Setup'!$B$5*(1-MAX(0,MIN(1,(X48-'Scoring Setup'!$K$10)/(100-'Scoring Setup'!$K$10)))),1),"")</x:f>
        <x:v>0.9042786421499294</x:v>
      </x:c>
      <x:c r="AQ48" s="27" t="n">
        <x:f>IF(ISNUMBER(Y48),IF('Scoring Setup'!$L$11=1,1-'Scoring Setup'!$B$5*(1-MAX(0,MIN(1,(Y48-'Scoring Setup'!$K$11)/(100-'Scoring Setup'!$K$11)))),1),"")</x:f>
        <x:v>0.8820180045343082</x:v>
      </x:c>
      <x:c r="AR48" s="27" t="n">
        <x:f>IF(ISNUMBER(Z48),IF('Scoring Setup'!$L$12=1,1-'Scoring Setup'!$B$5*(1-MAX(0,MIN(1,(Z48-'Scoring Setup'!$K$12)/(100-'Scoring Setup'!$K$12)))),1),"")</x:f>
        <x:v>0.8563302304666667</x:v>
      </x:c>
      <x:c r="AS48" s="27" t="n">
        <x:f>IF(ISNUMBER(AA48),IF('Scoring Setup'!$L$13=1,1-'Scoring Setup'!$B$5*(1-MAX(0,MIN(1,(AA48-'Scoring Setup'!$K$13)/(100-'Scoring Setup'!$K$13)))),1),"")</x:f>
        <x:v>0.9808019214429039</x:v>
      </x:c>
      <x:c r="AT48" s="27" t="n">
        <x:f>IF(ISNUMBER(AB48),IF('Scoring Setup'!$L$14=1,1-'Scoring Setup'!$B$5*(1-MAX(0,MIN(1,(AB48-'Scoring Setup'!$K$14)/(100-'Scoring Setup'!$K$14)))),1),"")</x:f>
        <x:v>0.985045365666998</x:v>
      </x:c>
      <x:c r="AU48" s="27" t="n">
        <x:f>IF(ISNUMBER(AC48),IF('Scoring Setup'!$L$15=1,1-'Scoring Setup'!$B$5*(1-MAX(0,MIN(1,(AC48-'Scoring Setup'!$K$15)/(100-'Scoring Setup'!$K$15)))),1),"")</x:f>
        <x:v>0.9993609686752022</x:v>
      </x:c>
      <x:c r="AV48" s="27" t="n">
        <x:f>IF(ISNUMBER(AD48),IF('Scoring Setup'!$L$16=1,1-'Scoring Setup'!$B$5*(1-MAX(0,MIN(1,(AD48-'Scoring Setup'!$K$16)/(100-'Scoring Setup'!$K$16)))),1),"")</x:f>
        <x:v>0.822967068</x:v>
      </x:c>
      <x:c r="AW48" s="27" t="n">
        <x:f>IF(ISNUMBER(AE48),IF('Scoring Setup'!$L$17=1,1-'Scoring Setup'!$B$5*(1-MAX(0,MIN(1,(AE48-'Scoring Setup'!$K$17)/(100-'Scoring Setup'!$K$17)))),1),"")</x:f>
        <x:v>0.84490169375</x:v>
      </x:c>
      <x:c r="AX48" s="27" t="n">
        <x:f>IF(ISNUMBER(AF48),IF('Scoring Setup'!$L$18=1,1-'Scoring Setup'!$B$5*(1-MAX(0,MIN(1,(AF48-'Scoring Setup'!$K$18)/(100-'Scoring Setup'!$K$18)))),1),"")</x:f>
        <x:v>0.9078323261931405</x:v>
      </x:c>
      <x:c r="AY48" s="27" t="n">
        <x:f>IF(ISNUMBER(AG48),IF('Scoring Setup'!$L$19=1,1-'Scoring Setup'!$B$5*(1-MAX(0,MIN(1,(AG48-'Scoring Setup'!$K$19)/(100-'Scoring Setup'!$K$19)))),1),"")</x:f>
        <x:v>0.8387333333333333</x:v>
      </x:c>
      <x:c r="AZ48" s="27" t="n">
        <x:f>IF(ISNUMBER(AH48),IF('Scoring Setup'!$L$20=1,1-'Scoring Setup'!$B$5*(1-MAX(0,MIN(1,(AH48-'Scoring Setup'!$K$20)/(100-'Scoring Setup'!$K$20)))),1),"")</x:f>
        <x:v>0.9617044105360243</x:v>
      </x:c>
      <x:c r="BA48" s="27" t="n">
        <x:f>IF(ISNUMBER(AI48),IF('Scoring Setup'!$L$21=1,1-'Scoring Setup'!$B$5*(1-MAX(0,MIN(1,(AI48-'Scoring Setup'!$K$21)/(100-'Scoring Setup'!$K$21)))),1),"")</x:f>
        <x:v>0.9580016147068569</x:v>
      </x:c>
      <x:c r="BB48" s="27" t="n">
        <x:f>IF(ISNUMBER(AJ48),IF('Scoring Setup'!$L$22=1,1-'Scoring Setup'!$B$5*(1-MAX(0,MIN(1,(AJ48-'Scoring Setup'!$K$22)/(100-'Scoring Setup'!$K$22)))),1),"")</x:f>
        <x:v>0.8394289571697808</x:v>
      </x:c>
      <x:c r="BC48" s="27" t="n">
        <x:f>IF(ISNUMBER(AK48),IF('Scoring Setup'!$L$23=1,1-'Scoring Setup'!$B$5*(1-MAX(0,MIN(1,(AK48-'Scoring Setup'!$K$23)/(100-'Scoring Setup'!$K$23)))),1),"")</x:f>
        <x:v>0.9167201809959232</x:v>
      </x:c>
      <x:c r="BD48" s="27" t="n">
        <x:f>IF(ISNUMBER(AL48),IF('Scoring Setup'!$L$24=1,1-'Scoring Setup'!$B$5*(1-MAX(0,MIN(1,(AL48-'Scoring Setup'!$K$24)/(100-'Scoring Setup'!$K$24)))),1),"")</x:f>
        <x:v>0.9094545454545454</x:v>
      </x:c>
      <x:c r="BE48" s="27" t="n">
        <x:f>IF(ISNUMBER(AM48),IF('Scoring Setup'!$L$25=1,1-'Scoring Setup'!$B$5*(1-MAX(0,MIN(1,(AM48-'Scoring Setup'!$K$25)/(100-'Scoring Setup'!$K$25)))),1),"")</x:f>
        <x:v>0.8549228700052378</x:v>
      </x:c>
      <x:c r="BF48" s="27" t="n">
        <x:f>IF(ISNUMBER(AN48),IF('Scoring Setup'!$L$26=1,1-'Scoring Setup'!$B$5*(1-MAX(0,MIN(1,(AN48-'Scoring Setup'!$K$26)/(100-'Scoring Setup'!$K$26)))),1),"")</x:f>
        <x:v>0.977621005370185</x:v>
      </x:c>
      <x:c r="BG48" s="34" t="n">
        <x:f>IF(COUNT(W48,X48)=2,AVERAGE(W48,X48),"")</x:f>
        <x:v>71.78394625176807</x:v>
      </x:c>
      <x:c r="BH48" s="34" t="n">
        <x:f>IF(COUNT(Y48,Z48)=2,AVERAGE(Y48,Z48),"")</x:f>
        <x:v>34.58705875024372</x:v>
      </x:c>
      <x:c r="BI48" s="34" t="n">
        <x:f>IF(COUNT(AA48,AB48,AC48)=3,AVERAGE(AA48,AB48,AC48),"")</x:f>
        <x:v>94.20137596418402</x:v>
      </x:c>
      <x:c r="BJ48" s="34" t="n">
        <x:f>IF(COUNT(AD48,AE48)=2,AVERAGE(AD48,AE48),"")</x:f>
        <x:v>16.967190437499998</x:v>
      </x:c>
      <x:c r="BK48" s="34" t="n">
        <x:f>IF(COUNT(AF48,AG48)=2,AVERAGE(AF48,AG48),"")</x:f>
        <x:v>36.641414881618445</x:v>
      </x:c>
      <x:c r="BL48" s="34" t="n">
        <x:f>IF(COUNT(AH48,AI48)=2,AVERAGE(AH48,AI48),"")</x:f>
        <x:v>79.9265063107203</x:v>
      </x:c>
      <x:c r="BM48" s="34" t="n">
        <x:f>IF(COUNT(AJ48,AK48)=2,AVERAGE(AJ48,AK48),"")</x:f>
        <x:v>39.03728454142601</x:v>
      </x:c>
      <x:c r="BN48" s="34" t="n">
        <x:f>IF(COUNT(AL48,AM48,AN48)=3,AVERAGE(AL48,AM48,AN48),"")</x:f>
        <x:v>56.999736804994704</x:v>
      </x:c>
      <x:c r="BO48" s="35" t="n">
        <x:f>IF(AND(COUNT(BG48:BN48)=8,ABS('Scoring Setup'!$C$17-1)&lt;0.000001),BG48*'Scoring Setup'!$C$9+BH48*'Scoring Setup'!$C$10+BI48*'Scoring Setup'!$C$11+BJ48*'Scoring Setup'!$C$12+BK48*'Scoring Setup'!$C$13+BL48*'Scoring Setup'!$C$14+BM48*'Scoring Setup'!$C$15+BN48*'Scoring Setup'!$C$16,"")</x:f>
        <x:v>51.924915087661525</x:v>
      </x:c>
      <x:c r="BP48" s="36" t="n">
        <x:f>IF(COUNT(AO48:BF48)=18,MIN(AO48:BF48),"")</x:f>
        <x:v>0.822967068</x:v>
      </x:c>
      <x:c r="BQ48" s="35" t="n">
        <x:f>IF(AND(ISNUMBER(BO48),ISNUMBER(BP48)),BO48*BP48,"")</x:f>
        <x:v>42.732495125841766</x:v>
      </x:c>
      <x:c r="BR48" s="17" t="str">
        <x:f>IF(COUNT(AO48:BF48)=18,INDEX('Scoring Setup'!$F$9:$F$26,MATCH(MIN(AO48:BF48),AO48:BF48,0),1),"")</x:f>
        <x:v>商业光纤100/20覆盖率</x:v>
      </x:c>
    </x:row>
    <x:row r="49">
      <x:c r="A49" s="28" t="str">
        <x:v>51091</x:v>
      </x:c>
      <x:c r="B49" s="28" t="str">
        <x:v>Highland County</x:v>
      </x:c>
      <x:c r="C49" s="28" t="str">
        <x:v>VA</x:v>
      </x:c>
      <x:c r="D49" s="31" t="n">
        <x:v>1075.266903</x:v>
      </x:c>
      <x:c r="E49" s="32" t="n">
        <x:v>0.578</x:v>
      </x:c>
      <x:c r="F49" s="32" t="n">
        <x:v>0.943997524752475</x:v>
      </x:c>
      <x:c r="G49" s="32" t="n">
        <x:v>1.772309969453828</x:v>
      </x:c>
      <x:c r="H49" s="32" t="n">
        <x:v>2.0854394731999175</x:v>
      </x:c>
      <x:c r="I49" s="32" t="n">
        <x:v>0.9914187729070881</x:v>
      </x:c>
      <x:c r="J49" s="32" t="n">
        <x:v>0.06665593787884394</x:v>
      </x:c>
      <x:c r="K49" s="32" t="n">
        <x:v>0.00021977434272429935</x:v>
      </x:c>
      <x:c r="L49" s="32" t="n">
        <x:v>0.844048653</x:v>
      </x:c>
      <x:c r="M49" s="32" t="n">
        <x:v>0.844048653</x:v>
      </x:c>
      <x:c r="N49" s="32" t="n">
        <x:v>1115</x:v>
      </x:c>
      <x:c r="O49" s="32" t="n">
        <x:v>0.1352</x:v>
      </x:c>
      <x:c r="P49" s="32" t="n">
        <x:v>275.7717076619466</x:v>
      </x:c>
      <x:c r="Q49" s="32" t="n">
        <x:v>0.624642726778984</x:v>
      </x:c>
      <x:c r="R49" s="32" t="n">
        <x:v>52.09469914545961</x:v>
      </x:c>
      <x:c r="S49" s="32" t="n">
        <x:v>28.36468069555688</x:v>
      </x:c>
      <x:c r="T49" s="32" t="n">
        <x:v>89.9</x:v>
      </x:c>
      <x:c r="U49" s="32" t="n">
        <x:v>245.07712999476223</x:v>
      </x:c>
      <x:c r="V49" s="32" t="n">
        <x:v>244.75798925963002</x:v>
      </x:c>
      <x:c r="W49" s="33" t="n">
        <x:f>IF(ISNUMBER(E49),100*MAX(0,MIN(1,('Anchors'!$H$6-E49)/('Anchors'!$H$6-'Anchors'!$G$6))),"")</x:f>
        <x:v>46.000000000000014</x:v>
      </x:c>
      <x:c r="X49" s="33" t="n">
        <x:f>IF(ISNUMBER(F49),100*MAX(0,MIN(1,('Anchors'!$H$7-F49)/('Anchors'!$H$7-'Anchors'!$G$7))),"")</x:f>
        <x:v>0</x:v>
      </x:c>
      <x:c r="Y49" s="33" t="n">
        <x:f>IF(ISNUMBER(G49),100*MAX(0,MIN(1,('Anchors'!$H$8-G49)/('Anchors'!$H$8-'Anchors'!$G$8))),"")</x:f>
        <x:v>74.25633435153905</x:v>
      </x:c>
      <x:c r="Z49" s="33" t="n">
        <x:f>IF(ISNUMBER(H49),100*MAX(0,MIN(1,('Anchors'!$H$9-H49)/('Anchors'!$H$9-'Anchors'!$G$9))),"")</x:f>
        <x:v>63.81868422666942</x:v>
      </x:c>
      <x:c r="AA49" s="33" t="n">
        <x:f>IF(ISNUMBER(I49),100*MAX(0,MIN(1,(I49-'Anchors'!$H$10)/('Anchors'!$G$10-'Anchors'!$H$10))),"")</x:f>
        <x:v>100</x:v>
      </x:c>
      <x:c r="AB49" s="33" t="n">
        <x:f>IF(ISNUMBER(J49),100*MAX(0,MIN(1,('Anchors'!$H$11-J49)/('Anchors'!$H$11-'Anchors'!$G$11))),"")</x:f>
        <x:v>73.33762484846243</x:v>
      </x:c>
      <x:c r="AC49" s="33" t="n">
        <x:f>IF(ISNUMBER(K49),100*MAX(0,MIN(1,('Anchors'!$H$12-K49)/('Anchors'!$H$12-'Anchors'!$G$12))),"")</x:f>
        <x:v>99.94505641431893</x:v>
      </x:c>
      <x:c r="AD49" s="33" t="n">
        <x:f>IF(ISNUMBER(L49),100*MAX(0,MIN(1,(L49-'Anchors'!$H$13)/('Anchors'!$G$13-'Anchors'!$H$13))),"")</x:f>
        <x:v>92.00695042857144</x:v>
      </x:c>
      <x:c r="AE49" s="33" t="n">
        <x:f>IF(ISNUMBER(M49),100*MAX(0,MIN(1,(M49-'Anchors'!$H$14)/('Anchors'!$G$14-'Anchors'!$H$14))),"")</x:f>
        <x:v>93.006081625</x:v>
      </x:c>
      <x:c r="AF49" s="33" t="n">
        <x:f>IF(ISNUMBER(N49),100*MAX(0,MIN(1,(LN(1+N49)-LN(1+'Anchors'!$H$15))/(LN(1+'Anchors'!$G$15)-LN(1+'Anchors'!$H$15)))),"")</x:f>
        <x:v>0</x:v>
      </x:c>
      <x:c r="AG49" s="33" t="n">
        <x:f>IF(ISNUMBER(O49),100*MAX(0,MIN(1,('Anchors'!$H$16-O49)/('Anchors'!$H$16-'Anchors'!$G$16))),"")</x:f>
        <x:v>90.53333333333335</x:v>
      </x:c>
      <x:c r="AH49" s="33" t="n">
        <x:f>IF(ISNUMBER(P49),100*MAX(0,MIN(1,('Anchors'!$H$17-P49)/('Anchors'!$H$17-'Anchors'!$G$17))),"")</x:f>
        <x:v>100</x:v>
      </x:c>
      <x:c r="AI49" s="33" t="n">
        <x:f>IF(ISNUMBER(Q49),100*MAX(0,MIN(1,('Anchors'!$H$18-Q49)/('Anchors'!$H$18-'Anchors'!$G$18))),"")</x:f>
        <x:v>100</x:v>
      </x:c>
      <x:c r="AJ49" s="33" t="n">
        <x:f>IF(ISNUMBER(R49),100*MAX(0,MIN(1,('Anchors'!$H$19-R49)/('Anchors'!$H$19-'Anchors'!$G$19))),"")</x:f>
        <x:v>0</x:v>
      </x:c>
      <x:c r="AK49" s="33" t="n">
        <x:f>IF(ISNUMBER(S49),100*MAX(0,MIN(1,('Anchors'!$H$20-S49)/('Anchors'!$H$20-'Anchors'!$G$20))),"")</x:f>
        <x:v>0</x:v>
      </x:c>
      <x:c r="AL49" s="33" t="n">
        <x:f>IF(ISNUMBER(T49),100*MAX(0,MIN(1,('Anchors'!$H$21-T49)/('Anchors'!$H$21-'Anchors'!$G$21))),"")</x:f>
        <x:v>54.72727272727271</x:v>
      </x:c>
      <x:c r="AM49" s="33" t="n">
        <x:f>IF(ISNUMBER(U49),100*MAX(0,MIN(1,('Anchors'!$H$22-U49)/('Anchors'!$H$22-'Anchors'!$G$22))),"")</x:f>
        <x:v>27.461435002618884</x:v>
      </x:c>
      <x:c r="AN49" s="33" t="n">
        <x:f>IF(ISNUMBER(V49),100*MAX(0,MIN(1,('Anchors'!$H$23-V49)/('Anchors'!$H$23-'Anchors'!$G$23))),"")</x:f>
        <x:v>88.8105026850925</x:v>
      </x:c>
      <x:c r="AO49" s="27" t="n">
        <x:f>IF(ISNUMBER(W49),IF('Scoring Setup'!$L$9=1,1-'Scoring Setup'!$B$5*(1-MAX(0,MIN(1,(W49-'Scoring Setup'!$K$9)/(100-'Scoring Setup'!$K$9)))),1),"")</x:f>
        <x:v>0.892</x:v>
      </x:c>
      <x:c r="AP49" s="27" t="n">
        <x:f>IF(ISNUMBER(X49),IF('Scoring Setup'!$L$10=1,1-'Scoring Setup'!$B$5*(1-MAX(0,MIN(1,(X49-'Scoring Setup'!$K$10)/(100-'Scoring Setup'!$K$10)))),1),"")</x:f>
        <x:v>0.8</x:v>
      </x:c>
      <x:c r="AQ49" s="27" t="n">
        <x:f>IF(ISNUMBER(Y49),IF('Scoring Setup'!$L$11=1,1-'Scoring Setup'!$B$5*(1-MAX(0,MIN(1,(Y49-'Scoring Setup'!$K$11)/(100-'Scoring Setup'!$K$11)))),1),"")</x:f>
        <x:v>0.9485126687030782</x:v>
      </x:c>
      <x:c r="AR49" s="27" t="n">
        <x:f>IF(ISNUMBER(Z49),IF('Scoring Setup'!$L$12=1,1-'Scoring Setup'!$B$5*(1-MAX(0,MIN(1,(Z49-'Scoring Setup'!$K$12)/(100-'Scoring Setup'!$K$12)))),1),"")</x:f>
        <x:v>0.9276373684533389</x:v>
      </x:c>
      <x:c r="AS49" s="27" t="n">
        <x:f>IF(ISNUMBER(AA49),IF('Scoring Setup'!$L$13=1,1-'Scoring Setup'!$B$5*(1-MAX(0,MIN(1,(AA49-'Scoring Setup'!$K$13)/(100-'Scoring Setup'!$K$13)))),1),"")</x:f>
        <x:v>1</x:v>
      </x:c>
      <x:c r="AT49" s="27" t="n">
        <x:f>IF(ISNUMBER(AB49),IF('Scoring Setup'!$L$14=1,1-'Scoring Setup'!$B$5*(1-MAX(0,MIN(1,(AB49-'Scoring Setup'!$K$14)/(100-'Scoring Setup'!$K$14)))),1),"")</x:f>
        <x:v>0.9466752496969248</x:v>
      </x:c>
      <x:c r="AU49" s="27" t="n">
        <x:f>IF(ISNUMBER(AC49),IF('Scoring Setup'!$L$15=1,1-'Scoring Setup'!$B$5*(1-MAX(0,MIN(1,(AC49-'Scoring Setup'!$K$15)/(100-'Scoring Setup'!$K$15)))),1),"")</x:f>
        <x:v>0.9998901128286378</x:v>
      </x:c>
      <x:c r="AV49" s="27" t="n">
        <x:f>IF(ISNUMBER(AD49),IF('Scoring Setup'!$L$16=1,1-'Scoring Setup'!$B$5*(1-MAX(0,MIN(1,(AD49-'Scoring Setup'!$K$16)/(100-'Scoring Setup'!$K$16)))),1),"")</x:f>
        <x:v>0.9840139008571429</x:v>
      </x:c>
      <x:c r="AW49" s="27" t="n">
        <x:f>IF(ISNUMBER(AE49),IF('Scoring Setup'!$L$17=1,1-'Scoring Setup'!$B$5*(1-MAX(0,MIN(1,(AE49-'Scoring Setup'!$K$17)/(100-'Scoring Setup'!$K$17)))),1),"")</x:f>
        <x:v>0.98601216325</x:v>
      </x:c>
      <x:c r="AX49" s="27" t="n">
        <x:f>IF(ISNUMBER(AF49),IF('Scoring Setup'!$L$18=1,1-'Scoring Setup'!$B$5*(1-MAX(0,MIN(1,(AF49-'Scoring Setup'!$K$18)/(100-'Scoring Setup'!$K$18)))),1),"")</x:f>
        <x:v>0.8</x:v>
      </x:c>
      <x:c r="AY49" s="27" t="n">
        <x:f>IF(ISNUMBER(AG49),IF('Scoring Setup'!$L$19=1,1-'Scoring Setup'!$B$5*(1-MAX(0,MIN(1,(AG49-'Scoring Setup'!$K$19)/(100-'Scoring Setup'!$K$19)))),1),"")</x:f>
        <x:v>0.9810666666666666</x:v>
      </x:c>
      <x:c r="AZ49" s="27" t="n">
        <x:f>IF(ISNUMBER(AH49),IF('Scoring Setup'!$L$20=1,1-'Scoring Setup'!$B$5*(1-MAX(0,MIN(1,(AH49-'Scoring Setup'!$K$20)/(100-'Scoring Setup'!$K$20)))),1),"")</x:f>
        <x:v>1</x:v>
      </x:c>
      <x:c r="BA49" s="27" t="n">
        <x:f>IF(ISNUMBER(AI49),IF('Scoring Setup'!$L$21=1,1-'Scoring Setup'!$B$5*(1-MAX(0,MIN(1,(AI49-'Scoring Setup'!$K$21)/(100-'Scoring Setup'!$K$21)))),1),"")</x:f>
        <x:v>1</x:v>
      </x:c>
      <x:c r="BB49" s="27" t="n">
        <x:f>IF(ISNUMBER(AJ49),IF('Scoring Setup'!$L$22=1,1-'Scoring Setup'!$B$5*(1-MAX(0,MIN(1,(AJ49-'Scoring Setup'!$K$22)/(100-'Scoring Setup'!$K$22)))),1),"")</x:f>
        <x:v>0.8</x:v>
      </x:c>
      <x:c r="BC49" s="27" t="n">
        <x:f>IF(ISNUMBER(AK49),IF('Scoring Setup'!$L$23=1,1-'Scoring Setup'!$B$5*(1-MAX(0,MIN(1,(AK49-'Scoring Setup'!$K$23)/(100-'Scoring Setup'!$K$23)))),1),"")</x:f>
        <x:v>0.8</x:v>
      </x:c>
      <x:c r="BD49" s="27" t="n">
        <x:f>IF(ISNUMBER(AL49),IF('Scoring Setup'!$L$24=1,1-'Scoring Setup'!$B$5*(1-MAX(0,MIN(1,(AL49-'Scoring Setup'!$K$24)/(100-'Scoring Setup'!$K$24)))),1),"")</x:f>
        <x:v>0.9094545454545454</x:v>
      </x:c>
      <x:c r="BE49" s="27" t="n">
        <x:f>IF(ISNUMBER(AM49),IF('Scoring Setup'!$L$25=1,1-'Scoring Setup'!$B$5*(1-MAX(0,MIN(1,(AM49-'Scoring Setup'!$K$25)/(100-'Scoring Setup'!$K$25)))),1),"")</x:f>
        <x:v>0.8549228700052378</x:v>
      </x:c>
      <x:c r="BF49" s="27" t="n">
        <x:f>IF(ISNUMBER(AN49),IF('Scoring Setup'!$L$26=1,1-'Scoring Setup'!$B$5*(1-MAX(0,MIN(1,(AN49-'Scoring Setup'!$K$26)/(100-'Scoring Setup'!$K$26)))),1),"")</x:f>
        <x:v>0.977621005370185</x:v>
      </x:c>
      <x:c r="BG49" s="34" t="n">
        <x:f>IF(COUNT(W49,X49)=2,AVERAGE(W49,X49),"")</x:f>
        <x:v>23.000000000000007</x:v>
      </x:c>
      <x:c r="BH49" s="34" t="n">
        <x:f>IF(COUNT(Y49,Z49)=2,AVERAGE(Y49,Z49),"")</x:f>
        <x:v>69.03750928910424</x:v>
      </x:c>
      <x:c r="BI49" s="34" t="n">
        <x:f>IF(COUNT(AA49,AB49,AC49)=3,AVERAGE(AA49,AB49,AC49),"")</x:f>
        <x:v>91.09422708759378</x:v>
      </x:c>
      <x:c r="BJ49" s="34" t="n">
        <x:f>IF(COUNT(AD49,AE49)=2,AVERAGE(AD49,AE49),"")</x:f>
        <x:v>92.50651602678572</x:v>
      </x:c>
      <x:c r="BK49" s="34" t="n">
        <x:f>IF(COUNT(AF49,AG49)=2,AVERAGE(AF49,AG49),"")</x:f>
        <x:v>45.26666666666667</x:v>
      </x:c>
      <x:c r="BL49" s="34" t="n">
        <x:f>IF(COUNT(AH49,AI49)=2,AVERAGE(AH49,AI49),"")</x:f>
        <x:v>100</x:v>
      </x:c>
      <x:c r="BM49" s="34" t="n">
        <x:f>IF(COUNT(AJ49,AK49)=2,AVERAGE(AJ49,AK49),"")</x:f>
        <x:v>0</x:v>
      </x:c>
      <x:c r="BN49" s="34" t="n">
        <x:f>IF(COUNT(AL49,AM49,AN49)=3,AVERAGE(AL49,AM49,AN49),"")</x:f>
        <x:v>56.999736804994704</x:v>
      </x:c>
      <x:c r="BO49" s="35" t="n">
        <x:f>IF(AND(COUNT(BG49:BN49)=8,ABS('Scoring Setup'!$C$17-1)&lt;0.000001),BG49*'Scoring Setup'!$C$9+BH49*'Scoring Setup'!$C$10+BI49*'Scoring Setup'!$C$11+BJ49*'Scoring Setup'!$C$12+BK49*'Scoring Setup'!$C$13+BL49*'Scoring Setup'!$C$14+BM49*'Scoring Setup'!$C$15+BN49*'Scoring Setup'!$C$16,"")</x:f>
        <x:v>61.094163877423874</x:v>
      </x:c>
      <x:c r="BP49" s="36" t="n">
        <x:f>IF(COUNT(AO49:BF49)=18,MIN(AO49:BF49),"")</x:f>
        <x:v>0.8</x:v>
      </x:c>
      <x:c r="BQ49" s="35" t="n">
        <x:f>IF(AND(ISNUMBER(BO49),ISNUMBER(BP49)),BO49*BP49,"")</x:f>
        <x:v>48.8753311019391</x:v>
      </x:c>
      <x:c r="BR49" s="17" t="str">
        <x:f>IF(COUNT(AO49:BF49)=18,INDEX('Scoring Setup'!$F$9:$F$26,MATCH(MIN(AO49:BF49),AO49:BF49,0),1),"")</x:f>
        <x:v>洪水损失率全国百分位</x:v>
      </x:c>
    </x:row>
    <x:row r="50">
      <x:c r="A50" s="28" t="str">
        <x:v>51093</x:v>
      </x:c>
      <x:c r="B50" s="28" t="str">
        <x:v>Isle of Wight County</x:v>
      </x:c>
      <x:c r="C50" s="28" t="str">
        <x:v>VA</x:v>
      </x:c>
      <x:c r="D50" s="31" t="n">
        <x:v>817.621466</x:v>
      </x:c>
      <x:c r="E50" s="32" t="n">
        <x:v>0.346</x:v>
      </x:c>
      <x:c r="F50" s="32" t="n">
        <x:v>0.152537128712871</x:v>
      </x:c>
      <x:c r="G50" s="32" t="n">
        <x:v>2.3981062928857173</x:v>
      </x:c>
      <x:c r="H50" s="32" t="n">
        <x:v>2.7301634014401865</x:v>
      </x:c>
      <x:c r="I50" s="32" t="n">
        <x:v>0.9105327592308081</x:v>
      </x:c>
      <x:c r="J50" s="32" t="n">
        <x:v>0.01916220020604844</x:v>
      </x:c>
      <x:c r="K50" s="32" t="n">
        <x:v>0.2298970703627264</x:v>
      </x:c>
      <x:c r="L50" s="32" t="n">
        <x:v>0.18837392</x:v>
      </x:c>
      <x:c r="M50" s="32" t="n">
        <x:v>0.173762765</x:v>
      </x:c>
      <x:c r="N50" s="32" t="n">
        <x:v>20826</x:v>
      </x:c>
      <x:c r="O50" s="32" t="n">
        <x:v>0.2243</x:v>
      </x:c>
      <x:c r="P50" s="32" t="n">
        <x:v>1407.8460001627604</x:v>
      </x:c>
      <x:c r="Q50" s="32" t="n">
        <x:v>25.0467347462972</x:v>
      </x:c>
      <x:c r="R50" s="32" t="n">
        <x:v>24.59190481252301</x:v>
      </x:c>
      <x:c r="S50" s="32" t="n">
        <x:v>10.152163387959797</x:v>
      </x:c>
      <x:c r="T50" s="32" t="n">
        <x:v>89.9</x:v>
      </x:c>
      <x:c r="U50" s="32" t="n">
        <x:v>245.07712999476223</x:v>
      </x:c>
      <x:c r="V50" s="32" t="n">
        <x:v>244.75798925963002</x:v>
      </x:c>
      <x:c r="W50" s="33" t="n">
        <x:f>IF(ISNUMBER(E50),100*MAX(0,MIN(1,('Anchors'!$H$6-E50)/('Anchors'!$H$6-'Anchors'!$G$6))),"")</x:f>
        <x:v>79.14285714285715</x:v>
      </x:c>
      <x:c r="X50" s="33" t="n">
        <x:f>IF(ISNUMBER(F50),100*MAX(0,MIN(1,('Anchors'!$H$7-F50)/('Anchors'!$H$7-'Anchors'!$G$7))),"")</x:f>
        <x:v>92.4946958981613</x:v>
      </x:c>
      <x:c r="Y50" s="33" t="n">
        <x:f>IF(ISNUMBER(G50),100*MAX(0,MIN(1,('Anchors'!$H$8-G50)/('Anchors'!$H$8-'Anchors'!$G$8))),"")</x:f>
        <x:v>53.39645690380942</x:v>
      </x:c>
      <x:c r="Z50" s="33" t="n">
        <x:f>IF(ISNUMBER(H50),100*MAX(0,MIN(1,('Anchors'!$H$9-H50)/('Anchors'!$H$9-'Anchors'!$G$9))),"")</x:f>
        <x:v>42.32788661866045</x:v>
      </x:c>
      <x:c r="AA50" s="33" t="n">
        <x:f>IF(ISNUMBER(I50),100*MAX(0,MIN(1,(I50-'Anchors'!$H$10)/('Anchors'!$G$10-'Anchors'!$H$10))),"")</x:f>
        <x:v>90.48393962065865</x:v>
      </x:c>
      <x:c r="AB50" s="33" t="n">
        <x:f>IF(ISNUMBER(J50),100*MAX(0,MIN(1,('Anchors'!$H$11-J50)/('Anchors'!$H$11-'Anchors'!$G$11))),"")</x:f>
        <x:v>92.33511991758063</x:v>
      </x:c>
      <x:c r="AC50" s="33" t="n">
        <x:f>IF(ISNUMBER(K50),100*MAX(0,MIN(1,('Anchors'!$H$12-K50)/('Anchors'!$H$12-'Anchors'!$G$12))),"")</x:f>
        <x:v>42.5257324093184</x:v>
      </x:c>
      <x:c r="AD50" s="33" t="n">
        <x:f>IF(ISNUMBER(L50),100*MAX(0,MIN(1,(L50-'Anchors'!$H$13)/('Anchors'!$G$13-'Anchors'!$H$13))),"")</x:f>
        <x:v>0</x:v>
      </x:c>
      <x:c r="AE50" s="33" t="n">
        <x:f>IF(ISNUMBER(M50),100*MAX(0,MIN(1,(M50-'Anchors'!$H$14)/('Anchors'!$G$14-'Anchors'!$H$14))),"")</x:f>
        <x:v>9.220345625</x:v>
      </x:c>
      <x:c r="AF50" s="33" t="n">
        <x:f>IF(ISNUMBER(N50),100*MAX(0,MIN(1,(LN(1+N50)-LN(1+'Anchors'!$H$15))/(LN(1+'Anchors'!$G$15)-LN(1+'Anchors'!$H$15)))),"")</x:f>
        <x:v>54.26467294336076</x:v>
      </x:c>
      <x:c r="AG50" s="33" t="n">
        <x:f>IF(ISNUMBER(O50),100*MAX(0,MIN(1,('Anchors'!$H$16-O50)/('Anchors'!$H$16-'Anchors'!$G$16))),"")</x:f>
        <x:v>80.63333333333334</x:v>
      </x:c>
      <x:c r="AH50" s="33" t="n">
        <x:f>IF(ISNUMBER(P50),100*MAX(0,MIN(1,('Anchors'!$H$17-P50)/('Anchors'!$H$17-'Anchors'!$G$17))),"")</x:f>
        <x:v>52.81026665581597</x:v>
      </x:c>
      <x:c r="AI50" s="33" t="n">
        <x:f>IF(ISNUMBER(Q50),100*MAX(0,MIN(1,('Anchors'!$H$18-Q50)/('Anchors'!$H$18-'Anchors'!$G$18))),"")</x:f>
        <x:v>71.3618075052897</x:v>
      </x:c>
      <x:c r="AJ50" s="33" t="n">
        <x:f>IF(ISNUMBER(R50),100*MAX(0,MIN(1,('Anchors'!$H$19-R50)/('Anchors'!$H$19-'Anchors'!$G$19))),"")</x:f>
        <x:v>56.46243374994887</x:v>
      </x:c>
      <x:c r="AK50" s="33" t="n">
        <x:f>IF(ISNUMBER(S50),100*MAX(0,MIN(1,('Anchors'!$H$20-S50)/('Anchors'!$H$20-'Anchors'!$G$20))),"")</x:f>
        <x:v>51.830719010737916</x:v>
      </x:c>
      <x:c r="AL50" s="33" t="n">
        <x:f>IF(ISNUMBER(T50),100*MAX(0,MIN(1,('Anchors'!$H$21-T50)/('Anchors'!$H$21-'Anchors'!$G$21))),"")</x:f>
        <x:v>54.72727272727271</x:v>
      </x:c>
      <x:c r="AM50" s="33" t="n">
        <x:f>IF(ISNUMBER(U50),100*MAX(0,MIN(1,('Anchors'!$H$22-U50)/('Anchors'!$H$22-'Anchors'!$G$22))),"")</x:f>
        <x:v>27.461435002618884</x:v>
      </x:c>
      <x:c r="AN50" s="33" t="n">
        <x:f>IF(ISNUMBER(V50),100*MAX(0,MIN(1,('Anchors'!$H$23-V50)/('Anchors'!$H$23-'Anchors'!$G$23))),"")</x:f>
        <x:v>88.8105026850925</x:v>
      </x:c>
      <x:c r="AO50" s="27" t="n">
        <x:f>IF(ISNUMBER(W50),IF('Scoring Setup'!$L$9=1,1-'Scoring Setup'!$B$5*(1-MAX(0,MIN(1,(W50-'Scoring Setup'!$K$9)/(100-'Scoring Setup'!$K$9)))),1),"")</x:f>
        <x:v>0.9582857142857143</x:v>
      </x:c>
      <x:c r="AP50" s="27" t="n">
        <x:f>IF(ISNUMBER(X50),IF('Scoring Setup'!$L$10=1,1-'Scoring Setup'!$B$5*(1-MAX(0,MIN(1,(X50-'Scoring Setup'!$K$10)/(100-'Scoring Setup'!$K$10)))),1),"")</x:f>
        <x:v>0.9849893917963226</x:v>
      </x:c>
      <x:c r="AQ50" s="27" t="n">
        <x:f>IF(ISNUMBER(Y50),IF('Scoring Setup'!$L$11=1,1-'Scoring Setup'!$B$5*(1-MAX(0,MIN(1,(Y50-'Scoring Setup'!$K$11)/(100-'Scoring Setup'!$K$11)))),1),"")</x:f>
        <x:v>0.9067929138076188</x:v>
      </x:c>
      <x:c r="AR50" s="27" t="n">
        <x:f>IF(ISNUMBER(Z50),IF('Scoring Setup'!$L$12=1,1-'Scoring Setup'!$B$5*(1-MAX(0,MIN(1,(Z50-'Scoring Setup'!$K$12)/(100-'Scoring Setup'!$K$12)))),1),"")</x:f>
        <x:v>0.8846557732373209</x:v>
      </x:c>
      <x:c r="AS50" s="27" t="n">
        <x:f>IF(ISNUMBER(AA50),IF('Scoring Setup'!$L$13=1,1-'Scoring Setup'!$B$5*(1-MAX(0,MIN(1,(AA50-'Scoring Setup'!$K$13)/(100-'Scoring Setup'!$K$13)))),1),"")</x:f>
        <x:v>0.9809678792413173</x:v>
      </x:c>
      <x:c r="AT50" s="27" t="n">
        <x:f>IF(ISNUMBER(AB50),IF('Scoring Setup'!$L$14=1,1-'Scoring Setup'!$B$5*(1-MAX(0,MIN(1,(AB50-'Scoring Setup'!$K$14)/(100-'Scoring Setup'!$K$14)))),1),"")</x:f>
        <x:v>0.9846702398351612</x:v>
      </x:c>
      <x:c r="AU50" s="27" t="n">
        <x:f>IF(ISNUMBER(AC50),IF('Scoring Setup'!$L$15=1,1-'Scoring Setup'!$B$5*(1-MAX(0,MIN(1,(AC50-'Scoring Setup'!$K$15)/(100-'Scoring Setup'!$K$15)))),1),"")</x:f>
        <x:v>0.8850514648186368</x:v>
      </x:c>
      <x:c r="AV50" s="27" t="n">
        <x:f>IF(ISNUMBER(AD50),IF('Scoring Setup'!$L$16=1,1-'Scoring Setup'!$B$5*(1-MAX(0,MIN(1,(AD50-'Scoring Setup'!$K$16)/(100-'Scoring Setup'!$K$16)))),1),"")</x:f>
        <x:v>0.8</x:v>
      </x:c>
      <x:c r="AW50" s="27" t="n">
        <x:f>IF(ISNUMBER(AE50),IF('Scoring Setup'!$L$17=1,1-'Scoring Setup'!$B$5*(1-MAX(0,MIN(1,(AE50-'Scoring Setup'!$K$17)/(100-'Scoring Setup'!$K$17)))),1),"")</x:f>
        <x:v>0.81844069125</x:v>
      </x:c>
      <x:c r="AX50" s="27" t="n">
        <x:f>IF(ISNUMBER(AF50),IF('Scoring Setup'!$L$18=1,1-'Scoring Setup'!$B$5*(1-MAX(0,MIN(1,(AF50-'Scoring Setup'!$K$18)/(100-'Scoring Setup'!$K$18)))),1),"")</x:f>
        <x:v>0.9085293458867215</x:v>
      </x:c>
      <x:c r="AY50" s="27" t="n">
        <x:f>IF(ISNUMBER(AG50),IF('Scoring Setup'!$L$19=1,1-'Scoring Setup'!$B$5*(1-MAX(0,MIN(1,(AG50-'Scoring Setup'!$K$19)/(100-'Scoring Setup'!$K$19)))),1),"")</x:f>
        <x:v>0.9612666666666667</x:v>
      </x:c>
      <x:c r="AZ50" s="27" t="n">
        <x:f>IF(ISNUMBER(AH50),IF('Scoring Setup'!$L$20=1,1-'Scoring Setup'!$B$5*(1-MAX(0,MIN(1,(AH50-'Scoring Setup'!$K$20)/(100-'Scoring Setup'!$K$20)))),1),"")</x:f>
        <x:v>0.905620533311632</x:v>
      </x:c>
      <x:c r="BA50" s="27" t="n">
        <x:f>IF(ISNUMBER(AI50),IF('Scoring Setup'!$L$21=1,1-'Scoring Setup'!$B$5*(1-MAX(0,MIN(1,(AI50-'Scoring Setup'!$K$21)/(100-'Scoring Setup'!$K$21)))),1),"")</x:f>
        <x:v>0.9427236150105794</x:v>
      </x:c>
      <x:c r="BB50" s="27" t="n">
        <x:f>IF(ISNUMBER(AJ50),IF('Scoring Setup'!$L$22=1,1-'Scoring Setup'!$B$5*(1-MAX(0,MIN(1,(AJ50-'Scoring Setup'!$K$22)/(100-'Scoring Setup'!$K$22)))),1),"")</x:f>
        <x:v>0.9129248674998978</x:v>
      </x:c>
      <x:c r="BC50" s="27" t="n">
        <x:f>IF(ISNUMBER(AK50),IF('Scoring Setup'!$L$23=1,1-'Scoring Setup'!$B$5*(1-MAX(0,MIN(1,(AK50-'Scoring Setup'!$K$23)/(100-'Scoring Setup'!$K$23)))),1),"")</x:f>
        <x:v>0.9036614380214758</x:v>
      </x:c>
      <x:c r="BD50" s="27" t="n">
        <x:f>IF(ISNUMBER(AL50),IF('Scoring Setup'!$L$24=1,1-'Scoring Setup'!$B$5*(1-MAX(0,MIN(1,(AL50-'Scoring Setup'!$K$24)/(100-'Scoring Setup'!$K$24)))),1),"")</x:f>
        <x:v>0.9094545454545454</x:v>
      </x:c>
      <x:c r="BE50" s="27" t="n">
        <x:f>IF(ISNUMBER(AM50),IF('Scoring Setup'!$L$25=1,1-'Scoring Setup'!$B$5*(1-MAX(0,MIN(1,(AM50-'Scoring Setup'!$K$25)/(100-'Scoring Setup'!$K$25)))),1),"")</x:f>
        <x:v>0.8549228700052378</x:v>
      </x:c>
      <x:c r="BF50" s="27" t="n">
        <x:f>IF(ISNUMBER(AN50),IF('Scoring Setup'!$L$26=1,1-'Scoring Setup'!$B$5*(1-MAX(0,MIN(1,(AN50-'Scoring Setup'!$K$26)/(100-'Scoring Setup'!$K$26)))),1),"")</x:f>
        <x:v>0.977621005370185</x:v>
      </x:c>
      <x:c r="BG50" s="34" t="n">
        <x:f>IF(COUNT(W50,X50)=2,AVERAGE(W50,X50),"")</x:f>
        <x:v>85.81877652050923</x:v>
      </x:c>
      <x:c r="BH50" s="34" t="n">
        <x:f>IF(COUNT(Y50,Z50)=2,AVERAGE(Y50,Z50),"")</x:f>
        <x:v>47.86217176123493</x:v>
      </x:c>
      <x:c r="BI50" s="34" t="n">
        <x:f>IF(COUNT(AA50,AB50,AC50)=3,AVERAGE(AA50,AB50,AC50),"")</x:f>
        <x:v>75.1149306491859</x:v>
      </x:c>
      <x:c r="BJ50" s="34" t="n">
        <x:f>IF(COUNT(AD50,AE50)=2,AVERAGE(AD50,AE50),"")</x:f>
        <x:v>4.6101728125</x:v>
      </x:c>
      <x:c r="BK50" s="34" t="n">
        <x:f>IF(COUNT(AF50,AG50)=2,AVERAGE(AF50,AG50),"")</x:f>
        <x:v>67.44900313834705</x:v>
      </x:c>
      <x:c r="BL50" s="34" t="n">
        <x:f>IF(COUNT(AH50,AI50)=2,AVERAGE(AH50,AI50),"")</x:f>
        <x:v>62.08603708055284</x:v>
      </x:c>
      <x:c r="BM50" s="34" t="n">
        <x:f>IF(COUNT(AJ50,AK50)=2,AVERAGE(AJ50,AK50),"")</x:f>
        <x:v>54.14657638034339</x:v>
      </x:c>
      <x:c r="BN50" s="34" t="n">
        <x:f>IF(COUNT(AL50,AM50,AN50)=3,AVERAGE(AL50,AM50,AN50),"")</x:f>
        <x:v>56.999736804994704</x:v>
      </x:c>
      <x:c r="BO50" s="35" t="n">
        <x:f>IF(AND(COUNT(BG50:BN50)=8,ABS('Scoring Setup'!$C$17-1)&lt;0.000001),BG50*'Scoring Setup'!$C$9+BH50*'Scoring Setup'!$C$10+BI50*'Scoring Setup'!$C$11+BJ50*'Scoring Setup'!$C$12+BK50*'Scoring Setup'!$C$13+BL50*'Scoring Setup'!$C$14+BM50*'Scoring Setup'!$C$15+BN50*'Scoring Setup'!$C$16,"")</x:f>
        <x:v>55.783274378844425</x:v>
      </x:c>
      <x:c r="BP50" s="36" t="n">
        <x:f>IF(COUNT(AO50:BF50)=18,MIN(AO50:BF50),"")</x:f>
        <x:v>0.8</x:v>
      </x:c>
      <x:c r="BQ50" s="35" t="n">
        <x:f>IF(AND(ISNUMBER(BO50),ISNUMBER(BP50)),BO50*BP50,"")</x:f>
        <x:v>44.626619503075545</x:v>
      </x:c>
      <x:c r="BR50" s="17" t="str">
        <x:f>IF(COUNT(AO50:BF50)=18,INDEX('Scoring Setup'!$F$9:$F$26,MATCH(MIN(AO50:BF50),AO50:BF50,0),1),"")</x:f>
        <x:v>商业光纤100/20覆盖率</x:v>
      </x:c>
    </x:row>
    <x:row r="51">
      <x:c r="A51" s="28" t="str">
        <x:v>51095</x:v>
      </x:c>
      <x:c r="B51" s="28" t="str">
        <x:v>James City County</x:v>
      </x:c>
      <x:c r="C51" s="28" t="str">
        <x:v>VA</x:v>
      </x:c>
      <x:c r="D51" s="31" t="n">
        <x:v>368.550686</x:v>
      </x:c>
      <x:c r="E51" s="32" t="n">
        <x:v>0.348</x:v>
      </x:c>
      <x:c r="F51" s="32" t="n">
        <x:v>0.233910891089109</x:v>
      </x:c>
      <x:c r="G51" s="32" t="n">
        <x:v>3.802847971072168</x:v>
      </x:c>
      <x:c r="H51" s="32" t="n">
        <x:v>4.054554194</x:v>
      </x:c>
      <x:c r="I51" s="32" t="n">
        <x:v>0.7754271745672977</x:v>
      </x:c>
      <x:c r="J51" s="32" t="n">
        <x:v>0.017482062550182417</x:v>
      </x:c>
      <x:c r="K51" s="32" t="n">
        <x:v>0.1865662658002383</x:v>
      </x:c>
      <x:c r="L51" s="32" t="n">
        <x:v>0.41811956</x:v>
      </x:c>
      <x:c r="M51" s="32" t="n">
        <x:v>0.37467653</x:v>
      </x:c>
      <x:c r="N51" s="32" t="n">
        <x:v>37979</x:v>
      </x:c>
      <x:c r="O51" s="32" t="n">
        <x:v>0.1763</x:v>
      </x:c>
      <x:c r="P51" s="32" t="n">
        <x:v>1388.7602783203124</x:v>
      </x:c>
      <x:c r="Q51" s="32" t="n">
        <x:v>29.156037712097167</x:v>
      </x:c>
      <x:c r="R51" s="32" t="n">
        <x:v>5.10750534167021</x:v>
      </x:c>
      <x:c r="S51" s="32" t="n">
        <x:v>2.852810689189553</x:v>
      </x:c>
      <x:c r="T51" s="32" t="n">
        <x:v>89.9</x:v>
      </x:c>
      <x:c r="U51" s="32" t="n">
        <x:v>245.07712999476223</x:v>
      </x:c>
      <x:c r="V51" s="32" t="n">
        <x:v>244.75798925963002</x:v>
      </x:c>
      <x:c r="W51" s="33" t="n">
        <x:f>IF(ISNUMBER(E51),100*MAX(0,MIN(1,('Anchors'!$H$6-E51)/('Anchors'!$H$6-'Anchors'!$G$6))),"")</x:f>
        <x:v>78.85714285714288</x:v>
      </x:c>
      <x:c r="X51" s="33" t="n">
        <x:f>IF(ISNUMBER(F51),100*MAX(0,MIN(1,('Anchors'!$H$7-F51)/('Anchors'!$H$7-'Anchors'!$G$7))),"")</x:f>
        <x:v>80.86987270155586</x:v>
      </x:c>
      <x:c r="Y51" s="33" t="n">
        <x:f>IF(ISNUMBER(G51),100*MAX(0,MIN(1,('Anchors'!$H$8-G51)/('Anchors'!$H$8-'Anchors'!$G$8))),"")</x:f>
        <x:v>6.571734297594404</x:v>
      </x:c>
      <x:c r="Z51" s="33" t="n">
        <x:f>IF(ISNUMBER(H51),100*MAX(0,MIN(1,('Anchors'!$H$9-H51)/('Anchors'!$H$9-'Anchors'!$G$9))),"")</x:f>
        <x:v>0</x:v>
      </x:c>
      <x:c r="AA51" s="33" t="n">
        <x:f>IF(ISNUMBER(I51),100*MAX(0,MIN(1,(I51-'Anchors'!$H$10)/('Anchors'!$G$10-'Anchors'!$H$10))),"")</x:f>
        <x:v>71.97632528319147</x:v>
      </x:c>
      <x:c r="AB51" s="33" t="n">
        <x:f>IF(ISNUMBER(J51),100*MAX(0,MIN(1,('Anchors'!$H$11-J51)/('Anchors'!$H$11-'Anchors'!$G$11))),"")</x:f>
        <x:v>93.00717497992703</x:v>
      </x:c>
      <x:c r="AC51" s="33" t="n">
        <x:f>IF(ISNUMBER(K51),100*MAX(0,MIN(1,('Anchors'!$H$12-K51)/('Anchors'!$H$12-'Anchors'!$G$12))),"")</x:f>
        <x:v>53.35843354994043</x:v>
      </x:c>
      <x:c r="AD51" s="33" t="n">
        <x:f>IF(ISNUMBER(L51),100*MAX(0,MIN(1,(L51-'Anchors'!$H$13)/('Anchors'!$G$13-'Anchors'!$H$13))),"")</x:f>
        <x:v>31.159937142857142</x:v>
      </x:c>
      <x:c r="AE51" s="33" t="n">
        <x:f>IF(ISNUMBER(M51),100*MAX(0,MIN(1,(M51-'Anchors'!$H$14)/('Anchors'!$G$14-'Anchors'!$H$14))),"")</x:f>
        <x:v>34.33456625</x:v>
      </x:c>
      <x:c r="AF51" s="33" t="n">
        <x:f>IF(ISNUMBER(N51),100*MAX(0,MIN(1,(LN(1+N51)-LN(1+'Anchors'!$H$15))/(LN(1+'Anchors'!$G$15)-LN(1+'Anchors'!$H$15)))),"")</x:f>
        <x:v>68.181981087784</x:v>
      </x:c>
      <x:c r="AG51" s="33" t="n">
        <x:f>IF(ISNUMBER(O51),100*MAX(0,MIN(1,('Anchors'!$H$16-O51)/('Anchors'!$H$16-'Anchors'!$G$16))),"")</x:f>
        <x:v>85.96666666666667</x:v>
      </x:c>
      <x:c r="AH51" s="33" t="n">
        <x:f>IF(ISNUMBER(P51),100*MAX(0,MIN(1,('Anchors'!$H$17-P51)/('Anchors'!$H$17-'Anchors'!$G$17))),"")</x:f>
        <x:v>54.08264811197917</x:v>
      </x:c>
      <x:c r="AI51" s="33" t="n">
        <x:f>IF(ISNUMBER(Q51),100*MAX(0,MIN(1,('Anchors'!$H$18-Q51)/('Anchors'!$H$18-'Anchors'!$G$18))),"")</x:f>
        <x:v>65.49137469700405</x:v>
      </x:c>
      <x:c r="AJ51" s="33" t="n">
        <x:f>IF(ISNUMBER(R51),100*MAX(0,MIN(1,('Anchors'!$H$19-R51)/('Anchors'!$H$19-'Anchors'!$G$19))),"")</x:f>
        <x:v>99.76109924073286</x:v>
      </x:c>
      <x:c r="AK51" s="33" t="n">
        <x:f>IF(ISNUMBER(S51),100*MAX(0,MIN(1,('Anchors'!$H$20-S51)/('Anchors'!$H$20-'Anchors'!$G$20))),"")</x:f>
        <x:v>90.24836479373919</x:v>
      </x:c>
      <x:c r="AL51" s="33" t="n">
        <x:f>IF(ISNUMBER(T51),100*MAX(0,MIN(1,('Anchors'!$H$21-T51)/('Anchors'!$H$21-'Anchors'!$G$21))),"")</x:f>
        <x:v>54.72727272727271</x:v>
      </x:c>
      <x:c r="AM51" s="33" t="n">
        <x:f>IF(ISNUMBER(U51),100*MAX(0,MIN(1,('Anchors'!$H$22-U51)/('Anchors'!$H$22-'Anchors'!$G$22))),"")</x:f>
        <x:v>27.461435002618884</x:v>
      </x:c>
      <x:c r="AN51" s="33" t="n">
        <x:f>IF(ISNUMBER(V51),100*MAX(0,MIN(1,('Anchors'!$H$23-V51)/('Anchors'!$H$23-'Anchors'!$G$23))),"")</x:f>
        <x:v>88.8105026850925</x:v>
      </x:c>
      <x:c r="AO51" s="27" t="n">
        <x:f>IF(ISNUMBER(W51),IF('Scoring Setup'!$L$9=1,1-'Scoring Setup'!$B$5*(1-MAX(0,MIN(1,(W51-'Scoring Setup'!$K$9)/(100-'Scoring Setup'!$K$9)))),1),"")</x:f>
        <x:v>0.9577142857142857</x:v>
      </x:c>
      <x:c r="AP51" s="27" t="n">
        <x:f>IF(ISNUMBER(X51),IF('Scoring Setup'!$L$10=1,1-'Scoring Setup'!$B$5*(1-MAX(0,MIN(1,(X51-'Scoring Setup'!$K$10)/(100-'Scoring Setup'!$K$10)))),1),"")</x:f>
        <x:v>0.9617397454031117</x:v>
      </x:c>
      <x:c r="AQ51" s="27" t="n">
        <x:f>IF(ISNUMBER(Y51),IF('Scoring Setup'!$L$11=1,1-'Scoring Setup'!$B$5*(1-MAX(0,MIN(1,(Y51-'Scoring Setup'!$K$11)/(100-'Scoring Setup'!$K$11)))),1),"")</x:f>
        <x:v>0.8131434685951888</x:v>
      </x:c>
      <x:c r="AR51" s="27" t="n">
        <x:f>IF(ISNUMBER(Z51),IF('Scoring Setup'!$L$12=1,1-'Scoring Setup'!$B$5*(1-MAX(0,MIN(1,(Z51-'Scoring Setup'!$K$12)/(100-'Scoring Setup'!$K$12)))),1),"")</x:f>
        <x:v>0.8</x:v>
      </x:c>
      <x:c r="AS51" s="27" t="n">
        <x:f>IF(ISNUMBER(AA51),IF('Scoring Setup'!$L$13=1,1-'Scoring Setup'!$B$5*(1-MAX(0,MIN(1,(AA51-'Scoring Setup'!$K$13)/(100-'Scoring Setup'!$K$13)))),1),"")</x:f>
        <x:v>0.9439526505663829</x:v>
      </x:c>
      <x:c r="AT51" s="27" t="n">
        <x:f>IF(ISNUMBER(AB51),IF('Scoring Setup'!$L$14=1,1-'Scoring Setup'!$B$5*(1-MAX(0,MIN(1,(AB51-'Scoring Setup'!$K$14)/(100-'Scoring Setup'!$K$14)))),1),"")</x:f>
        <x:v>0.986014349959854</x:v>
      </x:c>
      <x:c r="AU51" s="27" t="n">
        <x:f>IF(ISNUMBER(AC51),IF('Scoring Setup'!$L$15=1,1-'Scoring Setup'!$B$5*(1-MAX(0,MIN(1,(AC51-'Scoring Setup'!$K$15)/(100-'Scoring Setup'!$K$15)))),1),"")</x:f>
        <x:v>0.9067168670998809</x:v>
      </x:c>
      <x:c r="AV51" s="27" t="n">
        <x:f>IF(ISNUMBER(AD51),IF('Scoring Setup'!$L$16=1,1-'Scoring Setup'!$B$5*(1-MAX(0,MIN(1,(AD51-'Scoring Setup'!$K$16)/(100-'Scoring Setup'!$K$16)))),1),"")</x:f>
        <x:v>0.8623198742857143</x:v>
      </x:c>
      <x:c r="AW51" s="27" t="n">
        <x:f>IF(ISNUMBER(AE51),IF('Scoring Setup'!$L$17=1,1-'Scoring Setup'!$B$5*(1-MAX(0,MIN(1,(AE51-'Scoring Setup'!$K$17)/(100-'Scoring Setup'!$K$17)))),1),"")</x:f>
        <x:v>0.8686691325</x:v>
      </x:c>
      <x:c r="AX51" s="27" t="n">
        <x:f>IF(ISNUMBER(AF51),IF('Scoring Setup'!$L$18=1,1-'Scoring Setup'!$B$5*(1-MAX(0,MIN(1,(AF51-'Scoring Setup'!$K$18)/(100-'Scoring Setup'!$K$18)))),1),"")</x:f>
        <x:v>0.9363639621755679</x:v>
      </x:c>
      <x:c r="AY51" s="27" t="n">
        <x:f>IF(ISNUMBER(AG51),IF('Scoring Setup'!$L$19=1,1-'Scoring Setup'!$B$5*(1-MAX(0,MIN(1,(AG51-'Scoring Setup'!$K$19)/(100-'Scoring Setup'!$K$19)))),1),"")</x:f>
        <x:v>0.9719333333333333</x:v>
      </x:c>
      <x:c r="AZ51" s="27" t="n">
        <x:f>IF(ISNUMBER(AH51),IF('Scoring Setup'!$L$20=1,1-'Scoring Setup'!$B$5*(1-MAX(0,MIN(1,(AH51-'Scoring Setup'!$K$20)/(100-'Scoring Setup'!$K$20)))),1),"")</x:f>
        <x:v>0.9081652962239584</x:v>
      </x:c>
      <x:c r="BA51" s="27" t="n">
        <x:f>IF(ISNUMBER(AI51),IF('Scoring Setup'!$L$21=1,1-'Scoring Setup'!$B$5*(1-MAX(0,MIN(1,(AI51-'Scoring Setup'!$K$21)/(100-'Scoring Setup'!$K$21)))),1),"")</x:f>
        <x:v>0.930982749394008</x:v>
      </x:c>
      <x:c r="BB51" s="27" t="n">
        <x:f>IF(ISNUMBER(AJ51),IF('Scoring Setup'!$L$22=1,1-'Scoring Setup'!$B$5*(1-MAX(0,MIN(1,(AJ51-'Scoring Setup'!$K$22)/(100-'Scoring Setup'!$K$22)))),1),"")</x:f>
        <x:v>0.9995221984814657</x:v>
      </x:c>
      <x:c r="BC51" s="27" t="n">
        <x:f>IF(ISNUMBER(AK51),IF('Scoring Setup'!$L$23=1,1-'Scoring Setup'!$B$5*(1-MAX(0,MIN(1,(AK51-'Scoring Setup'!$K$23)/(100-'Scoring Setup'!$K$23)))),1),"")</x:f>
        <x:v>0.9804967295874784</x:v>
      </x:c>
      <x:c r="BD51" s="27" t="n">
        <x:f>IF(ISNUMBER(AL51),IF('Scoring Setup'!$L$24=1,1-'Scoring Setup'!$B$5*(1-MAX(0,MIN(1,(AL51-'Scoring Setup'!$K$24)/(100-'Scoring Setup'!$K$24)))),1),"")</x:f>
        <x:v>0.9094545454545454</x:v>
      </x:c>
      <x:c r="BE51" s="27" t="n">
        <x:f>IF(ISNUMBER(AM51),IF('Scoring Setup'!$L$25=1,1-'Scoring Setup'!$B$5*(1-MAX(0,MIN(1,(AM51-'Scoring Setup'!$K$25)/(100-'Scoring Setup'!$K$25)))),1),"")</x:f>
        <x:v>0.8549228700052378</x:v>
      </x:c>
      <x:c r="BF51" s="27" t="n">
        <x:f>IF(ISNUMBER(AN51),IF('Scoring Setup'!$L$26=1,1-'Scoring Setup'!$B$5*(1-MAX(0,MIN(1,(AN51-'Scoring Setup'!$K$26)/(100-'Scoring Setup'!$K$26)))),1),"")</x:f>
        <x:v>0.977621005370185</x:v>
      </x:c>
      <x:c r="BG51" s="34" t="n">
        <x:f>IF(COUNT(W51,X51)=2,AVERAGE(W51,X51),"")</x:f>
        <x:v>79.86350777934936</x:v>
      </x:c>
      <x:c r="BH51" s="34" t="n">
        <x:f>IF(COUNT(Y51,Z51)=2,AVERAGE(Y51,Z51),"")</x:f>
        <x:v>3.285867148797202</x:v>
      </x:c>
      <x:c r="BI51" s="34" t="n">
        <x:f>IF(COUNT(AA51,AB51,AC51)=3,AVERAGE(AA51,AB51,AC51),"")</x:f>
        <x:v>72.78064460435299</x:v>
      </x:c>
      <x:c r="BJ51" s="34" t="n">
        <x:f>IF(COUNT(AD51,AE51)=2,AVERAGE(AD51,AE51),"")</x:f>
        <x:v>32.74725169642857</x:v>
      </x:c>
      <x:c r="BK51" s="34" t="n">
        <x:f>IF(COUNT(AF51,AG51)=2,AVERAGE(AF51,AG51),"")</x:f>
        <x:v>77.07432387722534</x:v>
      </x:c>
      <x:c r="BL51" s="34" t="n">
        <x:f>IF(COUNT(AH51,AI51)=2,AVERAGE(AH51,AI51),"")</x:f>
        <x:v>59.78701140449161</x:v>
      </x:c>
      <x:c r="BM51" s="34" t="n">
        <x:f>IF(COUNT(AJ51,AK51)=2,AVERAGE(AJ51,AK51),"")</x:f>
        <x:v>95.00473201723602</x:v>
      </x:c>
      <x:c r="BN51" s="34" t="n">
        <x:f>IF(COUNT(AL51,AM51,AN51)=3,AVERAGE(AL51,AM51,AN51),"")</x:f>
        <x:v>56.999736804994704</x:v>
      </x:c>
      <x:c r="BO51" s="35" t="n">
        <x:f>IF(AND(COUNT(BG51:BN51)=8,ABS('Scoring Setup'!$C$17-1)&lt;0.000001),BG51*'Scoring Setup'!$C$9+BH51*'Scoring Setup'!$C$10+BI51*'Scoring Setup'!$C$11+BJ51*'Scoring Setup'!$C$12+BK51*'Scoring Setup'!$C$13+BL51*'Scoring Setup'!$C$14+BM51*'Scoring Setup'!$C$15+BN51*'Scoring Setup'!$C$16,"")</x:f>
        <x:v>51.74325443807986</x:v>
      </x:c>
      <x:c r="BP51" s="36" t="n">
        <x:f>IF(COUNT(AO51:BF51)=18,MIN(AO51:BF51),"")</x:f>
        <x:v>0.8</x:v>
      </x:c>
      <x:c r="BQ51" s="35" t="n">
        <x:f>IF(AND(ISNUMBER(BO51),ISNUMBER(BP51)),BO51*BP51,"")</x:f>
        <x:v>41.39460355046389</x:v>
      </x:c>
      <x:c r="BR51" s="17" t="str">
        <x:f>IF(COUNT(AO51:BF51)=18,INDEX('Scoring Setup'!$F$9:$F$26,MATCH(MIN(AO51:BF51),AO51:BF51,0),1),"")</x:f>
        <x:v>2050 BAU水压力</x:v>
      </x:c>
    </x:row>
    <x:row r="52">
      <x:c r="A52" s="28" t="str">
        <x:v>51097</x:v>
      </x:c>
      <x:c r="B52" s="28" t="str">
        <x:v>King and Queen County</x:v>
      </x:c>
      <x:c r="C52" s="28" t="str">
        <x:v>VA</x:v>
      </x:c>
      <x:c r="D52" s="31" t="n">
        <x:v>816.185249</x:v>
      </x:c>
      <x:c r="E52" s="32" t="n">
        <x:v>0.303</x:v>
      </x:c>
      <x:c r="F52" s="32" t="n">
        <x:v>0.412438118811881</x:v>
      </x:c>
      <x:c r="G52" s="32" t="n">
        <x:v>2.8441451824923965</x:v>
      </x:c>
      <x:c r="H52" s="32" t="n">
        <x:v>3.1869254859999994</x:v>
      </x:c>
      <x:c r="I52" s="32" t="n">
        <x:v>0.9680810549024788</x:v>
      </x:c>
      <x:c r="J52" s="32" t="n">
        <x:v>0.06299546263529546</x:v>
      </x:c>
      <x:c r="K52" s="32" t="n">
        <x:v>0.1208074670893321</x:v>
      </x:c>
      <x:c r="L52" s="32" t="n">
        <x:v>0.820224719</x:v>
      </x:c>
      <x:c r="M52" s="32" t="n">
        <x:v>0.820224719</x:v>
      </x:c>
      <x:c r="N52" s="32" t="n">
        <x:v>3542</x:v>
      </x:c>
      <x:c r="O52" s="32" t="n">
        <x:v>0.1973</x:v>
      </x:c>
      <x:c r="P52" s="32" t="n">
        <x:v>1328.0845458984377</x:v>
      </x:c>
      <x:c r="Q52" s="32" t="n">
        <x:v>30.585072390238444</x:v>
      </x:c>
      <x:c r="R52" s="32" t="n">
        <x:v>26.029048237715426</x:v>
      </x:c>
      <x:c r="S52" s="32" t="n">
        <x:v>15.130200630178791</x:v>
      </x:c>
      <x:c r="T52" s="32" t="n">
        <x:v>89.9</x:v>
      </x:c>
      <x:c r="U52" s="32" t="n">
        <x:v>245.07712999476223</x:v>
      </x:c>
      <x:c r="V52" s="32" t="n">
        <x:v>244.75798925963002</x:v>
      </x:c>
      <x:c r="W52" s="33" t="n">
        <x:f>IF(ISNUMBER(E52),100*MAX(0,MIN(1,('Anchors'!$H$6-E52)/('Anchors'!$H$6-'Anchors'!$G$6))),"")</x:f>
        <x:v>85.28571428571429</x:v>
      </x:c>
      <x:c r="X52" s="33" t="n">
        <x:f>IF(ISNUMBER(F52),100*MAX(0,MIN(1,('Anchors'!$H$7-F52)/('Anchors'!$H$7-'Anchors'!$G$7))),"")</x:f>
        <x:v>55.36598302687415</x:v>
      </x:c>
      <x:c r="Y52" s="33" t="n">
        <x:f>IF(ISNUMBER(G52),100*MAX(0,MIN(1,('Anchors'!$H$8-G52)/('Anchors'!$H$8-'Anchors'!$G$8))),"")</x:f>
        <x:v>38.52849391692012</x:v>
      </x:c>
      <x:c r="Z52" s="33" t="n">
        <x:f>IF(ISNUMBER(H52),100*MAX(0,MIN(1,('Anchors'!$H$9-H52)/('Anchors'!$H$9-'Anchors'!$G$9))),"")</x:f>
        <x:v>27.102483800000023</x:v>
      </x:c>
      <x:c r="AA52" s="33" t="n">
        <x:f>IF(ISNUMBER(I52),100*MAX(0,MIN(1,(I52-'Anchors'!$H$10)/('Anchors'!$G$10-'Anchors'!$H$10))),"")</x:f>
        <x:v>98.3672677948601</x:v>
      </x:c>
      <x:c r="AB52" s="33" t="n">
        <x:f>IF(ISNUMBER(J52),100*MAX(0,MIN(1,('Anchors'!$H$11-J52)/('Anchors'!$H$11-'Anchors'!$G$11))),"")</x:f>
        <x:v>74.80181494588182</x:v>
      </x:c>
      <x:c r="AC52" s="33" t="n">
        <x:f>IF(ISNUMBER(K52),100*MAX(0,MIN(1,('Anchors'!$H$12-K52)/('Anchors'!$H$12-'Anchors'!$G$12))),"")</x:f>
        <x:v>69.79813322766698</x:v>
      </x:c>
      <x:c r="AD52" s="33" t="n">
        <x:f>IF(ISNUMBER(L52),100*MAX(0,MIN(1,(L52-'Anchors'!$H$13)/('Anchors'!$G$13-'Anchors'!$H$13))),"")</x:f>
        <x:v>88.60353128571431</x:v>
      </x:c>
      <x:c r="AE52" s="33" t="n">
        <x:f>IF(ISNUMBER(M52),100*MAX(0,MIN(1,(M52-'Anchors'!$H$14)/('Anchors'!$G$14-'Anchors'!$H$14))),"")</x:f>
        <x:v>90.028089875</x:v>
      </x:c>
      <x:c r="AF52" s="33" t="n">
        <x:f>IF(ISNUMBER(N52),100*MAX(0,MIN(1,(LN(1+N52)-LN(1+'Anchors'!$H$15))/(LN(1+'Anchors'!$G$15)-LN(1+'Anchors'!$H$15)))),"")</x:f>
        <x:v>13.234362857403658</x:v>
      </x:c>
      <x:c r="AG52" s="33" t="n">
        <x:f>IF(ISNUMBER(O52),100*MAX(0,MIN(1,('Anchors'!$H$16-O52)/('Anchors'!$H$16-'Anchors'!$G$16))),"")</x:f>
        <x:v>83.63333333333334</x:v>
      </x:c>
      <x:c r="AH52" s="33" t="n">
        <x:f>IF(ISNUMBER(P52),100*MAX(0,MIN(1,('Anchors'!$H$17-P52)/('Anchors'!$H$17-'Anchors'!$G$17))),"")</x:f>
        <x:v>58.12769694010416</x:v>
      </x:c>
      <x:c r="AI52" s="33" t="n">
        <x:f>IF(ISNUMBER(Q52),100*MAX(0,MIN(1,('Anchors'!$H$18-Q52)/('Anchors'!$H$18-'Anchors'!$G$18))),"")</x:f>
        <x:v>63.44989658537366</x:v>
      </x:c>
      <x:c r="AJ52" s="33" t="n">
        <x:f>IF(ISNUMBER(R52),100*MAX(0,MIN(1,('Anchors'!$H$19-R52)/('Anchors'!$H$19-'Anchors'!$G$19))),"")</x:f>
        <x:v>53.268781693965714</x:v>
      </x:c>
      <x:c r="AK52" s="33" t="n">
        <x:f>IF(ISNUMBER(S52),100*MAX(0,MIN(1,('Anchors'!$H$20-S52)/('Anchors'!$H$20-'Anchors'!$G$20))),"")</x:f>
        <x:v>25.63052299905899</x:v>
      </x:c>
      <x:c r="AL52" s="33" t="n">
        <x:f>IF(ISNUMBER(T52),100*MAX(0,MIN(1,('Anchors'!$H$21-T52)/('Anchors'!$H$21-'Anchors'!$G$21))),"")</x:f>
        <x:v>54.72727272727271</x:v>
      </x:c>
      <x:c r="AM52" s="33" t="n">
        <x:f>IF(ISNUMBER(U52),100*MAX(0,MIN(1,('Anchors'!$H$22-U52)/('Anchors'!$H$22-'Anchors'!$G$22))),"")</x:f>
        <x:v>27.461435002618884</x:v>
      </x:c>
      <x:c r="AN52" s="33" t="n">
        <x:f>IF(ISNUMBER(V52),100*MAX(0,MIN(1,('Anchors'!$H$23-V52)/('Anchors'!$H$23-'Anchors'!$G$23))),"")</x:f>
        <x:v>88.8105026850925</x:v>
      </x:c>
      <x:c r="AO52" s="27" t="n">
        <x:f>IF(ISNUMBER(W52),IF('Scoring Setup'!$L$9=1,1-'Scoring Setup'!$B$5*(1-MAX(0,MIN(1,(W52-'Scoring Setup'!$K$9)/(100-'Scoring Setup'!$K$9)))),1),"")</x:f>
        <x:v>0.9705714285714285</x:v>
      </x:c>
      <x:c r="AP52" s="27" t="n">
        <x:f>IF(ISNUMBER(X52),IF('Scoring Setup'!$L$10=1,1-'Scoring Setup'!$B$5*(1-MAX(0,MIN(1,(X52-'Scoring Setup'!$K$10)/(100-'Scoring Setup'!$K$10)))),1),"")</x:f>
        <x:v>0.9107319660537483</x:v>
      </x:c>
      <x:c r="AQ52" s="27" t="n">
        <x:f>IF(ISNUMBER(Y52),IF('Scoring Setup'!$L$11=1,1-'Scoring Setup'!$B$5*(1-MAX(0,MIN(1,(Y52-'Scoring Setup'!$K$11)/(100-'Scoring Setup'!$K$11)))),1),"")</x:f>
        <x:v>0.8770569878338402</x:v>
      </x:c>
      <x:c r="AR52" s="27" t="n">
        <x:f>IF(ISNUMBER(Z52),IF('Scoring Setup'!$L$12=1,1-'Scoring Setup'!$B$5*(1-MAX(0,MIN(1,(Z52-'Scoring Setup'!$K$12)/(100-'Scoring Setup'!$K$12)))),1),"")</x:f>
        <x:v>0.8542049676000001</x:v>
      </x:c>
      <x:c r="AS52" s="27" t="n">
        <x:f>IF(ISNUMBER(AA52),IF('Scoring Setup'!$L$13=1,1-'Scoring Setup'!$B$5*(1-MAX(0,MIN(1,(AA52-'Scoring Setup'!$K$13)/(100-'Scoring Setup'!$K$13)))),1),"")</x:f>
        <x:v>0.9967345355897202</x:v>
      </x:c>
      <x:c r="AT52" s="27" t="n">
        <x:f>IF(ISNUMBER(AB52),IF('Scoring Setup'!$L$14=1,1-'Scoring Setup'!$B$5*(1-MAX(0,MIN(1,(AB52-'Scoring Setup'!$K$14)/(100-'Scoring Setup'!$K$14)))),1),"")</x:f>
        <x:v>0.9496036298917636</x:v>
      </x:c>
      <x:c r="AU52" s="27" t="n">
        <x:f>IF(ISNUMBER(AC52),IF('Scoring Setup'!$L$15=1,1-'Scoring Setup'!$B$5*(1-MAX(0,MIN(1,(AC52-'Scoring Setup'!$K$15)/(100-'Scoring Setup'!$K$15)))),1),"")</x:f>
        <x:v>0.939596266455334</x:v>
      </x:c>
      <x:c r="AV52" s="27" t="n">
        <x:f>IF(ISNUMBER(AD52),IF('Scoring Setup'!$L$16=1,1-'Scoring Setup'!$B$5*(1-MAX(0,MIN(1,(AD52-'Scoring Setup'!$K$16)/(100-'Scoring Setup'!$K$16)))),1),"")</x:f>
        <x:v>0.9772070625714286</x:v>
      </x:c>
      <x:c r="AW52" s="27" t="n">
        <x:f>IF(ISNUMBER(AE52),IF('Scoring Setup'!$L$17=1,1-'Scoring Setup'!$B$5*(1-MAX(0,MIN(1,(AE52-'Scoring Setup'!$K$17)/(100-'Scoring Setup'!$K$17)))),1),"")</x:f>
        <x:v>0.98005617975</x:v>
      </x:c>
      <x:c r="AX52" s="27" t="n">
        <x:f>IF(ISNUMBER(AF52),IF('Scoring Setup'!$L$18=1,1-'Scoring Setup'!$B$5*(1-MAX(0,MIN(1,(AF52-'Scoring Setup'!$K$18)/(100-'Scoring Setup'!$K$18)))),1),"")</x:f>
        <x:v>0.8264687257148073</x:v>
      </x:c>
      <x:c r="AY52" s="27" t="n">
        <x:f>IF(ISNUMBER(AG52),IF('Scoring Setup'!$L$19=1,1-'Scoring Setup'!$B$5*(1-MAX(0,MIN(1,(AG52-'Scoring Setup'!$K$19)/(100-'Scoring Setup'!$K$19)))),1),"")</x:f>
        <x:v>0.9672666666666667</x:v>
      </x:c>
      <x:c r="AZ52" s="27" t="n">
        <x:f>IF(ISNUMBER(AH52),IF('Scoring Setup'!$L$20=1,1-'Scoring Setup'!$B$5*(1-MAX(0,MIN(1,(AH52-'Scoring Setup'!$K$20)/(100-'Scoring Setup'!$K$20)))),1),"")</x:f>
        <x:v>0.9162553938802083</x:v>
      </x:c>
      <x:c r="BA52" s="27" t="n">
        <x:f>IF(ISNUMBER(AI52),IF('Scoring Setup'!$L$21=1,1-'Scoring Setup'!$B$5*(1-MAX(0,MIN(1,(AI52-'Scoring Setup'!$K$21)/(100-'Scoring Setup'!$K$21)))),1),"")</x:f>
        <x:v>0.9268997931707473</x:v>
      </x:c>
      <x:c r="BB52" s="27" t="n">
        <x:f>IF(ISNUMBER(AJ52),IF('Scoring Setup'!$L$22=1,1-'Scoring Setup'!$B$5*(1-MAX(0,MIN(1,(AJ52-'Scoring Setup'!$K$22)/(100-'Scoring Setup'!$K$22)))),1),"")</x:f>
        <x:v>0.9065375633879315</x:v>
      </x:c>
      <x:c r="BC52" s="27" t="n">
        <x:f>IF(ISNUMBER(AK52),IF('Scoring Setup'!$L$23=1,1-'Scoring Setup'!$B$5*(1-MAX(0,MIN(1,(AK52-'Scoring Setup'!$K$23)/(100-'Scoring Setup'!$K$23)))),1),"")</x:f>
        <x:v>0.851261045998118</x:v>
      </x:c>
      <x:c r="BD52" s="27" t="n">
        <x:f>IF(ISNUMBER(AL52),IF('Scoring Setup'!$L$24=1,1-'Scoring Setup'!$B$5*(1-MAX(0,MIN(1,(AL52-'Scoring Setup'!$K$24)/(100-'Scoring Setup'!$K$24)))),1),"")</x:f>
        <x:v>0.9094545454545454</x:v>
      </x:c>
      <x:c r="BE52" s="27" t="n">
        <x:f>IF(ISNUMBER(AM52),IF('Scoring Setup'!$L$25=1,1-'Scoring Setup'!$B$5*(1-MAX(0,MIN(1,(AM52-'Scoring Setup'!$K$25)/(100-'Scoring Setup'!$K$25)))),1),"")</x:f>
        <x:v>0.8549228700052378</x:v>
      </x:c>
      <x:c r="BF52" s="27" t="n">
        <x:f>IF(ISNUMBER(AN52),IF('Scoring Setup'!$L$26=1,1-'Scoring Setup'!$B$5*(1-MAX(0,MIN(1,(AN52-'Scoring Setup'!$K$26)/(100-'Scoring Setup'!$K$26)))),1),"")</x:f>
        <x:v>0.977621005370185</x:v>
      </x:c>
      <x:c r="BG52" s="34" t="n">
        <x:f>IF(COUNT(W52,X52)=2,AVERAGE(W52,X52),"")</x:f>
        <x:v>70.32584865629423</x:v>
      </x:c>
      <x:c r="BH52" s="34" t="n">
        <x:f>IF(COUNT(Y52,Z52)=2,AVERAGE(Y52,Z52),"")</x:f>
        <x:v>32.81548885846007</x:v>
      </x:c>
      <x:c r="BI52" s="34" t="n">
        <x:f>IF(COUNT(AA52,AB52,AC52)=3,AVERAGE(AA52,AB52,AC52),"")</x:f>
        <x:v>80.98907198946962</x:v>
      </x:c>
      <x:c r="BJ52" s="34" t="n">
        <x:f>IF(COUNT(AD52,AE52)=2,AVERAGE(AD52,AE52),"")</x:f>
        <x:v>89.31581058035715</x:v>
      </x:c>
      <x:c r="BK52" s="34" t="n">
        <x:f>IF(COUNT(AF52,AG52)=2,AVERAGE(AF52,AG52),"")</x:f>
        <x:v>48.433848095368496</x:v>
      </x:c>
      <x:c r="BL52" s="34" t="n">
        <x:f>IF(COUNT(AH52,AI52)=2,AVERAGE(AH52,AI52),"")</x:f>
        <x:v>60.78879676273891</x:v>
      </x:c>
      <x:c r="BM52" s="34" t="n">
        <x:f>IF(COUNT(AJ52,AK52)=2,AVERAGE(AJ52,AK52),"")</x:f>
        <x:v>39.44965234651235</x:v>
      </x:c>
      <x:c r="BN52" s="34" t="n">
        <x:f>IF(COUNT(AL52,AM52,AN52)=3,AVERAGE(AL52,AM52,AN52),"")</x:f>
        <x:v>56.999736804994704</x:v>
      </x:c>
      <x:c r="BO52" s="35" t="n">
        <x:f>IF(AND(COUNT(BG52:BN52)=8,ABS('Scoring Setup'!$C$17-1)&lt;0.000001),BG52*'Scoring Setup'!$C$9+BH52*'Scoring Setup'!$C$10+BI52*'Scoring Setup'!$C$11+BJ52*'Scoring Setup'!$C$12+BK52*'Scoring Setup'!$C$13+BL52*'Scoring Setup'!$C$14+BM52*'Scoring Setup'!$C$15+BN52*'Scoring Setup'!$C$16,"")</x:f>
        <x:v>57.58139920080194</x:v>
      </x:c>
      <x:c r="BP52" s="36" t="n">
        <x:f>IF(COUNT(AO52:BF52)=18,MIN(AO52:BF52),"")</x:f>
        <x:v>0.8264687257148073</x:v>
      </x:c>
      <x:c r="BQ52" s="35" t="n">
        <x:f>IF(AND(ISNUMBER(BO52),ISNUMBER(BP52)),BO52*BP52,"")</x:f>
        <x:v>47.589225622362406</x:v>
      </x:c>
      <x:c r="BR52" s="17" t="str">
        <x:f>IF(COUNT(AO52:BF52)=18,INDEX('Scoring Setup'!$F$9:$F$26,MATCH(MIN(AO52:BF52),AO52:BF52,0),1),"")</x:f>
        <x:v>劳动力人数</x:v>
      </x:c>
    </x:row>
    <x:row r="53">
      <x:c r="A53" s="28" t="str">
        <x:v>51099</x:v>
      </x:c>
      <x:c r="B53" s="28" t="str">
        <x:v>King George County</x:v>
      </x:c>
      <x:c r="C53" s="28" t="str">
        <x:v>VA</x:v>
      </x:c>
      <x:c r="D53" s="31" t="n">
        <x:v>465.234037</x:v>
      </x:c>
      <x:c r="E53" s="32" t="n">
        <x:v>0.286</x:v>
      </x:c>
      <x:c r="F53" s="32" t="n">
        <x:v>0.20142326732673302</x:v>
      </x:c>
      <x:c r="G53" s="32" t="n">
        <x:v>3.257565567474323</x:v>
      </x:c>
      <x:c r="H53" s="32" t="n">
        <x:v>3.6330316164778633</x:v>
      </x:c>
      <x:c r="I53" s="32" t="n">
        <x:v>0.9209758184487638</x:v>
      </x:c>
      <x:c r="J53" s="32" t="n">
        <x:v>0.039479587465087944</x:v>
      </x:c>
      <x:c r="K53" s="32" t="n">
        <x:v>0.13617120577168026</x:v>
      </x:c>
      <x:c r="L53" s="32" t="n">
        <x:v>0.205967675</x:v>
      </x:c>
      <x:c r="M53" s="32" t="n">
        <x:v>0.188396187</x:v>
      </x:c>
      <x:c r="N53" s="32" t="n">
        <x:v>14625</x:v>
      </x:c>
      <x:c r="O53" s="32" t="n">
        <x:v>0.0528</x:v>
      </x:c>
      <x:c r="P53" s="32" t="n">
        <x:v>1212.2066243489585</x:v>
      </x:c>
      <x:c r="Q53" s="32" t="n">
        <x:v>25.848881975809732</x:v>
      </x:c>
      <x:c r="R53" s="32" t="n">
        <x:v>27.31736591173561</x:v>
      </x:c>
      <x:c r="S53" s="32" t="n">
        <x:v>10.832674151157459</x:v>
      </x:c>
      <x:c r="T53" s="32" t="n">
        <x:v>89.9</x:v>
      </x:c>
      <x:c r="U53" s="32" t="n">
        <x:v>245.07712999476223</x:v>
      </x:c>
      <x:c r="V53" s="32" t="n">
        <x:v>244.75798925963002</x:v>
      </x:c>
      <x:c r="W53" s="33" t="n">
        <x:f>IF(ISNUMBER(E53),100*MAX(0,MIN(1,('Anchors'!$H$6-E53)/('Anchors'!$H$6-'Anchors'!$G$6))),"")</x:f>
        <x:v>87.71428571428574</x:v>
      </x:c>
      <x:c r="X53" s="33" t="n">
        <x:f>IF(ISNUMBER(F53),100*MAX(0,MIN(1,('Anchors'!$H$7-F53)/('Anchors'!$H$7-'Anchors'!$G$7))),"")</x:f>
        <x:v>85.51096181046671</x:v>
      </x:c>
      <x:c r="Y53" s="33" t="n">
        <x:f>IF(ISNUMBER(G53),100*MAX(0,MIN(1,('Anchors'!$H$8-G53)/('Anchors'!$H$8-'Anchors'!$G$8))),"")</x:f>
        <x:v>24.747814417522562</x:v>
      </x:c>
      <x:c r="Z53" s="33" t="n">
        <x:f>IF(ISNUMBER(H53),100*MAX(0,MIN(1,('Anchors'!$H$9-H53)/('Anchors'!$H$9-'Anchors'!$G$9))),"")</x:f>
        <x:v>12.232279450737888</x:v>
      </x:c>
      <x:c r="AA53" s="33" t="n">
        <x:f>IF(ISNUMBER(I53),100*MAX(0,MIN(1,(I53-'Anchors'!$H$10)/('Anchors'!$G$10-'Anchors'!$H$10))),"")</x:f>
        <x:v>91.91449567791284</x:v>
      </x:c>
      <x:c r="AB53" s="33" t="n">
        <x:f>IF(ISNUMBER(J53),100*MAX(0,MIN(1,('Anchors'!$H$11-J53)/('Anchors'!$H$11-'Anchors'!$G$11))),"")</x:f>
        <x:v>84.20816501396482</x:v>
      </x:c>
      <x:c r="AC53" s="33" t="n">
        <x:f>IF(ISNUMBER(K53),100*MAX(0,MIN(1,('Anchors'!$H$12-K53)/('Anchors'!$H$12-'Anchors'!$G$12))),"")</x:f>
        <x:v>65.95719855707993</x:v>
      </x:c>
      <x:c r="AD53" s="33" t="n">
        <x:f>IF(ISNUMBER(L53),100*MAX(0,MIN(1,(L53-'Anchors'!$H$13)/('Anchors'!$G$13-'Anchors'!$H$13))),"")</x:f>
        <x:v>0.8525249999999969</x:v>
      </x:c>
      <x:c r="AE53" s="33" t="n">
        <x:f>IF(ISNUMBER(M53),100*MAX(0,MIN(1,(M53-'Anchors'!$H$14)/('Anchors'!$G$14-'Anchors'!$H$14))),"")</x:f>
        <x:v>11.049523374999998</x:v>
      </x:c>
      <x:c r="AF53" s="33" t="n">
        <x:f>IF(ISNUMBER(N53),100*MAX(0,MIN(1,(LN(1+N53)-LN(1+'Anchors'!$H$15))/(LN(1+'Anchors'!$G$15)-LN(1+'Anchors'!$H$15)))),"")</x:f>
        <x:v>46.07727724856018</x:v>
      </x:c>
      <x:c r="AG53" s="33" t="n">
        <x:f>IF(ISNUMBER(O53),100*MAX(0,MIN(1,('Anchors'!$H$16-O53)/('Anchors'!$H$16-'Anchors'!$G$16))),"")</x:f>
        <x:v>99.6888888888889</x:v>
      </x:c>
      <x:c r="AH53" s="33" t="n">
        <x:f>IF(ISNUMBER(P53),100*MAX(0,MIN(1,('Anchors'!$H$17-P53)/('Anchors'!$H$17-'Anchors'!$G$17))),"")</x:f>
        <x:v>65.85289171006944</x:v>
      </x:c>
      <x:c r="AI53" s="33" t="n">
        <x:f>IF(ISNUMBER(Q53),100*MAX(0,MIN(1,('Anchors'!$H$18-Q53)/('Anchors'!$H$18-'Anchors'!$G$18))),"")</x:f>
        <x:v>70.21588289170039</x:v>
      </x:c>
      <x:c r="AJ53" s="33" t="n">
        <x:f>IF(ISNUMBER(R53),100*MAX(0,MIN(1,('Anchors'!$H$19-R53)/('Anchors'!$H$19-'Anchors'!$G$19))),"")</x:f>
        <x:v>50.40585352947642</x:v>
      </x:c>
      <x:c r="AK53" s="33" t="n">
        <x:f>IF(ISNUMBER(S53),100*MAX(0,MIN(1,('Anchors'!$H$20-S53)/('Anchors'!$H$20-'Anchors'!$G$20))),"")</x:f>
        <x:v>48.249083414960744</x:v>
      </x:c>
      <x:c r="AL53" s="33" t="n">
        <x:f>IF(ISNUMBER(T53),100*MAX(0,MIN(1,('Anchors'!$H$21-T53)/('Anchors'!$H$21-'Anchors'!$G$21))),"")</x:f>
        <x:v>54.72727272727271</x:v>
      </x:c>
      <x:c r="AM53" s="33" t="n">
        <x:f>IF(ISNUMBER(U53),100*MAX(0,MIN(1,('Anchors'!$H$22-U53)/('Anchors'!$H$22-'Anchors'!$G$22))),"")</x:f>
        <x:v>27.461435002618884</x:v>
      </x:c>
      <x:c r="AN53" s="33" t="n">
        <x:f>IF(ISNUMBER(V53),100*MAX(0,MIN(1,('Anchors'!$H$23-V53)/('Anchors'!$H$23-'Anchors'!$G$23))),"")</x:f>
        <x:v>88.8105026850925</x:v>
      </x:c>
      <x:c r="AO53" s="27" t="n">
        <x:f>IF(ISNUMBER(W53),IF('Scoring Setup'!$L$9=1,1-'Scoring Setup'!$B$5*(1-MAX(0,MIN(1,(W53-'Scoring Setup'!$K$9)/(100-'Scoring Setup'!$K$9)))),1),"")</x:f>
        <x:v>0.9754285714285714</x:v>
      </x:c>
      <x:c r="AP53" s="27" t="n">
        <x:f>IF(ISNUMBER(X53),IF('Scoring Setup'!$L$10=1,1-'Scoring Setup'!$B$5*(1-MAX(0,MIN(1,(X53-'Scoring Setup'!$K$10)/(100-'Scoring Setup'!$K$10)))),1),"")</x:f>
        <x:v>0.9710219236209334</x:v>
      </x:c>
      <x:c r="AQ53" s="27" t="n">
        <x:f>IF(ISNUMBER(Y53),IF('Scoring Setup'!$L$11=1,1-'Scoring Setup'!$B$5*(1-MAX(0,MIN(1,(Y53-'Scoring Setup'!$K$11)/(100-'Scoring Setup'!$K$11)))),1),"")</x:f>
        <x:v>0.8494956288350451</x:v>
      </x:c>
      <x:c r="AR53" s="27" t="n">
        <x:f>IF(ISNUMBER(Z53),IF('Scoring Setup'!$L$12=1,1-'Scoring Setup'!$B$5*(1-MAX(0,MIN(1,(Z53-'Scoring Setup'!$K$12)/(100-'Scoring Setup'!$K$12)))),1),"")</x:f>
        <x:v>0.8244645589014757</x:v>
      </x:c>
      <x:c r="AS53" s="27" t="n">
        <x:f>IF(ISNUMBER(AA53),IF('Scoring Setup'!$L$13=1,1-'Scoring Setup'!$B$5*(1-MAX(0,MIN(1,(AA53-'Scoring Setup'!$K$13)/(100-'Scoring Setup'!$K$13)))),1),"")</x:f>
        <x:v>0.9838289913558257</x:v>
      </x:c>
      <x:c r="AT53" s="27" t="n">
        <x:f>IF(ISNUMBER(AB53),IF('Scoring Setup'!$L$14=1,1-'Scoring Setup'!$B$5*(1-MAX(0,MIN(1,(AB53-'Scoring Setup'!$K$14)/(100-'Scoring Setup'!$K$14)))),1),"")</x:f>
        <x:v>0.9684163300279296</x:v>
      </x:c>
      <x:c r="AU53" s="27" t="n">
        <x:f>IF(ISNUMBER(AC53),IF('Scoring Setup'!$L$15=1,1-'Scoring Setup'!$B$5*(1-MAX(0,MIN(1,(AC53-'Scoring Setup'!$K$15)/(100-'Scoring Setup'!$K$15)))),1),"")</x:f>
        <x:v>0.9319143971141599</x:v>
      </x:c>
      <x:c r="AV53" s="27" t="n">
        <x:f>IF(ISNUMBER(AD53),IF('Scoring Setup'!$L$16=1,1-'Scoring Setup'!$B$5*(1-MAX(0,MIN(1,(AD53-'Scoring Setup'!$K$16)/(100-'Scoring Setup'!$K$16)))),1),"")</x:f>
        <x:v>0.80170505</x:v>
      </x:c>
      <x:c r="AW53" s="27" t="n">
        <x:f>IF(ISNUMBER(AE53),IF('Scoring Setup'!$L$17=1,1-'Scoring Setup'!$B$5*(1-MAX(0,MIN(1,(AE53-'Scoring Setup'!$K$17)/(100-'Scoring Setup'!$K$17)))),1),"")</x:f>
        <x:v>0.82209904675</x:v>
      </x:c>
      <x:c r="AX53" s="27" t="n">
        <x:f>IF(ISNUMBER(AF53),IF('Scoring Setup'!$L$18=1,1-'Scoring Setup'!$B$5*(1-MAX(0,MIN(1,(AF53-'Scoring Setup'!$K$18)/(100-'Scoring Setup'!$K$18)))),1),"")</x:f>
        <x:v>0.8921545544971203</x:v>
      </x:c>
      <x:c r="AY53" s="27" t="n">
        <x:f>IF(ISNUMBER(AG53),IF('Scoring Setup'!$L$19=1,1-'Scoring Setup'!$B$5*(1-MAX(0,MIN(1,(AG53-'Scoring Setup'!$K$19)/(100-'Scoring Setup'!$K$19)))),1),"")</x:f>
        <x:v>0.9993777777777778</x:v>
      </x:c>
      <x:c r="AZ53" s="27" t="n">
        <x:f>IF(ISNUMBER(AH53),IF('Scoring Setup'!$L$20=1,1-'Scoring Setup'!$B$5*(1-MAX(0,MIN(1,(AH53-'Scoring Setup'!$K$20)/(100-'Scoring Setup'!$K$20)))),1),"")</x:f>
        <x:v>0.9317057834201389</x:v>
      </x:c>
      <x:c r="BA53" s="27" t="n">
        <x:f>IF(ISNUMBER(AI53),IF('Scoring Setup'!$L$21=1,1-'Scoring Setup'!$B$5*(1-MAX(0,MIN(1,(AI53-'Scoring Setup'!$K$21)/(100-'Scoring Setup'!$K$21)))),1),"")</x:f>
        <x:v>0.9404317657834008</x:v>
      </x:c>
      <x:c r="BB53" s="27" t="n">
        <x:f>IF(ISNUMBER(AJ53),IF('Scoring Setup'!$L$22=1,1-'Scoring Setup'!$B$5*(1-MAX(0,MIN(1,(AJ53-'Scoring Setup'!$K$22)/(100-'Scoring Setup'!$K$22)))),1),"")</x:f>
        <x:v>0.9008117070589529</x:v>
      </x:c>
      <x:c r="BC53" s="27" t="n">
        <x:f>IF(ISNUMBER(AK53),IF('Scoring Setup'!$L$23=1,1-'Scoring Setup'!$B$5*(1-MAX(0,MIN(1,(AK53-'Scoring Setup'!$K$23)/(100-'Scoring Setup'!$K$23)))),1),"")</x:f>
        <x:v>0.8964981668299215</x:v>
      </x:c>
      <x:c r="BD53" s="27" t="n">
        <x:f>IF(ISNUMBER(AL53),IF('Scoring Setup'!$L$24=1,1-'Scoring Setup'!$B$5*(1-MAX(0,MIN(1,(AL53-'Scoring Setup'!$K$24)/(100-'Scoring Setup'!$K$24)))),1),"")</x:f>
        <x:v>0.9094545454545454</x:v>
      </x:c>
      <x:c r="BE53" s="27" t="n">
        <x:f>IF(ISNUMBER(AM53),IF('Scoring Setup'!$L$25=1,1-'Scoring Setup'!$B$5*(1-MAX(0,MIN(1,(AM53-'Scoring Setup'!$K$25)/(100-'Scoring Setup'!$K$25)))),1),"")</x:f>
        <x:v>0.8549228700052378</x:v>
      </x:c>
      <x:c r="BF53" s="27" t="n">
        <x:f>IF(ISNUMBER(AN53),IF('Scoring Setup'!$L$26=1,1-'Scoring Setup'!$B$5*(1-MAX(0,MIN(1,(AN53-'Scoring Setup'!$K$26)/(100-'Scoring Setup'!$K$26)))),1),"")</x:f>
        <x:v>0.977621005370185</x:v>
      </x:c>
      <x:c r="BG53" s="34" t="n">
        <x:f>IF(COUNT(W53,X53)=2,AVERAGE(W53,X53),"")</x:f>
        <x:v>86.61262376237622</x:v>
      </x:c>
      <x:c r="BH53" s="34" t="n">
        <x:f>IF(COUNT(Y53,Z53)=2,AVERAGE(Y53,Z53),"")</x:f>
        <x:v>18.490046934130227</x:v>
      </x:c>
      <x:c r="BI53" s="34" t="n">
        <x:f>IF(COUNT(AA53,AB53,AC53)=3,AVERAGE(AA53,AB53,AC53),"")</x:f>
        <x:v>80.6932864163192</x:v>
      </x:c>
      <x:c r="BJ53" s="34" t="n">
        <x:f>IF(COUNT(AD53,AE53)=2,AVERAGE(AD53,AE53),"")</x:f>
        <x:v>5.951024187499997</x:v>
      </x:c>
      <x:c r="BK53" s="34" t="n">
        <x:f>IF(COUNT(AF53,AG53)=2,AVERAGE(AF53,AG53),"")</x:f>
        <x:v>72.88308306872455</x:v>
      </x:c>
      <x:c r="BL53" s="34" t="n">
        <x:f>IF(COUNT(AH53,AI53)=2,AVERAGE(AH53,AI53),"")</x:f>
        <x:v>68.03438730088492</x:v>
      </x:c>
      <x:c r="BM53" s="34" t="n">
        <x:f>IF(COUNT(AJ53,AK53)=2,AVERAGE(AJ53,AK53),"")</x:f>
        <x:v>49.327468472218584</x:v>
      </x:c>
      <x:c r="BN53" s="34" t="n">
        <x:f>IF(COUNT(AL53,AM53,AN53)=3,AVERAGE(AL53,AM53,AN53),"")</x:f>
        <x:v>56.999736804994704</x:v>
      </x:c>
      <x:c r="BO53" s="35" t="n">
        <x:f>IF(AND(COUNT(BG53:BN53)=8,ABS('Scoring Setup'!$C$17-1)&lt;0.000001),BG53*'Scoring Setup'!$C$9+BH53*'Scoring Setup'!$C$10+BI53*'Scoring Setup'!$C$11+BJ53*'Scoring Setup'!$C$12+BK53*'Scoring Setup'!$C$13+BL53*'Scoring Setup'!$C$14+BM53*'Scoring Setup'!$C$15+BN53*'Scoring Setup'!$C$16,"")</x:f>
        <x:v>51.28002496047163</x:v>
      </x:c>
      <x:c r="BP53" s="36" t="n">
        <x:f>IF(COUNT(AO53:BF53)=18,MIN(AO53:BF53),"")</x:f>
        <x:v>0.80170505</x:v>
      </x:c>
      <x:c r="BQ53" s="35" t="n">
        <x:f>IF(AND(ISNUMBER(BO53),ISNUMBER(BP53)),BO53*BP53,"")</x:f>
        <x:v>41.11145497493616</x:v>
      </x:c>
      <x:c r="BR53" s="17" t="str">
        <x:f>IF(COUNT(AO53:BF53)=18,INDEX('Scoring Setup'!$F$9:$F$26,MATCH(MIN(AO53:BF53),AO53:BF53,0),1),"")</x:f>
        <x:v>商业光纤100/20覆盖率</x:v>
      </x:c>
    </x:row>
    <x:row r="54">
      <x:c r="A54" s="28" t="str">
        <x:v>51101</x:v>
      </x:c>
      <x:c r="B54" s="28" t="str">
        <x:v>King William County</x:v>
      </x:c>
      <x:c r="C54" s="28" t="str">
        <x:v>VA</x:v>
      </x:c>
      <x:c r="D54" s="31" t="n">
        <x:v>709.424848</x:v>
      </x:c>
      <x:c r="E54" s="32" t="n">
        <x:v>0.281</x:v>
      </x:c>
      <x:c r="F54" s="32" t="n">
        <x:v>0.547648514851485</x:v>
      </x:c>
      <x:c r="G54" s="32" t="n">
        <x:v>2.0814965244870605</x:v>
      </x:c>
      <x:c r="H54" s="32" t="n">
        <x:v>2.4725835250387025</x:v>
      </x:c>
      <x:c r="I54" s="32" t="n">
        <x:v>0.9529207992768327</x:v>
      </x:c>
      <x:c r="J54" s="32" t="n">
        <x:v>0.015934771082937876</x:v>
      </x:c>
      <x:c r="K54" s="32" t="n">
        <x:v>0.17113778738629395</x:v>
      </x:c>
      <x:c r="L54" s="32" t="n">
        <x:v>0.247080376</x:v>
      </x:c>
      <x:c r="M54" s="32" t="n">
        <x:v>0.24627891</x:v>
      </x:c>
      <x:c r="N54" s="32" t="n">
        <x:v>10446</x:v>
      </x:c>
      <x:c r="O54" s="32" t="n">
        <x:v>0.0334</x:v>
      </x:c>
      <x:c r="P54" s="32" t="n">
        <x:v>1311.7197224934896</x:v>
      </x:c>
      <x:c r="Q54" s="32" t="n">
        <x:v>30.434492556254067</x:v>
      </x:c>
      <x:c r="R54" s="32" t="n">
        <x:v>22.24194607658253</x:v>
      </x:c>
      <x:c r="S54" s="32" t="n">
        <x:v>13.974350886928928</x:v>
      </x:c>
      <x:c r="T54" s="32" t="n">
        <x:v>89.9</x:v>
      </x:c>
      <x:c r="U54" s="32" t="n">
        <x:v>245.07712999476223</x:v>
      </x:c>
      <x:c r="V54" s="32" t="n">
        <x:v>244.75798925963002</x:v>
      </x:c>
      <x:c r="W54" s="33" t="n">
        <x:f>IF(ISNUMBER(E54),100*MAX(0,MIN(1,('Anchors'!$H$6-E54)/('Anchors'!$H$6-'Anchors'!$G$6))),"")</x:f>
        <x:v>88.42857142857143</x:v>
      </x:c>
      <x:c r="X54" s="33" t="n">
        <x:f>IF(ISNUMBER(F54),100*MAX(0,MIN(1,('Anchors'!$H$7-F54)/('Anchors'!$H$7-'Anchors'!$G$7))),"")</x:f>
        <x:v>36.05021216407357</x:v>
      </x:c>
      <x:c r="Y54" s="33" t="n">
        <x:f>IF(ISNUMBER(G54),100*MAX(0,MIN(1,('Anchors'!$H$8-G54)/('Anchors'!$H$8-'Anchors'!$G$8))),"")</x:f>
        <x:v>63.950115850431324</x:v>
      </x:c>
      <x:c r="Z54" s="33" t="n">
        <x:f>IF(ISNUMBER(H54),100*MAX(0,MIN(1,('Anchors'!$H$9-H54)/('Anchors'!$H$9-'Anchors'!$G$9))),"")</x:f>
        <x:v>50.91388249870992</x:v>
      </x:c>
      <x:c r="AA54" s="33" t="n">
        <x:f>IF(ISNUMBER(I54),100*MAX(0,MIN(1,(I54-'Anchors'!$H$10)/('Anchors'!$G$10-'Anchors'!$H$10))),"")</x:f>
        <x:v>96.2905204488812</x:v>
      </x:c>
      <x:c r="AB54" s="33" t="n">
        <x:f>IF(ISNUMBER(J54),100*MAX(0,MIN(1,('Anchors'!$H$11-J54)/('Anchors'!$H$11-'Anchors'!$G$11))),"")</x:f>
        <x:v>93.62609156682485</x:v>
      </x:c>
      <x:c r="AC54" s="33" t="n">
        <x:f>IF(ISNUMBER(K54),100*MAX(0,MIN(1,('Anchors'!$H$12-K54)/('Anchors'!$H$12-'Anchors'!$G$12))),"")</x:f>
        <x:v>57.21555315342651</x:v>
      </x:c>
      <x:c r="AD54" s="33" t="n">
        <x:f>IF(ISNUMBER(L54),100*MAX(0,MIN(1,(L54-'Anchors'!$H$13)/('Anchors'!$G$13-'Anchors'!$H$13))),"")</x:f>
        <x:v>6.725767999999997</x:v>
      </x:c>
      <x:c r="AE54" s="33" t="n">
        <x:f>IF(ISNUMBER(M54),100*MAX(0,MIN(1,(M54-'Anchors'!$H$14)/('Anchors'!$G$14-'Anchors'!$H$14))),"")</x:f>
        <x:v>18.284863749999996</x:v>
      </x:c>
      <x:c r="AF54" s="33" t="n">
        <x:f>IF(ISNUMBER(N54),100*MAX(0,MIN(1,(LN(1+N54)-LN(1+'Anchors'!$H$15))/(LN(1+'Anchors'!$G$15)-LN(1+'Anchors'!$H$15)))),"")</x:f>
        <x:v>38.28282952769717</x:v>
      </x:c>
      <x:c r="AG54" s="33" t="n">
        <x:f>IF(ISNUMBER(O54),100*MAX(0,MIN(1,('Anchors'!$H$16-O54)/('Anchors'!$H$16-'Anchors'!$G$16))),"")</x:f>
        <x:v>100</x:v>
      </x:c>
      <x:c r="AH54" s="33" t="n">
        <x:f>IF(ISNUMBER(P54),100*MAX(0,MIN(1,('Anchors'!$H$17-P54)/('Anchors'!$H$17-'Anchors'!$G$17))),"")</x:f>
        <x:v>59.218685167100695</x:v>
      </x:c>
      <x:c r="AI54" s="33" t="n">
        <x:f>IF(ISNUMBER(Q54),100*MAX(0,MIN(1,('Anchors'!$H$18-Q54)/('Anchors'!$H$18-'Anchors'!$G$18))),"")</x:f>
        <x:v>63.66501063392276</x:v>
      </x:c>
      <x:c r="AJ54" s="33" t="n">
        <x:f>IF(ISNUMBER(R54),100*MAX(0,MIN(1,('Anchors'!$H$19-R54)/('Anchors'!$H$19-'Anchors'!$G$19))),"")</x:f>
        <x:v>61.68456427426104</x:v>
      </x:c>
      <x:c r="AK54" s="33" t="n">
        <x:f>IF(ISNUMBER(S54),100*MAX(0,MIN(1,('Anchors'!$H$20-S54)/('Anchors'!$H$20-'Anchors'!$G$20))),"")</x:f>
        <x:v>31.713942700374066</x:v>
      </x:c>
      <x:c r="AL54" s="33" t="n">
        <x:f>IF(ISNUMBER(T54),100*MAX(0,MIN(1,('Anchors'!$H$21-T54)/('Anchors'!$H$21-'Anchors'!$G$21))),"")</x:f>
        <x:v>54.72727272727271</x:v>
      </x:c>
      <x:c r="AM54" s="33" t="n">
        <x:f>IF(ISNUMBER(U54),100*MAX(0,MIN(1,('Anchors'!$H$22-U54)/('Anchors'!$H$22-'Anchors'!$G$22))),"")</x:f>
        <x:v>27.461435002618884</x:v>
      </x:c>
      <x:c r="AN54" s="33" t="n">
        <x:f>IF(ISNUMBER(V54),100*MAX(0,MIN(1,('Anchors'!$H$23-V54)/('Anchors'!$H$23-'Anchors'!$G$23))),"")</x:f>
        <x:v>88.8105026850925</x:v>
      </x:c>
      <x:c r="AO54" s="27" t="n">
        <x:f>IF(ISNUMBER(W54),IF('Scoring Setup'!$L$9=1,1-'Scoring Setup'!$B$5*(1-MAX(0,MIN(1,(W54-'Scoring Setup'!$K$9)/(100-'Scoring Setup'!$K$9)))),1),"")</x:f>
        <x:v>0.9768571428571429</x:v>
      </x:c>
      <x:c r="AP54" s="27" t="n">
        <x:f>IF(ISNUMBER(X54),IF('Scoring Setup'!$L$10=1,1-'Scoring Setup'!$B$5*(1-MAX(0,MIN(1,(X54-'Scoring Setup'!$K$10)/(100-'Scoring Setup'!$K$10)))),1),"")</x:f>
        <x:v>0.8721004243281472</x:v>
      </x:c>
      <x:c r="AQ54" s="27" t="n">
        <x:f>IF(ISNUMBER(Y54),IF('Scoring Setup'!$L$11=1,1-'Scoring Setup'!$B$5*(1-MAX(0,MIN(1,(Y54-'Scoring Setup'!$K$11)/(100-'Scoring Setup'!$K$11)))),1),"")</x:f>
        <x:v>0.9279002317008627</x:v>
      </x:c>
      <x:c r="AR54" s="27" t="n">
        <x:f>IF(ISNUMBER(Z54),IF('Scoring Setup'!$L$12=1,1-'Scoring Setup'!$B$5*(1-MAX(0,MIN(1,(Z54-'Scoring Setup'!$K$12)/(100-'Scoring Setup'!$K$12)))),1),"")</x:f>
        <x:v>0.9018277649974198</x:v>
      </x:c>
      <x:c r="AS54" s="27" t="n">
        <x:f>IF(ISNUMBER(AA54),IF('Scoring Setup'!$L$13=1,1-'Scoring Setup'!$B$5*(1-MAX(0,MIN(1,(AA54-'Scoring Setup'!$K$13)/(100-'Scoring Setup'!$K$13)))),1),"")</x:f>
        <x:v>0.9925810408977624</x:v>
      </x:c>
      <x:c r="AT54" s="27" t="n">
        <x:f>IF(ISNUMBER(AB54),IF('Scoring Setup'!$L$14=1,1-'Scoring Setup'!$B$5*(1-MAX(0,MIN(1,(AB54-'Scoring Setup'!$K$14)/(100-'Scoring Setup'!$K$14)))),1),"")</x:f>
        <x:v>0.9872521831336497</x:v>
      </x:c>
      <x:c r="AU54" s="27" t="n">
        <x:f>IF(ISNUMBER(AC54),IF('Scoring Setup'!$L$15=1,1-'Scoring Setup'!$B$5*(1-MAX(0,MIN(1,(AC54-'Scoring Setup'!$K$15)/(100-'Scoring Setup'!$K$15)))),1),"")</x:f>
        <x:v>0.914431106306853</x:v>
      </x:c>
      <x:c r="AV54" s="27" t="n">
        <x:f>IF(ISNUMBER(AD54),IF('Scoring Setup'!$L$16=1,1-'Scoring Setup'!$B$5*(1-MAX(0,MIN(1,(AD54-'Scoring Setup'!$K$16)/(100-'Scoring Setup'!$K$16)))),1),"")</x:f>
        <x:v>0.813451536</x:v>
      </x:c>
      <x:c r="AW54" s="27" t="n">
        <x:f>IF(ISNUMBER(AE54),IF('Scoring Setup'!$L$17=1,1-'Scoring Setup'!$B$5*(1-MAX(0,MIN(1,(AE54-'Scoring Setup'!$K$17)/(100-'Scoring Setup'!$K$17)))),1),"")</x:f>
        <x:v>0.8365697275</x:v>
      </x:c>
      <x:c r="AX54" s="27" t="n">
        <x:f>IF(ISNUMBER(AF54),IF('Scoring Setup'!$L$18=1,1-'Scoring Setup'!$B$5*(1-MAX(0,MIN(1,(AF54-'Scoring Setup'!$K$18)/(100-'Scoring Setup'!$K$18)))),1),"")</x:f>
        <x:v>0.8765656590553943</x:v>
      </x:c>
      <x:c r="AY54" s="27" t="n">
        <x:f>IF(ISNUMBER(AG54),IF('Scoring Setup'!$L$19=1,1-'Scoring Setup'!$B$5*(1-MAX(0,MIN(1,(AG54-'Scoring Setup'!$K$19)/(100-'Scoring Setup'!$K$19)))),1),"")</x:f>
        <x:v>1</x:v>
      </x:c>
      <x:c r="AZ54" s="27" t="n">
        <x:f>IF(ISNUMBER(AH54),IF('Scoring Setup'!$L$20=1,1-'Scoring Setup'!$B$5*(1-MAX(0,MIN(1,(AH54-'Scoring Setup'!$K$20)/(100-'Scoring Setup'!$K$20)))),1),"")</x:f>
        <x:v>0.9184373703342014</x:v>
      </x:c>
      <x:c r="BA54" s="27" t="n">
        <x:f>IF(ISNUMBER(AI54),IF('Scoring Setup'!$L$21=1,1-'Scoring Setup'!$B$5*(1-MAX(0,MIN(1,(AI54-'Scoring Setup'!$K$21)/(100-'Scoring Setup'!$K$21)))),1),"")</x:f>
        <x:v>0.9273300212678455</x:v>
      </x:c>
      <x:c r="BB54" s="27" t="n">
        <x:f>IF(ISNUMBER(AJ54),IF('Scoring Setup'!$L$22=1,1-'Scoring Setup'!$B$5*(1-MAX(0,MIN(1,(AJ54-'Scoring Setup'!$K$22)/(100-'Scoring Setup'!$K$22)))),1),"")</x:f>
        <x:v>0.923369128548522</x:v>
      </x:c>
      <x:c r="BC54" s="27" t="n">
        <x:f>IF(ISNUMBER(AK54),IF('Scoring Setup'!$L$23=1,1-'Scoring Setup'!$B$5*(1-MAX(0,MIN(1,(AK54-'Scoring Setup'!$K$23)/(100-'Scoring Setup'!$K$23)))),1),"")</x:f>
        <x:v>0.8634278854007481</x:v>
      </x:c>
      <x:c r="BD54" s="27" t="n">
        <x:f>IF(ISNUMBER(AL54),IF('Scoring Setup'!$L$24=1,1-'Scoring Setup'!$B$5*(1-MAX(0,MIN(1,(AL54-'Scoring Setup'!$K$24)/(100-'Scoring Setup'!$K$24)))),1),"")</x:f>
        <x:v>0.9094545454545454</x:v>
      </x:c>
      <x:c r="BE54" s="27" t="n">
        <x:f>IF(ISNUMBER(AM54),IF('Scoring Setup'!$L$25=1,1-'Scoring Setup'!$B$5*(1-MAX(0,MIN(1,(AM54-'Scoring Setup'!$K$25)/(100-'Scoring Setup'!$K$25)))),1),"")</x:f>
        <x:v>0.8549228700052378</x:v>
      </x:c>
      <x:c r="BF54" s="27" t="n">
        <x:f>IF(ISNUMBER(AN54),IF('Scoring Setup'!$L$26=1,1-'Scoring Setup'!$B$5*(1-MAX(0,MIN(1,(AN54-'Scoring Setup'!$K$26)/(100-'Scoring Setup'!$K$26)))),1),"")</x:f>
        <x:v>0.977621005370185</x:v>
      </x:c>
      <x:c r="BG54" s="34" t="n">
        <x:f>IF(COUNT(W54,X54)=2,AVERAGE(W54,X54),"")</x:f>
        <x:v>62.2393917963225</x:v>
      </x:c>
      <x:c r="BH54" s="34" t="n">
        <x:f>IF(COUNT(Y54,Z54)=2,AVERAGE(Y54,Z54),"")</x:f>
        <x:v>57.43199917457062</x:v>
      </x:c>
      <x:c r="BI54" s="34" t="n">
        <x:f>IF(COUNT(AA54,AB54,AC54)=3,AVERAGE(AA54,AB54,AC54),"")</x:f>
        <x:v>82.37738838971086</x:v>
      </x:c>
      <x:c r="BJ54" s="34" t="n">
        <x:f>IF(COUNT(AD54,AE54)=2,AVERAGE(AD54,AE54),"")</x:f>
        <x:v>12.505315874999997</x:v>
      </x:c>
      <x:c r="BK54" s="34" t="n">
        <x:f>IF(COUNT(AF54,AG54)=2,AVERAGE(AF54,AG54),"")</x:f>
        <x:v>69.14141476384859</x:v>
      </x:c>
      <x:c r="BL54" s="34" t="n">
        <x:f>IF(COUNT(AH54,AI54)=2,AVERAGE(AH54,AI54),"")</x:f>
        <x:v>61.44184790051173</x:v>
      </x:c>
      <x:c r="BM54" s="34" t="n">
        <x:f>IF(COUNT(AJ54,AK54)=2,AVERAGE(AJ54,AK54),"")</x:f>
        <x:v>46.699253487317556</x:v>
      </x:c>
      <x:c r="BN54" s="34" t="n">
        <x:f>IF(COUNT(AL54,AM54,AN54)=3,AVERAGE(AL54,AM54,AN54),"")</x:f>
        <x:v>56.999736804994704</x:v>
      </x:c>
      <x:c r="BO54" s="35" t="n">
        <x:f>IF(AND(COUNT(BG54:BN54)=8,ABS('Scoring Setup'!$C$17-1)&lt;0.000001),BG54*'Scoring Setup'!$C$9+BH54*'Scoring Setup'!$C$10+BI54*'Scoring Setup'!$C$11+BJ54*'Scoring Setup'!$C$12+BK54*'Scoring Setup'!$C$13+BL54*'Scoring Setup'!$C$14+BM54*'Scoring Setup'!$C$15+BN54*'Scoring Setup'!$C$16,"")</x:f>
        <x:v>56.619727028292196</x:v>
      </x:c>
      <x:c r="BP54" s="36" t="n">
        <x:f>IF(COUNT(AO54:BF54)=18,MIN(AO54:BF54),"")</x:f>
        <x:v>0.813451536</x:v>
      </x:c>
      <x:c r="BQ54" s="35" t="n">
        <x:f>IF(AND(ISNUMBER(BO54),ISNUMBER(BP54)),BO54*BP54,"")</x:f>
        <x:v>46.057403919065</x:v>
      </x:c>
      <x:c r="BR54" s="17" t="str">
        <x:f>IF(COUNT(AO54:BF54)=18,INDEX('Scoring Setup'!$F$9:$F$26,MATCH(MIN(AO54:BF54),AO54:BF54,0),1),"")</x:f>
        <x:v>商业光纤100/20覆盖率</x:v>
      </x:c>
    </x:row>
    <x:row r="55">
      <x:c r="A55" s="28" t="str">
        <x:v>51103</x:v>
      </x:c>
      <x:c r="B55" s="28" t="str">
        <x:v>Lancaster County</x:v>
      </x:c>
      <x:c r="C55" s="28" t="str">
        <x:v>VA</x:v>
      </x:c>
      <x:c r="D55" s="31" t="n">
        <x:v>345.261478</x:v>
      </x:c>
      <x:c r="E55" s="32" t="n">
        <x:v>0.284</x:v>
      </x:c>
      <x:c r="F55" s="32" t="n">
        <x:v>0.024443069306930697</x:v>
      </x:c>
      <x:c r="G55" s="32" t="n">
        <x:v>3.588668060843457</x:v>
      </x:c>
      <x:c r="H55" s="32" t="n">
        <x:v>3.980139822</x:v>
      </x:c>
      <x:c r="I55" s="32" t="n">
        <x:v>0.9136941245645857</x:v>
      </x:c>
      <x:c r="J55" s="32" t="n">
        <x:v>0.0031179615195836095</x:v>
      </x:c>
      <x:c r="K55" s="32" t="n">
        <x:v>0.1220472544289543</x:v>
      </x:c>
      <x:c r="L55" s="32" t="n">
        <x:v>0.391812865</x:v>
      </x:c>
      <x:c r="M55" s="32" t="n">
        <x:v>0.391583534</x:v>
      </x:c>
      <x:c r="N55" s="32" t="n">
        <x:v>4591</x:v>
      </x:c>
      <x:c r="O55" s="32" t="n">
        <x:v>0.5075</x:v>
      </x:c>
      <x:c r="P55" s="32" t="n">
        <x:v>1375.9684488932292</x:v>
      </x:c>
      <x:c r="Q55" s="32" t="n">
        <x:v>24.8767946879069</x:v>
      </x:c>
      <x:c r="R55" s="32" t="n">
        <x:v>46.776990383923895</x:v>
      </x:c>
      <x:c r="S55" s="32" t="n">
        <x:v>39.14284856529532</x:v>
      </x:c>
      <x:c r="T55" s="32" t="n">
        <x:v>89.9</x:v>
      </x:c>
      <x:c r="U55" s="32" t="n">
        <x:v>245.07712999476223</x:v>
      </x:c>
      <x:c r="V55" s="32" t="n">
        <x:v>244.75798925963002</x:v>
      </x:c>
      <x:c r="W55" s="33" t="n">
        <x:f>IF(ISNUMBER(E55),100*MAX(0,MIN(1,('Anchors'!$H$6-E55)/('Anchors'!$H$6-'Anchors'!$G$6))),"")</x:f>
        <x:v>88.00000000000003</x:v>
      </x:c>
      <x:c r="X55" s="33" t="n">
        <x:f>IF(ISNUMBER(F55),100*MAX(0,MIN(1,('Anchors'!$H$7-F55)/('Anchors'!$H$7-'Anchors'!$G$7))),"")</x:f>
        <x:v>100</x:v>
      </x:c>
      <x:c r="Y55" s="33" t="n">
        <x:f>IF(ISNUMBER(G55),100*MAX(0,MIN(1,('Anchors'!$H$8-G55)/('Anchors'!$H$8-'Anchors'!$G$8))),"")</x:f>
        <x:v>13.711064638551429</x:v>
      </x:c>
      <x:c r="Z55" s="33" t="n">
        <x:f>IF(ISNUMBER(H55),100*MAX(0,MIN(1,('Anchors'!$H$9-H55)/('Anchors'!$H$9-'Anchors'!$G$9))),"")</x:f>
        <x:v>0.6620059333333355</x:v>
      </x:c>
      <x:c r="AA55" s="33" t="n">
        <x:f>IF(ISNUMBER(I55),100*MAX(0,MIN(1,(I55-'Anchors'!$H$10)/('Anchors'!$G$10-'Anchors'!$H$10))),"")</x:f>
        <x:v>90.91700336501174</x:v>
      </x:c>
      <x:c r="AB55" s="33" t="n">
        <x:f>IF(ISNUMBER(J55),100*MAX(0,MIN(1,('Anchors'!$H$11-J55)/('Anchors'!$H$11-'Anchors'!$G$11))),"")</x:f>
        <x:v>98.75281539216655</x:v>
      </x:c>
      <x:c r="AC55" s="33" t="n">
        <x:f>IF(ISNUMBER(K55),100*MAX(0,MIN(1,('Anchors'!$H$12-K55)/('Anchors'!$H$12-'Anchors'!$G$12))),"")</x:f>
        <x:v>69.48818639276142</x:v>
      </x:c>
      <x:c r="AD55" s="33" t="n">
        <x:f>IF(ISNUMBER(L55),100*MAX(0,MIN(1,(L55-'Anchors'!$H$13)/('Anchors'!$G$13-'Anchors'!$H$13))),"")</x:f>
        <x:v>27.40183785714286</x:v>
      </x:c>
      <x:c r="AE55" s="33" t="n">
        <x:f>IF(ISNUMBER(M55),100*MAX(0,MIN(1,(M55-'Anchors'!$H$14)/('Anchors'!$G$14-'Anchors'!$H$14))),"")</x:f>
        <x:v>36.44794175</x:v>
      </x:c>
      <x:c r="AF55" s="33" t="n">
        <x:f>IF(ISNUMBER(N55),100*MAX(0,MIN(1,(LN(1+N55)-LN(1+'Anchors'!$H$15))/(LN(1+'Anchors'!$G$15)-LN(1+'Anchors'!$H$15)))),"")</x:f>
        <x:v>19.241824965482614</x:v>
      </x:c>
      <x:c r="AG55" s="33" t="n">
        <x:f>IF(ISNUMBER(O55),100*MAX(0,MIN(1,('Anchors'!$H$16-O55)/('Anchors'!$H$16-'Anchors'!$G$16))),"")</x:f>
        <x:v>49.16666666666667</x:v>
      </x:c>
      <x:c r="AH55" s="33" t="n">
        <x:f>IF(ISNUMBER(P55),100*MAX(0,MIN(1,('Anchors'!$H$17-P55)/('Anchors'!$H$17-'Anchors'!$G$17))),"")</x:f>
        <x:v>54.935436740451394</x:v>
      </x:c>
      <x:c r="AI55" s="33" t="n">
        <x:f>IF(ISNUMBER(Q55),100*MAX(0,MIN(1,('Anchors'!$H$18-Q55)/('Anchors'!$H$18-'Anchors'!$G$18))),"")</x:f>
        <x:v>71.60457901727585</x:v>
      </x:c>
      <x:c r="AJ55" s="33" t="n">
        <x:f>IF(ISNUMBER(R55),100*MAX(0,MIN(1,('Anchors'!$H$19-R55)/('Anchors'!$H$19-'Anchors'!$G$19))),"")</x:f>
        <x:v>7.162243591280233</x:v>
      </x:c>
      <x:c r="AK55" s="33" t="n">
        <x:f>IF(ISNUMBER(S55),100*MAX(0,MIN(1,('Anchors'!$H$20-S55)/('Anchors'!$H$20-'Anchors'!$G$20))),"")</x:f>
        <x:v>0</x:v>
      </x:c>
      <x:c r="AL55" s="33" t="n">
        <x:f>IF(ISNUMBER(T55),100*MAX(0,MIN(1,('Anchors'!$H$21-T55)/('Anchors'!$H$21-'Anchors'!$G$21))),"")</x:f>
        <x:v>54.72727272727271</x:v>
      </x:c>
      <x:c r="AM55" s="33" t="n">
        <x:f>IF(ISNUMBER(U55),100*MAX(0,MIN(1,('Anchors'!$H$22-U55)/('Anchors'!$H$22-'Anchors'!$G$22))),"")</x:f>
        <x:v>27.461435002618884</x:v>
      </x:c>
      <x:c r="AN55" s="33" t="n">
        <x:f>IF(ISNUMBER(V55),100*MAX(0,MIN(1,('Anchors'!$H$23-V55)/('Anchors'!$H$23-'Anchors'!$G$23))),"")</x:f>
        <x:v>88.8105026850925</x:v>
      </x:c>
      <x:c r="AO55" s="27" t="n">
        <x:f>IF(ISNUMBER(W55),IF('Scoring Setup'!$L$9=1,1-'Scoring Setup'!$B$5*(1-MAX(0,MIN(1,(W55-'Scoring Setup'!$K$9)/(100-'Scoring Setup'!$K$9)))),1),"")</x:f>
        <x:v>0.9760000000000001</x:v>
      </x:c>
      <x:c r="AP55" s="27" t="n">
        <x:f>IF(ISNUMBER(X55),IF('Scoring Setup'!$L$10=1,1-'Scoring Setup'!$B$5*(1-MAX(0,MIN(1,(X55-'Scoring Setup'!$K$10)/(100-'Scoring Setup'!$K$10)))),1),"")</x:f>
        <x:v>1</x:v>
      </x:c>
      <x:c r="AQ55" s="27" t="n">
        <x:f>IF(ISNUMBER(Y55),IF('Scoring Setup'!$L$11=1,1-'Scoring Setup'!$B$5*(1-MAX(0,MIN(1,(Y55-'Scoring Setup'!$K$11)/(100-'Scoring Setup'!$K$11)))),1),"")</x:f>
        <x:v>0.8274221292771029</x:v>
      </x:c>
      <x:c r="AR55" s="27" t="n">
        <x:f>IF(ISNUMBER(Z55),IF('Scoring Setup'!$L$12=1,1-'Scoring Setup'!$B$5*(1-MAX(0,MIN(1,(Z55-'Scoring Setup'!$K$12)/(100-'Scoring Setup'!$K$12)))),1),"")</x:f>
        <x:v>0.8013240118666667</x:v>
      </x:c>
      <x:c r="AS55" s="27" t="n">
        <x:f>IF(ISNUMBER(AA55),IF('Scoring Setup'!$L$13=1,1-'Scoring Setup'!$B$5*(1-MAX(0,MIN(1,(AA55-'Scoring Setup'!$K$13)/(100-'Scoring Setup'!$K$13)))),1),"")</x:f>
        <x:v>0.9818340067300235</x:v>
      </x:c>
      <x:c r="AT55" s="27" t="n">
        <x:f>IF(ISNUMBER(AB55),IF('Scoring Setup'!$L$14=1,1-'Scoring Setup'!$B$5*(1-MAX(0,MIN(1,(AB55-'Scoring Setup'!$K$14)/(100-'Scoring Setup'!$K$14)))),1),"")</x:f>
        <x:v>0.9975056307843331</x:v>
      </x:c>
      <x:c r="AU55" s="27" t="n">
        <x:f>IF(ISNUMBER(AC55),IF('Scoring Setup'!$L$15=1,1-'Scoring Setup'!$B$5*(1-MAX(0,MIN(1,(AC55-'Scoring Setup'!$K$15)/(100-'Scoring Setup'!$K$15)))),1),"")</x:f>
        <x:v>0.9389763727855228</x:v>
      </x:c>
      <x:c r="AV55" s="27" t="n">
        <x:f>IF(ISNUMBER(AD55),IF('Scoring Setup'!$L$16=1,1-'Scoring Setup'!$B$5*(1-MAX(0,MIN(1,(AD55-'Scoring Setup'!$K$16)/(100-'Scoring Setup'!$K$16)))),1),"")</x:f>
        <x:v>0.8548036757142857</x:v>
      </x:c>
      <x:c r="AW55" s="27" t="n">
        <x:f>IF(ISNUMBER(AE55),IF('Scoring Setup'!$L$17=1,1-'Scoring Setup'!$B$5*(1-MAX(0,MIN(1,(AE55-'Scoring Setup'!$K$17)/(100-'Scoring Setup'!$K$17)))),1),"")</x:f>
        <x:v>0.8728958835</x:v>
      </x:c>
      <x:c r="AX55" s="27" t="n">
        <x:f>IF(ISNUMBER(AF55),IF('Scoring Setup'!$L$18=1,1-'Scoring Setup'!$B$5*(1-MAX(0,MIN(1,(AF55-'Scoring Setup'!$K$18)/(100-'Scoring Setup'!$K$18)))),1),"")</x:f>
        <x:v>0.8384836499309652</x:v>
      </x:c>
      <x:c r="AY55" s="27" t="n">
        <x:f>IF(ISNUMBER(AG55),IF('Scoring Setup'!$L$19=1,1-'Scoring Setup'!$B$5*(1-MAX(0,MIN(1,(AG55-'Scoring Setup'!$K$19)/(100-'Scoring Setup'!$K$19)))),1),"")</x:f>
        <x:v>0.8983333333333333</x:v>
      </x:c>
      <x:c r="AZ55" s="27" t="n">
        <x:f>IF(ISNUMBER(AH55),IF('Scoring Setup'!$L$20=1,1-'Scoring Setup'!$B$5*(1-MAX(0,MIN(1,(AH55-'Scoring Setup'!$K$20)/(100-'Scoring Setup'!$K$20)))),1),"")</x:f>
        <x:v>0.9098708734809028</x:v>
      </x:c>
      <x:c r="BA55" s="27" t="n">
        <x:f>IF(ISNUMBER(AI55),IF('Scoring Setup'!$L$21=1,1-'Scoring Setup'!$B$5*(1-MAX(0,MIN(1,(AI55-'Scoring Setup'!$K$21)/(100-'Scoring Setup'!$K$21)))),1),"")</x:f>
        <x:v>0.9432091580345517</x:v>
      </x:c>
      <x:c r="BB55" s="27" t="n">
        <x:f>IF(ISNUMBER(AJ55),IF('Scoring Setup'!$L$22=1,1-'Scoring Setup'!$B$5*(1-MAX(0,MIN(1,(AJ55-'Scoring Setup'!$K$22)/(100-'Scoring Setup'!$K$22)))),1),"")</x:f>
        <x:v>0.8143244871825605</x:v>
      </x:c>
      <x:c r="BC55" s="27" t="n">
        <x:f>IF(ISNUMBER(AK55),IF('Scoring Setup'!$L$23=1,1-'Scoring Setup'!$B$5*(1-MAX(0,MIN(1,(AK55-'Scoring Setup'!$K$23)/(100-'Scoring Setup'!$K$23)))),1),"")</x:f>
        <x:v>0.8</x:v>
      </x:c>
      <x:c r="BD55" s="27" t="n">
        <x:f>IF(ISNUMBER(AL55),IF('Scoring Setup'!$L$24=1,1-'Scoring Setup'!$B$5*(1-MAX(0,MIN(1,(AL55-'Scoring Setup'!$K$24)/(100-'Scoring Setup'!$K$24)))),1),"")</x:f>
        <x:v>0.9094545454545454</x:v>
      </x:c>
      <x:c r="BE55" s="27" t="n">
        <x:f>IF(ISNUMBER(AM55),IF('Scoring Setup'!$L$25=1,1-'Scoring Setup'!$B$5*(1-MAX(0,MIN(1,(AM55-'Scoring Setup'!$K$25)/(100-'Scoring Setup'!$K$25)))),1),"")</x:f>
        <x:v>0.8549228700052378</x:v>
      </x:c>
      <x:c r="BF55" s="27" t="n">
        <x:f>IF(ISNUMBER(AN55),IF('Scoring Setup'!$L$26=1,1-'Scoring Setup'!$B$5*(1-MAX(0,MIN(1,(AN55-'Scoring Setup'!$K$26)/(100-'Scoring Setup'!$K$26)))),1),"")</x:f>
        <x:v>0.977621005370185</x:v>
      </x:c>
      <x:c r="BG55" s="34" t="n">
        <x:f>IF(COUNT(W55,X55)=2,AVERAGE(W55,X55),"")</x:f>
        <x:v>94.00000000000001</x:v>
      </x:c>
      <x:c r="BH55" s="34" t="n">
        <x:f>IF(COUNT(Y55,Z55)=2,AVERAGE(Y55,Z55),"")</x:f>
        <x:v>7.186535285942382</x:v>
      </x:c>
      <x:c r="BI55" s="34" t="n">
        <x:f>IF(COUNT(AA55,AB55,AC55)=3,AVERAGE(AA55,AB55,AC55),"")</x:f>
        <x:v>86.38600171664656</x:v>
      </x:c>
      <x:c r="BJ55" s="34" t="n">
        <x:f>IF(COUNT(AD55,AE55)=2,AVERAGE(AD55,AE55),"")</x:f>
        <x:v>31.92488980357143</x:v>
      </x:c>
      <x:c r="BK55" s="34" t="n">
        <x:f>IF(COUNT(AF55,AG55)=2,AVERAGE(AF55,AG55),"")</x:f>
        <x:v>34.204245816074646</x:v>
      </x:c>
      <x:c r="BL55" s="34" t="n">
        <x:f>IF(COUNT(AH55,AI55)=2,AVERAGE(AH55,AI55),"")</x:f>
        <x:v>63.27000787886362</x:v>
      </x:c>
      <x:c r="BM55" s="34" t="n">
        <x:f>IF(COUNT(AJ55,AK55)=2,AVERAGE(AJ55,AK55),"")</x:f>
        <x:v>3.5811217956401165</x:v>
      </x:c>
      <x:c r="BN55" s="34" t="n">
        <x:f>IF(COUNT(AL55,AM55,AN55)=3,AVERAGE(AL55,AM55,AN55),"")</x:f>
        <x:v>56.999736804994704</x:v>
      </x:c>
      <x:c r="BO55" s="35" t="n">
        <x:f>IF(AND(COUNT(BG55:BN55)=8,ABS('Scoring Setup'!$C$17-1)&lt;0.000001),BG55*'Scoring Setup'!$C$9+BH55*'Scoring Setup'!$C$10+BI55*'Scoring Setup'!$C$11+BJ55*'Scoring Setup'!$C$12+BK55*'Scoring Setup'!$C$13+BL55*'Scoring Setup'!$C$14+BM55*'Scoring Setup'!$C$15+BN55*'Scoring Setup'!$C$16,"")</x:f>
        <x:v>46.531298316041344</x:v>
      </x:c>
      <x:c r="BP55" s="36" t="n">
        <x:f>IF(COUNT(AO55:BF55)=18,MIN(AO55:BF55),"")</x:f>
        <x:v>0.8</x:v>
      </x:c>
      <x:c r="BQ55" s="35" t="n">
        <x:f>IF(AND(ISNUMBER(BO55),ISNUMBER(BP55)),BO55*BP55,"")</x:f>
        <x:v>37.22503865283308</x:v>
      </x:c>
      <x:c r="BR55" s="17" t="str">
        <x:f>IF(COUNT(AO55:BF55)=18,INDEX('Scoring Setup'!$F$9:$F$26,MATCH(MIN(AO55:BF55),AO55:BF55,0),1),"")</x:f>
        <x:v>到铁路距离</x:v>
      </x:c>
    </x:row>
    <x:row r="56">
      <x:c r="A56" s="28" t="str">
        <x:v>51105</x:v>
      </x:c>
      <x:c r="B56" s="28" t="str">
        <x:v>Lee County</x:v>
      </x:c>
      <x:c r="C56" s="28" t="str">
        <x:v>VA</x:v>
      </x:c>
      <x:c r="D56" s="31" t="n">
        <x:v>1127.622847</x:v>
      </x:c>
      <x:c r="E56" s="32" t="n">
        <x:v>0.88</x:v>
      </x:c>
      <x:c r="F56" s="32" t="n">
        <x:v>0.977413366336634</x:v>
      </x:c>
      <x:c r="G56" s="32" t="n">
        <x:v>2.001275857512737</x:v>
      </x:c>
      <x:c r="H56" s="32" t="n">
        <x:v>2.2156132504247847</x:v>
      </x:c>
      <x:c r="I56" s="32" t="n">
        <x:v>0.9556733652708522</x:v>
      </x:c>
      <x:c r="J56" s="32" t="n">
        <x:v>0.022298718380426578</x:v>
      </x:c>
      <x:c r="K56" s="32" t="n">
        <x:v>0.0005211528378164412</x:v>
      </x:c>
      <x:c r="L56" s="32" t="n">
        <x:v>0.98001704</x:v>
      </x:c>
      <x:c r="M56" s="32" t="n">
        <x:v>0.98001704</x:v>
      </x:c>
      <x:c r="N56" s="32" t="n">
        <x:v>7696</x:v>
      </x:c>
      <x:c r="O56" s="32" t="n">
        <x:v>0.8788</x:v>
      </x:c>
      <x:c r="P56" s="32" t="n">
        <x:v>628.5045267740885</x:v>
      </x:c>
      <x:c r="Q56" s="32" t="n">
        <x:v>4.332698305447896</x:v>
      </x:c>
      <x:c r="R56" s="32" t="n">
        <x:v>49.929879370971335</x:v>
      </x:c>
      <x:c r="S56" s="32" t="n">
        <x:v>3.416300055949287</x:v>
      </x:c>
      <x:c r="T56" s="32" t="n">
        <x:v>89.9</x:v>
      </x:c>
      <x:c r="U56" s="32" t="n">
        <x:v>245.07712999476223</x:v>
      </x:c>
      <x:c r="V56" s="32" t="n">
        <x:v>244.75798925963002</x:v>
      </x:c>
      <x:c r="W56" s="33" t="n">
        <x:f>IF(ISNUMBER(E56),100*MAX(0,MIN(1,('Anchors'!$H$6-E56)/('Anchors'!$H$6-'Anchors'!$G$6))),"")</x:f>
        <x:v>2.85714285714286</x:v>
      </x:c>
      <x:c r="X56" s="33" t="n">
        <x:f>IF(ISNUMBER(F56),100*MAX(0,MIN(1,('Anchors'!$H$7-F56)/('Anchors'!$H$7-'Anchors'!$G$7))),"")</x:f>
        <x:v>0</x:v>
      </x:c>
      <x:c r="Y56" s="33" t="n">
        <x:f>IF(ISNUMBER(G56),100*MAX(0,MIN(1,('Anchors'!$H$8-G56)/('Anchors'!$H$8-'Anchors'!$G$8))),"")</x:f>
        <x:v>66.62413808290877</x:v>
      </x:c>
      <x:c r="Z56" s="33" t="n">
        <x:f>IF(ISNUMBER(H56),100*MAX(0,MIN(1,('Anchors'!$H$9-H56)/('Anchors'!$H$9-'Anchors'!$G$9))),"")</x:f>
        <x:v>59.47955831917384</x:v>
      </x:c>
      <x:c r="AA56" s="33" t="n">
        <x:f>IF(ISNUMBER(I56),100*MAX(0,MIN(1,(I56-'Anchors'!$H$10)/('Anchors'!$G$10-'Anchors'!$H$10))),"")</x:f>
        <x:v>96.6675842836784</x:v>
      </x:c>
      <x:c r="AB56" s="33" t="n">
        <x:f>IF(ISNUMBER(J56),100*MAX(0,MIN(1,('Anchors'!$H$11-J56)/('Anchors'!$H$11-'Anchors'!$G$11))),"")</x:f>
        <x:v>91.08051264782937</x:v>
      </x:c>
      <x:c r="AC56" s="33" t="n">
        <x:f>IF(ISNUMBER(K56),100*MAX(0,MIN(1,('Anchors'!$H$12-K56)/('Anchors'!$H$12-'Anchors'!$G$12))),"")</x:f>
        <x:v>99.86971179054589</x:v>
      </x:c>
      <x:c r="AD56" s="33" t="n">
        <x:f>IF(ISNUMBER(L56),100*MAX(0,MIN(1,(L56-'Anchors'!$H$13)/('Anchors'!$G$13-'Anchors'!$H$13))),"")</x:f>
        <x:v>100</x:v>
      </x:c>
      <x:c r="AE56" s="33" t="n">
        <x:f>IF(ISNUMBER(M56),100*MAX(0,MIN(1,(M56-'Anchors'!$H$14)/('Anchors'!$G$14-'Anchors'!$H$14))),"")</x:f>
        <x:v>100</x:v>
      </x:c>
      <x:c r="AF56" s="33" t="n">
        <x:f>IF(ISNUMBER(N56),100*MAX(0,MIN(1,(LN(1+N56)-LN(1+'Anchors'!$H$15))/(LN(1+'Anchors'!$G$15)-LN(1+'Anchors'!$H$15)))),"")</x:f>
        <x:v>31.206513247139767</x:v>
      </x:c>
      <x:c r="AG56" s="33" t="n">
        <x:f>IF(ISNUMBER(O56),100*MAX(0,MIN(1,('Anchors'!$H$16-O56)/('Anchors'!$H$16-'Anchors'!$G$16))),"")</x:f>
        <x:v>7.911111111111103</x:v>
      </x:c>
      <x:c r="AH56" s="33" t="n">
        <x:f>IF(ISNUMBER(P56),100*MAX(0,MIN(1,('Anchors'!$H$17-P56)/('Anchors'!$H$17-'Anchors'!$G$17))),"")</x:f>
        <x:v>100</x:v>
      </x:c>
      <x:c r="AI56" s="33" t="n">
        <x:f>IF(ISNUMBER(Q56),100*MAX(0,MIN(1,('Anchors'!$H$18-Q56)/('Anchors'!$H$18-'Anchors'!$G$18))),"")</x:f>
        <x:v>100</x:v>
      </x:c>
      <x:c r="AJ56" s="33" t="n">
        <x:f>IF(ISNUMBER(R56),100*MAX(0,MIN(1,('Anchors'!$H$19-R56)/('Anchors'!$H$19-'Anchors'!$G$19))),"")</x:f>
        <x:v>0.15582362006369976</x:v>
      </x:c>
      <x:c r="AK56" s="33" t="n">
        <x:f>IF(ISNUMBER(S56),100*MAX(0,MIN(1,('Anchors'!$H$20-S56)/('Anchors'!$H$20-'Anchors'!$G$20))),"")</x:f>
        <x:v>87.28263128447745</x:v>
      </x:c>
      <x:c r="AL56" s="33" t="n">
        <x:f>IF(ISNUMBER(T56),100*MAX(0,MIN(1,('Anchors'!$H$21-T56)/('Anchors'!$H$21-'Anchors'!$G$21))),"")</x:f>
        <x:v>54.72727272727271</x:v>
      </x:c>
      <x:c r="AM56" s="33" t="n">
        <x:f>IF(ISNUMBER(U56),100*MAX(0,MIN(1,('Anchors'!$H$22-U56)/('Anchors'!$H$22-'Anchors'!$G$22))),"")</x:f>
        <x:v>27.461435002618884</x:v>
      </x:c>
      <x:c r="AN56" s="33" t="n">
        <x:f>IF(ISNUMBER(V56),100*MAX(0,MIN(1,('Anchors'!$H$23-V56)/('Anchors'!$H$23-'Anchors'!$G$23))),"")</x:f>
        <x:v>88.8105026850925</x:v>
      </x:c>
      <x:c r="AO56" s="27" t="n">
        <x:f>IF(ISNUMBER(W56),IF('Scoring Setup'!$L$9=1,1-'Scoring Setup'!$B$5*(1-MAX(0,MIN(1,(W56-'Scoring Setup'!$K$9)/(100-'Scoring Setup'!$K$9)))),1),"")</x:f>
        <x:v>0.8057142857142857</x:v>
      </x:c>
      <x:c r="AP56" s="27" t="n">
        <x:f>IF(ISNUMBER(X56),IF('Scoring Setup'!$L$10=1,1-'Scoring Setup'!$B$5*(1-MAX(0,MIN(1,(X56-'Scoring Setup'!$K$10)/(100-'Scoring Setup'!$K$10)))),1),"")</x:f>
        <x:v>0.8</x:v>
      </x:c>
      <x:c r="AQ56" s="27" t="n">
        <x:f>IF(ISNUMBER(Y56),IF('Scoring Setup'!$L$11=1,1-'Scoring Setup'!$B$5*(1-MAX(0,MIN(1,(Y56-'Scoring Setup'!$K$11)/(100-'Scoring Setup'!$K$11)))),1),"")</x:f>
        <x:v>0.9332482761658175</x:v>
      </x:c>
      <x:c r="AR56" s="27" t="n">
        <x:f>IF(ISNUMBER(Z56),IF('Scoring Setup'!$L$12=1,1-'Scoring Setup'!$B$5*(1-MAX(0,MIN(1,(Z56-'Scoring Setup'!$K$12)/(100-'Scoring Setup'!$K$12)))),1),"")</x:f>
        <x:v>0.9189591166383477</x:v>
      </x:c>
      <x:c r="AS56" s="27" t="n">
        <x:f>IF(ISNUMBER(AA56),IF('Scoring Setup'!$L$13=1,1-'Scoring Setup'!$B$5*(1-MAX(0,MIN(1,(AA56-'Scoring Setup'!$K$13)/(100-'Scoring Setup'!$K$13)))),1),"")</x:f>
        <x:v>0.9933351685673568</x:v>
      </x:c>
      <x:c r="AT56" s="27" t="n">
        <x:f>IF(ISNUMBER(AB56),IF('Scoring Setup'!$L$14=1,1-'Scoring Setup'!$B$5*(1-MAX(0,MIN(1,(AB56-'Scoring Setup'!$K$14)/(100-'Scoring Setup'!$K$14)))),1),"")</x:f>
        <x:v>0.9821610252956587</x:v>
      </x:c>
      <x:c r="AU56" s="27" t="n">
        <x:f>IF(ISNUMBER(AC56),IF('Scoring Setup'!$L$15=1,1-'Scoring Setup'!$B$5*(1-MAX(0,MIN(1,(AC56-'Scoring Setup'!$K$15)/(100-'Scoring Setup'!$K$15)))),1),"")</x:f>
        <x:v>0.9997394235810918</x:v>
      </x:c>
      <x:c r="AV56" s="27" t="n">
        <x:f>IF(ISNUMBER(AD56),IF('Scoring Setup'!$L$16=1,1-'Scoring Setup'!$B$5*(1-MAX(0,MIN(1,(AD56-'Scoring Setup'!$K$16)/(100-'Scoring Setup'!$K$16)))),1),"")</x:f>
        <x:v>1</x:v>
      </x:c>
      <x:c r="AW56" s="27" t="n">
        <x:f>IF(ISNUMBER(AE56),IF('Scoring Setup'!$L$17=1,1-'Scoring Setup'!$B$5*(1-MAX(0,MIN(1,(AE56-'Scoring Setup'!$K$17)/(100-'Scoring Setup'!$K$17)))),1),"")</x:f>
        <x:v>1</x:v>
      </x:c>
      <x:c r="AX56" s="27" t="n">
        <x:f>IF(ISNUMBER(AF56),IF('Scoring Setup'!$L$18=1,1-'Scoring Setup'!$B$5*(1-MAX(0,MIN(1,(AF56-'Scoring Setup'!$K$18)/(100-'Scoring Setup'!$K$18)))),1),"")</x:f>
        <x:v>0.8624130264942795</x:v>
      </x:c>
      <x:c r="AY56" s="27" t="n">
        <x:f>IF(ISNUMBER(AG56),IF('Scoring Setup'!$L$19=1,1-'Scoring Setup'!$B$5*(1-MAX(0,MIN(1,(AG56-'Scoring Setup'!$K$19)/(100-'Scoring Setup'!$K$19)))),1),"")</x:f>
        <x:v>0.8158222222222222</x:v>
      </x:c>
      <x:c r="AZ56" s="27" t="n">
        <x:f>IF(ISNUMBER(AH56),IF('Scoring Setup'!$L$20=1,1-'Scoring Setup'!$B$5*(1-MAX(0,MIN(1,(AH56-'Scoring Setup'!$K$20)/(100-'Scoring Setup'!$K$20)))),1),"")</x:f>
        <x:v>1</x:v>
      </x:c>
      <x:c r="BA56" s="27" t="n">
        <x:f>IF(ISNUMBER(AI56),IF('Scoring Setup'!$L$21=1,1-'Scoring Setup'!$B$5*(1-MAX(0,MIN(1,(AI56-'Scoring Setup'!$K$21)/(100-'Scoring Setup'!$K$21)))),1),"")</x:f>
        <x:v>1</x:v>
      </x:c>
      <x:c r="BB56" s="27" t="n">
        <x:f>IF(ISNUMBER(AJ56),IF('Scoring Setup'!$L$22=1,1-'Scoring Setup'!$B$5*(1-MAX(0,MIN(1,(AJ56-'Scoring Setup'!$K$22)/(100-'Scoring Setup'!$K$22)))),1),"")</x:f>
        <x:v>0.8003116472401274</x:v>
      </x:c>
      <x:c r="BC56" s="27" t="n">
        <x:f>IF(ISNUMBER(AK56),IF('Scoring Setup'!$L$23=1,1-'Scoring Setup'!$B$5*(1-MAX(0,MIN(1,(AK56-'Scoring Setup'!$K$23)/(100-'Scoring Setup'!$K$23)))),1),"")</x:f>
        <x:v>0.9745652625689549</x:v>
      </x:c>
      <x:c r="BD56" s="27" t="n">
        <x:f>IF(ISNUMBER(AL56),IF('Scoring Setup'!$L$24=1,1-'Scoring Setup'!$B$5*(1-MAX(0,MIN(1,(AL56-'Scoring Setup'!$K$24)/(100-'Scoring Setup'!$K$24)))),1),"")</x:f>
        <x:v>0.9094545454545454</x:v>
      </x:c>
      <x:c r="BE56" s="27" t="n">
        <x:f>IF(ISNUMBER(AM56),IF('Scoring Setup'!$L$25=1,1-'Scoring Setup'!$B$5*(1-MAX(0,MIN(1,(AM56-'Scoring Setup'!$K$25)/(100-'Scoring Setup'!$K$25)))),1),"")</x:f>
        <x:v>0.8549228700052378</x:v>
      </x:c>
      <x:c r="BF56" s="27" t="n">
        <x:f>IF(ISNUMBER(AN56),IF('Scoring Setup'!$L$26=1,1-'Scoring Setup'!$B$5*(1-MAX(0,MIN(1,(AN56-'Scoring Setup'!$K$26)/(100-'Scoring Setup'!$K$26)))),1),"")</x:f>
        <x:v>0.977621005370185</x:v>
      </x:c>
      <x:c r="BG56" s="34" t="n">
        <x:f>IF(COUNT(W56,X56)=2,AVERAGE(W56,X56),"")</x:f>
        <x:v>1.42857142857143</x:v>
      </x:c>
      <x:c r="BH56" s="34" t="n">
        <x:f>IF(COUNT(Y56,Z56)=2,AVERAGE(Y56,Z56),"")</x:f>
        <x:v>63.05184820104131</x:v>
      </x:c>
      <x:c r="BI56" s="34" t="n">
        <x:f>IF(COUNT(AA56,AB56,AC56)=3,AVERAGE(AA56,AB56,AC56),"")</x:f>
        <x:v>95.87260290735121</x:v>
      </x:c>
      <x:c r="BJ56" s="34" t="n">
        <x:f>IF(COUNT(AD56,AE56)=2,AVERAGE(AD56,AE56),"")</x:f>
        <x:v>100</x:v>
      </x:c>
      <x:c r="BK56" s="34" t="n">
        <x:f>IF(COUNT(AF56,AG56)=2,AVERAGE(AF56,AG56),"")</x:f>
        <x:v>19.558812179125436</x:v>
      </x:c>
      <x:c r="BL56" s="34" t="n">
        <x:f>IF(COUNT(AH56,AI56)=2,AVERAGE(AH56,AI56),"")</x:f>
        <x:v>100</x:v>
      </x:c>
      <x:c r="BM56" s="34" t="n">
        <x:f>IF(COUNT(AJ56,AK56)=2,AVERAGE(AJ56,AK56),"")</x:f>
        <x:v>43.71922745227057</x:v>
      </x:c>
      <x:c r="BN56" s="34" t="n">
        <x:f>IF(COUNT(AL56,AM56,AN56)=3,AVERAGE(AL56,AM56,AN56),"")</x:f>
        <x:v>56.999736804994704</x:v>
      </x:c>
      <x:c r="BO56" s="35" t="n">
        <x:f>IF(AND(COUNT(BG56:BN56)=8,ABS('Scoring Setup'!$C$17-1)&lt;0.000001),BG56*'Scoring Setup'!$C$9+BH56*'Scoring Setup'!$C$10+BI56*'Scoring Setup'!$C$11+BJ56*'Scoring Setup'!$C$12+BK56*'Scoring Setup'!$C$13+BL56*'Scoring Setup'!$C$14+BM56*'Scoring Setup'!$C$15+BN56*'Scoring Setup'!$C$16,"")</x:f>
        <x:v>58.582250705825004</x:v>
      </x:c>
      <x:c r="BP56" s="36" t="n">
        <x:f>IF(COUNT(AO56:BF56)=18,MIN(AO56:BF56),"")</x:f>
        <x:v>0.8</x:v>
      </x:c>
      <x:c r="BQ56" s="35" t="n">
        <x:f>IF(AND(ISNUMBER(BO56),ISNUMBER(BP56)),BO56*BP56,"")</x:f>
        <x:v>46.865800564660006</x:v>
      </x:c>
      <x:c r="BR56" s="17" t="str">
        <x:f>IF(COUNT(AO56:BF56)=18,INDEX('Scoring Setup'!$F$9:$F$26,MATCH(MIN(AO56:BF56),AO56:BF56,0),1),"")</x:f>
        <x:v>洪水损失率全国百分位</x:v>
      </x:c>
    </x:row>
    <x:row r="57">
      <x:c r="A57" s="28" t="str">
        <x:v>51107</x:v>
      </x:c>
      <x:c r="B57" s="28" t="str">
        <x:v>Loudoun County</x:v>
      </x:c>
      <x:c r="C57" s="28" t="str">
        <x:v>VA</x:v>
      </x:c>
      <x:c r="D57" s="31" t="n">
        <x:v>1335.753659</x:v>
      </x:c>
      <x:c r="E57" s="32" t="n">
        <x:v>0.257</x:v>
      </x:c>
      <x:c r="F57" s="32" t="n">
        <x:v>0.18193069306930698</x:v>
      </x:c>
      <x:c r="G57" s="32" t="n">
        <x:v>0.30584796169175116</x:v>
      </x:c>
      <x:c r="H57" s="32" t="n">
        <x:v>0.5991993213842712</x:v>
      </x:c>
      <x:c r="I57" s="32" t="n">
        <x:v>0.775497584437608</x:v>
      </x:c>
      <x:c r="J57" s="32" t="n">
        <x:v>0.005182523833923948</x:v>
      </x:c>
      <x:c r="K57" s="32" t="n">
        <x:v>0.014989938223974398</x:v>
      </x:c>
      <x:c r="L57" s="32" t="n">
        <x:v>0.88441203</x:v>
      </x:c>
      <x:c r="M57" s="32" t="n">
        <x:v>0.543732968</x:v>
      </x:c>
      <x:c r="N57" s="32" t="n">
        <x:v>251392</x:v>
      </x:c>
      <x:c r="O57" s="32" t="n">
        <x:v>0.1059</x:v>
      </x:c>
      <x:c r="P57" s="32" t="n">
        <x:v>997.299871826172</x:v>
      </x:c>
      <x:c r="Q57" s="32" t="n">
        <x:v>19.235980987548828</x:v>
      </x:c>
      <x:c r="R57" s="32" t="n">
        <x:v>27.93260053074667</x:v>
      </x:c>
      <x:c r="S57" s="32" t="n">
        <x:v>20.260402329138174</x:v>
      </x:c>
      <x:c r="T57" s="32" t="n">
        <x:v>89.9</x:v>
      </x:c>
      <x:c r="U57" s="32" t="n">
        <x:v>245.07712999476223</x:v>
      </x:c>
      <x:c r="V57" s="32" t="n">
        <x:v>244.75798925963002</x:v>
      </x:c>
      <x:c r="W57" s="33" t="n">
        <x:f>IF(ISNUMBER(E57),100*MAX(0,MIN(1,('Anchors'!$H$6-E57)/('Anchors'!$H$6-'Anchors'!$G$6))),"")</x:f>
        <x:v>91.85714285714288</x:v>
      </x:c>
      <x:c r="X57" s="33" t="n">
        <x:f>IF(ISNUMBER(F57),100*MAX(0,MIN(1,('Anchors'!$H$7-F57)/('Anchors'!$H$7-'Anchors'!$G$7))),"")</x:f>
        <x:v>88.29561527581329</x:v>
      </x:c>
      <x:c r="Y57" s="33" t="n">
        <x:f>IF(ISNUMBER(G57),100*MAX(0,MIN(1,('Anchors'!$H$8-G57)/('Anchors'!$H$8-'Anchors'!$G$8))),"")</x:f>
        <x:v>100</x:v>
      </x:c>
      <x:c r="Z57" s="33" t="n">
        <x:f>IF(ISNUMBER(H57),100*MAX(0,MIN(1,('Anchors'!$H$9-H57)/('Anchors'!$H$9-'Anchors'!$G$9))),"")</x:f>
        <x:v>100</x:v>
      </x:c>
      <x:c r="AA57" s="33" t="n">
        <x:f>IF(ISNUMBER(I57),100*MAX(0,MIN(1,(I57-'Anchors'!$H$10)/('Anchors'!$G$10-'Anchors'!$H$10))),"")</x:f>
        <x:v>71.9859704709052</x:v>
      </x:c>
      <x:c r="AB57" s="33" t="n">
        <x:f>IF(ISNUMBER(J57),100*MAX(0,MIN(1,('Anchors'!$H$11-J57)/('Anchors'!$H$11-'Anchors'!$G$11))),"")</x:f>
        <x:v>97.92699046643042</x:v>
      </x:c>
      <x:c r="AC57" s="33" t="n">
        <x:f>IF(ISNUMBER(K57),100*MAX(0,MIN(1,('Anchors'!$H$12-K57)/('Anchors'!$H$12-'Anchors'!$G$12))),"")</x:f>
        <x:v>96.2525154440064</x:v>
      </x:c>
      <x:c r="AD57" s="33" t="n">
        <x:f>IF(ISNUMBER(L57),100*MAX(0,MIN(1,(L57-'Anchors'!$H$13)/('Anchors'!$G$13-'Anchors'!$H$13))),"")</x:f>
        <x:v>97.77314714285716</x:v>
      </x:c>
      <x:c r="AE57" s="33" t="n">
        <x:f>IF(ISNUMBER(M57),100*MAX(0,MIN(1,(M57-'Anchors'!$H$14)/('Anchors'!$G$14-'Anchors'!$H$14))),"")</x:f>
        <x:v>55.466621</x:v>
      </x:c>
      <x:c r="AF57" s="33" t="n">
        <x:f>IF(ISNUMBER(N57),100*MAX(0,MIN(1,(LN(1+N57)-LN(1+'Anchors'!$H$15))/(LN(1+'Anchors'!$G$15)-LN(1+'Anchors'!$H$15)))),"")</x:f>
        <x:v>100</x:v>
      </x:c>
      <x:c r="AG57" s="33" t="n">
        <x:f>IF(ISNUMBER(O57),100*MAX(0,MIN(1,('Anchors'!$H$16-O57)/('Anchors'!$H$16-'Anchors'!$G$16))),"")</x:f>
        <x:v>93.7888888888889</x:v>
      </x:c>
      <x:c r="AH57" s="33" t="n">
        <x:f>IF(ISNUMBER(P57),100*MAX(0,MIN(1,('Anchors'!$H$17-P57)/('Anchors'!$H$17-'Anchors'!$G$17))),"")</x:f>
        <x:v>80.18000854492186</x:v>
      </x:c>
      <x:c r="AI57" s="33" t="n">
        <x:f>IF(ISNUMBER(Q57),100*MAX(0,MIN(1,('Anchors'!$H$18-Q57)/('Anchors'!$H$18-'Anchors'!$G$18))),"")</x:f>
        <x:v>79.66288430350167</x:v>
      </x:c>
      <x:c r="AJ57" s="33" t="n">
        <x:f>IF(ISNUMBER(R57),100*MAX(0,MIN(1,('Anchors'!$H$19-R57)/('Anchors'!$H$19-'Anchors'!$G$19))),"")</x:f>
        <x:v>49.03866548722963</x:v>
      </x:c>
      <x:c r="AK57" s="33" t="n">
        <x:f>IF(ISNUMBER(S57),100*MAX(0,MIN(1,('Anchors'!$H$20-S57)/('Anchors'!$H$20-'Anchors'!$G$20))),"")</x:f>
        <x:v>0</x:v>
      </x:c>
      <x:c r="AL57" s="33" t="n">
        <x:f>IF(ISNUMBER(T57),100*MAX(0,MIN(1,('Anchors'!$H$21-T57)/('Anchors'!$H$21-'Anchors'!$G$21))),"")</x:f>
        <x:v>54.72727272727271</x:v>
      </x:c>
      <x:c r="AM57" s="33" t="n">
        <x:f>IF(ISNUMBER(U57),100*MAX(0,MIN(1,('Anchors'!$H$22-U57)/('Anchors'!$H$22-'Anchors'!$G$22))),"")</x:f>
        <x:v>27.461435002618884</x:v>
      </x:c>
      <x:c r="AN57" s="33" t="n">
        <x:f>IF(ISNUMBER(V57),100*MAX(0,MIN(1,('Anchors'!$H$23-V57)/('Anchors'!$H$23-'Anchors'!$G$23))),"")</x:f>
        <x:v>88.8105026850925</x:v>
      </x:c>
      <x:c r="AO57" s="27" t="n">
        <x:f>IF(ISNUMBER(W57),IF('Scoring Setup'!$L$9=1,1-'Scoring Setup'!$B$5*(1-MAX(0,MIN(1,(W57-'Scoring Setup'!$K$9)/(100-'Scoring Setup'!$K$9)))),1),"")</x:f>
        <x:v>0.9837142857142858</x:v>
      </x:c>
      <x:c r="AP57" s="27" t="n">
        <x:f>IF(ISNUMBER(X57),IF('Scoring Setup'!$L$10=1,1-'Scoring Setup'!$B$5*(1-MAX(0,MIN(1,(X57-'Scoring Setup'!$K$10)/(100-'Scoring Setup'!$K$10)))),1),"")</x:f>
        <x:v>0.9765912305516266</x:v>
      </x:c>
      <x:c r="AQ57" s="27" t="n">
        <x:f>IF(ISNUMBER(Y57),IF('Scoring Setup'!$L$11=1,1-'Scoring Setup'!$B$5*(1-MAX(0,MIN(1,(Y57-'Scoring Setup'!$K$11)/(100-'Scoring Setup'!$K$11)))),1),"")</x:f>
        <x:v>1</x:v>
      </x:c>
      <x:c r="AR57" s="27" t="n">
        <x:f>IF(ISNUMBER(Z57),IF('Scoring Setup'!$L$12=1,1-'Scoring Setup'!$B$5*(1-MAX(0,MIN(1,(Z57-'Scoring Setup'!$K$12)/(100-'Scoring Setup'!$K$12)))),1),"")</x:f>
        <x:v>1</x:v>
      </x:c>
      <x:c r="AS57" s="27" t="n">
        <x:f>IF(ISNUMBER(AA57),IF('Scoring Setup'!$L$13=1,1-'Scoring Setup'!$B$5*(1-MAX(0,MIN(1,(AA57-'Scoring Setup'!$K$13)/(100-'Scoring Setup'!$K$13)))),1),"")</x:f>
        <x:v>0.9439719409418104</x:v>
      </x:c>
      <x:c r="AT57" s="27" t="n">
        <x:f>IF(ISNUMBER(AB57),IF('Scoring Setup'!$L$14=1,1-'Scoring Setup'!$B$5*(1-MAX(0,MIN(1,(AB57-'Scoring Setup'!$K$14)/(100-'Scoring Setup'!$K$14)))),1),"")</x:f>
        <x:v>0.9958539809328608</x:v>
      </x:c>
      <x:c r="AU57" s="27" t="n">
        <x:f>IF(ISNUMBER(AC57),IF('Scoring Setup'!$L$15=1,1-'Scoring Setup'!$B$5*(1-MAX(0,MIN(1,(AC57-'Scoring Setup'!$K$15)/(100-'Scoring Setup'!$K$15)))),1),"")</x:f>
        <x:v>0.9925050308880128</x:v>
      </x:c>
      <x:c r="AV57" s="27" t="n">
        <x:f>IF(ISNUMBER(AD57),IF('Scoring Setup'!$L$16=1,1-'Scoring Setup'!$B$5*(1-MAX(0,MIN(1,(AD57-'Scoring Setup'!$K$16)/(100-'Scoring Setup'!$K$16)))),1),"")</x:f>
        <x:v>0.9955462942857143</x:v>
      </x:c>
      <x:c r="AW57" s="27" t="n">
        <x:f>IF(ISNUMBER(AE57),IF('Scoring Setup'!$L$17=1,1-'Scoring Setup'!$B$5*(1-MAX(0,MIN(1,(AE57-'Scoring Setup'!$K$17)/(100-'Scoring Setup'!$K$17)))),1),"")</x:f>
        <x:v>0.910933242</x:v>
      </x:c>
      <x:c r="AX57" s="27" t="n">
        <x:f>IF(ISNUMBER(AF57),IF('Scoring Setup'!$L$18=1,1-'Scoring Setup'!$B$5*(1-MAX(0,MIN(1,(AF57-'Scoring Setup'!$K$18)/(100-'Scoring Setup'!$K$18)))),1),"")</x:f>
        <x:v>1</x:v>
      </x:c>
      <x:c r="AY57" s="27" t="n">
        <x:f>IF(ISNUMBER(AG57),IF('Scoring Setup'!$L$19=1,1-'Scoring Setup'!$B$5*(1-MAX(0,MIN(1,(AG57-'Scoring Setup'!$K$19)/(100-'Scoring Setup'!$K$19)))),1),"")</x:f>
        <x:v>0.9875777777777778</x:v>
      </x:c>
      <x:c r="AZ57" s="27" t="n">
        <x:f>IF(ISNUMBER(AH57),IF('Scoring Setup'!$L$20=1,1-'Scoring Setup'!$B$5*(1-MAX(0,MIN(1,(AH57-'Scoring Setup'!$K$20)/(100-'Scoring Setup'!$K$20)))),1),"")</x:f>
        <x:v>0.9603600170898438</x:v>
      </x:c>
      <x:c r="BA57" s="27" t="n">
        <x:f>IF(ISNUMBER(AI57),IF('Scoring Setup'!$L$21=1,1-'Scoring Setup'!$B$5*(1-MAX(0,MIN(1,(AI57-'Scoring Setup'!$K$21)/(100-'Scoring Setup'!$K$21)))),1),"")</x:f>
        <x:v>0.9593257686070034</x:v>
      </x:c>
      <x:c r="BB57" s="27" t="n">
        <x:f>IF(ISNUMBER(AJ57),IF('Scoring Setup'!$L$22=1,1-'Scoring Setup'!$B$5*(1-MAX(0,MIN(1,(AJ57-'Scoring Setup'!$K$22)/(100-'Scoring Setup'!$K$22)))),1),"")</x:f>
        <x:v>0.8980773309744592</x:v>
      </x:c>
      <x:c r="BC57" s="27" t="n">
        <x:f>IF(ISNUMBER(AK57),IF('Scoring Setup'!$L$23=1,1-'Scoring Setup'!$B$5*(1-MAX(0,MIN(1,(AK57-'Scoring Setup'!$K$23)/(100-'Scoring Setup'!$K$23)))),1),"")</x:f>
        <x:v>0.8</x:v>
      </x:c>
      <x:c r="BD57" s="27" t="n">
        <x:f>IF(ISNUMBER(AL57),IF('Scoring Setup'!$L$24=1,1-'Scoring Setup'!$B$5*(1-MAX(0,MIN(1,(AL57-'Scoring Setup'!$K$24)/(100-'Scoring Setup'!$K$24)))),1),"")</x:f>
        <x:v>0.9094545454545454</x:v>
      </x:c>
      <x:c r="BE57" s="27" t="n">
        <x:f>IF(ISNUMBER(AM57),IF('Scoring Setup'!$L$25=1,1-'Scoring Setup'!$B$5*(1-MAX(0,MIN(1,(AM57-'Scoring Setup'!$K$25)/(100-'Scoring Setup'!$K$25)))),1),"")</x:f>
        <x:v>0.8549228700052378</x:v>
      </x:c>
      <x:c r="BF57" s="27" t="n">
        <x:f>IF(ISNUMBER(AN57),IF('Scoring Setup'!$L$26=1,1-'Scoring Setup'!$B$5*(1-MAX(0,MIN(1,(AN57-'Scoring Setup'!$K$26)/(100-'Scoring Setup'!$K$26)))),1),"")</x:f>
        <x:v>0.977621005370185</x:v>
      </x:c>
      <x:c r="BG57" s="34" t="n">
        <x:f>IF(COUNT(W57,X57)=2,AVERAGE(W57,X57),"")</x:f>
        <x:v>90.07637906647808</x:v>
      </x:c>
      <x:c r="BH57" s="34" t="n">
        <x:f>IF(COUNT(Y57,Z57)=2,AVERAGE(Y57,Z57),"")</x:f>
        <x:v>100</x:v>
      </x:c>
      <x:c r="BI57" s="34" t="n">
        <x:f>IF(COUNT(AA57,AB57,AC57)=3,AVERAGE(AA57,AB57,AC57),"")</x:f>
        <x:v>88.72182546044735</x:v>
      </x:c>
      <x:c r="BJ57" s="34" t="n">
        <x:f>IF(COUNT(AD57,AE57)=2,AVERAGE(AD57,AE57),"")</x:f>
        <x:v>76.61988407142857</x:v>
      </x:c>
      <x:c r="BK57" s="34" t="n">
        <x:f>IF(COUNT(AF57,AG57)=2,AVERAGE(AF57,AG57),"")</x:f>
        <x:v>96.89444444444445</x:v>
      </x:c>
      <x:c r="BL57" s="34" t="n">
        <x:f>IF(COUNT(AH57,AI57)=2,AVERAGE(AH57,AI57),"")</x:f>
        <x:v>79.92144642421177</x:v>
      </x:c>
      <x:c r="BM57" s="34" t="n">
        <x:f>IF(COUNT(AJ57,AK57)=2,AVERAGE(AJ57,AK57),"")</x:f>
        <x:v>24.519332743614815</x:v>
      </x:c>
      <x:c r="BN57" s="34" t="n">
        <x:f>IF(COUNT(AL57,AM57,AN57)=3,AVERAGE(AL57,AM57,AN57),"")</x:f>
        <x:v>56.999736804994704</x:v>
      </x:c>
      <x:c r="BO57" s="35" t="n">
        <x:f>IF(AND(COUNT(BG57:BN57)=8,ABS('Scoring Setup'!$C$17-1)&lt;0.000001),BG57*'Scoring Setup'!$C$9+BH57*'Scoring Setup'!$C$10+BI57*'Scoring Setup'!$C$11+BJ57*'Scoring Setup'!$C$12+BK57*'Scoring Setup'!$C$13+BL57*'Scoring Setup'!$C$14+BM57*'Scoring Setup'!$C$15+BN57*'Scoring Setup'!$C$16,"")</x:f>
        <x:v>77.55321330416959</x:v>
      </x:c>
      <x:c r="BP57" s="36" t="n">
        <x:f>IF(COUNT(AO57:BF57)=18,MIN(AO57:BF57),"")</x:f>
        <x:v>0.8</x:v>
      </x:c>
      <x:c r="BQ57" s="35" t="n">
        <x:f>IF(AND(ISNUMBER(BO57),ISNUMBER(BP57)),BO57*BP57,"")</x:f>
        <x:v>62.04257064333567</x:v>
      </x:c>
      <x:c r="BR57" s="17" t="str">
        <x:f>IF(COUNT(AO57:BF57)=18,INDEX('Scoring Setup'!$F$9:$F$26,MATCH(MIN(AO57:BF57),AO57:BF57,0),1),"")</x:f>
        <x:v>到铁路距离</x:v>
      </x:c>
    </x:row>
    <x:row r="58">
      <x:c r="A58" s="28" t="str">
        <x:v>51109</x:v>
      </x:c>
      <x:c r="B58" s="28" t="str">
        <x:v>Louisa County</x:v>
      </x:c>
      <x:c r="C58" s="28" t="str">
        <x:v>VA</x:v>
      </x:c>
      <x:c r="D58" s="31" t="n">
        <x:v>1282.060817</x:v>
      </x:c>
      <x:c r="E58" s="32" t="n">
        <x:v>0.324</x:v>
      </x:c>
      <x:c r="F58" s="32" t="n">
        <x:v>0.250309405940594</x:v>
      </x:c>
      <x:c r="G58" s="32" t="n">
        <x:v>1.6099517707712563</x:v>
      </x:c>
      <x:c r="H58" s="32" t="n">
        <x:v>2.027948601505541</x:v>
      </x:c>
      <x:c r="I58" s="32" t="n">
        <x:v>0.9506268490982029</x:v>
      </x:c>
      <x:c r="J58" s="32" t="n">
        <x:v>0</x:v>
      </x:c>
      <x:c r="K58" s="32" t="n">
        <x:v>0.044483944705539305</x:v>
      </x:c>
      <x:c r="L58" s="32" t="n">
        <x:v>0.836318139</x:v>
      </x:c>
      <x:c r="M58" s="32" t="n">
        <x:v>0.835729356</x:v>
      </x:c>
      <x:c r="N58" s="32" t="n">
        <x:v>19010</x:v>
      </x:c>
      <x:c r="O58" s="32" t="n">
        <x:v>0.2542</x:v>
      </x:c>
      <x:c r="P58" s="32" t="n">
        <x:v>1092.4930033365886</x:v>
      </x:c>
      <x:c r="Q58" s="32" t="n">
        <x:v>24.22855428059896</x:v>
      </x:c>
      <x:c r="R58" s="32" t="n">
        <x:v>11.21605077648374</x:v>
      </x:c>
      <x:c r="S58" s="32" t="n">
        <x:v>4.9779033183004575</x:v>
      </x:c>
      <x:c r="T58" s="32" t="n">
        <x:v>89.9</x:v>
      </x:c>
      <x:c r="U58" s="32" t="n">
        <x:v>245.07712999476223</x:v>
      </x:c>
      <x:c r="V58" s="32" t="n">
        <x:v>244.75798925963002</x:v>
      </x:c>
      <x:c r="W58" s="33" t="n">
        <x:f>IF(ISNUMBER(E58),100*MAX(0,MIN(1,('Anchors'!$H$6-E58)/('Anchors'!$H$6-'Anchors'!$G$6))),"")</x:f>
        <x:v>82.28571428571429</x:v>
      </x:c>
      <x:c r="X58" s="33" t="n">
        <x:f>IF(ISNUMBER(F58),100*MAX(0,MIN(1,('Anchors'!$H$7-F58)/('Anchors'!$H$7-'Anchors'!$G$7))),"")</x:f>
        <x:v>78.5272277227723</x:v>
      </x:c>
      <x:c r="Y58" s="33" t="n">
        <x:f>IF(ISNUMBER(G58),100*MAX(0,MIN(1,('Anchors'!$H$8-G58)/('Anchors'!$H$8-'Anchors'!$G$8))),"")</x:f>
        <x:v>79.66827430762478</x:v>
      </x:c>
      <x:c r="Z58" s="33" t="n">
        <x:f>IF(ISNUMBER(H58),100*MAX(0,MIN(1,('Anchors'!$H$9-H58)/('Anchors'!$H$9-'Anchors'!$G$9))),"")</x:f>
        <x:v>65.73504661648198</x:v>
      </x:c>
      <x:c r="AA58" s="33" t="n">
        <x:f>IF(ISNUMBER(I58),100*MAX(0,MIN(1,(I58-'Anchors'!$H$10)/('Anchors'!$G$10-'Anchors'!$H$10))),"")</x:f>
        <x:v>95.97628069838396</x:v>
      </x:c>
      <x:c r="AB58" s="33" t="n">
        <x:f>IF(ISNUMBER(J58),100*MAX(0,MIN(1,('Anchors'!$H$11-J58)/('Anchors'!$H$11-'Anchors'!$G$11))),"")</x:f>
        <x:v>100</x:v>
      </x:c>
      <x:c r="AC58" s="33" t="n">
        <x:f>IF(ISNUMBER(K58),100*MAX(0,MIN(1,('Anchors'!$H$12-K58)/('Anchors'!$H$12-'Anchors'!$G$12))),"")</x:f>
        <x:v>88.87901382361518</x:v>
      </x:c>
      <x:c r="AD58" s="33" t="n">
        <x:f>IF(ISNUMBER(L58),100*MAX(0,MIN(1,(L58-'Anchors'!$H$13)/('Anchors'!$G$13-'Anchors'!$H$13))),"")</x:f>
        <x:v>90.90259128571428</x:v>
      </x:c>
      <x:c r="AE58" s="33" t="n">
        <x:f>IF(ISNUMBER(M58),100*MAX(0,MIN(1,(M58-'Anchors'!$H$14)/('Anchors'!$G$14-'Anchors'!$H$14))),"")</x:f>
        <x:v>91.96616949999999</x:v>
      </x:c>
      <x:c r="AF58" s="33" t="n">
        <x:f>IF(ISNUMBER(N58),100*MAX(0,MIN(1,(LN(1+N58)-LN(1+'Anchors'!$H$15))/(LN(1+'Anchors'!$G$15)-LN(1+'Anchors'!$H$15)))),"")</x:f>
        <x:v>52.15134029293807</x:v>
      </x:c>
      <x:c r="AG58" s="33" t="n">
        <x:f>IF(ISNUMBER(O58),100*MAX(0,MIN(1,('Anchors'!$H$16-O58)/('Anchors'!$H$16-'Anchors'!$G$16))),"")</x:f>
        <x:v>77.31111111111112</x:v>
      </x:c>
      <x:c r="AH58" s="33" t="n">
        <x:f>IF(ISNUMBER(P58),100*MAX(0,MIN(1,('Anchors'!$H$17-P58)/('Anchors'!$H$17-'Anchors'!$G$17))),"")</x:f>
        <x:v>73.83379977756076</x:v>
      </x:c>
      <x:c r="AI58" s="33" t="n">
        <x:f>IF(ISNUMBER(Q58),100*MAX(0,MIN(1,('Anchors'!$H$18-Q58)/('Anchors'!$H$18-'Anchors'!$G$18))),"")</x:f>
        <x:v>72.53063674200149</x:v>
      </x:c>
      <x:c r="AJ58" s="33" t="n">
        <x:f>IF(ISNUMBER(R58),100*MAX(0,MIN(1,('Anchors'!$H$19-R58)/('Anchors'!$H$19-'Anchors'!$G$19))),"")</x:f>
        <x:v>86.18655383003613</x:v>
      </x:c>
      <x:c r="AK58" s="33" t="n">
        <x:f>IF(ISNUMBER(S58),100*MAX(0,MIN(1,('Anchors'!$H$20-S58)/('Anchors'!$H$20-'Anchors'!$G$20))),"")</x:f>
        <x:v>79.06366674578706</x:v>
      </x:c>
      <x:c r="AL58" s="33" t="n">
        <x:f>IF(ISNUMBER(T58),100*MAX(0,MIN(1,('Anchors'!$H$21-T58)/('Anchors'!$H$21-'Anchors'!$G$21))),"")</x:f>
        <x:v>54.72727272727271</x:v>
      </x:c>
      <x:c r="AM58" s="33" t="n">
        <x:f>IF(ISNUMBER(U58),100*MAX(0,MIN(1,('Anchors'!$H$22-U58)/('Anchors'!$H$22-'Anchors'!$G$22))),"")</x:f>
        <x:v>27.461435002618884</x:v>
      </x:c>
      <x:c r="AN58" s="33" t="n">
        <x:f>IF(ISNUMBER(V58),100*MAX(0,MIN(1,('Anchors'!$H$23-V58)/('Anchors'!$H$23-'Anchors'!$G$23))),"")</x:f>
        <x:v>88.8105026850925</x:v>
      </x:c>
      <x:c r="AO58" s="27" t="n">
        <x:f>IF(ISNUMBER(W58),IF('Scoring Setup'!$L$9=1,1-'Scoring Setup'!$B$5*(1-MAX(0,MIN(1,(W58-'Scoring Setup'!$K$9)/(100-'Scoring Setup'!$K$9)))),1),"")</x:f>
        <x:v>0.9645714285714286</x:v>
      </x:c>
      <x:c r="AP58" s="27" t="n">
        <x:f>IF(ISNUMBER(X58),IF('Scoring Setup'!$L$10=1,1-'Scoring Setup'!$B$5*(1-MAX(0,MIN(1,(X58-'Scoring Setup'!$K$10)/(100-'Scoring Setup'!$K$10)))),1),"")</x:f>
        <x:v>0.9570544554455446</x:v>
      </x:c>
      <x:c r="AQ58" s="27" t="n">
        <x:f>IF(ISNUMBER(Y58),IF('Scoring Setup'!$L$11=1,1-'Scoring Setup'!$B$5*(1-MAX(0,MIN(1,(Y58-'Scoring Setup'!$K$11)/(100-'Scoring Setup'!$K$11)))),1),"")</x:f>
        <x:v>0.9593365486152495</x:v>
      </x:c>
      <x:c r="AR58" s="27" t="n">
        <x:f>IF(ISNUMBER(Z58),IF('Scoring Setup'!$L$12=1,1-'Scoring Setup'!$B$5*(1-MAX(0,MIN(1,(Z58-'Scoring Setup'!$K$12)/(100-'Scoring Setup'!$K$12)))),1),"")</x:f>
        <x:v>0.9314700932329639</x:v>
      </x:c>
      <x:c r="AS58" s="27" t="n">
        <x:f>IF(ISNUMBER(AA58),IF('Scoring Setup'!$L$13=1,1-'Scoring Setup'!$B$5*(1-MAX(0,MIN(1,(AA58-'Scoring Setup'!$K$13)/(100-'Scoring Setup'!$K$13)))),1),"")</x:f>
        <x:v>0.9919525613967679</x:v>
      </x:c>
      <x:c r="AT58" s="27" t="n">
        <x:f>IF(ISNUMBER(AB58),IF('Scoring Setup'!$L$14=1,1-'Scoring Setup'!$B$5*(1-MAX(0,MIN(1,(AB58-'Scoring Setup'!$K$14)/(100-'Scoring Setup'!$K$14)))),1),"")</x:f>
        <x:v>1</x:v>
      </x:c>
      <x:c r="AU58" s="27" t="n">
        <x:f>IF(ISNUMBER(AC58),IF('Scoring Setup'!$L$15=1,1-'Scoring Setup'!$B$5*(1-MAX(0,MIN(1,(AC58-'Scoring Setup'!$K$15)/(100-'Scoring Setup'!$K$15)))),1),"")</x:f>
        <x:v>0.9777580276472304</x:v>
      </x:c>
      <x:c r="AV58" s="27" t="n">
        <x:f>IF(ISNUMBER(AD58),IF('Scoring Setup'!$L$16=1,1-'Scoring Setup'!$B$5*(1-MAX(0,MIN(1,(AD58-'Scoring Setup'!$K$16)/(100-'Scoring Setup'!$K$16)))),1),"")</x:f>
        <x:v>0.9818051825714286</x:v>
      </x:c>
      <x:c r="AW58" s="27" t="n">
        <x:f>IF(ISNUMBER(AE58),IF('Scoring Setup'!$L$17=1,1-'Scoring Setup'!$B$5*(1-MAX(0,MIN(1,(AE58-'Scoring Setup'!$K$17)/(100-'Scoring Setup'!$K$17)))),1),"")</x:f>
        <x:v>0.983932339</x:v>
      </x:c>
      <x:c r="AX58" s="27" t="n">
        <x:f>IF(ISNUMBER(AF58),IF('Scoring Setup'!$L$18=1,1-'Scoring Setup'!$B$5*(1-MAX(0,MIN(1,(AF58-'Scoring Setup'!$K$18)/(100-'Scoring Setup'!$K$18)))),1),"")</x:f>
        <x:v>0.9043026805858762</x:v>
      </x:c>
      <x:c r="AY58" s="27" t="n">
        <x:f>IF(ISNUMBER(AG58),IF('Scoring Setup'!$L$19=1,1-'Scoring Setup'!$B$5*(1-MAX(0,MIN(1,(AG58-'Scoring Setup'!$K$19)/(100-'Scoring Setup'!$K$19)))),1),"")</x:f>
        <x:v>0.9546222222222223</x:v>
      </x:c>
      <x:c r="AZ58" s="27" t="n">
        <x:f>IF(ISNUMBER(AH58),IF('Scoring Setup'!$L$20=1,1-'Scoring Setup'!$B$5*(1-MAX(0,MIN(1,(AH58-'Scoring Setup'!$K$20)/(100-'Scoring Setup'!$K$20)))),1),"")</x:f>
        <x:v>0.9476675995551215</x:v>
      </x:c>
      <x:c r="BA58" s="27" t="n">
        <x:f>IF(ISNUMBER(AI58),IF('Scoring Setup'!$L$21=1,1-'Scoring Setup'!$B$5*(1-MAX(0,MIN(1,(AI58-'Scoring Setup'!$K$21)/(100-'Scoring Setup'!$K$21)))),1),"")</x:f>
        <x:v>0.9450612734840029</x:v>
      </x:c>
      <x:c r="BB58" s="27" t="n">
        <x:f>IF(ISNUMBER(AJ58),IF('Scoring Setup'!$L$22=1,1-'Scoring Setup'!$B$5*(1-MAX(0,MIN(1,(AJ58-'Scoring Setup'!$K$22)/(100-'Scoring Setup'!$K$22)))),1),"")</x:f>
        <x:v>0.9723731076600722</x:v>
      </x:c>
      <x:c r="BC58" s="27" t="n">
        <x:f>IF(ISNUMBER(AK58),IF('Scoring Setup'!$L$23=1,1-'Scoring Setup'!$B$5*(1-MAX(0,MIN(1,(AK58-'Scoring Setup'!$K$23)/(100-'Scoring Setup'!$K$23)))),1),"")</x:f>
        <x:v>0.9581273334915741</x:v>
      </x:c>
      <x:c r="BD58" s="27" t="n">
        <x:f>IF(ISNUMBER(AL58),IF('Scoring Setup'!$L$24=1,1-'Scoring Setup'!$B$5*(1-MAX(0,MIN(1,(AL58-'Scoring Setup'!$K$24)/(100-'Scoring Setup'!$K$24)))),1),"")</x:f>
        <x:v>0.9094545454545454</x:v>
      </x:c>
      <x:c r="BE58" s="27" t="n">
        <x:f>IF(ISNUMBER(AM58),IF('Scoring Setup'!$L$25=1,1-'Scoring Setup'!$B$5*(1-MAX(0,MIN(1,(AM58-'Scoring Setup'!$K$25)/(100-'Scoring Setup'!$K$25)))),1),"")</x:f>
        <x:v>0.8549228700052378</x:v>
      </x:c>
      <x:c r="BF58" s="27" t="n">
        <x:f>IF(ISNUMBER(AN58),IF('Scoring Setup'!$L$26=1,1-'Scoring Setup'!$B$5*(1-MAX(0,MIN(1,(AN58-'Scoring Setup'!$K$26)/(100-'Scoring Setup'!$K$26)))),1),"")</x:f>
        <x:v>0.977621005370185</x:v>
      </x:c>
      <x:c r="BG58" s="34" t="n">
        <x:f>IF(COUNT(W58,X58)=2,AVERAGE(W58,X58),"")</x:f>
        <x:v>80.40647100424329</x:v>
      </x:c>
      <x:c r="BH58" s="34" t="n">
        <x:f>IF(COUNT(Y58,Z58)=2,AVERAGE(Y58,Z58),"")</x:f>
        <x:v>72.70166046205338</x:v>
      </x:c>
      <x:c r="BI58" s="34" t="n">
        <x:f>IF(COUNT(AA58,AB58,AC58)=3,AVERAGE(AA58,AB58,AC58),"")</x:f>
        <x:v>94.95176484066639</x:v>
      </x:c>
      <x:c r="BJ58" s="34" t="n">
        <x:f>IF(COUNT(AD58,AE58)=2,AVERAGE(AD58,AE58),"")</x:f>
        <x:v>91.43438039285714</x:v>
      </x:c>
      <x:c r="BK58" s="34" t="n">
        <x:f>IF(COUNT(AF58,AG58)=2,AVERAGE(AF58,AG58),"")</x:f>
        <x:v>64.7312257020246</x:v>
      </x:c>
      <x:c r="BL58" s="34" t="n">
        <x:f>IF(COUNT(AH58,AI58)=2,AVERAGE(AH58,AI58),"")</x:f>
        <x:v>73.18221825978112</x:v>
      </x:c>
      <x:c r="BM58" s="34" t="n">
        <x:f>IF(COUNT(AJ58,AK58)=2,AVERAGE(AJ58,AK58),"")</x:f>
        <x:v>82.6251102879116</x:v>
      </x:c>
      <x:c r="BN58" s="34" t="n">
        <x:f>IF(COUNT(AL58,AM58,AN58)=3,AVERAGE(AL58,AM58,AN58),"")</x:f>
        <x:v>56.999736804994704</x:v>
      </x:c>
      <x:c r="BO58" s="35" t="n">
        <x:f>IF(AND(COUNT(BG58:BN58)=8,ABS('Scoring Setup'!$C$17-1)&lt;0.000001),BG58*'Scoring Setup'!$C$9+BH58*'Scoring Setup'!$C$10+BI58*'Scoring Setup'!$C$11+BJ58*'Scoring Setup'!$C$12+BK58*'Scoring Setup'!$C$13+BL58*'Scoring Setup'!$C$14+BM58*'Scoring Setup'!$C$15+BN58*'Scoring Setup'!$C$16,"")</x:f>
        <x:v>72.58300375527287</x:v>
      </x:c>
      <x:c r="BP58" s="36" t="n">
        <x:f>IF(COUNT(AO58:BF58)=18,MIN(AO58:BF58),"")</x:f>
        <x:v>0.8549228700052378</x:v>
      </x:c>
      <x:c r="BQ58" s="35" t="n">
        <x:f>IF(AND(ISNUMBER(BO58),ISNUMBER(BP58)),BO58*BP58,"")</x:f>
        <x:v>62.052869884058836</x:v>
      </x:c>
      <x:c r="BR58" s="17" t="str">
        <x:f>IF(COUNT(AO58:BF58)=18,INDEX('Scoring Setup'!$F$9:$F$26,MATCH(MIN(AO58:BF58),AO58:BF58,0),1),"")</x:f>
        <x:v>州SAIDI不含重大事件日</x:v>
      </x:c>
    </x:row>
    <x:row r="59">
      <x:c r="A59" s="28" t="str">
        <x:v>51111</x:v>
      </x:c>
      <x:c r="B59" s="28" t="str">
        <x:v>Lunenburg County</x:v>
      </x:c>
      <x:c r="C59" s="28" t="str">
        <x:v>VA</x:v>
      </x:c>
      <x:c r="D59" s="31" t="n">
        <x:v>1118.097708</x:v>
      </x:c>
      <x:c r="E59" s="32" t="n">
        <x:v>0.281</x:v>
      </x:c>
      <x:c r="F59" s="32" t="n">
        <x:v>0.07611386138613861</x:v>
      </x:c>
      <x:c r="G59" s="32" t="n">
        <x:v>3.7200344643590295</x:v>
      </x:c>
      <x:c r="H59" s="32" t="n">
        <x:v>4.057469242611486</x:v>
      </x:c>
      <x:c r="I59" s="32" t="n">
        <x:v>0.9658813343716294</x:v>
      </x:c>
      <x:c r="J59" s="32" t="n">
        <x:v>0</x:v>
      </x:c>
      <x:c r="K59" s="32" t="n">
        <x:v>0.024265333004432104</x:v>
      </x:c>
      <x:c r="L59" s="32" t="n">
        <x:v>0.402107112</x:v>
      </x:c>
      <x:c r="M59" s="32" t="n">
        <x:v>0.401814457</x:v>
      </x:c>
      <x:c r="N59" s="32" t="n">
        <x:v>4657</x:v>
      </x:c>
      <x:c r="O59" s="32" t="n">
        <x:v>0.9243</x:v>
      </x:c>
      <x:c r="P59" s="32" t="n">
        <x:v>1203.7986165364584</x:v>
      </x:c>
      <x:c r="Q59" s="32" t="n">
        <x:v>27.000377655029297</x:v>
      </x:c>
      <x:c r="R59" s="32" t="n">
        <x:v>24.82588443343591</x:v>
      </x:c>
      <x:c r="S59" s="32" t="n">
        <x:v>19.65242553168688</x:v>
      </x:c>
      <x:c r="T59" s="32" t="n">
        <x:v>89.9</x:v>
      </x:c>
      <x:c r="U59" s="32" t="n">
        <x:v>245.07712999476223</x:v>
      </x:c>
      <x:c r="V59" s="32" t="n">
        <x:v>244.75798925963002</x:v>
      </x:c>
      <x:c r="W59" s="33" t="n">
        <x:f>IF(ISNUMBER(E59),100*MAX(0,MIN(1,('Anchors'!$H$6-E59)/('Anchors'!$H$6-'Anchors'!$G$6))),"")</x:f>
        <x:v>88.42857142857143</x:v>
      </x:c>
      <x:c r="X59" s="33" t="n">
        <x:f>IF(ISNUMBER(F59),100*MAX(0,MIN(1,('Anchors'!$H$7-F59)/('Anchors'!$H$7-'Anchors'!$G$7))),"")</x:f>
        <x:v>100</x:v>
      </x:c>
      <x:c r="Y59" s="33" t="n">
        <x:f>IF(ISNUMBER(G59),100*MAX(0,MIN(1,('Anchors'!$H$8-G59)/('Anchors'!$H$8-'Anchors'!$G$8))),"")</x:f>
        <x:v>9.332184521365683</x:v>
      </x:c>
      <x:c r="Z59" s="33" t="n">
        <x:f>IF(ISNUMBER(H59),100*MAX(0,MIN(1,('Anchors'!$H$9-H59)/('Anchors'!$H$9-'Anchors'!$G$9))),"")</x:f>
        <x:v>0</x:v>
      </x:c>
      <x:c r="AA59" s="33" t="n">
        <x:f>IF(ISNUMBER(I59),100*MAX(0,MIN(1,(I59-'Anchors'!$H$10)/('Anchors'!$G$10-'Anchors'!$H$10))),"")</x:f>
        <x:v>98.0659362152917</x:v>
      </x:c>
      <x:c r="AB59" s="33" t="n">
        <x:f>IF(ISNUMBER(J59),100*MAX(0,MIN(1,('Anchors'!$H$11-J59)/('Anchors'!$H$11-'Anchors'!$G$11))),"")</x:f>
        <x:v>100</x:v>
      </x:c>
      <x:c r="AC59" s="33" t="n">
        <x:f>IF(ISNUMBER(K59),100*MAX(0,MIN(1,('Anchors'!$H$12-K59)/('Anchors'!$H$12-'Anchors'!$G$12))),"")</x:f>
        <x:v>93.93366674889198</x:v>
      </x:c>
      <x:c r="AD59" s="33" t="n">
        <x:f>IF(ISNUMBER(L59),100*MAX(0,MIN(1,(L59-'Anchors'!$H$13)/('Anchors'!$G$13-'Anchors'!$H$13))),"")</x:f>
        <x:v>28.872444571428566</x:v>
      </x:c>
      <x:c r="AE59" s="33" t="n">
        <x:f>IF(ISNUMBER(M59),100*MAX(0,MIN(1,(M59-'Anchors'!$H$14)/('Anchors'!$G$14-'Anchors'!$H$14))),"")</x:f>
        <x:v>37.72680712499999</x:v>
      </x:c>
      <x:c r="AF59" s="33" t="n">
        <x:f>IF(ISNUMBER(N59),100*MAX(0,MIN(1,(LN(1+N59)-LN(1+'Anchors'!$H$15))/(LN(1+'Anchors'!$G$15)-LN(1+'Anchors'!$H$15)))),"")</x:f>
        <x:v>19.572390851207807</x:v>
      </x:c>
      <x:c r="AG59" s="33" t="n">
        <x:f>IF(ISNUMBER(O59),100*MAX(0,MIN(1,('Anchors'!$H$16-O59)/('Anchors'!$H$16-'Anchors'!$G$16))),"")</x:f>
        <x:v>2.85555555555555</x:v>
      </x:c>
      <x:c r="AH59" s="33" t="n">
        <x:f>IF(ISNUMBER(P59),100*MAX(0,MIN(1,('Anchors'!$H$17-P59)/('Anchors'!$H$17-'Anchors'!$G$17))),"")</x:f>
        <x:v>66.4134255642361</x:v>
      </x:c>
      <x:c r="AI59" s="33" t="n">
        <x:f>IF(ISNUMBER(Q59),100*MAX(0,MIN(1,('Anchors'!$H$18-Q59)/('Anchors'!$H$18-'Anchors'!$G$18))),"")</x:f>
        <x:v>68.57088906424386</x:v>
      </x:c>
      <x:c r="AJ59" s="33" t="n">
        <x:f>IF(ISNUMBER(R59),100*MAX(0,MIN(1,('Anchors'!$H$19-R59)/('Anchors'!$H$19-'Anchors'!$G$19))),"")</x:f>
        <x:v>55.94247903680909</x:v>
      </x:c>
      <x:c r="AK59" s="33" t="n">
        <x:f>IF(ISNUMBER(S59),100*MAX(0,MIN(1,('Anchors'!$H$20-S59)/('Anchors'!$H$20-'Anchors'!$G$20))),"")</x:f>
        <x:v>1.829339306911156</x:v>
      </x:c>
      <x:c r="AL59" s="33" t="n">
        <x:f>IF(ISNUMBER(T59),100*MAX(0,MIN(1,('Anchors'!$H$21-T59)/('Anchors'!$H$21-'Anchors'!$G$21))),"")</x:f>
        <x:v>54.72727272727271</x:v>
      </x:c>
      <x:c r="AM59" s="33" t="n">
        <x:f>IF(ISNUMBER(U59),100*MAX(0,MIN(1,('Anchors'!$H$22-U59)/('Anchors'!$H$22-'Anchors'!$G$22))),"")</x:f>
        <x:v>27.461435002618884</x:v>
      </x:c>
      <x:c r="AN59" s="33" t="n">
        <x:f>IF(ISNUMBER(V59),100*MAX(0,MIN(1,('Anchors'!$H$23-V59)/('Anchors'!$H$23-'Anchors'!$G$23))),"")</x:f>
        <x:v>88.8105026850925</x:v>
      </x:c>
      <x:c r="AO59" s="27" t="n">
        <x:f>IF(ISNUMBER(W59),IF('Scoring Setup'!$L$9=1,1-'Scoring Setup'!$B$5*(1-MAX(0,MIN(1,(W59-'Scoring Setup'!$K$9)/(100-'Scoring Setup'!$K$9)))),1),"")</x:f>
        <x:v>0.9768571428571429</x:v>
      </x:c>
      <x:c r="AP59" s="27" t="n">
        <x:f>IF(ISNUMBER(X59),IF('Scoring Setup'!$L$10=1,1-'Scoring Setup'!$B$5*(1-MAX(0,MIN(1,(X59-'Scoring Setup'!$K$10)/(100-'Scoring Setup'!$K$10)))),1),"")</x:f>
        <x:v>1</x:v>
      </x:c>
      <x:c r="AQ59" s="27" t="n">
        <x:f>IF(ISNUMBER(Y59),IF('Scoring Setup'!$L$11=1,1-'Scoring Setup'!$B$5*(1-MAX(0,MIN(1,(Y59-'Scoring Setup'!$K$11)/(100-'Scoring Setup'!$K$11)))),1),"")</x:f>
        <x:v>0.8186643690427313</x:v>
      </x:c>
      <x:c r="AR59" s="27" t="n">
        <x:f>IF(ISNUMBER(Z59),IF('Scoring Setup'!$L$12=1,1-'Scoring Setup'!$B$5*(1-MAX(0,MIN(1,(Z59-'Scoring Setup'!$K$12)/(100-'Scoring Setup'!$K$12)))),1),"")</x:f>
        <x:v>0.8</x:v>
      </x:c>
      <x:c r="AS59" s="27" t="n">
        <x:f>IF(ISNUMBER(AA59),IF('Scoring Setup'!$L$13=1,1-'Scoring Setup'!$B$5*(1-MAX(0,MIN(1,(AA59-'Scoring Setup'!$K$13)/(100-'Scoring Setup'!$K$13)))),1),"")</x:f>
        <x:v>0.9961318724305834</x:v>
      </x:c>
      <x:c r="AT59" s="27" t="n">
        <x:f>IF(ISNUMBER(AB59),IF('Scoring Setup'!$L$14=1,1-'Scoring Setup'!$B$5*(1-MAX(0,MIN(1,(AB59-'Scoring Setup'!$K$14)/(100-'Scoring Setup'!$K$14)))),1),"")</x:f>
        <x:v>1</x:v>
      </x:c>
      <x:c r="AU59" s="27" t="n">
        <x:f>IF(ISNUMBER(AC59),IF('Scoring Setup'!$L$15=1,1-'Scoring Setup'!$B$5*(1-MAX(0,MIN(1,(AC59-'Scoring Setup'!$K$15)/(100-'Scoring Setup'!$K$15)))),1),"")</x:f>
        <x:v>0.987867333497784</x:v>
      </x:c>
      <x:c r="AV59" s="27" t="n">
        <x:f>IF(ISNUMBER(AD59),IF('Scoring Setup'!$L$16=1,1-'Scoring Setup'!$B$5*(1-MAX(0,MIN(1,(AD59-'Scoring Setup'!$K$16)/(100-'Scoring Setup'!$K$16)))),1),"")</x:f>
        <x:v>0.8577448891428572</x:v>
      </x:c>
      <x:c r="AW59" s="27" t="n">
        <x:f>IF(ISNUMBER(AE59),IF('Scoring Setup'!$L$17=1,1-'Scoring Setup'!$B$5*(1-MAX(0,MIN(1,(AE59-'Scoring Setup'!$K$17)/(100-'Scoring Setup'!$K$17)))),1),"")</x:f>
        <x:v>0.87545361425</x:v>
      </x:c>
      <x:c r="AX59" s="27" t="n">
        <x:f>IF(ISNUMBER(AF59),IF('Scoring Setup'!$L$18=1,1-'Scoring Setup'!$B$5*(1-MAX(0,MIN(1,(AF59-'Scoring Setup'!$K$18)/(100-'Scoring Setup'!$K$18)))),1),"")</x:f>
        <x:v>0.8391447817024156</x:v>
      </x:c>
      <x:c r="AY59" s="27" t="n">
        <x:f>IF(ISNUMBER(AG59),IF('Scoring Setup'!$L$19=1,1-'Scoring Setup'!$B$5*(1-MAX(0,MIN(1,(AG59-'Scoring Setup'!$K$19)/(100-'Scoring Setup'!$K$19)))),1),"")</x:f>
        <x:v>0.805711111111111</x:v>
      </x:c>
      <x:c r="AZ59" s="27" t="n">
        <x:f>IF(ISNUMBER(AH59),IF('Scoring Setup'!$L$20=1,1-'Scoring Setup'!$B$5*(1-MAX(0,MIN(1,(AH59-'Scoring Setup'!$K$20)/(100-'Scoring Setup'!$K$20)))),1),"")</x:f>
        <x:v>0.9328268511284722</x:v>
      </x:c>
      <x:c r="BA59" s="27" t="n">
        <x:f>IF(ISNUMBER(AI59),IF('Scoring Setup'!$L$21=1,1-'Scoring Setup'!$B$5*(1-MAX(0,MIN(1,(AI59-'Scoring Setup'!$K$21)/(100-'Scoring Setup'!$K$21)))),1),"")</x:f>
        <x:v>0.9371417781284878</x:v>
      </x:c>
      <x:c r="BB59" s="27" t="n">
        <x:f>IF(ISNUMBER(AJ59),IF('Scoring Setup'!$L$22=1,1-'Scoring Setup'!$B$5*(1-MAX(0,MIN(1,(AJ59-'Scoring Setup'!$K$22)/(100-'Scoring Setup'!$K$22)))),1),"")</x:f>
        <x:v>0.9118849580736181</x:v>
      </x:c>
      <x:c r="BC59" s="27" t="n">
        <x:f>IF(ISNUMBER(AK59),IF('Scoring Setup'!$L$23=1,1-'Scoring Setup'!$B$5*(1-MAX(0,MIN(1,(AK59-'Scoring Setup'!$K$23)/(100-'Scoring Setup'!$K$23)))),1),"")</x:f>
        <x:v>0.8036586786138223</x:v>
      </x:c>
      <x:c r="BD59" s="27" t="n">
        <x:f>IF(ISNUMBER(AL59),IF('Scoring Setup'!$L$24=1,1-'Scoring Setup'!$B$5*(1-MAX(0,MIN(1,(AL59-'Scoring Setup'!$K$24)/(100-'Scoring Setup'!$K$24)))),1),"")</x:f>
        <x:v>0.9094545454545454</x:v>
      </x:c>
      <x:c r="BE59" s="27" t="n">
        <x:f>IF(ISNUMBER(AM59),IF('Scoring Setup'!$L$25=1,1-'Scoring Setup'!$B$5*(1-MAX(0,MIN(1,(AM59-'Scoring Setup'!$K$25)/(100-'Scoring Setup'!$K$25)))),1),"")</x:f>
        <x:v>0.8549228700052378</x:v>
      </x:c>
      <x:c r="BF59" s="27" t="n">
        <x:f>IF(ISNUMBER(AN59),IF('Scoring Setup'!$L$26=1,1-'Scoring Setup'!$B$5*(1-MAX(0,MIN(1,(AN59-'Scoring Setup'!$K$26)/(100-'Scoring Setup'!$K$26)))),1),"")</x:f>
        <x:v>0.977621005370185</x:v>
      </x:c>
      <x:c r="BG59" s="34" t="n">
        <x:f>IF(COUNT(W59,X59)=2,AVERAGE(W59,X59),"")</x:f>
        <x:v>94.21428571428572</x:v>
      </x:c>
      <x:c r="BH59" s="34" t="n">
        <x:f>IF(COUNT(Y59,Z59)=2,AVERAGE(Y59,Z59),"")</x:f>
        <x:v>4.666092260682841</x:v>
      </x:c>
      <x:c r="BI59" s="34" t="n">
        <x:f>IF(COUNT(AA59,AB59,AC59)=3,AVERAGE(AA59,AB59,AC59),"")</x:f>
        <x:v>97.33320098806122</x:v>
      </x:c>
      <x:c r="BJ59" s="34" t="n">
        <x:f>IF(COUNT(AD59,AE59)=2,AVERAGE(AD59,AE59),"")</x:f>
        <x:v>33.299625848214276</x:v>
      </x:c>
      <x:c r="BK59" s="34" t="n">
        <x:f>IF(COUNT(AF59,AG59)=2,AVERAGE(AF59,AG59),"")</x:f>
        <x:v>11.213973203381679</x:v>
      </x:c>
      <x:c r="BL59" s="34" t="n">
        <x:f>IF(COUNT(AH59,AI59)=2,AVERAGE(AH59,AI59),"")</x:f>
        <x:v>67.49215731423999</x:v>
      </x:c>
      <x:c r="BM59" s="34" t="n">
        <x:f>IF(COUNT(AJ59,AK59)=2,AVERAGE(AJ59,AK59),"")</x:f>
        <x:v>28.885909171860124</x:v>
      </x:c>
      <x:c r="BN59" s="34" t="n">
        <x:f>IF(COUNT(AL59,AM59,AN59)=3,AVERAGE(AL59,AM59,AN59),"")</x:f>
        <x:v>56.999736804994704</x:v>
      </x:c>
      <x:c r="BO59" s="35" t="n">
        <x:f>IF(AND(COUNT(BG59:BN59)=8,ABS('Scoring Setup'!$C$17-1)&lt;0.000001),BG59*'Scoring Setup'!$C$9+BH59*'Scoring Setup'!$C$10+BI59*'Scoring Setup'!$C$11+BJ59*'Scoring Setup'!$C$12+BK59*'Scoring Setup'!$C$13+BL59*'Scoring Setup'!$C$14+BM59*'Scoring Setup'!$C$15+BN59*'Scoring Setup'!$C$16,"")</x:f>
        <x:v>46.458151393334276</x:v>
      </x:c>
      <x:c r="BP59" s="36" t="n">
        <x:f>IF(COUNT(AO59:BF59)=18,MIN(AO59:BF59),"")</x:f>
        <x:v>0.8</x:v>
      </x:c>
      <x:c r="BQ59" s="35" t="n">
        <x:f>IF(AND(ISNUMBER(BO59),ISNUMBER(BP59)),BO59*BP59,"")</x:f>
        <x:v>37.166521114667425</x:v>
      </x:c>
      <x:c r="BR59" s="17" t="str">
        <x:f>IF(COUNT(AO59:BF59)=18,INDEX('Scoring Setup'!$F$9:$F$26,MATCH(MIN(AO59:BF59),AO59:BF59,0),1),"")</x:f>
        <x:v>2050 BAU水压力</x:v>
      </x:c>
    </x:row>
    <x:row r="60">
      <x:c r="A60" s="28" t="str">
        <x:v>51113</x:v>
      </x:c>
      <x:c r="B60" s="28" t="str">
        <x:v>Madison County</x:v>
      </x:c>
      <x:c r="C60" s="28" t="str">
        <x:v>VA</x:v>
      </x:c>
      <x:c r="D60" s="31" t="n">
        <x:v>830.4505</x:v>
      </x:c>
      <x:c r="E60" s="32" t="n">
        <x:v>0.438</x:v>
      </x:c>
      <x:c r="F60" s="32" t="n">
        <x:v>0.525680693069307</x:v>
      </x:c>
      <x:c r="G60" s="32" t="n">
        <x:v>2.7033073239404533</x:v>
      </x:c>
      <x:c r="H60" s="32" t="n">
        <x:v>3.0524606262862064</x:v>
      </x:c>
      <x:c r="I60" s="32" t="n">
        <x:v>0.9778680602552654</x:v>
      </x:c>
      <x:c r="J60" s="32" t="n">
        <x:v>0.19948959284140338</x:v>
      </x:c>
      <x:c r="K60" s="32" t="n">
        <x:v>0.0023783835208292343</x:v>
      </x:c>
      <x:c r="L60" s="32" t="n">
        <x:v>0.512705135</x:v>
      </x:c>
      <x:c r="M60" s="32" t="n">
        <x:v>0.512175754</x:v>
      </x:c>
      <x:c r="N60" s="32" t="n">
        <x:v>7104</x:v>
      </x:c>
      <x:c r="O60" s="32" t="n">
        <x:v>0.1594</x:v>
      </x:c>
      <x:c r="P60" s="32" t="n">
        <x:v>940.4681803385416</x:v>
      </x:c>
      <x:c r="Q60" s="32" t="n">
        <x:v>14.455788707733154</x:v>
      </x:c>
      <x:c r="R60" s="32" t="n">
        <x:v>43.425068970607114</x:v>
      </x:c>
      <x:c r="S60" s="32" t="n">
        <x:v>21.274940731496475</x:v>
      </x:c>
      <x:c r="T60" s="32" t="n">
        <x:v>89.9</x:v>
      </x:c>
      <x:c r="U60" s="32" t="n">
        <x:v>245.07712999476223</x:v>
      </x:c>
      <x:c r="V60" s="32" t="n">
        <x:v>244.75798925963002</x:v>
      </x:c>
      <x:c r="W60" s="33" t="n">
        <x:f>IF(ISNUMBER(E60),100*MAX(0,MIN(1,('Anchors'!$H$6-E60)/('Anchors'!$H$6-'Anchors'!$G$6))),"")</x:f>
        <x:v>66</x:v>
      </x:c>
      <x:c r="X60" s="33" t="n">
        <x:f>IF(ISNUMBER(F60),100*MAX(0,MIN(1,('Anchors'!$H$7-F60)/('Anchors'!$H$7-'Anchors'!$G$7))),"")</x:f>
        <x:v>39.188472418670436</x:v>
      </x:c>
      <x:c r="Y60" s="33" t="n">
        <x:f>IF(ISNUMBER(G60),100*MAX(0,MIN(1,('Anchors'!$H$8-G60)/('Anchors'!$H$8-'Anchors'!$G$8))),"")</x:f>
        <x:v>43.22308920198489</x:v>
      </x:c>
      <x:c r="Z60" s="33" t="n">
        <x:f>IF(ISNUMBER(H60),100*MAX(0,MIN(1,('Anchors'!$H$9-H60)/('Anchors'!$H$9-'Anchors'!$G$9))),"")</x:f>
        <x:v>31.58464579045979</x:v>
      </x:c>
      <x:c r="AA60" s="33" t="n">
        <x:f>IF(ISNUMBER(I60),100*MAX(0,MIN(1,(I60-'Anchors'!$H$10)/('Anchors'!$G$10-'Anchors'!$H$10))),"")</x:f>
        <x:v>99.7079534596254</x:v>
      </x:c>
      <x:c r="AB60" s="33" t="n">
        <x:f>IF(ISNUMBER(J60),100*MAX(0,MIN(1,('Anchors'!$H$11-J60)/('Anchors'!$H$11-'Anchors'!$G$11))),"")</x:f>
        <x:v>20.204162863438647</x:v>
      </x:c>
      <x:c r="AC60" s="33" t="n">
        <x:f>IF(ISNUMBER(K60),100*MAX(0,MIN(1,('Anchors'!$H$12-K60)/('Anchors'!$H$12-'Anchors'!$G$12))),"")</x:f>
        <x:v>99.40540411979268</x:v>
      </x:c>
      <x:c r="AD60" s="33" t="n">
        <x:f>IF(ISNUMBER(L60),100*MAX(0,MIN(1,(L60-'Anchors'!$H$13)/('Anchors'!$G$13-'Anchors'!$H$13))),"")</x:f>
        <x:v>44.67216214285715</x:v>
      </x:c>
      <x:c r="AE60" s="33" t="n">
        <x:f>IF(ISNUMBER(M60),100*MAX(0,MIN(1,(M60-'Anchors'!$H$14)/('Anchors'!$G$14-'Anchors'!$H$14))),"")</x:f>
        <x:v>51.52196925</x:v>
      </x:c>
      <x:c r="AF60" s="33" t="n">
        <x:f>IF(ISNUMBER(N60),100*MAX(0,MIN(1,(LN(1+N60)-LN(1+'Anchors'!$H$15))/(LN(1+'Anchors'!$G$15)-LN(1+'Anchors'!$H$15)))),"")</x:f>
        <x:v>29.352633806424123</x:v>
      </x:c>
      <x:c r="AG60" s="33" t="n">
        <x:f>IF(ISNUMBER(O60),100*MAX(0,MIN(1,('Anchors'!$H$16-O60)/('Anchors'!$H$16-'Anchors'!$G$16))),"")</x:f>
        <x:v>87.84444444444445</x:v>
      </x:c>
      <x:c r="AH60" s="33" t="n">
        <x:f>IF(ISNUMBER(P60),100*MAX(0,MIN(1,('Anchors'!$H$17-P60)/('Anchors'!$H$17-'Anchors'!$G$17))),"")</x:f>
        <x:v>83.96878797743057</x:v>
      </x:c>
      <x:c r="AI60" s="33" t="n">
        <x:f>IF(ISNUMBER(Q60),100*MAX(0,MIN(1,('Anchors'!$H$18-Q60)/('Anchors'!$H$18-'Anchors'!$G$18))),"")</x:f>
        <x:v>86.49173041752405</x:v>
      </x:c>
      <x:c r="AJ60" s="33" t="n">
        <x:f>IF(ISNUMBER(R60),100*MAX(0,MIN(1,('Anchors'!$H$19-R60)/('Anchors'!$H$19-'Anchors'!$G$19))),"")</x:f>
        <x:v>14.610957843095301</x:v>
      </x:c>
      <x:c r="AK60" s="33" t="n">
        <x:f>IF(ISNUMBER(S60),100*MAX(0,MIN(1,('Anchors'!$H$20-S60)/('Anchors'!$H$20-'Anchors'!$G$20))),"")</x:f>
        <x:v>0</x:v>
      </x:c>
      <x:c r="AL60" s="33" t="n">
        <x:f>IF(ISNUMBER(T60),100*MAX(0,MIN(1,('Anchors'!$H$21-T60)/('Anchors'!$H$21-'Anchors'!$G$21))),"")</x:f>
        <x:v>54.72727272727271</x:v>
      </x:c>
      <x:c r="AM60" s="33" t="n">
        <x:f>IF(ISNUMBER(U60),100*MAX(0,MIN(1,('Anchors'!$H$22-U60)/('Anchors'!$H$22-'Anchors'!$G$22))),"")</x:f>
        <x:v>27.461435002618884</x:v>
      </x:c>
      <x:c r="AN60" s="33" t="n">
        <x:f>IF(ISNUMBER(V60),100*MAX(0,MIN(1,('Anchors'!$H$23-V60)/('Anchors'!$H$23-'Anchors'!$G$23))),"")</x:f>
        <x:v>88.8105026850925</x:v>
      </x:c>
      <x:c r="AO60" s="27" t="n">
        <x:f>IF(ISNUMBER(W60),IF('Scoring Setup'!$L$9=1,1-'Scoring Setup'!$B$5*(1-MAX(0,MIN(1,(W60-'Scoring Setup'!$K$9)/(100-'Scoring Setup'!$K$9)))),1),"")</x:f>
        <x:v>0.932</x:v>
      </x:c>
      <x:c r="AP60" s="27" t="n">
        <x:f>IF(ISNUMBER(X60),IF('Scoring Setup'!$L$10=1,1-'Scoring Setup'!$B$5*(1-MAX(0,MIN(1,(X60-'Scoring Setup'!$K$10)/(100-'Scoring Setup'!$K$10)))),1),"")</x:f>
        <x:v>0.8783769448373409</x:v>
      </x:c>
      <x:c r="AQ60" s="27" t="n">
        <x:f>IF(ISNUMBER(Y60),IF('Scoring Setup'!$L$11=1,1-'Scoring Setup'!$B$5*(1-MAX(0,MIN(1,(Y60-'Scoring Setup'!$K$11)/(100-'Scoring Setup'!$K$11)))),1),"")</x:f>
        <x:v>0.8864461784039698</x:v>
      </x:c>
      <x:c r="AR60" s="27" t="n">
        <x:f>IF(ISNUMBER(Z60),IF('Scoring Setup'!$L$12=1,1-'Scoring Setup'!$B$5*(1-MAX(0,MIN(1,(Z60-'Scoring Setup'!$K$12)/(100-'Scoring Setup'!$K$12)))),1),"")</x:f>
        <x:v>0.8631692915809196</x:v>
      </x:c>
      <x:c r="AS60" s="27" t="n">
        <x:f>IF(ISNUMBER(AA60),IF('Scoring Setup'!$L$13=1,1-'Scoring Setup'!$B$5*(1-MAX(0,MIN(1,(AA60-'Scoring Setup'!$K$13)/(100-'Scoring Setup'!$K$13)))),1),"")</x:f>
        <x:v>0.9994159069192508</x:v>
      </x:c>
      <x:c r="AT60" s="27" t="n">
        <x:f>IF(ISNUMBER(AB60),IF('Scoring Setup'!$L$14=1,1-'Scoring Setup'!$B$5*(1-MAX(0,MIN(1,(AB60-'Scoring Setup'!$K$14)/(100-'Scoring Setup'!$K$14)))),1),"")</x:f>
        <x:v>0.8404083257268773</x:v>
      </x:c>
      <x:c r="AU60" s="27" t="n">
        <x:f>IF(ISNUMBER(AC60),IF('Scoring Setup'!$L$15=1,1-'Scoring Setup'!$B$5*(1-MAX(0,MIN(1,(AC60-'Scoring Setup'!$K$15)/(100-'Scoring Setup'!$K$15)))),1),"")</x:f>
        <x:v>0.9988108082395853</x:v>
      </x:c>
      <x:c r="AV60" s="27" t="n">
        <x:f>IF(ISNUMBER(AD60),IF('Scoring Setup'!$L$16=1,1-'Scoring Setup'!$B$5*(1-MAX(0,MIN(1,(AD60-'Scoring Setup'!$K$16)/(100-'Scoring Setup'!$K$16)))),1),"")</x:f>
        <x:v>0.8893443242857143</x:v>
      </x:c>
      <x:c r="AW60" s="27" t="n">
        <x:f>IF(ISNUMBER(AE60),IF('Scoring Setup'!$L$17=1,1-'Scoring Setup'!$B$5*(1-MAX(0,MIN(1,(AE60-'Scoring Setup'!$K$17)/(100-'Scoring Setup'!$K$17)))),1),"")</x:f>
        <x:v>0.9030439385</x:v>
      </x:c>
      <x:c r="AX60" s="27" t="n">
        <x:f>IF(ISNUMBER(AF60),IF('Scoring Setup'!$L$18=1,1-'Scoring Setup'!$B$5*(1-MAX(0,MIN(1,(AF60-'Scoring Setup'!$K$18)/(100-'Scoring Setup'!$K$18)))),1),"")</x:f>
        <x:v>0.8587052676128483</x:v>
      </x:c>
      <x:c r="AY60" s="27" t="n">
        <x:f>IF(ISNUMBER(AG60),IF('Scoring Setup'!$L$19=1,1-'Scoring Setup'!$B$5*(1-MAX(0,MIN(1,(AG60-'Scoring Setup'!$K$19)/(100-'Scoring Setup'!$K$19)))),1),"")</x:f>
        <x:v>0.9756888888888889</x:v>
      </x:c>
      <x:c r="AZ60" s="27" t="n">
        <x:f>IF(ISNUMBER(AH60),IF('Scoring Setup'!$L$20=1,1-'Scoring Setup'!$B$5*(1-MAX(0,MIN(1,(AH60-'Scoring Setup'!$K$20)/(100-'Scoring Setup'!$K$20)))),1),"")</x:f>
        <x:v>0.9679375759548612</x:v>
      </x:c>
      <x:c r="BA60" s="27" t="n">
        <x:f>IF(ISNUMBER(AI60),IF('Scoring Setup'!$L$21=1,1-'Scoring Setup'!$B$5*(1-MAX(0,MIN(1,(AI60-'Scoring Setup'!$K$21)/(100-'Scoring Setup'!$K$21)))),1),"")</x:f>
        <x:v>0.972983460835048</x:v>
      </x:c>
      <x:c r="BB60" s="27" t="n">
        <x:f>IF(ISNUMBER(AJ60),IF('Scoring Setup'!$L$22=1,1-'Scoring Setup'!$B$5*(1-MAX(0,MIN(1,(AJ60-'Scoring Setup'!$K$22)/(100-'Scoring Setup'!$K$22)))),1),"")</x:f>
        <x:v>0.8292219156861906</x:v>
      </x:c>
      <x:c r="BC60" s="27" t="n">
        <x:f>IF(ISNUMBER(AK60),IF('Scoring Setup'!$L$23=1,1-'Scoring Setup'!$B$5*(1-MAX(0,MIN(1,(AK60-'Scoring Setup'!$K$23)/(100-'Scoring Setup'!$K$23)))),1),"")</x:f>
        <x:v>0.8</x:v>
      </x:c>
      <x:c r="BD60" s="27" t="n">
        <x:f>IF(ISNUMBER(AL60),IF('Scoring Setup'!$L$24=1,1-'Scoring Setup'!$B$5*(1-MAX(0,MIN(1,(AL60-'Scoring Setup'!$K$24)/(100-'Scoring Setup'!$K$24)))),1),"")</x:f>
        <x:v>0.9094545454545454</x:v>
      </x:c>
      <x:c r="BE60" s="27" t="n">
        <x:f>IF(ISNUMBER(AM60),IF('Scoring Setup'!$L$25=1,1-'Scoring Setup'!$B$5*(1-MAX(0,MIN(1,(AM60-'Scoring Setup'!$K$25)/(100-'Scoring Setup'!$K$25)))),1),"")</x:f>
        <x:v>0.8549228700052378</x:v>
      </x:c>
      <x:c r="BF60" s="27" t="n">
        <x:f>IF(ISNUMBER(AN60),IF('Scoring Setup'!$L$26=1,1-'Scoring Setup'!$B$5*(1-MAX(0,MIN(1,(AN60-'Scoring Setup'!$K$26)/(100-'Scoring Setup'!$K$26)))),1),"")</x:f>
        <x:v>0.977621005370185</x:v>
      </x:c>
      <x:c r="BG60" s="34" t="n">
        <x:f>IF(COUNT(W60,X60)=2,AVERAGE(W60,X60),"")</x:f>
        <x:v>52.59423620933522</x:v>
      </x:c>
      <x:c r="BH60" s="34" t="n">
        <x:f>IF(COUNT(Y60,Z60)=2,AVERAGE(Y60,Z60),"")</x:f>
        <x:v>37.40386749622234</x:v>
      </x:c>
      <x:c r="BI60" s="34" t="n">
        <x:f>IF(COUNT(AA60,AB60,AC60)=3,AVERAGE(AA60,AB60,AC60),"")</x:f>
        <x:v>73.1058401476189</x:v>
      </x:c>
      <x:c r="BJ60" s="34" t="n">
        <x:f>IF(COUNT(AD60,AE60)=2,AVERAGE(AD60,AE60),"")</x:f>
        <x:v>48.09706569642857</x:v>
      </x:c>
      <x:c r="BK60" s="34" t="n">
        <x:f>IF(COUNT(AF60,AG60)=2,AVERAGE(AF60,AG60),"")</x:f>
        <x:v>58.598539125434286</x:v>
      </x:c>
      <x:c r="BL60" s="34" t="n">
        <x:f>IF(COUNT(AH60,AI60)=2,AVERAGE(AH60,AI60),"")</x:f>
        <x:v>85.23025919747731</x:v>
      </x:c>
      <x:c r="BM60" s="34" t="n">
        <x:f>IF(COUNT(AJ60,AK60)=2,AVERAGE(AJ60,AK60),"")</x:f>
        <x:v>7.3054789215476506</x:v>
      </x:c>
      <x:c r="BN60" s="34" t="n">
        <x:f>IF(COUNT(AL60,AM60,AN60)=3,AVERAGE(AL60,AM60,AN60),"")</x:f>
        <x:v>56.999736804994704</x:v>
      </x:c>
      <x:c r="BO60" s="35" t="n">
        <x:f>IF(AND(COUNT(BG60:BN60)=8,ABS('Scoring Setup'!$C$17-1)&lt;0.000001),BG60*'Scoring Setup'!$C$9+BH60*'Scoring Setup'!$C$10+BI60*'Scoring Setup'!$C$11+BJ60*'Scoring Setup'!$C$12+BK60*'Scoring Setup'!$C$13+BL60*'Scoring Setup'!$C$14+BM60*'Scoring Setup'!$C$15+BN60*'Scoring Setup'!$C$16,"")</x:f>
        <x:v>52.44704956457583</x:v>
      </x:c>
      <x:c r="BP60" s="36" t="n">
        <x:f>IF(COUNT(AO60:BF60)=18,MIN(AO60:BF60),"")</x:f>
        <x:v>0.8</x:v>
      </x:c>
      <x:c r="BQ60" s="35" t="n">
        <x:f>IF(AND(ISNUMBER(BO60),ISNUMBER(BP60)),BO60*BP60,"")</x:f>
        <x:v>41.957639651660664</x:v>
      </x:c>
      <x:c r="BR60" s="17" t="str">
        <x:f>IF(COUNT(AO60:BF60)=18,INDEX('Scoring Setup'!$F$9:$F$26,MATCH(MIN(AO60:BF60),AO60:BF60,0),1),"")</x:f>
        <x:v>到铁路距离</x:v>
      </x:c>
    </x:row>
    <x:row r="61">
      <x:c r="A61" s="28" t="str">
        <x:v>51115</x:v>
      </x:c>
      <x:c r="B61" s="28" t="str">
        <x:v>Mathews County</x:v>
      </x:c>
      <x:c r="C61" s="28" t="str">
        <x:v>VA</x:v>
      </x:c>
      <x:c r="D61" s="31" t="n">
        <x:v>222.508057</x:v>
      </x:c>
      <x:c r="E61" s="32" t="n">
        <x:v>0.393</x:v>
      </x:c>
      <x:c r="F61" s="32" t="n">
        <x:v>0.0402227722772277</x:v>
      </x:c>
      <x:c r="G61" s="32" t="n">
        <x:v>2.8441451824923965</x:v>
      </x:c>
      <x:c r="H61" s="32" t="n">
        <x:v>3.186925486</x:v>
      </x:c>
      <x:c r="I61" s="32" t="n">
        <x:v>0.9196245257296782</x:v>
      </x:c>
      <x:c r="J61" s="32" t="n">
        <x:v>0.00527067192864568</x:v>
      </x:c>
      <x:c r="K61" s="32" t="n">
        <x:v>0.4862892761526206</x:v>
      </x:c>
      <x:c r="L61" s="32" t="n">
        <x:v>0.000330743</x:v>
      </x:c>
      <x:c r="M61" s="32" t="n">
        <x:v>0.000330743</x:v>
      </x:c>
      <x:c r="N61" s="32" t="n">
        <x:v>3633</x:v>
      </x:c>
      <x:c r="O61" s="32" t="n">
        <x:v>0.1002</x:v>
      </x:c>
      <x:c r="P61" s="32" t="n">
        <x:v>1376.9960774739584</x:v>
      </x:c>
      <x:c r="Q61" s="32" t="n">
        <x:v>21.17136262257894</x:v>
      </x:c>
      <x:c r="R61" s="32" t="n">
        <x:v>36.470774751398714</x:v>
      </x:c>
      <x:c r="S61" s="32" t="n">
        <x:v>26.586071720238387</x:v>
      </x:c>
      <x:c r="T61" s="32" t="n">
        <x:v>89.9</x:v>
      </x:c>
      <x:c r="U61" s="32" t="n">
        <x:v>245.07712999476223</x:v>
      </x:c>
      <x:c r="V61" s="32" t="n">
        <x:v>244.75798925963002</x:v>
      </x:c>
      <x:c r="W61" s="33" t="n">
        <x:f>IF(ISNUMBER(E61),100*MAX(0,MIN(1,('Anchors'!$H$6-E61)/('Anchors'!$H$6-'Anchors'!$G$6))),"")</x:f>
        <x:v>72.42857142857143</x:v>
      </x:c>
      <x:c r="X61" s="33" t="n">
        <x:f>IF(ISNUMBER(F61),100*MAX(0,MIN(1,('Anchors'!$H$7-F61)/('Anchors'!$H$7-'Anchors'!$G$7))),"")</x:f>
        <x:v>100</x:v>
      </x:c>
      <x:c r="Y61" s="33" t="n">
        <x:f>IF(ISNUMBER(G61),100*MAX(0,MIN(1,('Anchors'!$H$8-G61)/('Anchors'!$H$8-'Anchors'!$G$8))),"")</x:f>
        <x:v>38.52849391692012</x:v>
      </x:c>
      <x:c r="Z61" s="33" t="n">
        <x:f>IF(ISNUMBER(H61),100*MAX(0,MIN(1,('Anchors'!$H$9-H61)/('Anchors'!$H$9-'Anchors'!$G$9))),"")</x:f>
        <x:v>27.102483800000005</x:v>
      </x:c>
      <x:c r="AA61" s="33" t="n">
        <x:f>IF(ISNUMBER(I61),100*MAX(0,MIN(1,(I61-'Anchors'!$H$10)/('Anchors'!$G$10-'Anchors'!$H$10))),"")</x:f>
        <x:v>91.72938708625729</x:v>
      </x:c>
      <x:c r="AB61" s="33" t="n">
        <x:f>IF(ISNUMBER(J61),100*MAX(0,MIN(1,('Anchors'!$H$11-J61)/('Anchors'!$H$11-'Anchors'!$G$11))),"")</x:f>
        <x:v>97.89173122854173</x:v>
      </x:c>
      <x:c r="AC61" s="33" t="n">
        <x:f>IF(ISNUMBER(K61),100*MAX(0,MIN(1,('Anchors'!$H$12-K61)/('Anchors'!$H$12-'Anchors'!$G$12))),"")</x:f>
        <x:v>0</x:v>
      </x:c>
      <x:c r="AD61" s="33" t="n">
        <x:f>IF(ISNUMBER(L61),100*MAX(0,MIN(1,(L61-'Anchors'!$H$13)/('Anchors'!$G$13-'Anchors'!$H$13))),"")</x:f>
        <x:v>0</x:v>
      </x:c>
      <x:c r="AE61" s="33" t="n">
        <x:f>IF(ISNUMBER(M61),100*MAX(0,MIN(1,(M61-'Anchors'!$H$14)/('Anchors'!$G$14-'Anchors'!$H$14))),"")</x:f>
        <x:v>0</x:v>
      </x:c>
      <x:c r="AF61" s="33" t="n">
        <x:f>IF(ISNUMBER(N61),100*MAX(0,MIN(1,(LN(1+N61)-LN(1+'Anchors'!$H$15))/(LN(1+'Anchors'!$G$15)-LN(1+'Anchors'!$H$15)))),"")</x:f>
        <x:v>13.821811873395193</x:v>
      </x:c>
      <x:c r="AG61" s="33" t="n">
        <x:f>IF(ISNUMBER(O61),100*MAX(0,MIN(1,('Anchors'!$H$16-O61)/('Anchors'!$H$16-'Anchors'!$G$16))),"")</x:f>
        <x:v>94.42222222222223</x:v>
      </x:c>
      <x:c r="AH61" s="33" t="n">
        <x:f>IF(ISNUMBER(P61),100*MAX(0,MIN(1,('Anchors'!$H$17-P61)/('Anchors'!$H$17-'Anchors'!$G$17))),"")</x:f>
        <x:v>54.86692816840277</x:v>
      </x:c>
      <x:c r="AI61" s="33" t="n">
        <x:f>IF(ISNUMBER(Q61),100*MAX(0,MIN(1,('Anchors'!$H$18-Q61)/('Anchors'!$H$18-'Anchors'!$G$18))),"")</x:f>
        <x:v>76.8980533963158</x:v>
      </x:c>
      <x:c r="AJ61" s="33" t="n">
        <x:f>IF(ISNUMBER(R61),100*MAX(0,MIN(1,('Anchors'!$H$19-R61)/('Anchors'!$H$19-'Anchors'!$G$19))),"")</x:f>
        <x:v>30.064944996891747</x:v>
      </x:c>
      <x:c r="AK61" s="33" t="n">
        <x:f>IF(ISNUMBER(S61),100*MAX(0,MIN(1,('Anchors'!$H$20-S61)/('Anchors'!$H$20-'Anchors'!$G$20))),"")</x:f>
        <x:v>0</x:v>
      </x:c>
      <x:c r="AL61" s="33" t="n">
        <x:f>IF(ISNUMBER(T61),100*MAX(0,MIN(1,('Anchors'!$H$21-T61)/('Anchors'!$H$21-'Anchors'!$G$21))),"")</x:f>
        <x:v>54.72727272727271</x:v>
      </x:c>
      <x:c r="AM61" s="33" t="n">
        <x:f>IF(ISNUMBER(U61),100*MAX(0,MIN(1,('Anchors'!$H$22-U61)/('Anchors'!$H$22-'Anchors'!$G$22))),"")</x:f>
        <x:v>27.461435002618884</x:v>
      </x:c>
      <x:c r="AN61" s="33" t="n">
        <x:f>IF(ISNUMBER(V61),100*MAX(0,MIN(1,('Anchors'!$H$23-V61)/('Anchors'!$H$23-'Anchors'!$G$23))),"")</x:f>
        <x:v>88.8105026850925</x:v>
      </x:c>
      <x:c r="AO61" s="27" t="n">
        <x:f>IF(ISNUMBER(W61),IF('Scoring Setup'!$L$9=1,1-'Scoring Setup'!$B$5*(1-MAX(0,MIN(1,(W61-'Scoring Setup'!$K$9)/(100-'Scoring Setup'!$K$9)))),1),"")</x:f>
        <x:v>0.9448571428571428</x:v>
      </x:c>
      <x:c r="AP61" s="27" t="n">
        <x:f>IF(ISNUMBER(X61),IF('Scoring Setup'!$L$10=1,1-'Scoring Setup'!$B$5*(1-MAX(0,MIN(1,(X61-'Scoring Setup'!$K$10)/(100-'Scoring Setup'!$K$10)))),1),"")</x:f>
        <x:v>1</x:v>
      </x:c>
      <x:c r="AQ61" s="27" t="n">
        <x:f>IF(ISNUMBER(Y61),IF('Scoring Setup'!$L$11=1,1-'Scoring Setup'!$B$5*(1-MAX(0,MIN(1,(Y61-'Scoring Setup'!$K$11)/(100-'Scoring Setup'!$K$11)))),1),"")</x:f>
        <x:v>0.8770569878338402</x:v>
      </x:c>
      <x:c r="AR61" s="27" t="n">
        <x:f>IF(ISNUMBER(Z61),IF('Scoring Setup'!$L$12=1,1-'Scoring Setup'!$B$5*(1-MAX(0,MIN(1,(Z61-'Scoring Setup'!$K$12)/(100-'Scoring Setup'!$K$12)))),1),"")</x:f>
        <x:v>0.8542049676</x:v>
      </x:c>
      <x:c r="AS61" s="27" t="n">
        <x:f>IF(ISNUMBER(AA61),IF('Scoring Setup'!$L$13=1,1-'Scoring Setup'!$B$5*(1-MAX(0,MIN(1,(AA61-'Scoring Setup'!$K$13)/(100-'Scoring Setup'!$K$13)))),1),"")</x:f>
        <x:v>0.9834587741725146</x:v>
      </x:c>
      <x:c r="AT61" s="27" t="n">
        <x:f>IF(ISNUMBER(AB61),IF('Scoring Setup'!$L$14=1,1-'Scoring Setup'!$B$5*(1-MAX(0,MIN(1,(AB61-'Scoring Setup'!$K$14)/(100-'Scoring Setup'!$K$14)))),1),"")</x:f>
        <x:v>0.9957834624570835</x:v>
      </x:c>
      <x:c r="AU61" s="27" t="n">
        <x:f>IF(ISNUMBER(AC61),IF('Scoring Setup'!$L$15=1,1-'Scoring Setup'!$B$5*(1-MAX(0,MIN(1,(AC61-'Scoring Setup'!$K$15)/(100-'Scoring Setup'!$K$15)))),1),"")</x:f>
        <x:v>0.8</x:v>
      </x:c>
      <x:c r="AV61" s="27" t="n">
        <x:f>IF(ISNUMBER(AD61),IF('Scoring Setup'!$L$16=1,1-'Scoring Setup'!$B$5*(1-MAX(0,MIN(1,(AD61-'Scoring Setup'!$K$16)/(100-'Scoring Setup'!$K$16)))),1),"")</x:f>
        <x:v>0.8</x:v>
      </x:c>
      <x:c r="AW61" s="27" t="n">
        <x:f>IF(ISNUMBER(AE61),IF('Scoring Setup'!$L$17=1,1-'Scoring Setup'!$B$5*(1-MAX(0,MIN(1,(AE61-'Scoring Setup'!$K$17)/(100-'Scoring Setup'!$K$17)))),1),"")</x:f>
        <x:v>0.8</x:v>
      </x:c>
      <x:c r="AX61" s="27" t="n">
        <x:f>IF(ISNUMBER(AF61),IF('Scoring Setup'!$L$18=1,1-'Scoring Setup'!$B$5*(1-MAX(0,MIN(1,(AF61-'Scoring Setup'!$K$18)/(100-'Scoring Setup'!$K$18)))),1),"")</x:f>
        <x:v>0.8276436237467903</x:v>
      </x:c>
      <x:c r="AY61" s="27" t="n">
        <x:f>IF(ISNUMBER(AG61),IF('Scoring Setup'!$L$19=1,1-'Scoring Setup'!$B$5*(1-MAX(0,MIN(1,(AG61-'Scoring Setup'!$K$19)/(100-'Scoring Setup'!$K$19)))),1),"")</x:f>
        <x:v>0.9888444444444444</x:v>
      </x:c>
      <x:c r="AZ61" s="27" t="n">
        <x:f>IF(ISNUMBER(AH61),IF('Scoring Setup'!$L$20=1,1-'Scoring Setup'!$B$5*(1-MAX(0,MIN(1,(AH61-'Scoring Setup'!$K$20)/(100-'Scoring Setup'!$K$20)))),1),"")</x:f>
        <x:v>0.9097338563368056</x:v>
      </x:c>
      <x:c r="BA61" s="27" t="n">
        <x:f>IF(ISNUMBER(AI61),IF('Scoring Setup'!$L$21=1,1-'Scoring Setup'!$B$5*(1-MAX(0,MIN(1,(AI61-'Scoring Setup'!$K$21)/(100-'Scoring Setup'!$K$21)))),1),"")</x:f>
        <x:v>0.9537961067926316</x:v>
      </x:c>
      <x:c r="BB61" s="27" t="n">
        <x:f>IF(ISNUMBER(AJ61),IF('Scoring Setup'!$L$22=1,1-'Scoring Setup'!$B$5*(1-MAX(0,MIN(1,(AJ61-'Scoring Setup'!$K$22)/(100-'Scoring Setup'!$K$22)))),1),"")</x:f>
        <x:v>0.8601298899937835</x:v>
      </x:c>
      <x:c r="BC61" s="27" t="n">
        <x:f>IF(ISNUMBER(AK61),IF('Scoring Setup'!$L$23=1,1-'Scoring Setup'!$B$5*(1-MAX(0,MIN(1,(AK61-'Scoring Setup'!$K$23)/(100-'Scoring Setup'!$K$23)))),1),"")</x:f>
        <x:v>0.8</x:v>
      </x:c>
      <x:c r="BD61" s="27" t="n">
        <x:f>IF(ISNUMBER(AL61),IF('Scoring Setup'!$L$24=1,1-'Scoring Setup'!$B$5*(1-MAX(0,MIN(1,(AL61-'Scoring Setup'!$K$24)/(100-'Scoring Setup'!$K$24)))),1),"")</x:f>
        <x:v>0.9094545454545454</x:v>
      </x:c>
      <x:c r="BE61" s="27" t="n">
        <x:f>IF(ISNUMBER(AM61),IF('Scoring Setup'!$L$25=1,1-'Scoring Setup'!$B$5*(1-MAX(0,MIN(1,(AM61-'Scoring Setup'!$K$25)/(100-'Scoring Setup'!$K$25)))),1),"")</x:f>
        <x:v>0.8549228700052378</x:v>
      </x:c>
      <x:c r="BF61" s="27" t="n">
        <x:f>IF(ISNUMBER(AN61),IF('Scoring Setup'!$L$26=1,1-'Scoring Setup'!$B$5*(1-MAX(0,MIN(1,(AN61-'Scoring Setup'!$K$26)/(100-'Scoring Setup'!$K$26)))),1),"")</x:f>
        <x:v>0.977621005370185</x:v>
      </x:c>
      <x:c r="BG61" s="34" t="n">
        <x:f>IF(COUNT(W61,X61)=2,AVERAGE(W61,X61),"")</x:f>
        <x:v>86.21428571428572</x:v>
      </x:c>
      <x:c r="BH61" s="34" t="n">
        <x:f>IF(COUNT(Y61,Z61)=2,AVERAGE(Y61,Z61),"")</x:f>
        <x:v>32.815488858460064</x:v>
      </x:c>
      <x:c r="BI61" s="34" t="n">
        <x:f>IF(COUNT(AA61,AB61,AC61)=3,AVERAGE(AA61,AB61,AC61),"")</x:f>
        <x:v>63.20703943826634</x:v>
      </x:c>
      <x:c r="BJ61" s="34" t="n">
        <x:f>IF(COUNT(AD61,AE61)=2,AVERAGE(AD61,AE61),"")</x:f>
        <x:v>0</x:v>
      </x:c>
      <x:c r="BK61" s="34" t="n">
        <x:f>IF(COUNT(AF61,AG61)=2,AVERAGE(AF61,AG61),"")</x:f>
        <x:v>54.12201704780871</x:v>
      </x:c>
      <x:c r="BL61" s="34" t="n">
        <x:f>IF(COUNT(AH61,AI61)=2,AVERAGE(AH61,AI61),"")</x:f>
        <x:v>65.88249078235928</x:v>
      </x:c>
      <x:c r="BM61" s="34" t="n">
        <x:f>IF(COUNT(AJ61,AK61)=2,AVERAGE(AJ61,AK61),"")</x:f>
        <x:v>15.032472498445873</x:v>
      </x:c>
      <x:c r="BN61" s="34" t="n">
        <x:f>IF(COUNT(AL61,AM61,AN61)=3,AVERAGE(AL61,AM61,AN61),"")</x:f>
        <x:v>56.999736804994704</x:v>
      </x:c>
      <x:c r="BO61" s="35" t="n">
        <x:f>IF(AND(COUNT(BG61:BN61)=8,ABS('Scoring Setup'!$C$17-1)&lt;0.000001),BG61*'Scoring Setup'!$C$9+BH61*'Scoring Setup'!$C$10+BI61*'Scoring Setup'!$C$11+BJ61*'Scoring Setup'!$C$12+BK61*'Scoring Setup'!$C$13+BL61*'Scoring Setup'!$C$14+BM61*'Scoring Setup'!$C$15+BN61*'Scoring Setup'!$C$16,"")</x:f>
        <x:v>48.06310119726676</x:v>
      </x:c>
      <x:c r="BP61" s="36" t="n">
        <x:f>IF(COUNT(AO61:BF61)=18,MIN(AO61:BF61),"")</x:f>
        <x:v>0.8</x:v>
      </x:c>
      <x:c r="BQ61" s="35" t="n">
        <x:f>IF(AND(ISNUMBER(BO61),ISNUMBER(BP61)),BO61*BP61,"")</x:f>
        <x:v>38.45048095781341</x:v>
      </x:c>
      <x:c r="BR61" s="17" t="str">
        <x:f>IF(COUNT(AO61:BF61)=18,INDEX('Scoring Setup'!$F$9:$F$26,MATCH(MIN(AO61:BF61),AO61:BF61,0),1),"")</x:f>
        <x:v>湿地陆地比例</x:v>
      </x:c>
    </x:row>
    <x:row r="62">
      <x:c r="A62" s="28" t="str">
        <x:v>51117</x:v>
      </x:c>
      <x:c r="B62" s="28" t="str">
        <x:v>Mecklenburg County</x:v>
      </x:c>
      <x:c r="C62" s="28" t="str">
        <x:v>VA</x:v>
      </x:c>
      <x:c r="D62" s="31" t="n">
        <x:v>1619.544369</x:v>
      </x:c>
      <x:c r="E62" s="32" t="n">
        <x:v>0.272</x:v>
      </x:c>
      <x:c r="F62" s="32" t="n">
        <x:v>0.244740099009901</x:v>
      </x:c>
      <x:c r="G62" s="32" t="n">
        <x:v>2.9155926156362466</x:v>
      </x:c>
      <x:c r="H62" s="32" t="n">
        <x:v>3.2937689596338533</x:v>
      </x:c>
      <x:c r="I62" s="32" t="n">
        <x:v>0.9340191626702506</x:v>
      </x:c>
      <x:c r="J62" s="32" t="n">
        <x:v>0.0000022357632336752278</x:v>
      </x:c>
      <x:c r="K62" s="32" t="n">
        <x:v>0.03416865788629195</x:v>
      </x:c>
      <x:c r="L62" s="32" t="n">
        <x:v>0.628632082</x:v>
      </x:c>
      <x:c r="M62" s="32" t="n">
        <x:v>0.615894918</x:v>
      </x:c>
      <x:c r="N62" s="32" t="n">
        <x:v>14034</x:v>
      </x:c>
      <x:c r="O62" s="32" t="n">
        <x:v>0.7308</x:v>
      </x:c>
      <x:c r="P62" s="32" t="n">
        <x:v>1328.502530924479</x:v>
      </x:c>
      <x:c r="Q62" s="32" t="n">
        <x:v>34.30938320159912</x:v>
      </x:c>
      <x:c r="R62" s="32" t="n">
        <x:v>21.230614380244045</x:v>
      </x:c>
      <x:c r="S62" s="32" t="n">
        <x:v>10.262045936736506</x:v>
      </x:c>
      <x:c r="T62" s="32" t="n">
        <x:v>89.9</x:v>
      </x:c>
      <x:c r="U62" s="32" t="n">
        <x:v>245.07712999476223</x:v>
      </x:c>
      <x:c r="V62" s="32" t="n">
        <x:v>244.75798925963002</x:v>
      </x:c>
      <x:c r="W62" s="33" t="n">
        <x:f>IF(ISNUMBER(E62),100*MAX(0,MIN(1,('Anchors'!$H$6-E62)/('Anchors'!$H$6-'Anchors'!$G$6))),"")</x:f>
        <x:v>89.71428571428572</x:v>
      </x:c>
      <x:c r="X62" s="33" t="n">
        <x:f>IF(ISNUMBER(F62),100*MAX(0,MIN(1,('Anchors'!$H$7-F62)/('Anchors'!$H$7-'Anchors'!$G$7))),"")</x:f>
        <x:v>79.32284299858556</x:v>
      </x:c>
      <x:c r="Y62" s="33" t="n">
        <x:f>IF(ISNUMBER(G62),100*MAX(0,MIN(1,('Anchors'!$H$8-G62)/('Anchors'!$H$8-'Anchors'!$G$8))),"")</x:f>
        <x:v>36.146912812125116</x:v>
      </x:c>
      <x:c r="Z62" s="33" t="n">
        <x:f>IF(ISNUMBER(H62),100*MAX(0,MIN(1,('Anchors'!$H$9-H62)/('Anchors'!$H$9-'Anchors'!$G$9))),"")</x:f>
        <x:v>23.541034678871554</x:v>
      </x:c>
      <x:c r="AA62" s="33" t="n">
        <x:f>IF(ISNUMBER(I62),100*MAX(0,MIN(1,(I62-'Anchors'!$H$10)/('Anchors'!$G$10-'Anchors'!$H$10))),"")</x:f>
        <x:v>93.7012551603083</x:v>
      </x:c>
      <x:c r="AB62" s="33" t="n">
        <x:f>IF(ISNUMBER(J62),100*MAX(0,MIN(1,('Anchors'!$H$11-J62)/('Anchors'!$H$11-'Anchors'!$G$11))),"")</x:f>
        <x:v>99.99910569470653</x:v>
      </x:c>
      <x:c r="AC62" s="33" t="n">
        <x:f>IF(ISNUMBER(K62),100*MAX(0,MIN(1,('Anchors'!$H$12-K62)/('Anchors'!$H$12-'Anchors'!$G$12))),"")</x:f>
        <x:v>91.45783552842701</x:v>
      </x:c>
      <x:c r="AD62" s="33" t="n">
        <x:f>IF(ISNUMBER(L62),100*MAX(0,MIN(1,(L62-'Anchors'!$H$13)/('Anchors'!$G$13-'Anchors'!$H$13))),"")</x:f>
        <x:v>61.23315457142857</x:v>
      </x:c>
      <x:c r="AE62" s="33" t="n">
        <x:f>IF(ISNUMBER(M62),100*MAX(0,MIN(1,(M62-'Anchors'!$H$14)/('Anchors'!$G$14-'Anchors'!$H$14))),"")</x:f>
        <x:v>64.48686475</x:v>
      </x:c>
      <x:c r="AF62" s="33" t="n">
        <x:f>IF(ISNUMBER(N62),100*MAX(0,MIN(1,(LN(1+N62)-LN(1+'Anchors'!$H$15))/(LN(1+'Anchors'!$G$15)-LN(1+'Anchors'!$H$15)))),"")</x:f>
        <x:v>45.1218312046973</x:v>
      </x:c>
      <x:c r="AG62" s="33" t="n">
        <x:f>IF(ISNUMBER(O62),100*MAX(0,MIN(1,('Anchors'!$H$16-O62)/('Anchors'!$H$16-'Anchors'!$G$16))),"")</x:f>
        <x:v>24.355555555555554</x:v>
      </x:c>
      <x:c r="AH62" s="33" t="n">
        <x:f>IF(ISNUMBER(P62),100*MAX(0,MIN(1,('Anchors'!$H$17-P62)/('Anchors'!$H$17-'Anchors'!$G$17))),"")</x:f>
        <x:v>58.0998312717014</x:v>
      </x:c>
      <x:c r="AI62" s="33" t="n">
        <x:f>IF(ISNUMBER(Q62),100*MAX(0,MIN(1,('Anchors'!$H$18-Q62)/('Anchors'!$H$18-'Anchors'!$G$18))),"")</x:f>
        <x:v>58.129452569144114</x:v>
      </x:c>
      <x:c r="AJ62" s="33" t="n">
        <x:f>IF(ISNUMBER(R62),100*MAX(0,MIN(1,('Anchors'!$H$19-R62)/('Anchors'!$H$19-'Anchors'!$G$19))),"")</x:f>
        <x:v>63.931968043902124</x:v>
      </x:c>
      <x:c r="AK62" s="33" t="n">
        <x:f>IF(ISNUMBER(S62),100*MAX(0,MIN(1,('Anchors'!$H$20-S62)/('Anchors'!$H$20-'Anchors'!$G$20))),"")</x:f>
        <x:v>51.252389806649965</x:v>
      </x:c>
      <x:c r="AL62" s="33" t="n">
        <x:f>IF(ISNUMBER(T62),100*MAX(0,MIN(1,('Anchors'!$H$21-T62)/('Anchors'!$H$21-'Anchors'!$G$21))),"")</x:f>
        <x:v>54.72727272727271</x:v>
      </x:c>
      <x:c r="AM62" s="33" t="n">
        <x:f>IF(ISNUMBER(U62),100*MAX(0,MIN(1,('Anchors'!$H$22-U62)/('Anchors'!$H$22-'Anchors'!$G$22))),"")</x:f>
        <x:v>27.461435002618884</x:v>
      </x:c>
      <x:c r="AN62" s="33" t="n">
        <x:f>IF(ISNUMBER(V62),100*MAX(0,MIN(1,('Anchors'!$H$23-V62)/('Anchors'!$H$23-'Anchors'!$G$23))),"")</x:f>
        <x:v>88.8105026850925</x:v>
      </x:c>
      <x:c r="AO62" s="27" t="n">
        <x:f>IF(ISNUMBER(W62),IF('Scoring Setup'!$L$9=1,1-'Scoring Setup'!$B$5*(1-MAX(0,MIN(1,(W62-'Scoring Setup'!$K$9)/(100-'Scoring Setup'!$K$9)))),1),"")</x:f>
        <x:v>0.9794285714285714</x:v>
      </x:c>
      <x:c r="AP62" s="27" t="n">
        <x:f>IF(ISNUMBER(X62),IF('Scoring Setup'!$L$10=1,1-'Scoring Setup'!$B$5*(1-MAX(0,MIN(1,(X62-'Scoring Setup'!$K$10)/(100-'Scoring Setup'!$K$10)))),1),"")</x:f>
        <x:v>0.9586456859971711</x:v>
      </x:c>
      <x:c r="AQ62" s="27" t="n">
        <x:f>IF(ISNUMBER(Y62),IF('Scoring Setup'!$L$11=1,1-'Scoring Setup'!$B$5*(1-MAX(0,MIN(1,(Y62-'Scoring Setup'!$K$11)/(100-'Scoring Setup'!$K$11)))),1),"")</x:f>
        <x:v>0.8722938256242503</x:v>
      </x:c>
      <x:c r="AR62" s="27" t="n">
        <x:f>IF(ISNUMBER(Z62),IF('Scoring Setup'!$L$12=1,1-'Scoring Setup'!$B$5*(1-MAX(0,MIN(1,(Z62-'Scoring Setup'!$K$12)/(100-'Scoring Setup'!$K$12)))),1),"")</x:f>
        <x:v>0.8470820693577431</x:v>
      </x:c>
      <x:c r="AS62" s="27" t="n">
        <x:f>IF(ISNUMBER(AA62),IF('Scoring Setup'!$L$13=1,1-'Scoring Setup'!$B$5*(1-MAX(0,MIN(1,(AA62-'Scoring Setup'!$K$13)/(100-'Scoring Setup'!$K$13)))),1),"")</x:f>
        <x:v>0.9874025103206167</x:v>
      </x:c>
      <x:c r="AT62" s="27" t="n">
        <x:f>IF(ISNUMBER(AB62),IF('Scoring Setup'!$L$14=1,1-'Scoring Setup'!$B$5*(1-MAX(0,MIN(1,(AB62-'Scoring Setup'!$K$14)/(100-'Scoring Setup'!$K$14)))),1),"")</x:f>
        <x:v>0.999998211389413</x:v>
      </x:c>
      <x:c r="AU62" s="27" t="n">
        <x:f>IF(ISNUMBER(AC62),IF('Scoring Setup'!$L$15=1,1-'Scoring Setup'!$B$5*(1-MAX(0,MIN(1,(AC62-'Scoring Setup'!$K$15)/(100-'Scoring Setup'!$K$15)))),1),"")</x:f>
        <x:v>0.9829156710568541</x:v>
      </x:c>
      <x:c r="AV62" s="27" t="n">
        <x:f>IF(ISNUMBER(AD62),IF('Scoring Setup'!$L$16=1,1-'Scoring Setup'!$B$5*(1-MAX(0,MIN(1,(AD62-'Scoring Setup'!$K$16)/(100-'Scoring Setup'!$K$16)))),1),"")</x:f>
        <x:v>0.9224663091428571</x:v>
      </x:c>
      <x:c r="AW62" s="27" t="n">
        <x:f>IF(ISNUMBER(AE62),IF('Scoring Setup'!$L$17=1,1-'Scoring Setup'!$B$5*(1-MAX(0,MIN(1,(AE62-'Scoring Setup'!$K$17)/(100-'Scoring Setup'!$K$17)))),1),"")</x:f>
        <x:v>0.9289737295</x:v>
      </x:c>
      <x:c r="AX62" s="27" t="n">
        <x:f>IF(ISNUMBER(AF62),IF('Scoring Setup'!$L$18=1,1-'Scoring Setup'!$B$5*(1-MAX(0,MIN(1,(AF62-'Scoring Setup'!$K$18)/(100-'Scoring Setup'!$K$18)))),1),"")</x:f>
        <x:v>0.8902436624093946</x:v>
      </x:c>
      <x:c r="AY62" s="27" t="n">
        <x:f>IF(ISNUMBER(AG62),IF('Scoring Setup'!$L$19=1,1-'Scoring Setup'!$B$5*(1-MAX(0,MIN(1,(AG62-'Scoring Setup'!$K$19)/(100-'Scoring Setup'!$K$19)))),1),"")</x:f>
        <x:v>0.8487111111111111</x:v>
      </x:c>
      <x:c r="AZ62" s="27" t="n">
        <x:f>IF(ISNUMBER(AH62),IF('Scoring Setup'!$L$20=1,1-'Scoring Setup'!$B$5*(1-MAX(0,MIN(1,(AH62-'Scoring Setup'!$K$20)/(100-'Scoring Setup'!$K$20)))),1),"")</x:f>
        <x:v>0.9161996625434028</x:v>
      </x:c>
      <x:c r="BA62" s="27" t="n">
        <x:f>IF(ISNUMBER(AI62),IF('Scoring Setup'!$L$21=1,1-'Scoring Setup'!$B$5*(1-MAX(0,MIN(1,(AI62-'Scoring Setup'!$K$21)/(100-'Scoring Setup'!$K$21)))),1),"")</x:f>
        <x:v>0.9162589051382882</x:v>
      </x:c>
      <x:c r="BB62" s="27" t="n">
        <x:f>IF(ISNUMBER(AJ62),IF('Scoring Setup'!$L$22=1,1-'Scoring Setup'!$B$5*(1-MAX(0,MIN(1,(AJ62-'Scoring Setup'!$K$22)/(100-'Scoring Setup'!$K$22)))),1),"")</x:f>
        <x:v>0.9278639360878043</x:v>
      </x:c>
      <x:c r="BC62" s="27" t="n">
        <x:f>IF(ISNUMBER(AK62),IF('Scoring Setup'!$L$23=1,1-'Scoring Setup'!$B$5*(1-MAX(0,MIN(1,(AK62-'Scoring Setup'!$K$23)/(100-'Scoring Setup'!$K$23)))),1),"")</x:f>
        <x:v>0.9025047796132999</x:v>
      </x:c>
      <x:c r="BD62" s="27" t="n">
        <x:f>IF(ISNUMBER(AL62),IF('Scoring Setup'!$L$24=1,1-'Scoring Setup'!$B$5*(1-MAX(0,MIN(1,(AL62-'Scoring Setup'!$K$24)/(100-'Scoring Setup'!$K$24)))),1),"")</x:f>
        <x:v>0.9094545454545454</x:v>
      </x:c>
      <x:c r="BE62" s="27" t="n">
        <x:f>IF(ISNUMBER(AM62),IF('Scoring Setup'!$L$25=1,1-'Scoring Setup'!$B$5*(1-MAX(0,MIN(1,(AM62-'Scoring Setup'!$K$25)/(100-'Scoring Setup'!$K$25)))),1),"")</x:f>
        <x:v>0.8549228700052378</x:v>
      </x:c>
      <x:c r="BF62" s="27" t="n">
        <x:f>IF(ISNUMBER(AN62),IF('Scoring Setup'!$L$26=1,1-'Scoring Setup'!$B$5*(1-MAX(0,MIN(1,(AN62-'Scoring Setup'!$K$26)/(100-'Scoring Setup'!$K$26)))),1),"")</x:f>
        <x:v>0.977621005370185</x:v>
      </x:c>
      <x:c r="BG62" s="34" t="n">
        <x:f>IF(COUNT(W62,X62)=2,AVERAGE(W62,X62),"")</x:f>
        <x:v>84.51856435643563</x:v>
      </x:c>
      <x:c r="BH62" s="34" t="n">
        <x:f>IF(COUNT(Y62,Z62)=2,AVERAGE(Y62,Z62),"")</x:f>
        <x:v>29.843973745498335</x:v>
      </x:c>
      <x:c r="BI62" s="34" t="n">
        <x:f>IF(COUNT(AA62,AB62,AC62)=3,AVERAGE(AA62,AB62,AC62),"")</x:f>
        <x:v>95.05273212781394</x:v>
      </x:c>
      <x:c r="BJ62" s="34" t="n">
        <x:f>IF(COUNT(AD62,AE62)=2,AVERAGE(AD62,AE62),"")</x:f>
        <x:v>62.86000966071428</x:v>
      </x:c>
      <x:c r="BK62" s="34" t="n">
        <x:f>IF(COUNT(AF62,AG62)=2,AVERAGE(AF62,AG62),"")</x:f>
        <x:v>34.73869338012643</x:v>
      </x:c>
      <x:c r="BL62" s="34" t="n">
        <x:f>IF(COUNT(AH62,AI62)=2,AVERAGE(AH62,AI62),"")</x:f>
        <x:v>58.114641920422756</x:v>
      </x:c>
      <x:c r="BM62" s="34" t="n">
        <x:f>IF(COUNT(AJ62,AK62)=2,AVERAGE(AJ62,AK62),"")</x:f>
        <x:v>57.592178925276045</x:v>
      </x:c>
      <x:c r="BN62" s="34" t="n">
        <x:f>IF(COUNT(AL62,AM62,AN62)=3,AVERAGE(AL62,AM62,AN62),"")</x:f>
        <x:v>56.999736804994704</x:v>
      </x:c>
      <x:c r="BO62" s="35" t="n">
        <x:f>IF(AND(COUNT(BG62:BN62)=8,ABS('Scoring Setup'!$C$17-1)&lt;0.000001),BG62*'Scoring Setup'!$C$9+BH62*'Scoring Setup'!$C$10+BI62*'Scoring Setup'!$C$11+BJ62*'Scoring Setup'!$C$12+BK62*'Scoring Setup'!$C$13+BL62*'Scoring Setup'!$C$14+BM62*'Scoring Setup'!$C$15+BN62*'Scoring Setup'!$C$16,"")</x:f>
        <x:v>56.571056785392045</x:v>
      </x:c>
      <x:c r="BP62" s="36" t="n">
        <x:f>IF(COUNT(AO62:BF62)=18,MIN(AO62:BF62),"")</x:f>
        <x:v>0.8470820693577431</x:v>
      </x:c>
      <x:c r="BQ62" s="35" t="n">
        <x:f>IF(AND(ISNUMBER(BO62),ISNUMBER(BP62)),BO62*BP62,"")</x:f>
        <x:v>47.92032784752429</x:v>
      </x:c>
      <x:c r="BR62" s="17" t="str">
        <x:f>IF(COUNT(AO62:BF62)=18,INDEX('Scoring Setup'!$F$9:$F$26,MATCH(MIN(AO62:BF62),AO62:BF62,0),1),"")</x:f>
        <x:v>2050 BAU水压力</x:v>
      </x:c>
    </x:row>
    <x:row r="63">
      <x:c r="A63" s="28" t="str">
        <x:v>51119</x:v>
      </x:c>
      <x:c r="B63" s="28" t="str">
        <x:v>Middlesex County</x:v>
      </x:c>
      <x:c r="C63" s="28" t="str">
        <x:v>VA</x:v>
      </x:c>
      <x:c r="D63" s="31" t="n">
        <x:v>337.554146</x:v>
      </x:c>
      <x:c r="E63" s="32" t="n">
        <x:v>0.325</x:v>
      </x:c>
      <x:c r="F63" s="32" t="n">
        <x:v>0.0136138613861386</x:v>
      </x:c>
      <x:c r="G63" s="32" t="n">
        <x:v>2.8441451824923965</x:v>
      </x:c>
      <x:c r="H63" s="32" t="n">
        <x:v>3.186925486</x:v>
      </x:c>
      <x:c r="I63" s="32" t="n">
        <x:v>0.9082033129792217</x:v>
      </x:c>
      <x:c r="J63" s="32" t="n">
        <x:v>0.030917001729425814</x:v>
      </x:c>
      <x:c r="K63" s="32" t="n">
        <x:v>0.10947107826886676</x:v>
      </x:c>
      <x:c r="L63" s="32" t="n">
        <x:v>0.096233322</x:v>
      </x:c>
      <x:c r="M63" s="32" t="n">
        <x:v>0.096233322</x:v>
      </x:c>
      <x:c r="N63" s="32" t="n">
        <x:v>4689</x:v>
      </x:c>
      <x:c r="O63" s="32" t="n">
        <x:v>0.3042</x:v>
      </x:c>
      <x:c r="P63" s="32" t="n">
        <x:v>1372.0758463541667</x:v>
      </x:c>
      <x:c r="Q63" s="32" t="n">
        <x:v>27.102623875935873</x:v>
      </x:c>
      <x:c r="R63" s="32" t="n">
        <x:v>31.89481055624999</x:v>
      </x:c>
      <x:c r="S63" s="32" t="n">
        <x:v>25.395622142656524</x:v>
      </x:c>
      <x:c r="T63" s="32" t="n">
        <x:v>89.9</x:v>
      </x:c>
      <x:c r="U63" s="32" t="n">
        <x:v>245.07712999476223</x:v>
      </x:c>
      <x:c r="V63" s="32" t="n">
        <x:v>244.75798925963002</x:v>
      </x:c>
      <x:c r="W63" s="33" t="n">
        <x:f>IF(ISNUMBER(E63),100*MAX(0,MIN(1,('Anchors'!$H$6-E63)/('Anchors'!$H$6-'Anchors'!$G$6))),"")</x:f>
        <x:v>82.14285714285714</x:v>
      </x:c>
      <x:c r="X63" s="33" t="n">
        <x:f>IF(ISNUMBER(F63),100*MAX(0,MIN(1,('Anchors'!$H$7-F63)/('Anchors'!$H$7-'Anchors'!$G$7))),"")</x:f>
        <x:v>100</x:v>
      </x:c>
      <x:c r="Y63" s="33" t="n">
        <x:f>IF(ISNUMBER(G63),100*MAX(0,MIN(1,('Anchors'!$H$8-G63)/('Anchors'!$H$8-'Anchors'!$G$8))),"")</x:f>
        <x:v>38.52849391692012</x:v>
      </x:c>
      <x:c r="Z63" s="33" t="n">
        <x:f>IF(ISNUMBER(H63),100*MAX(0,MIN(1,('Anchors'!$H$9-H63)/('Anchors'!$H$9-'Anchors'!$G$9))),"")</x:f>
        <x:v>27.102483800000005</x:v>
      </x:c>
      <x:c r="AA63" s="33" t="n">
        <x:f>IF(ISNUMBER(I63),100*MAX(0,MIN(1,(I63-'Anchors'!$H$10)/('Anchors'!$G$10-'Anchors'!$H$10))),"")</x:f>
        <x:v>90.16483739441395</x:v>
      </x:c>
      <x:c r="AB63" s="33" t="n">
        <x:f>IF(ISNUMBER(J63),100*MAX(0,MIN(1,('Anchors'!$H$11-J63)/('Anchors'!$H$11-'Anchors'!$G$11))),"")</x:f>
        <x:v>87.63319930822966</x:v>
      </x:c>
      <x:c r="AC63" s="33" t="n">
        <x:f>IF(ISNUMBER(K63),100*MAX(0,MIN(1,('Anchors'!$H$12-K63)/('Anchors'!$H$12-'Anchors'!$G$12))),"")</x:f>
        <x:v>72.6322304327833</x:v>
      </x:c>
      <x:c r="AD63" s="33" t="n">
        <x:f>IF(ISNUMBER(L63),100*MAX(0,MIN(1,(L63-'Anchors'!$H$13)/('Anchors'!$G$13-'Anchors'!$H$13))),"")</x:f>
        <x:v>0</x:v>
      </x:c>
      <x:c r="AE63" s="33" t="n">
        <x:f>IF(ISNUMBER(M63),100*MAX(0,MIN(1,(M63-'Anchors'!$H$14)/('Anchors'!$G$14-'Anchors'!$H$14))),"")</x:f>
        <x:v>0</x:v>
      </x:c>
      <x:c r="AF63" s="33" t="n">
        <x:f>IF(ISNUMBER(N63),100*MAX(0,MIN(1,(LN(1+N63)-LN(1+'Anchors'!$H$15))/(LN(1+'Anchors'!$G$15)-LN(1+'Anchors'!$H$15)))),"")</x:f>
        <x:v>19.73098290763781</x:v>
      </x:c>
      <x:c r="AG63" s="33" t="n">
        <x:f>IF(ISNUMBER(O63),100*MAX(0,MIN(1,('Anchors'!$H$16-O63)/('Anchors'!$H$16-'Anchors'!$G$16))),"")</x:f>
        <x:v>71.75555555555555</x:v>
      </x:c>
      <x:c r="AH63" s="33" t="n">
        <x:f>IF(ISNUMBER(P63),100*MAX(0,MIN(1,('Anchors'!$H$17-P63)/('Anchors'!$H$17-'Anchors'!$G$17))),"")</x:f>
        <x:v>55.19494357638889</x:v>
      </x:c>
      <x:c r="AI63" s="33" t="n">
        <x:f>IF(ISNUMBER(Q63),100*MAX(0,MIN(1,('Anchors'!$H$18-Q63)/('Anchors'!$H$18-'Anchors'!$G$18))),"")</x:f>
        <x:v>68.42482303437733</x:v>
      </x:c>
      <x:c r="AJ63" s="33" t="n">
        <x:f>IF(ISNUMBER(R63),100*MAX(0,MIN(1,('Anchors'!$H$19-R63)/('Anchors'!$H$19-'Anchors'!$G$19))),"")</x:f>
        <x:v>40.233754319444465</x:v>
      </x:c>
      <x:c r="AK63" s="33" t="n">
        <x:f>IF(ISNUMBER(S63),100*MAX(0,MIN(1,('Anchors'!$H$20-S63)/('Anchors'!$H$20-'Anchors'!$G$20))),"")</x:f>
        <x:v>0</x:v>
      </x:c>
      <x:c r="AL63" s="33" t="n">
        <x:f>IF(ISNUMBER(T63),100*MAX(0,MIN(1,('Anchors'!$H$21-T63)/('Anchors'!$H$21-'Anchors'!$G$21))),"")</x:f>
        <x:v>54.72727272727271</x:v>
      </x:c>
      <x:c r="AM63" s="33" t="n">
        <x:f>IF(ISNUMBER(U63),100*MAX(0,MIN(1,('Anchors'!$H$22-U63)/('Anchors'!$H$22-'Anchors'!$G$22))),"")</x:f>
        <x:v>27.461435002618884</x:v>
      </x:c>
      <x:c r="AN63" s="33" t="n">
        <x:f>IF(ISNUMBER(V63),100*MAX(0,MIN(1,('Anchors'!$H$23-V63)/('Anchors'!$H$23-'Anchors'!$G$23))),"")</x:f>
        <x:v>88.8105026850925</x:v>
      </x:c>
      <x:c r="AO63" s="27" t="n">
        <x:f>IF(ISNUMBER(W63),IF('Scoring Setup'!$L$9=1,1-'Scoring Setup'!$B$5*(1-MAX(0,MIN(1,(W63-'Scoring Setup'!$K$9)/(100-'Scoring Setup'!$K$9)))),1),"")</x:f>
        <x:v>0.9642857142857143</x:v>
      </x:c>
      <x:c r="AP63" s="27" t="n">
        <x:f>IF(ISNUMBER(X63),IF('Scoring Setup'!$L$10=1,1-'Scoring Setup'!$B$5*(1-MAX(0,MIN(1,(X63-'Scoring Setup'!$K$10)/(100-'Scoring Setup'!$K$10)))),1),"")</x:f>
        <x:v>1</x:v>
      </x:c>
      <x:c r="AQ63" s="27" t="n">
        <x:f>IF(ISNUMBER(Y63),IF('Scoring Setup'!$L$11=1,1-'Scoring Setup'!$B$5*(1-MAX(0,MIN(1,(Y63-'Scoring Setup'!$K$11)/(100-'Scoring Setup'!$K$11)))),1),"")</x:f>
        <x:v>0.8770569878338402</x:v>
      </x:c>
      <x:c r="AR63" s="27" t="n">
        <x:f>IF(ISNUMBER(Z63),IF('Scoring Setup'!$L$12=1,1-'Scoring Setup'!$B$5*(1-MAX(0,MIN(1,(Z63-'Scoring Setup'!$K$12)/(100-'Scoring Setup'!$K$12)))),1),"")</x:f>
        <x:v>0.8542049676</x:v>
      </x:c>
      <x:c r="AS63" s="27" t="n">
        <x:f>IF(ISNUMBER(AA63),IF('Scoring Setup'!$L$13=1,1-'Scoring Setup'!$B$5*(1-MAX(0,MIN(1,(AA63-'Scoring Setup'!$K$13)/(100-'Scoring Setup'!$K$13)))),1),"")</x:f>
        <x:v>0.9803296747888279</x:v>
      </x:c>
      <x:c r="AT63" s="27" t="n">
        <x:f>IF(ISNUMBER(AB63),IF('Scoring Setup'!$L$14=1,1-'Scoring Setup'!$B$5*(1-MAX(0,MIN(1,(AB63-'Scoring Setup'!$K$14)/(100-'Scoring Setup'!$K$14)))),1),"")</x:f>
        <x:v>0.9752663986164594</x:v>
      </x:c>
      <x:c r="AU63" s="27" t="n">
        <x:f>IF(ISNUMBER(AC63),IF('Scoring Setup'!$L$15=1,1-'Scoring Setup'!$B$5*(1-MAX(0,MIN(1,(AC63-'Scoring Setup'!$K$15)/(100-'Scoring Setup'!$K$15)))),1),"")</x:f>
        <x:v>0.9452644608655666</x:v>
      </x:c>
      <x:c r="AV63" s="27" t="n">
        <x:f>IF(ISNUMBER(AD63),IF('Scoring Setup'!$L$16=1,1-'Scoring Setup'!$B$5*(1-MAX(0,MIN(1,(AD63-'Scoring Setup'!$K$16)/(100-'Scoring Setup'!$K$16)))),1),"")</x:f>
        <x:v>0.8</x:v>
      </x:c>
      <x:c r="AW63" s="27" t="n">
        <x:f>IF(ISNUMBER(AE63),IF('Scoring Setup'!$L$17=1,1-'Scoring Setup'!$B$5*(1-MAX(0,MIN(1,(AE63-'Scoring Setup'!$K$17)/(100-'Scoring Setup'!$K$17)))),1),"")</x:f>
        <x:v>0.8</x:v>
      </x:c>
      <x:c r="AX63" s="27" t="n">
        <x:f>IF(ISNUMBER(AF63),IF('Scoring Setup'!$L$18=1,1-'Scoring Setup'!$B$5*(1-MAX(0,MIN(1,(AF63-'Scoring Setup'!$K$18)/(100-'Scoring Setup'!$K$18)))),1),"")</x:f>
        <x:v>0.8394619658152755</x:v>
      </x:c>
      <x:c r="AY63" s="27" t="n">
        <x:f>IF(ISNUMBER(AG63),IF('Scoring Setup'!$L$19=1,1-'Scoring Setup'!$B$5*(1-MAX(0,MIN(1,(AG63-'Scoring Setup'!$K$19)/(100-'Scoring Setup'!$K$19)))),1),"")</x:f>
        <x:v>0.9435111111111111</x:v>
      </x:c>
      <x:c r="AZ63" s="27" t="n">
        <x:f>IF(ISNUMBER(AH63),IF('Scoring Setup'!$L$20=1,1-'Scoring Setup'!$B$5*(1-MAX(0,MIN(1,(AH63-'Scoring Setup'!$K$20)/(100-'Scoring Setup'!$K$20)))),1),"")</x:f>
        <x:v>0.9103898871527778</x:v>
      </x:c>
      <x:c r="BA63" s="27" t="n">
        <x:f>IF(ISNUMBER(AI63),IF('Scoring Setup'!$L$21=1,1-'Scoring Setup'!$B$5*(1-MAX(0,MIN(1,(AI63-'Scoring Setup'!$K$21)/(100-'Scoring Setup'!$K$21)))),1),"")</x:f>
        <x:v>0.9368496460687546</x:v>
      </x:c>
      <x:c r="BB63" s="27" t="n">
        <x:f>IF(ISNUMBER(AJ63),IF('Scoring Setup'!$L$22=1,1-'Scoring Setup'!$B$5*(1-MAX(0,MIN(1,(AJ63-'Scoring Setup'!$K$22)/(100-'Scoring Setup'!$K$22)))),1),"")</x:f>
        <x:v>0.8804675086388889</x:v>
      </x:c>
      <x:c r="BC63" s="27" t="n">
        <x:f>IF(ISNUMBER(AK63),IF('Scoring Setup'!$L$23=1,1-'Scoring Setup'!$B$5*(1-MAX(0,MIN(1,(AK63-'Scoring Setup'!$K$23)/(100-'Scoring Setup'!$K$23)))),1),"")</x:f>
        <x:v>0.8</x:v>
      </x:c>
      <x:c r="BD63" s="27" t="n">
        <x:f>IF(ISNUMBER(AL63),IF('Scoring Setup'!$L$24=1,1-'Scoring Setup'!$B$5*(1-MAX(0,MIN(1,(AL63-'Scoring Setup'!$K$24)/(100-'Scoring Setup'!$K$24)))),1),"")</x:f>
        <x:v>0.9094545454545454</x:v>
      </x:c>
      <x:c r="BE63" s="27" t="n">
        <x:f>IF(ISNUMBER(AM63),IF('Scoring Setup'!$L$25=1,1-'Scoring Setup'!$B$5*(1-MAX(0,MIN(1,(AM63-'Scoring Setup'!$K$25)/(100-'Scoring Setup'!$K$25)))),1),"")</x:f>
        <x:v>0.8549228700052378</x:v>
      </x:c>
      <x:c r="BF63" s="27" t="n">
        <x:f>IF(ISNUMBER(AN63),IF('Scoring Setup'!$L$26=1,1-'Scoring Setup'!$B$5*(1-MAX(0,MIN(1,(AN63-'Scoring Setup'!$K$26)/(100-'Scoring Setup'!$K$26)))),1),"")</x:f>
        <x:v>0.977621005370185</x:v>
      </x:c>
      <x:c r="BG63" s="34" t="n">
        <x:f>IF(COUNT(W63,X63)=2,AVERAGE(W63,X63),"")</x:f>
        <x:v>91.07142857142857</x:v>
      </x:c>
      <x:c r="BH63" s="34" t="n">
        <x:f>IF(COUNT(Y63,Z63)=2,AVERAGE(Y63,Z63),"")</x:f>
        <x:v>32.815488858460064</x:v>
      </x:c>
      <x:c r="BI63" s="34" t="n">
        <x:f>IF(COUNT(AA63,AB63,AC63)=3,AVERAGE(AA63,AB63,AC63),"")</x:f>
        <x:v>83.47675571180898</x:v>
      </x:c>
      <x:c r="BJ63" s="34" t="n">
        <x:f>IF(COUNT(AD63,AE63)=2,AVERAGE(AD63,AE63),"")</x:f>
        <x:v>0</x:v>
      </x:c>
      <x:c r="BK63" s="34" t="n">
        <x:f>IF(COUNT(AF63,AG63)=2,AVERAGE(AF63,AG63),"")</x:f>
        <x:v>45.74326923159668</x:v>
      </x:c>
      <x:c r="BL63" s="34" t="n">
        <x:f>IF(COUNT(AH63,AI63)=2,AVERAGE(AH63,AI63),"")</x:f>
        <x:v>61.80988330538311</x:v>
      </x:c>
      <x:c r="BM63" s="34" t="n">
        <x:f>IF(COUNT(AJ63,AK63)=2,AVERAGE(AJ63,AK63),"")</x:f>
        <x:v>20.116877159722232</x:v>
      </x:c>
      <x:c r="BN63" s="34" t="n">
        <x:f>IF(COUNT(AL63,AM63,AN63)=3,AVERAGE(AL63,AM63,AN63),"")</x:f>
        <x:v>56.999736804994704</x:v>
      </x:c>
      <x:c r="BO63" s="35" t="n">
        <x:f>IF(AND(COUNT(BG63:BN63)=8,ABS('Scoring Setup'!$C$17-1)&lt;0.000001),BG63*'Scoring Setup'!$C$9+BH63*'Scoring Setup'!$C$10+BI63*'Scoring Setup'!$C$11+BJ63*'Scoring Setup'!$C$12+BK63*'Scoring Setup'!$C$13+BL63*'Scoring Setup'!$C$14+BM63*'Scoring Setup'!$C$15+BN63*'Scoring Setup'!$C$16,"")</x:f>
        <x:v>49.78850218792912</x:v>
      </x:c>
      <x:c r="BP63" s="36" t="n">
        <x:f>IF(COUNT(AO63:BF63)=18,MIN(AO63:BF63),"")</x:f>
        <x:v>0.8</x:v>
      </x:c>
      <x:c r="BQ63" s="35" t="n">
        <x:f>IF(AND(ISNUMBER(BO63),ISNUMBER(BP63)),BO63*BP63,"")</x:f>
        <x:v>39.8308017503433</x:v>
      </x:c>
      <x:c r="BR63" s="17" t="str">
        <x:f>IF(COUNT(AO63:BF63)=18,INDEX('Scoring Setup'!$F$9:$F$26,MATCH(MIN(AO63:BF63),AO63:BF63,0),1),"")</x:f>
        <x:v>商业光纤100/20覆盖率</x:v>
      </x:c>
    </x:row>
    <x:row r="64">
      <x:c r="A64" s="28" t="str">
        <x:v>51121</x:v>
      </x:c>
      <x:c r="B64" s="28" t="str">
        <x:v>Montgomery County</x:v>
      </x:c>
      <x:c r="C64" s="28" t="str">
        <x:v>VA</x:v>
      </x:c>
      <x:c r="D64" s="31" t="n">
        <x:v>1001.932837</x:v>
      </x:c>
      <x:c r="E64" s="32" t="n">
        <x:v>0.609</x:v>
      </x:c>
      <x:c r="F64" s="32" t="n">
        <x:v>0.0949876237623762</x:v>
      </x:c>
      <x:c r="G64" s="32" t="n">
        <x:v>2.3507141756198107</x:v>
      </x:c>
      <x:c r="H64" s="32" t="n">
        <x:v>2.7357481181823413</x:v>
      </x:c>
      <x:c r="I64" s="32" t="n">
        <x:v>0.8861537138125943</x:v>
      </x:c>
      <x:c r="J64" s="32" t="n">
        <x:v>0.049047183879881724</x:v>
      </x:c>
      <x:c r="K64" s="32" t="n">
        <x:v>0.00009587847985118226</x:v>
      </x:c>
      <x:c r="L64" s="32" t="n">
        <x:v>0.100022884</x:v>
      </x:c>
      <x:c r="M64" s="32" t="n">
        <x:v>0.092637667</x:v>
      </x:c>
      <x:c r="N64" s="32" t="n">
        <x:v>49724</x:v>
      </x:c>
      <x:c r="O64" s="32" t="n">
        <x:v>0.2873</x:v>
      </x:c>
      <x:c r="P64" s="32" t="n">
        <x:v>572.5667765299479</x:v>
      </x:c>
      <x:c r="Q64" s="32" t="n">
        <x:v>3.36243360042572</x:v>
      </x:c>
      <x:c r="R64" s="32" t="n">
        <x:v>4.869711669965158</x:v>
      </x:c>
      <x:c r="S64" s="32" t="n">
        <x:v>0.5912830902187589</x:v>
      </x:c>
      <x:c r="T64" s="32" t="n">
        <x:v>89.9</x:v>
      </x:c>
      <x:c r="U64" s="32" t="n">
        <x:v>245.07712999476223</x:v>
      </x:c>
      <x:c r="V64" s="32" t="n">
        <x:v>244.75798925963002</x:v>
      </x:c>
      <x:c r="W64" s="33" t="n">
        <x:f>IF(ISNUMBER(E64),100*MAX(0,MIN(1,('Anchors'!$H$6-E64)/('Anchors'!$H$6-'Anchors'!$G$6))),"")</x:f>
        <x:v>41.571428571428584</x:v>
      </x:c>
      <x:c r="X64" s="33" t="n">
        <x:f>IF(ISNUMBER(F64),100*MAX(0,MIN(1,('Anchors'!$H$7-F64)/('Anchors'!$H$7-'Anchors'!$G$7))),"")</x:f>
        <x:v>100</x:v>
      </x:c>
      <x:c r="Y64" s="33" t="n">
        <x:f>IF(ISNUMBER(G64),100*MAX(0,MIN(1,('Anchors'!$H$8-G64)/('Anchors'!$H$8-'Anchors'!$G$8))),"")</x:f>
        <x:v>54.97619414600631</x:v>
      </x:c>
      <x:c r="Z64" s="33" t="n">
        <x:f>IF(ISNUMBER(H64),100*MAX(0,MIN(1,('Anchors'!$H$9-H64)/('Anchors'!$H$9-'Anchors'!$G$9))),"")</x:f>
        <x:v>42.141729393921956</x:v>
      </x:c>
      <x:c r="AA64" s="33" t="n">
        <x:f>IF(ISNUMBER(I64),100*MAX(0,MIN(1,(I64-'Anchors'!$H$10)/('Anchors'!$G$10-'Anchors'!$H$10))),"")</x:f>
        <x:v>87.14434435788964</x:v>
      </x:c>
      <x:c r="AB64" s="33" t="n">
        <x:f>IF(ISNUMBER(J64),100*MAX(0,MIN(1,('Anchors'!$H$11-J64)/('Anchors'!$H$11-'Anchors'!$G$11))),"")</x:f>
        <x:v>80.38112644804731</x:v>
      </x:c>
      <x:c r="AC64" s="33" t="n">
        <x:f>IF(ISNUMBER(K64),100*MAX(0,MIN(1,('Anchors'!$H$12-K64)/('Anchors'!$H$12-'Anchors'!$G$12))),"")</x:f>
        <x:v>99.9760303800372</x:v>
      </x:c>
      <x:c r="AD64" s="33" t="n">
        <x:f>IF(ISNUMBER(L64),100*MAX(0,MIN(1,(L64-'Anchors'!$H$13)/('Anchors'!$G$13-'Anchors'!$H$13))),"")</x:f>
        <x:v>0</x:v>
      </x:c>
      <x:c r="AE64" s="33" t="n">
        <x:f>IF(ISNUMBER(M64),100*MAX(0,MIN(1,(M64-'Anchors'!$H$14)/('Anchors'!$G$14-'Anchors'!$H$14))),"")</x:f>
        <x:v>0</x:v>
      </x:c>
      <x:c r="AF64" s="33" t="n">
        <x:f>IF(ISNUMBER(N64),100*MAX(0,MIN(1,(LN(1+N64)-LN(1+'Anchors'!$H$15))/(LN(1+'Anchors'!$G$15)-LN(1+'Anchors'!$H$15)))),"")</x:f>
        <x:v>74.42354785533185</x:v>
      </x:c>
      <x:c r="AG64" s="33" t="n">
        <x:f>IF(ISNUMBER(O64),100*MAX(0,MIN(1,('Anchors'!$H$16-O64)/('Anchors'!$H$16-'Anchors'!$G$16))),"")</x:f>
        <x:v>73.63333333333334</x:v>
      </x:c>
      <x:c r="AH64" s="33" t="n">
        <x:f>IF(ISNUMBER(P64),100*MAX(0,MIN(1,('Anchors'!$H$17-P64)/('Anchors'!$H$17-'Anchors'!$G$17))),"")</x:f>
        <x:v>100</x:v>
      </x:c>
      <x:c r="AI64" s="33" t="n">
        <x:f>IF(ISNUMBER(Q64),100*MAX(0,MIN(1,('Anchors'!$H$18-Q64)/('Anchors'!$H$18-'Anchors'!$G$18))),"")</x:f>
        <x:v>100</x:v>
      </x:c>
      <x:c r="AJ64" s="33" t="n">
        <x:f>IF(ISNUMBER(R64),100*MAX(0,MIN(1,('Anchors'!$H$19-R64)/('Anchors'!$H$19-'Anchors'!$G$19))),"")</x:f>
        <x:v>100</x:v>
      </x:c>
      <x:c r="AK64" s="33" t="n">
        <x:f>IF(ISNUMBER(S64),100*MAX(0,MIN(1,('Anchors'!$H$20-S64)/('Anchors'!$H$20-'Anchors'!$G$20))),"")</x:f>
        <x:v>100</x:v>
      </x:c>
      <x:c r="AL64" s="33" t="n">
        <x:f>IF(ISNUMBER(T64),100*MAX(0,MIN(1,('Anchors'!$H$21-T64)/('Anchors'!$H$21-'Anchors'!$G$21))),"")</x:f>
        <x:v>54.72727272727271</x:v>
      </x:c>
      <x:c r="AM64" s="33" t="n">
        <x:f>IF(ISNUMBER(U64),100*MAX(0,MIN(1,('Anchors'!$H$22-U64)/('Anchors'!$H$22-'Anchors'!$G$22))),"")</x:f>
        <x:v>27.461435002618884</x:v>
      </x:c>
      <x:c r="AN64" s="33" t="n">
        <x:f>IF(ISNUMBER(V64),100*MAX(0,MIN(1,('Anchors'!$H$23-V64)/('Anchors'!$H$23-'Anchors'!$G$23))),"")</x:f>
        <x:v>88.8105026850925</x:v>
      </x:c>
      <x:c r="AO64" s="27" t="n">
        <x:f>IF(ISNUMBER(W64),IF('Scoring Setup'!$L$9=1,1-'Scoring Setup'!$B$5*(1-MAX(0,MIN(1,(W64-'Scoring Setup'!$K$9)/(100-'Scoring Setup'!$K$9)))),1),"")</x:f>
        <x:v>0.8831428571428571</x:v>
      </x:c>
      <x:c r="AP64" s="27" t="n">
        <x:f>IF(ISNUMBER(X64),IF('Scoring Setup'!$L$10=1,1-'Scoring Setup'!$B$5*(1-MAX(0,MIN(1,(X64-'Scoring Setup'!$K$10)/(100-'Scoring Setup'!$K$10)))),1),"")</x:f>
        <x:v>1</x:v>
      </x:c>
      <x:c r="AQ64" s="27" t="n">
        <x:f>IF(ISNUMBER(Y64),IF('Scoring Setup'!$L$11=1,1-'Scoring Setup'!$B$5*(1-MAX(0,MIN(1,(Y64-'Scoring Setup'!$K$11)/(100-'Scoring Setup'!$K$11)))),1),"")</x:f>
        <x:v>0.9099523882920126</x:v>
      </x:c>
      <x:c r="AR64" s="27" t="n">
        <x:f>IF(ISNUMBER(Z64),IF('Scoring Setup'!$L$12=1,1-'Scoring Setup'!$B$5*(1-MAX(0,MIN(1,(Z64-'Scoring Setup'!$K$12)/(100-'Scoring Setup'!$K$12)))),1),"")</x:f>
        <x:v>0.8842834587878439</x:v>
      </x:c>
      <x:c r="AS64" s="27" t="n">
        <x:f>IF(ISNUMBER(AA64),IF('Scoring Setup'!$L$13=1,1-'Scoring Setup'!$B$5*(1-MAX(0,MIN(1,(AA64-'Scoring Setup'!$K$13)/(100-'Scoring Setup'!$K$13)))),1),"")</x:f>
        <x:v>0.9742886887157792</x:v>
      </x:c>
      <x:c r="AT64" s="27" t="n">
        <x:f>IF(ISNUMBER(AB64),IF('Scoring Setup'!$L$14=1,1-'Scoring Setup'!$B$5*(1-MAX(0,MIN(1,(AB64-'Scoring Setup'!$K$14)/(100-'Scoring Setup'!$K$14)))),1),"")</x:f>
        <x:v>0.9607622528960946</x:v>
      </x:c>
      <x:c r="AU64" s="27" t="n">
        <x:f>IF(ISNUMBER(AC64),IF('Scoring Setup'!$L$15=1,1-'Scoring Setup'!$B$5*(1-MAX(0,MIN(1,(AC64-'Scoring Setup'!$K$15)/(100-'Scoring Setup'!$K$15)))),1),"")</x:f>
        <x:v>0.9999520607600744</x:v>
      </x:c>
      <x:c r="AV64" s="27" t="n">
        <x:f>IF(ISNUMBER(AD64),IF('Scoring Setup'!$L$16=1,1-'Scoring Setup'!$B$5*(1-MAX(0,MIN(1,(AD64-'Scoring Setup'!$K$16)/(100-'Scoring Setup'!$K$16)))),1),"")</x:f>
        <x:v>0.8</x:v>
      </x:c>
      <x:c r="AW64" s="27" t="n">
        <x:f>IF(ISNUMBER(AE64),IF('Scoring Setup'!$L$17=1,1-'Scoring Setup'!$B$5*(1-MAX(0,MIN(1,(AE64-'Scoring Setup'!$K$17)/(100-'Scoring Setup'!$K$17)))),1),"")</x:f>
        <x:v>0.8</x:v>
      </x:c>
      <x:c r="AX64" s="27" t="n">
        <x:f>IF(ISNUMBER(AF64),IF('Scoring Setup'!$L$18=1,1-'Scoring Setup'!$B$5*(1-MAX(0,MIN(1,(AF64-'Scoring Setup'!$K$18)/(100-'Scoring Setup'!$K$18)))),1),"")</x:f>
        <x:v>0.9488470957106637</x:v>
      </x:c>
      <x:c r="AY64" s="27" t="n">
        <x:f>IF(ISNUMBER(AG64),IF('Scoring Setup'!$L$19=1,1-'Scoring Setup'!$B$5*(1-MAX(0,MIN(1,(AG64-'Scoring Setup'!$K$19)/(100-'Scoring Setup'!$K$19)))),1),"")</x:f>
        <x:v>0.9472666666666667</x:v>
      </x:c>
      <x:c r="AZ64" s="27" t="n">
        <x:f>IF(ISNUMBER(AH64),IF('Scoring Setup'!$L$20=1,1-'Scoring Setup'!$B$5*(1-MAX(0,MIN(1,(AH64-'Scoring Setup'!$K$20)/(100-'Scoring Setup'!$K$20)))),1),"")</x:f>
        <x:v>1</x:v>
      </x:c>
      <x:c r="BA64" s="27" t="n">
        <x:f>IF(ISNUMBER(AI64),IF('Scoring Setup'!$L$21=1,1-'Scoring Setup'!$B$5*(1-MAX(0,MIN(1,(AI64-'Scoring Setup'!$K$21)/(100-'Scoring Setup'!$K$21)))),1),"")</x:f>
        <x:v>1</x:v>
      </x:c>
      <x:c r="BB64" s="27" t="n">
        <x:f>IF(ISNUMBER(AJ64),IF('Scoring Setup'!$L$22=1,1-'Scoring Setup'!$B$5*(1-MAX(0,MIN(1,(AJ64-'Scoring Setup'!$K$22)/(100-'Scoring Setup'!$K$22)))),1),"")</x:f>
        <x:v>1</x:v>
      </x:c>
      <x:c r="BC64" s="27" t="n">
        <x:f>IF(ISNUMBER(AK64),IF('Scoring Setup'!$L$23=1,1-'Scoring Setup'!$B$5*(1-MAX(0,MIN(1,(AK64-'Scoring Setup'!$K$23)/(100-'Scoring Setup'!$K$23)))),1),"")</x:f>
        <x:v>1</x:v>
      </x:c>
      <x:c r="BD64" s="27" t="n">
        <x:f>IF(ISNUMBER(AL64),IF('Scoring Setup'!$L$24=1,1-'Scoring Setup'!$B$5*(1-MAX(0,MIN(1,(AL64-'Scoring Setup'!$K$24)/(100-'Scoring Setup'!$K$24)))),1),"")</x:f>
        <x:v>0.9094545454545454</x:v>
      </x:c>
      <x:c r="BE64" s="27" t="n">
        <x:f>IF(ISNUMBER(AM64),IF('Scoring Setup'!$L$25=1,1-'Scoring Setup'!$B$5*(1-MAX(0,MIN(1,(AM64-'Scoring Setup'!$K$25)/(100-'Scoring Setup'!$K$25)))),1),"")</x:f>
        <x:v>0.8549228700052378</x:v>
      </x:c>
      <x:c r="BF64" s="27" t="n">
        <x:f>IF(ISNUMBER(AN64),IF('Scoring Setup'!$L$26=1,1-'Scoring Setup'!$B$5*(1-MAX(0,MIN(1,(AN64-'Scoring Setup'!$K$26)/(100-'Scoring Setup'!$K$26)))),1),"")</x:f>
        <x:v>0.977621005370185</x:v>
      </x:c>
      <x:c r="BG64" s="34" t="n">
        <x:f>IF(COUNT(W64,X64)=2,AVERAGE(W64,X64),"")</x:f>
        <x:v>70.78571428571429</x:v>
      </x:c>
      <x:c r="BH64" s="34" t="n">
        <x:f>IF(COUNT(Y64,Z64)=2,AVERAGE(Y64,Z64),"")</x:f>
        <x:v>48.55896176996413</x:v>
      </x:c>
      <x:c r="BI64" s="34" t="n">
        <x:f>IF(COUNT(AA64,AB64,AC64)=3,AVERAGE(AA64,AB64,AC64),"")</x:f>
        <x:v>89.16716706199138</x:v>
      </x:c>
      <x:c r="BJ64" s="34" t="n">
        <x:f>IF(COUNT(AD64,AE64)=2,AVERAGE(AD64,AE64),"")</x:f>
        <x:v>0</x:v>
      </x:c>
      <x:c r="BK64" s="34" t="n">
        <x:f>IF(COUNT(AF64,AG64)=2,AVERAGE(AF64,AG64),"")</x:f>
        <x:v>74.0284405943326</x:v>
      </x:c>
      <x:c r="BL64" s="34" t="n">
        <x:f>IF(COUNT(AH64,AI64)=2,AVERAGE(AH64,AI64),"")</x:f>
        <x:v>100</x:v>
      </x:c>
      <x:c r="BM64" s="34" t="n">
        <x:f>IF(COUNT(AJ64,AK64)=2,AVERAGE(AJ64,AK64),"")</x:f>
        <x:v>100</x:v>
      </x:c>
      <x:c r="BN64" s="34" t="n">
        <x:f>IF(COUNT(AL64,AM64,AN64)=3,AVERAGE(AL64,AM64,AN64),"")</x:f>
        <x:v>56.999736804994704</x:v>
      </x:c>
      <x:c r="BO64" s="35" t="n">
        <x:f>IF(AND(COUNT(BG64:BN64)=8,ABS('Scoring Setup'!$C$17-1)&lt;0.000001),BG64*'Scoring Setup'!$C$9+BH64*'Scoring Setup'!$C$10+BI64*'Scoring Setup'!$C$11+BJ64*'Scoring Setup'!$C$12+BK64*'Scoring Setup'!$C$13+BL64*'Scoring Setup'!$C$14+BM64*'Scoring Setup'!$C$15+BN64*'Scoring Setup'!$C$16,"")</x:f>
        <x:v>60.20984558969507</x:v>
      </x:c>
      <x:c r="BP64" s="36" t="n">
        <x:f>IF(COUNT(AO64:BF64)=18,MIN(AO64:BF64),"")</x:f>
        <x:v>0.8</x:v>
      </x:c>
      <x:c r="BQ64" s="35" t="n">
        <x:f>IF(AND(ISNUMBER(BO64),ISNUMBER(BP64)),BO64*BP64,"")</x:f>
        <x:v>48.16787647175606</x:v>
      </x:c>
      <x:c r="BR64" s="17" t="str">
        <x:f>IF(COUNT(AO64:BF64)=18,INDEX('Scoring Setup'!$F$9:$F$26,MATCH(MIN(AO64:BF64),AO64:BF64,0),1),"")</x:f>
        <x:v>商业光纤100/20覆盖率</x:v>
      </x:c>
    </x:row>
    <x:row r="65">
      <x:c r="A65" s="28" t="str">
        <x:v>51125</x:v>
      </x:c>
      <x:c r="B65" s="28" t="str">
        <x:v>Nelson County</x:v>
      </x:c>
      <x:c r="C65" s="28" t="str">
        <x:v>VA</x:v>
      </x:c>
      <x:c r="D65" s="31" t="n">
        <x:v>1219.22454</x:v>
      </x:c>
      <x:c r="E65" s="32" t="n">
        <x:v>0.532</x:v>
      </x:c>
      <x:c r="F65" s="32" t="n">
        <x:v>0.9195544554455449</x:v>
      </x:c>
      <x:c r="G65" s="32" t="n">
        <x:v>2.3493850835675807</x:v>
      </x:c>
      <x:c r="H65" s="32" t="n">
        <x:v>2.6472650235338993</x:v>
      </x:c>
      <x:c r="I65" s="32" t="n">
        <x:v>0.9762440448091062</x:v>
      </x:c>
      <x:c r="J65" s="32" t="n">
        <x:v>0.0537533931421182</x:v>
      </x:c>
      <x:c r="K65" s="32" t="n">
        <x:v>0.0010767029323584581</x:v>
      </x:c>
      <x:c r="L65" s="32" t="n">
        <x:v>0.987657784</x:v>
      </x:c>
      <x:c r="M65" s="32" t="n">
        <x:v>0.987657784</x:v>
      </x:c>
      <x:c r="N65" s="32" t="n">
        <x:v>7017</x:v>
      </x:c>
      <x:c r="O65" s="32" t="n">
        <x:v>0.2536</x:v>
      </x:c>
      <x:c r="P65" s="32" t="n">
        <x:v>956.4606852213542</x:v>
      </x:c>
      <x:c r="Q65" s="32" t="n">
        <x:v>17.61748676300049</x:v>
      </x:c>
      <x:c r="R65" s="32" t="n">
        <x:v>27.106885099045147</x:v>
      </x:c>
      <x:c r="S65" s="32" t="n">
        <x:v>7.967431530656453</x:v>
      </x:c>
      <x:c r="T65" s="32" t="n">
        <x:v>89.9</x:v>
      </x:c>
      <x:c r="U65" s="32" t="n">
        <x:v>245.07712999476223</x:v>
      </x:c>
      <x:c r="V65" s="32" t="n">
        <x:v>244.75798925963002</x:v>
      </x:c>
      <x:c r="W65" s="33" t="n">
        <x:f>IF(ISNUMBER(E65),100*MAX(0,MIN(1,('Anchors'!$H$6-E65)/('Anchors'!$H$6-'Anchors'!$G$6))),"")</x:f>
        <x:v>52.57142857142857</x:v>
      </x:c>
      <x:c r="X65" s="33" t="n">
        <x:f>IF(ISNUMBER(F65),100*MAX(0,MIN(1,('Anchors'!$H$7-F65)/('Anchors'!$H$7-'Anchors'!$G$7))),"")</x:f>
        <x:v>0</x:v>
      </x:c>
      <x:c r="Y65" s="33" t="n">
        <x:f>IF(ISNUMBER(G65),100*MAX(0,MIN(1,('Anchors'!$H$8-G65)/('Anchors'!$H$8-'Anchors'!$G$8))),"")</x:f>
        <x:v>55.02049721441398</x:v>
      </x:c>
      <x:c r="Z65" s="33" t="n">
        <x:f>IF(ISNUMBER(H65),100*MAX(0,MIN(1,('Anchors'!$H$9-H65)/('Anchors'!$H$9-'Anchors'!$G$9))),"")</x:f>
        <x:v>45.09116588220336</x:v>
      </x:c>
      <x:c r="AA65" s="33" t="n">
        <x:f>IF(ISNUMBER(I65),100*MAX(0,MIN(1,(I65-'Anchors'!$H$10)/('Anchors'!$G$10-'Anchors'!$H$10))),"")</x:f>
        <x:v>99.48548559028852</x:v>
      </x:c>
      <x:c r="AB65" s="33" t="n">
        <x:f>IF(ISNUMBER(J65),100*MAX(0,MIN(1,('Anchors'!$H$11-J65)/('Anchors'!$H$11-'Anchors'!$G$11))),"")</x:f>
        <x:v>78.49864274315273</x:v>
      </x:c>
      <x:c r="AC65" s="33" t="n">
        <x:f>IF(ISNUMBER(K65),100*MAX(0,MIN(1,('Anchors'!$H$12-K65)/('Anchors'!$H$12-'Anchors'!$G$12))),"")</x:f>
        <x:v>99.73082426691039</x:v>
      </x:c>
      <x:c r="AD65" s="33" t="n">
        <x:f>IF(ISNUMBER(L65),100*MAX(0,MIN(1,(L65-'Anchors'!$H$13)/('Anchors'!$G$13-'Anchors'!$H$13))),"")</x:f>
        <x:v>100</x:v>
      </x:c>
      <x:c r="AE65" s="33" t="n">
        <x:f>IF(ISNUMBER(M65),100*MAX(0,MIN(1,(M65-'Anchors'!$H$14)/('Anchors'!$G$14-'Anchors'!$H$14))),"")</x:f>
        <x:v>100</x:v>
      </x:c>
      <x:c r="AF65" s="33" t="n">
        <x:f>IF(ISNUMBER(N65),100*MAX(0,MIN(1,(LN(1+N65)-LN(1+'Anchors'!$H$15))/(LN(1+'Anchors'!$G$15)-LN(1+'Anchors'!$H$15)))),"")</x:f>
        <x:v>29.06723888104733</x:v>
      </x:c>
      <x:c r="AG65" s="33" t="n">
        <x:f>IF(ISNUMBER(O65),100*MAX(0,MIN(1,('Anchors'!$H$16-O65)/('Anchors'!$H$16-'Anchors'!$G$16))),"")</x:f>
        <x:v>77.37777777777778</x:v>
      </x:c>
      <x:c r="AH65" s="33" t="n">
        <x:f>IF(ISNUMBER(P65),100*MAX(0,MIN(1,('Anchors'!$H$17-P65)/('Anchors'!$H$17-'Anchors'!$G$17))),"")</x:f>
        <x:v>82.90262098524306</x:v>
      </x:c>
      <x:c r="AI65" s="33" t="n">
        <x:f>IF(ISNUMBER(Q65),100*MAX(0,MIN(1,('Anchors'!$H$18-Q65)/('Anchors'!$H$18-'Anchors'!$G$18))),"")</x:f>
        <x:v>81.9750189099993</x:v>
      </x:c>
      <x:c r="AJ65" s="33" t="n">
        <x:f>IF(ISNUMBER(R65),100*MAX(0,MIN(1,('Anchors'!$H$19-R65)/('Anchors'!$H$19-'Anchors'!$G$19))),"")</x:f>
        <x:v>50.873588668788564</x:v>
      </x:c>
      <x:c r="AK65" s="33" t="n">
        <x:f>IF(ISNUMBER(S65),100*MAX(0,MIN(1,('Anchors'!$H$20-S65)/('Anchors'!$H$20-'Anchors'!$G$20))),"")</x:f>
        <x:v>63.32930773338708</x:v>
      </x:c>
      <x:c r="AL65" s="33" t="n">
        <x:f>IF(ISNUMBER(T65),100*MAX(0,MIN(1,('Anchors'!$H$21-T65)/('Anchors'!$H$21-'Anchors'!$G$21))),"")</x:f>
        <x:v>54.72727272727271</x:v>
      </x:c>
      <x:c r="AM65" s="33" t="n">
        <x:f>IF(ISNUMBER(U65),100*MAX(0,MIN(1,('Anchors'!$H$22-U65)/('Anchors'!$H$22-'Anchors'!$G$22))),"")</x:f>
        <x:v>27.461435002618884</x:v>
      </x:c>
      <x:c r="AN65" s="33" t="n">
        <x:f>IF(ISNUMBER(V65),100*MAX(0,MIN(1,('Anchors'!$H$23-V65)/('Anchors'!$H$23-'Anchors'!$G$23))),"")</x:f>
        <x:v>88.8105026850925</x:v>
      </x:c>
      <x:c r="AO65" s="27" t="n">
        <x:f>IF(ISNUMBER(W65),IF('Scoring Setup'!$L$9=1,1-'Scoring Setup'!$B$5*(1-MAX(0,MIN(1,(W65-'Scoring Setup'!$K$9)/(100-'Scoring Setup'!$K$9)))),1),"")</x:f>
        <x:v>0.9051428571428571</x:v>
      </x:c>
      <x:c r="AP65" s="27" t="n">
        <x:f>IF(ISNUMBER(X65),IF('Scoring Setup'!$L$10=1,1-'Scoring Setup'!$B$5*(1-MAX(0,MIN(1,(X65-'Scoring Setup'!$K$10)/(100-'Scoring Setup'!$K$10)))),1),"")</x:f>
        <x:v>0.8</x:v>
      </x:c>
      <x:c r="AQ65" s="27" t="n">
        <x:f>IF(ISNUMBER(Y65),IF('Scoring Setup'!$L$11=1,1-'Scoring Setup'!$B$5*(1-MAX(0,MIN(1,(Y65-'Scoring Setup'!$K$11)/(100-'Scoring Setup'!$K$11)))),1),"")</x:f>
        <x:v>0.9100409944288279</x:v>
      </x:c>
      <x:c r="AR65" s="27" t="n">
        <x:f>IF(ISNUMBER(Z65),IF('Scoring Setup'!$L$12=1,1-'Scoring Setup'!$B$5*(1-MAX(0,MIN(1,(Z65-'Scoring Setup'!$K$12)/(100-'Scoring Setup'!$K$12)))),1),"")</x:f>
        <x:v>0.8901823317644068</x:v>
      </x:c>
      <x:c r="AS65" s="27" t="n">
        <x:f>IF(ISNUMBER(AA65),IF('Scoring Setup'!$L$13=1,1-'Scoring Setup'!$B$5*(1-MAX(0,MIN(1,(AA65-'Scoring Setup'!$K$13)/(100-'Scoring Setup'!$K$13)))),1),"")</x:f>
        <x:v>0.998970971180577</x:v>
      </x:c>
      <x:c r="AT65" s="27" t="n">
        <x:f>IF(ISNUMBER(AB65),IF('Scoring Setup'!$L$14=1,1-'Scoring Setup'!$B$5*(1-MAX(0,MIN(1,(AB65-'Scoring Setup'!$K$14)/(100-'Scoring Setup'!$K$14)))),1),"")</x:f>
        <x:v>0.9569972854863055</x:v>
      </x:c>
      <x:c r="AU65" s="27" t="n">
        <x:f>IF(ISNUMBER(AC65),IF('Scoring Setup'!$L$15=1,1-'Scoring Setup'!$B$5*(1-MAX(0,MIN(1,(AC65-'Scoring Setup'!$K$15)/(100-'Scoring Setup'!$K$15)))),1),"")</x:f>
        <x:v>0.9994616485338208</x:v>
      </x:c>
      <x:c r="AV65" s="27" t="n">
        <x:f>IF(ISNUMBER(AD65),IF('Scoring Setup'!$L$16=1,1-'Scoring Setup'!$B$5*(1-MAX(0,MIN(1,(AD65-'Scoring Setup'!$K$16)/(100-'Scoring Setup'!$K$16)))),1),"")</x:f>
        <x:v>1</x:v>
      </x:c>
      <x:c r="AW65" s="27" t="n">
        <x:f>IF(ISNUMBER(AE65),IF('Scoring Setup'!$L$17=1,1-'Scoring Setup'!$B$5*(1-MAX(0,MIN(1,(AE65-'Scoring Setup'!$K$17)/(100-'Scoring Setup'!$K$17)))),1),"")</x:f>
        <x:v>1</x:v>
      </x:c>
      <x:c r="AX65" s="27" t="n">
        <x:f>IF(ISNUMBER(AF65),IF('Scoring Setup'!$L$18=1,1-'Scoring Setup'!$B$5*(1-MAX(0,MIN(1,(AF65-'Scoring Setup'!$K$18)/(100-'Scoring Setup'!$K$18)))),1),"")</x:f>
        <x:v>0.8581344777620946</x:v>
      </x:c>
      <x:c r="AY65" s="27" t="n">
        <x:f>IF(ISNUMBER(AG65),IF('Scoring Setup'!$L$19=1,1-'Scoring Setup'!$B$5*(1-MAX(0,MIN(1,(AG65-'Scoring Setup'!$K$19)/(100-'Scoring Setup'!$K$19)))),1),"")</x:f>
        <x:v>0.9547555555555556</x:v>
      </x:c>
      <x:c r="AZ65" s="27" t="n">
        <x:f>IF(ISNUMBER(AH65),IF('Scoring Setup'!$L$20=1,1-'Scoring Setup'!$B$5*(1-MAX(0,MIN(1,(AH65-'Scoring Setup'!$K$20)/(100-'Scoring Setup'!$K$20)))),1),"")</x:f>
        <x:v>0.9658052419704861</x:v>
      </x:c>
      <x:c r="BA65" s="27" t="n">
        <x:f>IF(ISNUMBER(AI65),IF('Scoring Setup'!$L$21=1,1-'Scoring Setup'!$B$5*(1-MAX(0,MIN(1,(AI65-'Scoring Setup'!$K$21)/(100-'Scoring Setup'!$K$21)))),1),"")</x:f>
        <x:v>0.9639500378199987</x:v>
      </x:c>
      <x:c r="BB65" s="27" t="n">
        <x:f>IF(ISNUMBER(AJ65),IF('Scoring Setup'!$L$22=1,1-'Scoring Setup'!$B$5*(1-MAX(0,MIN(1,(AJ65-'Scoring Setup'!$K$22)/(100-'Scoring Setup'!$K$22)))),1),"")</x:f>
        <x:v>0.9017471773375771</x:v>
      </x:c>
      <x:c r="BC65" s="27" t="n">
        <x:f>IF(ISNUMBER(AK65),IF('Scoring Setup'!$L$23=1,1-'Scoring Setup'!$B$5*(1-MAX(0,MIN(1,(AK65-'Scoring Setup'!$K$23)/(100-'Scoring Setup'!$K$23)))),1),"")</x:f>
        <x:v>0.9266586154667742</x:v>
      </x:c>
      <x:c r="BD65" s="27" t="n">
        <x:f>IF(ISNUMBER(AL65),IF('Scoring Setup'!$L$24=1,1-'Scoring Setup'!$B$5*(1-MAX(0,MIN(1,(AL65-'Scoring Setup'!$K$24)/(100-'Scoring Setup'!$K$24)))),1),"")</x:f>
        <x:v>0.9094545454545454</x:v>
      </x:c>
      <x:c r="BE65" s="27" t="n">
        <x:f>IF(ISNUMBER(AM65),IF('Scoring Setup'!$L$25=1,1-'Scoring Setup'!$B$5*(1-MAX(0,MIN(1,(AM65-'Scoring Setup'!$K$25)/(100-'Scoring Setup'!$K$25)))),1),"")</x:f>
        <x:v>0.8549228700052378</x:v>
      </x:c>
      <x:c r="BF65" s="27" t="n">
        <x:f>IF(ISNUMBER(AN65),IF('Scoring Setup'!$L$26=1,1-'Scoring Setup'!$B$5*(1-MAX(0,MIN(1,(AN65-'Scoring Setup'!$K$26)/(100-'Scoring Setup'!$K$26)))),1),"")</x:f>
        <x:v>0.977621005370185</x:v>
      </x:c>
      <x:c r="BG65" s="34" t="n">
        <x:f>IF(COUNT(W65,X65)=2,AVERAGE(W65,X65),"")</x:f>
        <x:v>26.285714285714285</x:v>
      </x:c>
      <x:c r="BH65" s="34" t="n">
        <x:f>IF(COUNT(Y65,Z65)=2,AVERAGE(Y65,Z65),"")</x:f>
        <x:v>50.055831548308674</x:v>
      </x:c>
      <x:c r="BI65" s="34" t="n">
        <x:f>IF(COUNT(AA65,AB65,AC65)=3,AVERAGE(AA65,AB65,AC65),"")</x:f>
        <x:v>92.57165086678388</x:v>
      </x:c>
      <x:c r="BJ65" s="34" t="n">
        <x:f>IF(COUNT(AD65,AE65)=2,AVERAGE(AD65,AE65),"")</x:f>
        <x:v>100</x:v>
      </x:c>
      <x:c r="BK65" s="34" t="n">
        <x:f>IF(COUNT(AF65,AG65)=2,AVERAGE(AF65,AG65),"")</x:f>
        <x:v>53.222508329412555</x:v>
      </x:c>
      <x:c r="BL65" s="34" t="n">
        <x:f>IF(COUNT(AH65,AI65)=2,AVERAGE(AH65,AI65),"")</x:f>
        <x:v>82.43881994762118</x:v>
      </x:c>
      <x:c r="BM65" s="34" t="n">
        <x:f>IF(COUNT(AJ65,AK65)=2,AVERAGE(AJ65,AK65),"")</x:f>
        <x:v>57.10144820108782</x:v>
      </x:c>
      <x:c r="BN65" s="34" t="n">
        <x:f>IF(COUNT(AL65,AM65,AN65)=3,AVERAGE(AL65,AM65,AN65),"")</x:f>
        <x:v>56.999736804994704</x:v>
      </x:c>
      <x:c r="BO65" s="35" t="n">
        <x:f>IF(AND(COUNT(BG65:BN65)=8,ABS('Scoring Setup'!$C$17-1)&lt;0.000001),BG65*'Scoring Setup'!$C$9+BH65*'Scoring Setup'!$C$10+BI65*'Scoring Setup'!$C$11+BJ65*'Scoring Setup'!$C$12+BK65*'Scoring Setup'!$C$13+BL65*'Scoring Setup'!$C$14+BM65*'Scoring Setup'!$C$15+BN65*'Scoring Setup'!$C$16,"")</x:f>
        <x:v>61.29608810678667</x:v>
      </x:c>
      <x:c r="BP65" s="36" t="n">
        <x:f>IF(COUNT(AO65:BF65)=18,MIN(AO65:BF65),"")</x:f>
        <x:v>0.8</x:v>
      </x:c>
      <x:c r="BQ65" s="35" t="n">
        <x:f>IF(AND(ISNUMBER(BO65),ISNUMBER(BP65)),BO65*BP65,"")</x:f>
        <x:v>49.03687048542934</x:v>
      </x:c>
      <x:c r="BR65" s="17" t="str">
        <x:f>IF(COUNT(AO65:BF65)=18,INDEX('Scoring Setup'!$F$9:$F$26,MATCH(MIN(AO65:BF65),AO65:BF65,0),1),"")</x:f>
        <x:v>洪水损失率全国百分位</x:v>
      </x:c>
    </x:row>
    <x:row r="66">
      <x:c r="A66" s="28" t="str">
        <x:v>51127</x:v>
      </x:c>
      <x:c r="B66" s="28" t="str">
        <x:v>New Kent County</x:v>
      </x:c>
      <x:c r="C66" s="28" t="str">
        <x:v>VA</x:v>
      </x:c>
      <x:c r="D66" s="31" t="n">
        <x:v>543.97894</x:v>
      </x:c>
      <x:c r="E66" s="32" t="n">
        <x:v>0.332</x:v>
      </x:c>
      <x:c r="F66" s="32" t="n">
        <x:v>0.40563118811881205</x:v>
      </x:c>
      <x:c r="G66" s="32" t="n">
        <x:v>2.9530492228458978</x:v>
      </x:c>
      <x:c r="H66" s="32" t="n">
        <x:v>3.270264643078893</x:v>
      </x:c>
      <x:c r="I66" s="32" t="n">
        <x:v>0.9255863359245406</x:v>
      </x:c>
      <x:c r="J66" s="32" t="n">
        <x:v>0.033581925325041485</x:v>
      </x:c>
      <x:c r="K66" s="32" t="n">
        <x:v>0.1790998772062686</x:v>
      </x:c>
      <x:c r="L66" s="32" t="n">
        <x:v>0.049174539</x:v>
      </x:c>
      <x:c r="M66" s="32" t="n">
        <x:v>0.000353139</x:v>
      </x:c>
      <x:c r="N66" s="32" t="n">
        <x:v>14458</x:v>
      </x:c>
      <x:c r="O66" s="32" t="n">
        <x:v>0.0025</x:v>
      </x:c>
      <x:c r="P66" s="32" t="n">
        <x:v>1379.6517822265623</x:v>
      </x:c>
      <x:c r="Q66" s="32" t="n">
        <x:v>32.908193270365395</x:v>
      </x:c>
      <x:c r="R66" s="32" t="n">
        <x:v>1.9336080052791533</x:v>
      </x:c>
      <x:c r="S66" s="32" t="n">
        <x:v>7.7406246273511785</x:v>
      </x:c>
      <x:c r="T66" s="32" t="n">
        <x:v>89.9</x:v>
      </x:c>
      <x:c r="U66" s="32" t="n">
        <x:v>245.07712999476223</x:v>
      </x:c>
      <x:c r="V66" s="32" t="n">
        <x:v>244.75798925963002</x:v>
      </x:c>
      <x:c r="W66" s="33" t="n">
        <x:f>IF(ISNUMBER(E66),100*MAX(0,MIN(1,('Anchors'!$H$6-E66)/('Anchors'!$H$6-'Anchors'!$G$6))),"")</x:f>
        <x:v>81.14285714285717</x:v>
      </x:c>
      <x:c r="X66" s="33" t="n">
        <x:f>IF(ISNUMBER(F66),100*MAX(0,MIN(1,('Anchors'!$H$7-F66)/('Anchors'!$H$7-'Anchors'!$G$7))),"")</x:f>
        <x:v>56.33840169731257</x:v>
      </x:c>
      <x:c r="Y66" s="33" t="n">
        <x:f>IF(ISNUMBER(G66),100*MAX(0,MIN(1,('Anchors'!$H$8-G66)/('Anchors'!$H$8-'Anchors'!$G$8))),"")</x:f>
        <x:v>34.89835923847007</x:v>
      </x:c>
      <x:c r="Z66" s="33" t="n">
        <x:f>IF(ISNUMBER(H66),100*MAX(0,MIN(1,('Anchors'!$H$9-H66)/('Anchors'!$H$9-'Anchors'!$G$9))),"")</x:f>
        <x:v>24.324511897370236</x:v>
      </x:c>
      <x:c r="AA66" s="33" t="n">
        <x:f>IF(ISNUMBER(I66),100*MAX(0,MIN(1,(I66-'Anchors'!$H$10)/('Anchors'!$G$10-'Anchors'!$H$10))),"")</x:f>
        <x:v>92.54607341432065</x:v>
      </x:c>
      <x:c r="AB66" s="33" t="n">
        <x:f>IF(ISNUMBER(J66),100*MAX(0,MIN(1,('Anchors'!$H$11-J66)/('Anchors'!$H$11-'Anchors'!$G$11))),"")</x:f>
        <x:v>86.56722986998341</x:v>
      </x:c>
      <x:c r="AC66" s="33" t="n">
        <x:f>IF(ISNUMBER(K66),100*MAX(0,MIN(1,('Anchors'!$H$12-K66)/('Anchors'!$H$12-'Anchors'!$G$12))),"")</x:f>
        <x:v>55.22503069843285</x:v>
      </x:c>
      <x:c r="AD66" s="33" t="n">
        <x:f>IF(ISNUMBER(L66),100*MAX(0,MIN(1,(L66-'Anchors'!$H$13)/('Anchors'!$G$13-'Anchors'!$H$13))),"")</x:f>
        <x:v>0</x:v>
      </x:c>
      <x:c r="AE66" s="33" t="n">
        <x:f>IF(ISNUMBER(M66),100*MAX(0,MIN(1,(M66-'Anchors'!$H$14)/('Anchors'!$G$14-'Anchors'!$H$14))),"")</x:f>
        <x:v>0</x:v>
      </x:c>
      <x:c r="AF66" s="33" t="n">
        <x:f>IF(ISNUMBER(N66),100*MAX(0,MIN(1,(LN(1+N66)-LN(1+'Anchors'!$H$15))/(LN(1+'Anchors'!$G$15)-LN(1+'Anchors'!$H$15)))),"")</x:f>
        <x:v>45.81126561187516</x:v>
      </x:c>
      <x:c r="AG66" s="33" t="n">
        <x:f>IF(ISNUMBER(O66),100*MAX(0,MIN(1,('Anchors'!$H$16-O66)/('Anchors'!$H$16-'Anchors'!$G$16))),"")</x:f>
        <x:v>100</x:v>
      </x:c>
      <x:c r="AH66" s="33" t="n">
        <x:f>IF(ISNUMBER(P66),100*MAX(0,MIN(1,('Anchors'!$H$17-P66)/('Anchors'!$H$17-'Anchors'!$G$17))),"")</x:f>
        <x:v>54.68988118489585</x:v>
      </x:c>
      <x:c r="AI66" s="33" t="n">
        <x:f>IF(ISNUMBER(Q66),100*MAX(0,MIN(1,('Anchors'!$H$18-Q66)/('Anchors'!$H$18-'Anchors'!$G$18))),"")</x:f>
        <x:v>60.13115247090658</x:v>
      </x:c>
      <x:c r="AJ66" s="33" t="n">
        <x:f>IF(ISNUMBER(R66),100*MAX(0,MIN(1,('Anchors'!$H$19-R66)/('Anchors'!$H$19-'Anchors'!$G$19))),"")</x:f>
        <x:v>100</x:v>
      </x:c>
      <x:c r="AK66" s="33" t="n">
        <x:f>IF(ISNUMBER(S66),100*MAX(0,MIN(1,('Anchors'!$H$20-S66)/('Anchors'!$H$20-'Anchors'!$G$20))),"")</x:f>
        <x:v>64.52302827709907</x:v>
      </x:c>
      <x:c r="AL66" s="33" t="n">
        <x:f>IF(ISNUMBER(T66),100*MAX(0,MIN(1,('Anchors'!$H$21-T66)/('Anchors'!$H$21-'Anchors'!$G$21))),"")</x:f>
        <x:v>54.72727272727271</x:v>
      </x:c>
      <x:c r="AM66" s="33" t="n">
        <x:f>IF(ISNUMBER(U66),100*MAX(0,MIN(1,('Anchors'!$H$22-U66)/('Anchors'!$H$22-'Anchors'!$G$22))),"")</x:f>
        <x:v>27.461435002618884</x:v>
      </x:c>
      <x:c r="AN66" s="33" t="n">
        <x:f>IF(ISNUMBER(V66),100*MAX(0,MIN(1,('Anchors'!$H$23-V66)/('Anchors'!$H$23-'Anchors'!$G$23))),"")</x:f>
        <x:v>88.8105026850925</x:v>
      </x:c>
      <x:c r="AO66" s="27" t="n">
        <x:f>IF(ISNUMBER(W66),IF('Scoring Setup'!$L$9=1,1-'Scoring Setup'!$B$5*(1-MAX(0,MIN(1,(W66-'Scoring Setup'!$K$9)/(100-'Scoring Setup'!$K$9)))),1),"")</x:f>
        <x:v>0.9622857142857143</x:v>
      </x:c>
      <x:c r="AP66" s="27" t="n">
        <x:f>IF(ISNUMBER(X66),IF('Scoring Setup'!$L$10=1,1-'Scoring Setup'!$B$5*(1-MAX(0,MIN(1,(X66-'Scoring Setup'!$K$10)/(100-'Scoring Setup'!$K$10)))),1),"")</x:f>
        <x:v>0.9126768033946251</x:v>
      </x:c>
      <x:c r="AQ66" s="27" t="n">
        <x:f>IF(ISNUMBER(Y66),IF('Scoring Setup'!$L$11=1,1-'Scoring Setup'!$B$5*(1-MAX(0,MIN(1,(Y66-'Scoring Setup'!$K$11)/(100-'Scoring Setup'!$K$11)))),1),"")</x:f>
        <x:v>0.8697967184769402</x:v>
      </x:c>
      <x:c r="AR66" s="27" t="n">
        <x:f>IF(ISNUMBER(Z66),IF('Scoring Setup'!$L$12=1,1-'Scoring Setup'!$B$5*(1-MAX(0,MIN(1,(Z66-'Scoring Setup'!$K$12)/(100-'Scoring Setup'!$K$12)))),1),"")</x:f>
        <x:v>0.8486490237947405</x:v>
      </x:c>
      <x:c r="AS66" s="27" t="n">
        <x:f>IF(ISNUMBER(AA66),IF('Scoring Setup'!$L$13=1,1-'Scoring Setup'!$B$5*(1-MAX(0,MIN(1,(AA66-'Scoring Setup'!$K$13)/(100-'Scoring Setup'!$K$13)))),1),"")</x:f>
        <x:v>0.9850921468286413</x:v>
      </x:c>
      <x:c r="AT66" s="27" t="n">
        <x:f>IF(ISNUMBER(AB66),IF('Scoring Setup'!$L$14=1,1-'Scoring Setup'!$B$5*(1-MAX(0,MIN(1,(AB66-'Scoring Setup'!$K$14)/(100-'Scoring Setup'!$K$14)))),1),"")</x:f>
        <x:v>0.9731344597399668</x:v>
      </x:c>
      <x:c r="AU66" s="27" t="n">
        <x:f>IF(ISNUMBER(AC66),IF('Scoring Setup'!$L$15=1,1-'Scoring Setup'!$B$5*(1-MAX(0,MIN(1,(AC66-'Scoring Setup'!$K$15)/(100-'Scoring Setup'!$K$15)))),1),"")</x:f>
        <x:v>0.9104500613968657</x:v>
      </x:c>
      <x:c r="AV66" s="27" t="n">
        <x:f>IF(ISNUMBER(AD66),IF('Scoring Setup'!$L$16=1,1-'Scoring Setup'!$B$5*(1-MAX(0,MIN(1,(AD66-'Scoring Setup'!$K$16)/(100-'Scoring Setup'!$K$16)))),1),"")</x:f>
        <x:v>0.8</x:v>
      </x:c>
      <x:c r="AW66" s="27" t="n">
        <x:f>IF(ISNUMBER(AE66),IF('Scoring Setup'!$L$17=1,1-'Scoring Setup'!$B$5*(1-MAX(0,MIN(1,(AE66-'Scoring Setup'!$K$17)/(100-'Scoring Setup'!$K$17)))),1),"")</x:f>
        <x:v>0.8</x:v>
      </x:c>
      <x:c r="AX66" s="27" t="n">
        <x:f>IF(ISNUMBER(AF66),IF('Scoring Setup'!$L$18=1,1-'Scoring Setup'!$B$5*(1-MAX(0,MIN(1,(AF66-'Scoring Setup'!$K$18)/(100-'Scoring Setup'!$K$18)))),1),"")</x:f>
        <x:v>0.8916225312237503</x:v>
      </x:c>
      <x:c r="AY66" s="27" t="n">
        <x:f>IF(ISNUMBER(AG66),IF('Scoring Setup'!$L$19=1,1-'Scoring Setup'!$B$5*(1-MAX(0,MIN(1,(AG66-'Scoring Setup'!$K$19)/(100-'Scoring Setup'!$K$19)))),1),"")</x:f>
        <x:v>1</x:v>
      </x:c>
      <x:c r="AZ66" s="27" t="n">
        <x:f>IF(ISNUMBER(AH66),IF('Scoring Setup'!$L$20=1,1-'Scoring Setup'!$B$5*(1-MAX(0,MIN(1,(AH66-'Scoring Setup'!$K$20)/(100-'Scoring Setup'!$K$20)))),1),"")</x:f>
        <x:v>0.9093797623697917</x:v>
      </x:c>
      <x:c r="BA66" s="27" t="n">
        <x:f>IF(ISNUMBER(AI66),IF('Scoring Setup'!$L$21=1,1-'Scoring Setup'!$B$5*(1-MAX(0,MIN(1,(AI66-'Scoring Setup'!$K$21)/(100-'Scoring Setup'!$K$21)))),1),"")</x:f>
        <x:v>0.9202623049418132</x:v>
      </x:c>
      <x:c r="BB66" s="27" t="n">
        <x:f>IF(ISNUMBER(AJ66),IF('Scoring Setup'!$L$22=1,1-'Scoring Setup'!$B$5*(1-MAX(0,MIN(1,(AJ66-'Scoring Setup'!$K$22)/(100-'Scoring Setup'!$K$22)))),1),"")</x:f>
        <x:v>1</x:v>
      </x:c>
      <x:c r="BC66" s="27" t="n">
        <x:f>IF(ISNUMBER(AK66),IF('Scoring Setup'!$L$23=1,1-'Scoring Setup'!$B$5*(1-MAX(0,MIN(1,(AK66-'Scoring Setup'!$K$23)/(100-'Scoring Setup'!$K$23)))),1),"")</x:f>
        <x:v>0.9290460565541981</x:v>
      </x:c>
      <x:c r="BD66" s="27" t="n">
        <x:f>IF(ISNUMBER(AL66),IF('Scoring Setup'!$L$24=1,1-'Scoring Setup'!$B$5*(1-MAX(0,MIN(1,(AL66-'Scoring Setup'!$K$24)/(100-'Scoring Setup'!$K$24)))),1),"")</x:f>
        <x:v>0.9094545454545454</x:v>
      </x:c>
      <x:c r="BE66" s="27" t="n">
        <x:f>IF(ISNUMBER(AM66),IF('Scoring Setup'!$L$25=1,1-'Scoring Setup'!$B$5*(1-MAX(0,MIN(1,(AM66-'Scoring Setup'!$K$25)/(100-'Scoring Setup'!$K$25)))),1),"")</x:f>
        <x:v>0.8549228700052378</x:v>
      </x:c>
      <x:c r="BF66" s="27" t="n">
        <x:f>IF(ISNUMBER(AN66),IF('Scoring Setup'!$L$26=1,1-'Scoring Setup'!$B$5*(1-MAX(0,MIN(1,(AN66-'Scoring Setup'!$K$26)/(100-'Scoring Setup'!$K$26)))),1),"")</x:f>
        <x:v>0.977621005370185</x:v>
      </x:c>
      <x:c r="BG66" s="34" t="n">
        <x:f>IF(COUNT(W66,X66)=2,AVERAGE(W66,X66),"")</x:f>
        <x:v>68.74062942008487</x:v>
      </x:c>
      <x:c r="BH66" s="34" t="n">
        <x:f>IF(COUNT(Y66,Z66)=2,AVERAGE(Y66,Z66),"")</x:f>
        <x:v>29.611435567920154</x:v>
      </x:c>
      <x:c r="BI66" s="34" t="n">
        <x:f>IF(COUNT(AA66,AB66,AC66)=3,AVERAGE(AA66,AB66,AC66),"")</x:f>
        <x:v>78.11277799424563</x:v>
      </x:c>
      <x:c r="BJ66" s="34" t="n">
        <x:f>IF(COUNT(AD66,AE66)=2,AVERAGE(AD66,AE66),"")</x:f>
        <x:v>0</x:v>
      </x:c>
      <x:c r="BK66" s="34" t="n">
        <x:f>IF(COUNT(AF66,AG66)=2,AVERAGE(AF66,AG66),"")</x:f>
        <x:v>72.90563280593759</x:v>
      </x:c>
      <x:c r="BL66" s="34" t="n">
        <x:f>IF(COUNT(AH66,AI66)=2,AVERAGE(AH66,AI66),"")</x:f>
        <x:v>57.41051682790122</x:v>
      </x:c>
      <x:c r="BM66" s="34" t="n">
        <x:f>IF(COUNT(AJ66,AK66)=2,AVERAGE(AJ66,AK66),"")</x:f>
        <x:v>82.26151413854953</x:v>
      </x:c>
      <x:c r="BN66" s="34" t="n">
        <x:f>IF(COUNT(AL66,AM66,AN66)=3,AVERAGE(AL66,AM66,AN66),"")</x:f>
        <x:v>56.999736804994704</x:v>
      </x:c>
      <x:c r="BO66" s="35" t="n">
        <x:f>IF(AND(COUNT(BG66:BN66)=8,ABS('Scoring Setup'!$C$17-1)&lt;0.000001),BG66*'Scoring Setup'!$C$9+BH66*'Scoring Setup'!$C$10+BI66*'Scoring Setup'!$C$11+BJ66*'Scoring Setup'!$C$12+BK66*'Scoring Setup'!$C$13+BL66*'Scoring Setup'!$C$14+BM66*'Scoring Setup'!$C$15+BN66*'Scoring Setup'!$C$16,"")</x:f>
        <x:v>51.98171372543179</x:v>
      </x:c>
      <x:c r="BP66" s="36" t="n">
        <x:f>IF(COUNT(AO66:BF66)=18,MIN(AO66:BF66),"")</x:f>
        <x:v>0.8</x:v>
      </x:c>
      <x:c r="BQ66" s="35" t="n">
        <x:f>IF(AND(ISNUMBER(BO66),ISNUMBER(BP66)),BO66*BP66,"")</x:f>
        <x:v>41.58537098034543</x:v>
      </x:c>
      <x:c r="BR66" s="17" t="str">
        <x:f>IF(COUNT(AO66:BF66)=18,INDEX('Scoring Setup'!$F$9:$F$26,MATCH(MIN(AO66:BF66),AO66:BF66,0),1),"")</x:f>
        <x:v>商业光纤100/20覆盖率</x:v>
      </x:c>
    </x:row>
    <x:row r="67">
      <x:c r="A67" s="28" t="str">
        <x:v>51131</x:v>
      </x:c>
      <x:c r="B67" s="28" t="str">
        <x:v>Northampton County</x:v>
      </x:c>
      <x:c r="C67" s="28" t="str">
        <x:v>VA</x:v>
      </x:c>
      <x:c r="D67" s="31" t="n">
        <x:v>548.331037</x:v>
      </x:c>
      <x:c r="E67" s="32" t="n">
        <x:v>0.358</x:v>
      </x:c>
      <x:c r="F67" s="32" t="n">
        <x:v>0.0278465346534653</x:v>
      </x:c>
      <x:c r="G67" s="32" t="n">
        <x:v>3.203402549976487</x:v>
      </x:c>
      <x:c r="H67" s="32" t="n">
        <x:v>3.5106851859999995</x:v>
      </x:c>
      <x:c r="I67" s="32" t="n">
        <x:v>0.9175166836916812</x:v>
      </x:c>
      <x:c r="J67" s="32" t="n">
        <x:v>0.29781651628444183</x:v>
      </x:c>
      <x:c r="K67" s="32" t="n">
        <x:v>0.41477705455735786</x:v>
      </x:c>
      <x:c r="L67" s="32" t="n">
        <x:v>0.814241141</x:v>
      </x:c>
      <x:c r="M67" s="32" t="n">
        <x:v>0.814241141</x:v>
      </x:c>
      <x:c r="N67" s="32" t="n">
        <x:v>5222</x:v>
      </x:c>
      <x:c r="O67" s="32" t="n">
        <x:v>0.79</x:v>
      </x:c>
      <x:c r="P67" s="32" t="n">
        <x:v>1405.170292154948</x:v>
      </x:c>
      <x:c r="Q67" s="32" t="n">
        <x:v>18.17881593704224</x:v>
      </x:c>
      <x:c r="R67" s="32" t="n">
        <x:v>47.37043878240174</x:v>
      </x:c>
      <x:c r="S67" s="32" t="n">
        <x:v>2.518666366600313</x:v>
      </x:c>
      <x:c r="T67" s="32" t="n">
        <x:v>89.9</x:v>
      </x:c>
      <x:c r="U67" s="32" t="n">
        <x:v>245.07712999476223</x:v>
      </x:c>
      <x:c r="V67" s="32" t="n">
        <x:v>244.75798925963002</x:v>
      </x:c>
      <x:c r="W67" s="33" t="n">
        <x:f>IF(ISNUMBER(E67),100*MAX(0,MIN(1,('Anchors'!$H$6-E67)/('Anchors'!$H$6-'Anchors'!$G$6))),"")</x:f>
        <x:v>77.42857142857143</x:v>
      </x:c>
      <x:c r="X67" s="33" t="n">
        <x:f>IF(ISNUMBER(F67),100*MAX(0,MIN(1,('Anchors'!$H$7-F67)/('Anchors'!$H$7-'Anchors'!$G$7))),"")</x:f>
        <x:v>100</x:v>
      </x:c>
      <x:c r="Y67" s="33" t="n">
        <x:f>IF(ISNUMBER(G67),100*MAX(0,MIN(1,('Anchors'!$H$8-G67)/('Anchors'!$H$8-'Anchors'!$G$8))),"")</x:f>
        <x:v>26.553248334117097</x:v>
      </x:c>
      <x:c r="Z67" s="33" t="n">
        <x:f>IF(ISNUMBER(H67),100*MAX(0,MIN(1,('Anchors'!$H$9-H67)/('Anchors'!$H$9-'Anchors'!$G$9))),"")</x:f>
        <x:v>16.310493800000017</x:v>
      </x:c>
      <x:c r="AA67" s="33" t="n">
        <x:f>IF(ISNUMBER(I67),100*MAX(0,MIN(1,(I67-'Anchors'!$H$10)/('Anchors'!$G$10-'Anchors'!$H$10))),"")</x:f>
        <x:v>91.44064160160016</x:v>
      </x:c>
      <x:c r="AB67" s="33" t="n">
        <x:f>IF(ISNUMBER(J67),100*MAX(0,MIN(1,('Anchors'!$H$11-J67)/('Anchors'!$H$11-'Anchors'!$G$11))),"")</x:f>
        <x:v>0</x:v>
      </x:c>
      <x:c r="AC67" s="33" t="n">
        <x:f>IF(ISNUMBER(K67),100*MAX(0,MIN(1,('Anchors'!$H$12-K67)/('Anchors'!$H$12-'Anchors'!$G$12))),"")</x:f>
        <x:v>0</x:v>
      </x:c>
      <x:c r="AD67" s="33" t="n">
        <x:f>IF(ISNUMBER(L67),100*MAX(0,MIN(1,(L67-'Anchors'!$H$13)/('Anchors'!$G$13-'Anchors'!$H$13))),"")</x:f>
        <x:v>87.74873442857142</x:v>
      </x:c>
      <x:c r="AE67" s="33" t="n">
        <x:f>IF(ISNUMBER(M67),100*MAX(0,MIN(1,(M67-'Anchors'!$H$14)/('Anchors'!$G$14-'Anchors'!$H$14))),"")</x:f>
        <x:v>89.280142625</x:v>
      </x:c>
      <x:c r="AF67" s="33" t="n">
        <x:f>IF(ISNUMBER(N67),100*MAX(0,MIN(1,(LN(1+N67)-LN(1+'Anchors'!$H$15))/(LN(1+'Anchors'!$G$15)-LN(1+'Anchors'!$H$15)))),"")</x:f>
        <x:v>22.22436938043249</x:v>
      </x:c>
      <x:c r="AG67" s="33" t="n">
        <x:f>IF(ISNUMBER(O67),100*MAX(0,MIN(1,('Anchors'!$H$16-O67)/('Anchors'!$H$16-'Anchors'!$G$16))),"")</x:f>
        <x:v>17.77777777777777</x:v>
      </x:c>
      <x:c r="AH67" s="33" t="n">
        <x:f>IF(ISNUMBER(P67),100*MAX(0,MIN(1,('Anchors'!$H$17-P67)/('Anchors'!$H$17-'Anchors'!$G$17))),"")</x:f>
        <x:v>52.98864718967013</x:v>
      </x:c>
      <x:c r="AI67" s="33" t="n">
        <x:f>IF(ISNUMBER(Q67),100*MAX(0,MIN(1,('Anchors'!$H$18-Q67)/('Anchors'!$H$18-'Anchors'!$G$18))),"")</x:f>
        <x:v>81.17312008993966</x:v>
      </x:c>
      <x:c r="AJ67" s="33" t="n">
        <x:f>IF(ISNUMBER(R67),100*MAX(0,MIN(1,('Anchors'!$H$19-R67)/('Anchors'!$H$19-'Anchors'!$G$19))),"")</x:f>
        <x:v>5.843469372440574</x:v>
      </x:c>
      <x:c r="AK67" s="33" t="n">
        <x:f>IF(ISNUMBER(S67),100*MAX(0,MIN(1,('Anchors'!$H$20-S67)/('Anchors'!$H$20-'Anchors'!$G$20))),"")</x:f>
        <x:v>92.00701912315624</x:v>
      </x:c>
      <x:c r="AL67" s="33" t="n">
        <x:f>IF(ISNUMBER(T67),100*MAX(0,MIN(1,('Anchors'!$H$21-T67)/('Anchors'!$H$21-'Anchors'!$G$21))),"")</x:f>
        <x:v>54.72727272727271</x:v>
      </x:c>
      <x:c r="AM67" s="33" t="n">
        <x:f>IF(ISNUMBER(U67),100*MAX(0,MIN(1,('Anchors'!$H$22-U67)/('Anchors'!$H$22-'Anchors'!$G$22))),"")</x:f>
        <x:v>27.461435002618884</x:v>
      </x:c>
      <x:c r="AN67" s="33" t="n">
        <x:f>IF(ISNUMBER(V67),100*MAX(0,MIN(1,('Anchors'!$H$23-V67)/('Anchors'!$H$23-'Anchors'!$G$23))),"")</x:f>
        <x:v>88.8105026850925</x:v>
      </x:c>
      <x:c r="AO67" s="27" t="n">
        <x:f>IF(ISNUMBER(W67),IF('Scoring Setup'!$L$9=1,1-'Scoring Setup'!$B$5*(1-MAX(0,MIN(1,(W67-'Scoring Setup'!$K$9)/(100-'Scoring Setup'!$K$9)))),1),"")</x:f>
        <x:v>0.9548571428571428</x:v>
      </x:c>
      <x:c r="AP67" s="27" t="n">
        <x:f>IF(ISNUMBER(X67),IF('Scoring Setup'!$L$10=1,1-'Scoring Setup'!$B$5*(1-MAX(0,MIN(1,(X67-'Scoring Setup'!$K$10)/(100-'Scoring Setup'!$K$10)))),1),"")</x:f>
        <x:v>1</x:v>
      </x:c>
      <x:c r="AQ67" s="27" t="n">
        <x:f>IF(ISNUMBER(Y67),IF('Scoring Setup'!$L$11=1,1-'Scoring Setup'!$B$5*(1-MAX(0,MIN(1,(Y67-'Scoring Setup'!$K$11)/(100-'Scoring Setup'!$K$11)))),1),"")</x:f>
        <x:v>0.8531064966682342</x:v>
      </x:c>
      <x:c r="AR67" s="27" t="n">
        <x:f>IF(ISNUMBER(Z67),IF('Scoring Setup'!$L$12=1,1-'Scoring Setup'!$B$5*(1-MAX(0,MIN(1,(Z67-'Scoring Setup'!$K$12)/(100-'Scoring Setup'!$K$12)))),1),"")</x:f>
        <x:v>0.8326209876</x:v>
      </x:c>
      <x:c r="AS67" s="27" t="n">
        <x:f>IF(ISNUMBER(AA67),IF('Scoring Setup'!$L$13=1,1-'Scoring Setup'!$B$5*(1-MAX(0,MIN(1,(AA67-'Scoring Setup'!$K$13)/(100-'Scoring Setup'!$K$13)))),1),"")</x:f>
        <x:v>0.9828812832032003</x:v>
      </x:c>
      <x:c r="AT67" s="27" t="n">
        <x:f>IF(ISNUMBER(AB67),IF('Scoring Setup'!$L$14=1,1-'Scoring Setup'!$B$5*(1-MAX(0,MIN(1,(AB67-'Scoring Setup'!$K$14)/(100-'Scoring Setup'!$K$14)))),1),"")</x:f>
        <x:v>0.8</x:v>
      </x:c>
      <x:c r="AU67" s="27" t="n">
        <x:f>IF(ISNUMBER(AC67),IF('Scoring Setup'!$L$15=1,1-'Scoring Setup'!$B$5*(1-MAX(0,MIN(1,(AC67-'Scoring Setup'!$K$15)/(100-'Scoring Setup'!$K$15)))),1),"")</x:f>
        <x:v>0.8</x:v>
      </x:c>
      <x:c r="AV67" s="27" t="n">
        <x:f>IF(ISNUMBER(AD67),IF('Scoring Setup'!$L$16=1,1-'Scoring Setup'!$B$5*(1-MAX(0,MIN(1,(AD67-'Scoring Setup'!$K$16)/(100-'Scoring Setup'!$K$16)))),1),"")</x:f>
        <x:v>0.9754974688571428</x:v>
      </x:c>
      <x:c r="AW67" s="27" t="n">
        <x:f>IF(ISNUMBER(AE67),IF('Scoring Setup'!$L$17=1,1-'Scoring Setup'!$B$5*(1-MAX(0,MIN(1,(AE67-'Scoring Setup'!$K$17)/(100-'Scoring Setup'!$K$17)))),1),"")</x:f>
        <x:v>0.9785602852499999</x:v>
      </x:c>
      <x:c r="AX67" s="27" t="n">
        <x:f>IF(ISNUMBER(AF67),IF('Scoring Setup'!$L$18=1,1-'Scoring Setup'!$B$5*(1-MAX(0,MIN(1,(AF67-'Scoring Setup'!$K$18)/(100-'Scoring Setup'!$K$18)))),1),"")</x:f>
        <x:v>0.844448738760865</x:v>
      </x:c>
      <x:c r="AY67" s="27" t="n">
        <x:f>IF(ISNUMBER(AG67),IF('Scoring Setup'!$L$19=1,1-'Scoring Setup'!$B$5*(1-MAX(0,MIN(1,(AG67-'Scoring Setup'!$K$19)/(100-'Scoring Setup'!$K$19)))),1),"")</x:f>
        <x:v>0.8355555555555555</x:v>
      </x:c>
      <x:c r="AZ67" s="27" t="n">
        <x:f>IF(ISNUMBER(AH67),IF('Scoring Setup'!$L$20=1,1-'Scoring Setup'!$B$5*(1-MAX(0,MIN(1,(AH67-'Scoring Setup'!$K$20)/(100-'Scoring Setup'!$K$20)))),1),"")</x:f>
        <x:v>0.9059772943793403</x:v>
      </x:c>
      <x:c r="BA67" s="27" t="n">
        <x:f>IF(ISNUMBER(AI67),IF('Scoring Setup'!$L$21=1,1-'Scoring Setup'!$B$5*(1-MAX(0,MIN(1,(AI67-'Scoring Setup'!$K$21)/(100-'Scoring Setup'!$K$21)))),1),"")</x:f>
        <x:v>0.9623462401798794</x:v>
      </x:c>
      <x:c r="BB67" s="27" t="n">
        <x:f>IF(ISNUMBER(AJ67),IF('Scoring Setup'!$L$22=1,1-'Scoring Setup'!$B$5*(1-MAX(0,MIN(1,(AJ67-'Scoring Setup'!$K$22)/(100-'Scoring Setup'!$K$22)))),1),"")</x:f>
        <x:v>0.8116869387448812</x:v>
      </x:c>
      <x:c r="BC67" s="27" t="n">
        <x:f>IF(ISNUMBER(AK67),IF('Scoring Setup'!$L$23=1,1-'Scoring Setup'!$B$5*(1-MAX(0,MIN(1,(AK67-'Scoring Setup'!$K$23)/(100-'Scoring Setup'!$K$23)))),1),"")</x:f>
        <x:v>0.9840140382463125</x:v>
      </x:c>
      <x:c r="BD67" s="27" t="n">
        <x:f>IF(ISNUMBER(AL67),IF('Scoring Setup'!$L$24=1,1-'Scoring Setup'!$B$5*(1-MAX(0,MIN(1,(AL67-'Scoring Setup'!$K$24)/(100-'Scoring Setup'!$K$24)))),1),"")</x:f>
        <x:v>0.9094545454545454</x:v>
      </x:c>
      <x:c r="BE67" s="27" t="n">
        <x:f>IF(ISNUMBER(AM67),IF('Scoring Setup'!$L$25=1,1-'Scoring Setup'!$B$5*(1-MAX(0,MIN(1,(AM67-'Scoring Setup'!$K$25)/(100-'Scoring Setup'!$K$25)))),1),"")</x:f>
        <x:v>0.8549228700052378</x:v>
      </x:c>
      <x:c r="BF67" s="27" t="n">
        <x:f>IF(ISNUMBER(AN67),IF('Scoring Setup'!$L$26=1,1-'Scoring Setup'!$B$5*(1-MAX(0,MIN(1,(AN67-'Scoring Setup'!$K$26)/(100-'Scoring Setup'!$K$26)))),1),"")</x:f>
        <x:v>0.977621005370185</x:v>
      </x:c>
      <x:c r="BG67" s="34" t="n">
        <x:f>IF(COUNT(W67,X67)=2,AVERAGE(W67,X67),"")</x:f>
        <x:v>88.71428571428572</x:v>
      </x:c>
      <x:c r="BH67" s="34" t="n">
        <x:f>IF(COUNT(Y67,Z67)=2,AVERAGE(Y67,Z67),"")</x:f>
        <x:v>21.43187106705856</x:v>
      </x:c>
      <x:c r="BI67" s="34" t="n">
        <x:f>IF(COUNT(AA67,AB67,AC67)=3,AVERAGE(AA67,AB67,AC67),"")</x:f>
        <x:v>30.480213867200053</x:v>
      </x:c>
      <x:c r="BJ67" s="34" t="n">
        <x:f>IF(COUNT(AD67,AE67)=2,AVERAGE(AD67,AE67),"")</x:f>
        <x:v>88.51443852678571</x:v>
      </x:c>
      <x:c r="BK67" s="34" t="n">
        <x:f>IF(COUNT(AF67,AG67)=2,AVERAGE(AF67,AG67),"")</x:f>
        <x:v>20.00107357910513</x:v>
      </x:c>
      <x:c r="BL67" s="34" t="n">
        <x:f>IF(COUNT(AH67,AI67)=2,AVERAGE(AH67,AI67),"")</x:f>
        <x:v>67.0808836398049</x:v>
      </x:c>
      <x:c r="BM67" s="34" t="n">
        <x:f>IF(COUNT(AJ67,AK67)=2,AVERAGE(AJ67,AK67),"")</x:f>
        <x:v>48.92524424779841</x:v>
      </x:c>
      <x:c r="BN67" s="34" t="n">
        <x:f>IF(COUNT(AL67,AM67,AN67)=3,AVERAGE(AL67,AM67,AN67),"")</x:f>
        <x:v>56.999736804994704</x:v>
      </x:c>
      <x:c r="BO67" s="35" t="n">
        <x:f>IF(AND(COUNT(BG67:BN67)=8,ABS('Scoring Setup'!$C$17-1)&lt;0.000001),BG67*'Scoring Setup'!$C$9+BH67*'Scoring Setup'!$C$10+BI67*'Scoring Setup'!$C$11+BJ67*'Scoring Setup'!$C$12+BK67*'Scoring Setup'!$C$13+BL67*'Scoring Setup'!$C$14+BM67*'Scoring Setup'!$C$15+BN67*'Scoring Setup'!$C$16,"")</x:f>
        <x:v>49.957602818027944</x:v>
      </x:c>
      <x:c r="BP67" s="36" t="n">
        <x:f>IF(COUNT(AO67:BF67)=18,MIN(AO67:BF67),"")</x:f>
        <x:v>0.8</x:v>
      </x:c>
      <x:c r="BQ67" s="35" t="n">
        <x:f>IF(AND(ISNUMBER(BO67),ISNUMBER(BP67)),BO67*BP67,"")</x:f>
        <x:v>39.96608225442236</x:v>
      </x:c>
      <x:c r="BR67" s="17" t="str">
        <x:f>IF(COUNT(AO67:BF67)=18,INDEX('Scoring Setup'!$F$9:$F$26,MATCH(MIN(AO67:BF67),AO67:BF67,0),1),"")</x:f>
        <x:v>GAP1/2保护地比例</x:v>
      </x:c>
    </x:row>
    <x:row r="68">
      <x:c r="A68" s="28" t="str">
        <x:v>51133</x:v>
      </x:c>
      <x:c r="B68" s="28" t="str">
        <x:v>Northumberland County</x:v>
      </x:c>
      <x:c r="C68" s="28" t="str">
        <x:v>VA</x:v>
      </x:c>
      <x:c r="D68" s="31" t="n">
        <x:v>495.808169</x:v>
      </x:c>
      <x:c r="E68" s="32" t="n">
        <x:v>0.304</x:v>
      </x:c>
      <x:c r="F68" s="32" t="n">
        <x:v>0.0358910891089109</x:v>
      </x:c>
      <x:c r="G68" s="32" t="n">
        <x:v>3.588668060843457</x:v>
      </x:c>
      <x:c r="H68" s="32" t="n">
        <x:v>3.980139822</x:v>
      </x:c>
      <x:c r="I68" s="32" t="n">
        <x:v>0.9184981150786417</x:v>
      </x:c>
      <x:c r="J68" s="32" t="n">
        <x:v>0.017789939746268253</x:v>
      </x:c>
      <x:c r="K68" s="32" t="n">
        <x:v>0.11961229683318628</x:v>
      </x:c>
      <x:c r="L68" s="32" t="n">
        <x:v>0.225112108</x:v>
      </x:c>
      <x:c r="M68" s="32" t="n">
        <x:v>0.224912805</x:v>
      </x:c>
      <x:c r="N68" s="32" t="n">
        <x:v>4405</x:v>
      </x:c>
      <x:c r="O68" s="32" t="n">
        <x:v>0.1922</x:v>
      </x:c>
      <x:c r="P68" s="32" t="n">
        <x:v>1370.6687784830729</x:v>
      </x:c>
      <x:c r="Q68" s="32" t="n">
        <x:v>22.711178016662597</x:v>
      </x:c>
      <x:c r="R68" s="32" t="n">
        <x:v>61.54771163936984</x:v>
      </x:c>
      <x:c r="S68" s="32" t="n">
        <x:v>51.23331770793625</x:v>
      </x:c>
      <x:c r="T68" s="32" t="n">
        <x:v>89.9</x:v>
      </x:c>
      <x:c r="U68" s="32" t="n">
        <x:v>245.07712999476223</x:v>
      </x:c>
      <x:c r="V68" s="32" t="n">
        <x:v>244.75798925963002</x:v>
      </x:c>
      <x:c r="W68" s="33" t="n">
        <x:f>IF(ISNUMBER(E68),100*MAX(0,MIN(1,('Anchors'!$H$6-E68)/('Anchors'!$H$6-'Anchors'!$G$6))),"")</x:f>
        <x:v>85.14285714285717</x:v>
      </x:c>
      <x:c r="X68" s="33" t="n">
        <x:f>IF(ISNUMBER(F68),100*MAX(0,MIN(1,('Anchors'!$H$7-F68)/('Anchors'!$H$7-'Anchors'!$G$7))),"")</x:f>
        <x:v>100</x:v>
      </x:c>
      <x:c r="Y68" s="33" t="n">
        <x:f>IF(ISNUMBER(G68),100*MAX(0,MIN(1,('Anchors'!$H$8-G68)/('Anchors'!$H$8-'Anchors'!$G$8))),"")</x:f>
        <x:v>13.711064638551429</x:v>
      </x:c>
      <x:c r="Z68" s="33" t="n">
        <x:f>IF(ISNUMBER(H68),100*MAX(0,MIN(1,('Anchors'!$H$9-H68)/('Anchors'!$H$9-'Anchors'!$G$9))),"")</x:f>
        <x:v>0.6620059333333355</x:v>
      </x:c>
      <x:c r="AA68" s="33" t="n">
        <x:f>IF(ISNUMBER(I68),100*MAX(0,MIN(1,(I68-'Anchors'!$H$10)/('Anchors'!$G$10-'Anchors'!$H$10))),"")</x:f>
        <x:v>91.57508425734817</x:v>
      </x:c>
      <x:c r="AB68" s="33" t="n">
        <x:f>IF(ISNUMBER(J68),100*MAX(0,MIN(1,('Anchors'!$H$11-J68)/('Anchors'!$H$11-'Anchors'!$G$11))),"")</x:f>
        <x:v>92.8840241014927</x:v>
      </x:c>
      <x:c r="AC68" s="33" t="n">
        <x:f>IF(ISNUMBER(K68),100*MAX(0,MIN(1,('Anchors'!$H$12-K68)/('Anchors'!$H$12-'Anchors'!$G$12))),"")</x:f>
        <x:v>70.09692579170343</x:v>
      </x:c>
      <x:c r="AD68" s="33" t="n">
        <x:f>IF(ISNUMBER(L68),100*MAX(0,MIN(1,(L68-'Anchors'!$H$13)/('Anchors'!$G$13-'Anchors'!$H$13))),"")</x:f>
        <x:v>3.587443999999999</x:v>
      </x:c>
      <x:c r="AE68" s="33" t="n">
        <x:f>IF(ISNUMBER(M68),100*MAX(0,MIN(1,(M68-'Anchors'!$H$14)/('Anchors'!$G$14-'Anchors'!$H$14))),"")</x:f>
        <x:v>15.614100624999997</x:v>
      </x:c>
      <x:c r="AF68" s="33" t="n">
        <x:f>IF(ISNUMBER(N68),100*MAX(0,MIN(1,(LN(1+N68)-LN(1+'Anchors'!$H$15))/(LN(1+'Anchors'!$G$15)-LN(1+'Anchors'!$H$15)))),"")</x:f>
        <x:v>18.284019558117173</x:v>
      </x:c>
      <x:c r="AG68" s="33" t="n">
        <x:f>IF(ISNUMBER(O68),100*MAX(0,MIN(1,('Anchors'!$H$16-O68)/('Anchors'!$H$16-'Anchors'!$G$16))),"")</x:f>
        <x:v>84.2</x:v>
      </x:c>
      <x:c r="AH68" s="33" t="n">
        <x:f>IF(ISNUMBER(P68),100*MAX(0,MIN(1,('Anchors'!$H$17-P68)/('Anchors'!$H$17-'Anchors'!$G$17))),"")</x:f>
        <x:v>55.28874810112847</x:v>
      </x:c>
      <x:c r="AI68" s="33" t="n">
        <x:f>IF(ISNUMBER(Q68),100*MAX(0,MIN(1,('Anchors'!$H$18-Q68)/('Anchors'!$H$18-'Anchors'!$G$18))),"")</x:f>
        <x:v>74.69831711905343</x:v>
      </x:c>
      <x:c r="AJ68" s="33" t="n">
        <x:f>IF(ISNUMBER(R68),100*MAX(0,MIN(1,('Anchors'!$H$19-R68)/('Anchors'!$H$19-'Anchors'!$G$19))),"")</x:f>
        <x:v>0</x:v>
      </x:c>
      <x:c r="AK68" s="33" t="n">
        <x:f>IF(ISNUMBER(S68),100*MAX(0,MIN(1,('Anchors'!$H$20-S68)/('Anchors'!$H$20-'Anchors'!$G$20))),"")</x:f>
        <x:v>0</x:v>
      </x:c>
      <x:c r="AL68" s="33" t="n">
        <x:f>IF(ISNUMBER(T68),100*MAX(0,MIN(1,('Anchors'!$H$21-T68)/('Anchors'!$H$21-'Anchors'!$G$21))),"")</x:f>
        <x:v>54.72727272727271</x:v>
      </x:c>
      <x:c r="AM68" s="33" t="n">
        <x:f>IF(ISNUMBER(U68),100*MAX(0,MIN(1,('Anchors'!$H$22-U68)/('Anchors'!$H$22-'Anchors'!$G$22))),"")</x:f>
        <x:v>27.461435002618884</x:v>
      </x:c>
      <x:c r="AN68" s="33" t="n">
        <x:f>IF(ISNUMBER(V68),100*MAX(0,MIN(1,('Anchors'!$H$23-V68)/('Anchors'!$H$23-'Anchors'!$G$23))),"")</x:f>
        <x:v>88.8105026850925</x:v>
      </x:c>
      <x:c r="AO68" s="27" t="n">
        <x:f>IF(ISNUMBER(W68),IF('Scoring Setup'!$L$9=1,1-'Scoring Setup'!$B$5*(1-MAX(0,MIN(1,(W68-'Scoring Setup'!$K$9)/(100-'Scoring Setup'!$K$9)))),1),"")</x:f>
        <x:v>0.9702857142857143</x:v>
      </x:c>
      <x:c r="AP68" s="27" t="n">
        <x:f>IF(ISNUMBER(X68),IF('Scoring Setup'!$L$10=1,1-'Scoring Setup'!$B$5*(1-MAX(0,MIN(1,(X68-'Scoring Setup'!$K$10)/(100-'Scoring Setup'!$K$10)))),1),"")</x:f>
        <x:v>1</x:v>
      </x:c>
      <x:c r="AQ68" s="27" t="n">
        <x:f>IF(ISNUMBER(Y68),IF('Scoring Setup'!$L$11=1,1-'Scoring Setup'!$B$5*(1-MAX(0,MIN(1,(Y68-'Scoring Setup'!$K$11)/(100-'Scoring Setup'!$K$11)))),1),"")</x:f>
        <x:v>0.8274221292771029</x:v>
      </x:c>
      <x:c r="AR68" s="27" t="n">
        <x:f>IF(ISNUMBER(Z68),IF('Scoring Setup'!$L$12=1,1-'Scoring Setup'!$B$5*(1-MAX(0,MIN(1,(Z68-'Scoring Setup'!$K$12)/(100-'Scoring Setup'!$K$12)))),1),"")</x:f>
        <x:v>0.8013240118666667</x:v>
      </x:c>
      <x:c r="AS68" s="27" t="n">
        <x:f>IF(ISNUMBER(AA68),IF('Scoring Setup'!$L$13=1,1-'Scoring Setup'!$B$5*(1-MAX(0,MIN(1,(AA68-'Scoring Setup'!$K$13)/(100-'Scoring Setup'!$K$13)))),1),"")</x:f>
        <x:v>0.9831501685146964</x:v>
      </x:c>
      <x:c r="AT68" s="27" t="n">
        <x:f>IF(ISNUMBER(AB68),IF('Scoring Setup'!$L$14=1,1-'Scoring Setup'!$B$5*(1-MAX(0,MIN(1,(AB68-'Scoring Setup'!$K$14)/(100-'Scoring Setup'!$K$14)))),1),"")</x:f>
        <x:v>0.9857680482029854</x:v>
      </x:c>
      <x:c r="AU68" s="27" t="n">
        <x:f>IF(ISNUMBER(AC68),IF('Scoring Setup'!$L$15=1,1-'Scoring Setup'!$B$5*(1-MAX(0,MIN(1,(AC68-'Scoring Setup'!$K$15)/(100-'Scoring Setup'!$K$15)))),1),"")</x:f>
        <x:v>0.9401938515834068</x:v>
      </x:c>
      <x:c r="AV68" s="27" t="n">
        <x:f>IF(ISNUMBER(AD68),IF('Scoring Setup'!$L$16=1,1-'Scoring Setup'!$B$5*(1-MAX(0,MIN(1,(AD68-'Scoring Setup'!$K$16)/(100-'Scoring Setup'!$K$16)))),1),"")</x:f>
        <x:v>0.807174888</x:v>
      </x:c>
      <x:c r="AW68" s="27" t="n">
        <x:f>IF(ISNUMBER(AE68),IF('Scoring Setup'!$L$17=1,1-'Scoring Setup'!$B$5*(1-MAX(0,MIN(1,(AE68-'Scoring Setup'!$K$17)/(100-'Scoring Setup'!$K$17)))),1),"")</x:f>
        <x:v>0.83122820125</x:v>
      </x:c>
      <x:c r="AX68" s="27" t="n">
        <x:f>IF(ISNUMBER(AF68),IF('Scoring Setup'!$L$18=1,1-'Scoring Setup'!$B$5*(1-MAX(0,MIN(1,(AF68-'Scoring Setup'!$K$18)/(100-'Scoring Setup'!$K$18)))),1),"")</x:f>
        <x:v>0.8365680391162343</x:v>
      </x:c>
      <x:c r="AY68" s="27" t="n">
        <x:f>IF(ISNUMBER(AG68),IF('Scoring Setup'!$L$19=1,1-'Scoring Setup'!$B$5*(1-MAX(0,MIN(1,(AG68-'Scoring Setup'!$K$19)/(100-'Scoring Setup'!$K$19)))),1),"")</x:f>
        <x:v>0.9684</x:v>
      </x:c>
      <x:c r="AZ68" s="27" t="n">
        <x:f>IF(ISNUMBER(AH68),IF('Scoring Setup'!$L$20=1,1-'Scoring Setup'!$B$5*(1-MAX(0,MIN(1,(AH68-'Scoring Setup'!$K$20)/(100-'Scoring Setup'!$K$20)))),1),"")</x:f>
        <x:v>0.9105774962022569</x:v>
      </x:c>
      <x:c r="BA68" s="27" t="n">
        <x:f>IF(ISNUMBER(AI68),IF('Scoring Setup'!$L$21=1,1-'Scoring Setup'!$B$5*(1-MAX(0,MIN(1,(AI68-'Scoring Setup'!$K$21)/(100-'Scoring Setup'!$K$21)))),1),"")</x:f>
        <x:v>0.9493966342381068</x:v>
      </x:c>
      <x:c r="BB68" s="27" t="n">
        <x:f>IF(ISNUMBER(AJ68),IF('Scoring Setup'!$L$22=1,1-'Scoring Setup'!$B$5*(1-MAX(0,MIN(1,(AJ68-'Scoring Setup'!$K$22)/(100-'Scoring Setup'!$K$22)))),1),"")</x:f>
        <x:v>0.8</x:v>
      </x:c>
      <x:c r="BC68" s="27" t="n">
        <x:f>IF(ISNUMBER(AK68),IF('Scoring Setup'!$L$23=1,1-'Scoring Setup'!$B$5*(1-MAX(0,MIN(1,(AK68-'Scoring Setup'!$K$23)/(100-'Scoring Setup'!$K$23)))),1),"")</x:f>
        <x:v>0.8</x:v>
      </x:c>
      <x:c r="BD68" s="27" t="n">
        <x:f>IF(ISNUMBER(AL68),IF('Scoring Setup'!$L$24=1,1-'Scoring Setup'!$B$5*(1-MAX(0,MIN(1,(AL68-'Scoring Setup'!$K$24)/(100-'Scoring Setup'!$K$24)))),1),"")</x:f>
        <x:v>0.9094545454545454</x:v>
      </x:c>
      <x:c r="BE68" s="27" t="n">
        <x:f>IF(ISNUMBER(AM68),IF('Scoring Setup'!$L$25=1,1-'Scoring Setup'!$B$5*(1-MAX(0,MIN(1,(AM68-'Scoring Setup'!$K$25)/(100-'Scoring Setup'!$K$25)))),1),"")</x:f>
        <x:v>0.8549228700052378</x:v>
      </x:c>
      <x:c r="BF68" s="27" t="n">
        <x:f>IF(ISNUMBER(AN68),IF('Scoring Setup'!$L$26=1,1-'Scoring Setup'!$B$5*(1-MAX(0,MIN(1,(AN68-'Scoring Setup'!$K$26)/(100-'Scoring Setup'!$K$26)))),1),"")</x:f>
        <x:v>0.977621005370185</x:v>
      </x:c>
      <x:c r="BG68" s="34" t="n">
        <x:f>IF(COUNT(W68,X68)=2,AVERAGE(W68,X68),"")</x:f>
        <x:v>92.57142857142858</x:v>
      </x:c>
      <x:c r="BH68" s="34" t="n">
        <x:f>IF(COUNT(Y68,Z68)=2,AVERAGE(Y68,Z68),"")</x:f>
        <x:v>7.186535285942382</x:v>
      </x:c>
      <x:c r="BI68" s="34" t="n">
        <x:f>IF(COUNT(AA68,AB68,AC68)=3,AVERAGE(AA68,AB68,AC68),"")</x:f>
        <x:v>84.85201138351476</x:v>
      </x:c>
      <x:c r="BJ68" s="34" t="n">
        <x:f>IF(COUNT(AD68,AE68)=2,AVERAGE(AD68,AE68),"")</x:f>
        <x:v>9.600772312499998</x:v>
      </x:c>
      <x:c r="BK68" s="34" t="n">
        <x:f>IF(COUNT(AF68,AG68)=2,AVERAGE(AF68,AG68),"")</x:f>
        <x:v>51.24200977905859</x:v>
      </x:c>
      <x:c r="BL68" s="34" t="n">
        <x:f>IF(COUNT(AH68,AI68)=2,AVERAGE(AH68,AI68),"")</x:f>
        <x:v>64.99353261009095</x:v>
      </x:c>
      <x:c r="BM68" s="34" t="n">
        <x:f>IF(COUNT(AJ68,AK68)=2,AVERAGE(AJ68,AK68),"")</x:f>
        <x:v>0</x:v>
      </x:c>
      <x:c r="BN68" s="34" t="n">
        <x:f>IF(COUNT(AL68,AM68,AN68)=3,AVERAGE(AL68,AM68,AN68),"")</x:f>
        <x:v>56.999736804994704</x:v>
      </x:c>
      <x:c r="BO68" s="35" t="n">
        <x:f>IF(AND(COUNT(BG68:BN68)=8,ABS('Scoring Setup'!$C$17-1)&lt;0.000001),BG68*'Scoring Setup'!$C$9+BH68*'Scoring Setup'!$C$10+BI68*'Scoring Setup'!$C$11+BJ68*'Scoring Setup'!$C$12+BK68*'Scoring Setup'!$C$13+BL68*'Scoring Setup'!$C$14+BM68*'Scoring Setup'!$C$15+BN68*'Scoring Setup'!$C$16,"")</x:f>
        <x:v>45.61352693384163</x:v>
      </x:c>
      <x:c r="BP68" s="36" t="n">
        <x:f>IF(COUNT(AO68:BF68)=18,MIN(AO68:BF68),"")</x:f>
        <x:v>0.8</x:v>
      </x:c>
      <x:c r="BQ68" s="35" t="n">
        <x:f>IF(AND(ISNUMBER(BO68),ISNUMBER(BP68)),BO68*BP68,"")</x:f>
        <x:v>36.4908215470733</x:v>
      </x:c>
      <x:c r="BR68" s="17" t="str">
        <x:f>IF(COUNT(AO68:BF68)=18,INDEX('Scoring Setup'!$F$9:$F$26,MATCH(MIN(AO68:BF68),AO68:BF68,0),1),"")</x:f>
        <x:v>到Interstate距离</x:v>
      </x:c>
    </x:row>
    <x:row r="69">
      <x:c r="A69" s="28" t="str">
        <x:v>51135</x:v>
      </x:c>
      <x:c r="B69" s="28" t="str">
        <x:v>Nottoway County</x:v>
      </x:c>
      <x:c r="C69" s="28" t="str">
        <x:v>VA</x:v>
      </x:c>
      <x:c r="D69" s="31" t="n">
        <x:v>814.265583</x:v>
      </x:c>
      <x:c r="E69" s="32" t="n">
        <x:v>0.293</x:v>
      </x:c>
      <x:c r="F69" s="32" t="n">
        <x:v>0.028774752475247502</x:v>
      </x:c>
      <x:c r="G69" s="32" t="n">
        <x:v>3.4140878748716856</x:v>
      </x:c>
      <x:c r="H69" s="32" t="n">
        <x:v>3.7294773672401074</x:v>
      </x:c>
      <x:c r="I69" s="32" t="n">
        <x:v>0.9375116061085713</x:v>
      </x:c>
      <x:c r="J69" s="32" t="n">
        <x:v>0</x:v>
      </x:c>
      <x:c r="K69" s="32" t="n">
        <x:v>0.052569039765844</x:v>
      </x:c>
      <x:c r="L69" s="32" t="n">
        <x:v>0.516129032</x:v>
      </x:c>
      <x:c r="M69" s="32" t="n">
        <x:v>0.516129032</x:v>
      </x:c>
      <x:c r="N69" s="32" t="n">
        <x:v>5752</x:v>
      </x:c>
      <x:c r="O69" s="32" t="n">
        <x:v>0.8425</x:v>
      </x:c>
      <x:c r="P69" s="32" t="n">
        <x:v>1176.6220540364584</x:v>
      </x:c>
      <x:c r="Q69" s="32" t="n">
        <x:v>25.9905091603597</x:v>
      </x:c>
      <x:c r="R69" s="32" t="n">
        <x:v>34.93910523128092</x:v>
      </x:c>
      <x:c r="S69" s="32" t="n">
        <x:v>1.9472320139347172</x:v>
      </x:c>
      <x:c r="T69" s="32" t="n">
        <x:v>89.9</x:v>
      </x:c>
      <x:c r="U69" s="32" t="n">
        <x:v>245.07712999476223</x:v>
      </x:c>
      <x:c r="V69" s="32" t="n">
        <x:v>244.75798925963002</x:v>
      </x:c>
      <x:c r="W69" s="33" t="n">
        <x:f>IF(ISNUMBER(E69),100*MAX(0,MIN(1,('Anchors'!$H$6-E69)/('Anchors'!$H$6-'Anchors'!$G$6))),"")</x:f>
        <x:v>86.71428571428572</x:v>
      </x:c>
      <x:c r="X69" s="33" t="n">
        <x:f>IF(ISNUMBER(F69),100*MAX(0,MIN(1,('Anchors'!$H$7-F69)/('Anchors'!$H$7-'Anchors'!$G$7))),"")</x:f>
        <x:v>100</x:v>
      </x:c>
      <x:c r="Y69" s="33" t="n">
        <x:f>IF(ISNUMBER(G69),100*MAX(0,MIN(1,('Anchors'!$H$8-G69)/('Anchors'!$H$8-'Anchors'!$G$8))),"")</x:f>
        <x:v>19.530404170943815</x:v>
      </x:c>
      <x:c r="Z69" s="33" t="n">
        <x:f>IF(ISNUMBER(H69),100*MAX(0,MIN(1,('Anchors'!$H$9-H69)/('Anchors'!$H$9-'Anchors'!$G$9))),"")</x:f>
        <x:v>9.01742109199642</x:v>
      </x:c>
      <x:c r="AA69" s="33" t="n">
        <x:f>IF(ISNUMBER(I69),100*MAX(0,MIN(1,(I69-'Anchors'!$H$10)/('Anchors'!$G$10-'Anchors'!$H$10))),"")</x:f>
        <x:v>94.1796720696673</x:v>
      </x:c>
      <x:c r="AB69" s="33" t="n">
        <x:f>IF(ISNUMBER(J69),100*MAX(0,MIN(1,('Anchors'!$H$11-J69)/('Anchors'!$H$11-'Anchors'!$G$11))),"")</x:f>
        <x:v>100</x:v>
      </x:c>
      <x:c r="AC69" s="33" t="n">
        <x:f>IF(ISNUMBER(K69),100*MAX(0,MIN(1,('Anchors'!$H$12-K69)/('Anchors'!$H$12-'Anchors'!$G$12))),"")</x:f>
        <x:v>86.85774005853901</x:v>
      </x:c>
      <x:c r="AD69" s="33" t="n">
        <x:f>IF(ISNUMBER(L69),100*MAX(0,MIN(1,(L69-'Anchors'!$H$13)/('Anchors'!$G$13-'Anchors'!$H$13))),"")</x:f>
        <x:v>45.161290285714294</x:v>
      </x:c>
      <x:c r="AE69" s="33" t="n">
        <x:f>IF(ISNUMBER(M69),100*MAX(0,MIN(1,(M69-'Anchors'!$H$14)/('Anchors'!$G$14-'Anchors'!$H$14))),"")</x:f>
        <x:v>52.016129</x:v>
      </x:c>
      <x:c r="AF69" s="33" t="n">
        <x:f>IF(ISNUMBER(N69),100*MAX(0,MIN(1,(LN(1+N69)-LN(1+'Anchors'!$H$15))/(LN(1+'Anchors'!$G$15)-LN(1+'Anchors'!$H$15)))),"")</x:f>
        <x:v>24.463183892627974</x:v>
      </x:c>
      <x:c r="AG69" s="33" t="n">
        <x:f>IF(ISNUMBER(O69),100*MAX(0,MIN(1,('Anchors'!$H$16-O69)/('Anchors'!$H$16-'Anchors'!$G$16))),"")</x:f>
        <x:v>11.944444444444438</x:v>
      </x:c>
      <x:c r="AH69" s="33" t="n">
        <x:f>IF(ISNUMBER(P69),100*MAX(0,MIN(1,('Anchors'!$H$17-P69)/('Anchors'!$H$17-'Anchors'!$G$17))),"")</x:f>
        <x:v>68.22519639756945</x:v>
      </x:c>
      <x:c r="AI69" s="33" t="n">
        <x:f>IF(ISNUMBER(Q69),100*MAX(0,MIN(1,('Anchors'!$H$18-Q69)/('Anchors'!$H$18-'Anchors'!$G$18))),"")</x:f>
        <x:v>70.01355834234329</x:v>
      </x:c>
      <x:c r="AJ69" s="33" t="n">
        <x:f>IF(ISNUMBER(R69),100*MAX(0,MIN(1,('Anchors'!$H$19-R69)/('Anchors'!$H$19-'Anchors'!$G$19))),"")</x:f>
        <x:v>33.468655041597955</x:v>
      </x:c>
      <x:c r="AK69" s="33" t="n">
        <x:f>IF(ISNUMBER(S69),100*MAX(0,MIN(1,('Anchors'!$H$20-S69)/('Anchors'!$H$20-'Anchors'!$G$20))),"")</x:f>
        <x:v>95.01456834771203</x:v>
      </x:c>
      <x:c r="AL69" s="33" t="n">
        <x:f>IF(ISNUMBER(T69),100*MAX(0,MIN(1,('Anchors'!$H$21-T69)/('Anchors'!$H$21-'Anchors'!$G$21))),"")</x:f>
        <x:v>54.72727272727271</x:v>
      </x:c>
      <x:c r="AM69" s="33" t="n">
        <x:f>IF(ISNUMBER(U69),100*MAX(0,MIN(1,('Anchors'!$H$22-U69)/('Anchors'!$H$22-'Anchors'!$G$22))),"")</x:f>
        <x:v>27.461435002618884</x:v>
      </x:c>
      <x:c r="AN69" s="33" t="n">
        <x:f>IF(ISNUMBER(V69),100*MAX(0,MIN(1,('Anchors'!$H$23-V69)/('Anchors'!$H$23-'Anchors'!$G$23))),"")</x:f>
        <x:v>88.8105026850925</x:v>
      </x:c>
      <x:c r="AO69" s="27" t="n">
        <x:f>IF(ISNUMBER(W69),IF('Scoring Setup'!$L$9=1,1-'Scoring Setup'!$B$5*(1-MAX(0,MIN(1,(W69-'Scoring Setup'!$K$9)/(100-'Scoring Setup'!$K$9)))),1),"")</x:f>
        <x:v>0.9734285714285714</x:v>
      </x:c>
      <x:c r="AP69" s="27" t="n">
        <x:f>IF(ISNUMBER(X69),IF('Scoring Setup'!$L$10=1,1-'Scoring Setup'!$B$5*(1-MAX(0,MIN(1,(X69-'Scoring Setup'!$K$10)/(100-'Scoring Setup'!$K$10)))),1),"")</x:f>
        <x:v>1</x:v>
      </x:c>
      <x:c r="AQ69" s="27" t="n">
        <x:f>IF(ISNUMBER(Y69),IF('Scoring Setup'!$L$11=1,1-'Scoring Setup'!$B$5*(1-MAX(0,MIN(1,(Y69-'Scoring Setup'!$K$11)/(100-'Scoring Setup'!$K$11)))),1),"")</x:f>
        <x:v>0.8390608083418876</x:v>
      </x:c>
      <x:c r="AR69" s="27" t="n">
        <x:f>IF(ISNUMBER(Z69),IF('Scoring Setup'!$L$12=1,1-'Scoring Setup'!$B$5*(1-MAX(0,MIN(1,(Z69-'Scoring Setup'!$K$12)/(100-'Scoring Setup'!$K$12)))),1),"")</x:f>
        <x:v>0.8180348421839928</x:v>
      </x:c>
      <x:c r="AS69" s="27" t="n">
        <x:f>IF(ISNUMBER(AA69),IF('Scoring Setup'!$L$13=1,1-'Scoring Setup'!$B$5*(1-MAX(0,MIN(1,(AA69-'Scoring Setup'!$K$13)/(100-'Scoring Setup'!$K$13)))),1),"")</x:f>
        <x:v>0.9883593441393346</x:v>
      </x:c>
      <x:c r="AT69" s="27" t="n">
        <x:f>IF(ISNUMBER(AB69),IF('Scoring Setup'!$L$14=1,1-'Scoring Setup'!$B$5*(1-MAX(0,MIN(1,(AB69-'Scoring Setup'!$K$14)/(100-'Scoring Setup'!$K$14)))),1),"")</x:f>
        <x:v>1</x:v>
      </x:c>
      <x:c r="AU69" s="27" t="n">
        <x:f>IF(ISNUMBER(AC69),IF('Scoring Setup'!$L$15=1,1-'Scoring Setup'!$B$5*(1-MAX(0,MIN(1,(AC69-'Scoring Setup'!$K$15)/(100-'Scoring Setup'!$K$15)))),1),"")</x:f>
        <x:v>0.973715480117078</x:v>
      </x:c>
      <x:c r="AV69" s="27" t="n">
        <x:f>IF(ISNUMBER(AD69),IF('Scoring Setup'!$L$16=1,1-'Scoring Setup'!$B$5*(1-MAX(0,MIN(1,(AD69-'Scoring Setup'!$K$16)/(100-'Scoring Setup'!$K$16)))),1),"")</x:f>
        <x:v>0.8903225805714285</x:v>
      </x:c>
      <x:c r="AW69" s="27" t="n">
        <x:f>IF(ISNUMBER(AE69),IF('Scoring Setup'!$L$17=1,1-'Scoring Setup'!$B$5*(1-MAX(0,MIN(1,(AE69-'Scoring Setup'!$K$17)/(100-'Scoring Setup'!$K$17)))),1),"")</x:f>
        <x:v>0.904032258</x:v>
      </x:c>
      <x:c r="AX69" s="27" t="n">
        <x:f>IF(ISNUMBER(AF69),IF('Scoring Setup'!$L$18=1,1-'Scoring Setup'!$B$5*(1-MAX(0,MIN(1,(AF69-'Scoring Setup'!$K$18)/(100-'Scoring Setup'!$K$18)))),1),"")</x:f>
        <x:v>0.8489263677852559</x:v>
      </x:c>
      <x:c r="AY69" s="27" t="n">
        <x:f>IF(ISNUMBER(AG69),IF('Scoring Setup'!$L$19=1,1-'Scoring Setup'!$B$5*(1-MAX(0,MIN(1,(AG69-'Scoring Setup'!$K$19)/(100-'Scoring Setup'!$K$19)))),1),"")</x:f>
        <x:v>0.8238888888888889</x:v>
      </x:c>
      <x:c r="AZ69" s="27" t="n">
        <x:f>IF(ISNUMBER(AH69),IF('Scoring Setup'!$L$20=1,1-'Scoring Setup'!$B$5*(1-MAX(0,MIN(1,(AH69-'Scoring Setup'!$K$20)/(100-'Scoring Setup'!$K$20)))),1),"")</x:f>
        <x:v>0.9364503927951389</x:v>
      </x:c>
      <x:c r="BA69" s="27" t="n">
        <x:f>IF(ISNUMBER(AI69),IF('Scoring Setup'!$L$21=1,1-'Scoring Setup'!$B$5*(1-MAX(0,MIN(1,(AI69-'Scoring Setup'!$K$21)/(100-'Scoring Setup'!$K$21)))),1),"")</x:f>
        <x:v>0.9400271166846865</x:v>
      </x:c>
      <x:c r="BB69" s="27" t="n">
        <x:f>IF(ISNUMBER(AJ69),IF('Scoring Setup'!$L$22=1,1-'Scoring Setup'!$B$5*(1-MAX(0,MIN(1,(AJ69-'Scoring Setup'!$K$22)/(100-'Scoring Setup'!$K$22)))),1),"")</x:f>
        <x:v>0.8669373100831959</x:v>
      </x:c>
      <x:c r="BC69" s="27" t="n">
        <x:f>IF(ISNUMBER(AK69),IF('Scoring Setup'!$L$23=1,1-'Scoring Setup'!$B$5*(1-MAX(0,MIN(1,(AK69-'Scoring Setup'!$K$23)/(100-'Scoring Setup'!$K$23)))),1),"")</x:f>
        <x:v>0.990029136695424</x:v>
      </x:c>
      <x:c r="BD69" s="27" t="n">
        <x:f>IF(ISNUMBER(AL69),IF('Scoring Setup'!$L$24=1,1-'Scoring Setup'!$B$5*(1-MAX(0,MIN(1,(AL69-'Scoring Setup'!$K$24)/(100-'Scoring Setup'!$K$24)))),1),"")</x:f>
        <x:v>0.9094545454545454</x:v>
      </x:c>
      <x:c r="BE69" s="27" t="n">
        <x:f>IF(ISNUMBER(AM69),IF('Scoring Setup'!$L$25=1,1-'Scoring Setup'!$B$5*(1-MAX(0,MIN(1,(AM69-'Scoring Setup'!$K$25)/(100-'Scoring Setup'!$K$25)))),1),"")</x:f>
        <x:v>0.8549228700052378</x:v>
      </x:c>
      <x:c r="BF69" s="27" t="n">
        <x:f>IF(ISNUMBER(AN69),IF('Scoring Setup'!$L$26=1,1-'Scoring Setup'!$B$5*(1-MAX(0,MIN(1,(AN69-'Scoring Setup'!$K$26)/(100-'Scoring Setup'!$K$26)))),1),"")</x:f>
        <x:v>0.977621005370185</x:v>
      </x:c>
      <x:c r="BG69" s="34" t="n">
        <x:f>IF(COUNT(W69,X69)=2,AVERAGE(W69,X69),"")</x:f>
        <x:v>93.35714285714286</x:v>
      </x:c>
      <x:c r="BH69" s="34" t="n">
        <x:f>IF(COUNT(Y69,Z69)=2,AVERAGE(Y69,Z69),"")</x:f>
        <x:v>14.273912631470118</x:v>
      </x:c>
      <x:c r="BI69" s="34" t="n">
        <x:f>IF(COUNT(AA69,AB69,AC69)=3,AVERAGE(AA69,AB69,AC69),"")</x:f>
        <x:v>93.67913737606877</x:v>
      </x:c>
      <x:c r="BJ69" s="34" t="n">
        <x:f>IF(COUNT(AD69,AE69)=2,AVERAGE(AD69,AE69),"")</x:f>
        <x:v>48.58870964285715</x:v>
      </x:c>
      <x:c r="BK69" s="34" t="n">
        <x:f>IF(COUNT(AF69,AG69)=2,AVERAGE(AF69,AG69),"")</x:f>
        <x:v>18.203814168536205</x:v>
      </x:c>
      <x:c r="BL69" s="34" t="n">
        <x:f>IF(COUNT(AH69,AI69)=2,AVERAGE(AH69,AI69),"")</x:f>
        <x:v>69.11937736995637</x:v>
      </x:c>
      <x:c r="BM69" s="34" t="n">
        <x:f>IF(COUNT(AJ69,AK69)=2,AVERAGE(AJ69,AK69),"")</x:f>
        <x:v>64.24161169465499</x:v>
      </x:c>
      <x:c r="BN69" s="34" t="n">
        <x:f>IF(COUNT(AL69,AM69,AN69)=3,AVERAGE(AL69,AM69,AN69),"")</x:f>
        <x:v>56.999736804994704</x:v>
      </x:c>
      <x:c r="BO69" s="35" t="n">
        <x:f>IF(AND(COUNT(BG69:BN69)=8,ABS('Scoring Setup'!$C$17-1)&lt;0.000001),BG69*'Scoring Setup'!$C$9+BH69*'Scoring Setup'!$C$10+BI69*'Scoring Setup'!$C$11+BJ69*'Scoring Setup'!$C$12+BK69*'Scoring Setup'!$C$13+BL69*'Scoring Setup'!$C$14+BM69*'Scoring Setup'!$C$15+BN69*'Scoring Setup'!$C$16,"")</x:f>
        <x:v>52.0056334254835</x:v>
      </x:c>
      <x:c r="BP69" s="36" t="n">
        <x:f>IF(COUNT(AO69:BF69)=18,MIN(AO69:BF69),"")</x:f>
        <x:v>0.8180348421839928</x:v>
      </x:c>
      <x:c r="BQ69" s="35" t="n">
        <x:f>IF(AND(ISNUMBER(BO69),ISNUMBER(BP69)),BO69*BP69,"")</x:f>
        <x:v>42.54242013189398</x:v>
      </x:c>
      <x:c r="BR69" s="17" t="str">
        <x:f>IF(COUNT(AO69:BF69)=18,INDEX('Scoring Setup'!$F$9:$F$26,MATCH(MIN(AO69:BF69),AO69:BF69,0),1),"")</x:f>
        <x:v>2050 BAU水压力</x:v>
      </x:c>
    </x:row>
    <x:row r="70">
      <x:c r="A70" s="28" t="str">
        <x:v>51137</x:v>
      </x:c>
      <x:c r="B70" s="28" t="str">
        <x:v>Orange County</x:v>
      </x:c>
      <x:c r="C70" s="28" t="str">
        <x:v>VA</x:v>
      </x:c>
      <x:c r="D70" s="31" t="n">
        <x:v>881.929772</x:v>
      </x:c>
      <x:c r="E70" s="32" t="n">
        <x:v>0.312</x:v>
      </x:c>
      <x:c r="F70" s="32" t="n">
        <x:v>0.196782178217822</x:v>
      </x:c>
      <x:c r="G70" s="32" t="n">
        <x:v>2.24274839097103</x:v>
      </x:c>
      <x:c r="H70" s="32" t="n">
        <x:v>2.6206509142329435</x:v>
      </x:c>
      <x:c r="I70" s="32" t="n">
        <x:v>0.9552967854188653</x:v>
      </x:c>
      <x:c r="J70" s="32" t="n">
        <x:v>0.0026128150868409594</x:v>
      </x:c>
      <x:c r="K70" s="32" t="n">
        <x:v>0.01663624176388374</x:v>
      </x:c>
      <x:c r="L70" s="32" t="n">
        <x:v>0.646849593</x:v>
      </x:c>
      <x:c r="M70" s="32" t="n">
        <x:v>0.646341463</x:v>
      </x:c>
      <x:c r="N70" s="32" t="n">
        <x:v>18100</x:v>
      </x:c>
      <x:c r="O70" s="32" t="n">
        <x:v>0.2593</x:v>
      </x:c>
      <x:c r="P70" s="32" t="n">
        <x:v>1075.698183186849</x:v>
      </x:c>
      <x:c r="Q70" s="32" t="n">
        <x:v>21.63264344533285</x:v>
      </x:c>
      <x:c r="R70" s="32" t="n">
        <x:v>34.80513657336051</x:v>
      </x:c>
      <x:c r="S70" s="32" t="n">
        <x:v>7.970829159312416</x:v>
      </x:c>
      <x:c r="T70" s="32" t="n">
        <x:v>89.9</x:v>
      </x:c>
      <x:c r="U70" s="32" t="n">
        <x:v>245.07712999476223</x:v>
      </x:c>
      <x:c r="V70" s="32" t="n">
        <x:v>244.75798925963002</x:v>
      </x:c>
      <x:c r="W70" s="33" t="n">
        <x:f>IF(ISNUMBER(E70),100*MAX(0,MIN(1,('Anchors'!$H$6-E70)/('Anchors'!$H$6-'Anchors'!$G$6))),"")</x:f>
        <x:v>84.00000000000001</x:v>
      </x:c>
      <x:c r="X70" s="33" t="n">
        <x:f>IF(ISNUMBER(F70),100*MAX(0,MIN(1,('Anchors'!$H$7-F70)/('Anchors'!$H$7-'Anchors'!$G$7))),"")</x:f>
        <x:v>86.17397454031112</x:v>
      </x:c>
      <x:c r="Y70" s="33" t="n">
        <x:f>IF(ISNUMBER(G70),100*MAX(0,MIN(1,('Anchors'!$H$8-G70)/('Anchors'!$H$8-'Anchors'!$G$8))),"")</x:f>
        <x:v>58.575053634299</x:v>
      </x:c>
      <x:c r="Z70" s="33" t="n">
        <x:f>IF(ISNUMBER(H70),100*MAX(0,MIN(1,('Anchors'!$H$9-H70)/('Anchors'!$H$9-'Anchors'!$G$9))),"")</x:f>
        <x:v>45.978302858901884</x:v>
      </x:c>
      <x:c r="AA70" s="33" t="n">
        <x:f>IF(ISNUMBER(I70),100*MAX(0,MIN(1,(I70-'Anchors'!$H$10)/('Anchors'!$G$10-'Anchors'!$H$10))),"")</x:f>
        <x:v>96.61599800258429</x:v>
      </x:c>
      <x:c r="AB70" s="33" t="n">
        <x:f>IF(ISNUMBER(J70),100*MAX(0,MIN(1,('Anchors'!$H$11-J70)/('Anchors'!$H$11-'Anchors'!$G$11))),"")</x:f>
        <x:v>98.95487396526362</x:v>
      </x:c>
      <x:c r="AC70" s="33" t="n">
        <x:f>IF(ISNUMBER(K70),100*MAX(0,MIN(1,('Anchors'!$H$12-K70)/('Anchors'!$H$12-'Anchors'!$G$12))),"")</x:f>
        <x:v>95.84093955902907</x:v>
      </x:c>
      <x:c r="AD70" s="33" t="n">
        <x:f>IF(ISNUMBER(L70),100*MAX(0,MIN(1,(L70-'Anchors'!$H$13)/('Anchors'!$G$13-'Anchors'!$H$13))),"")</x:f>
        <x:v>63.83565614285715</x:v>
      </x:c>
      <x:c r="AE70" s="33" t="n">
        <x:f>IF(ISNUMBER(M70),100*MAX(0,MIN(1,(M70-'Anchors'!$H$14)/('Anchors'!$G$14-'Anchors'!$H$14))),"")</x:f>
        <x:v>68.29268287499998</x:v>
      </x:c>
      <x:c r="AF70" s="33" t="n">
        <x:f>IF(ISNUMBER(N70),100*MAX(0,MIN(1,(LN(1+N70)-LN(1+'Anchors'!$H$15))/(LN(1+'Anchors'!$G$15)-LN(1+'Anchors'!$H$15)))),"")</x:f>
        <x:v>51.01511996553666</x:v>
      </x:c>
      <x:c r="AG70" s="33" t="n">
        <x:f>IF(ISNUMBER(O70),100*MAX(0,MIN(1,('Anchors'!$H$16-O70)/('Anchors'!$H$16-'Anchors'!$G$16))),"")</x:f>
        <x:v>76.74444444444445</x:v>
      </x:c>
      <x:c r="AH70" s="33" t="n">
        <x:f>IF(ISNUMBER(P70),100*MAX(0,MIN(1,('Anchors'!$H$17-P70)/('Anchors'!$H$17-'Anchors'!$G$17))),"")</x:f>
        <x:v>74.95345445421006</x:v>
      </x:c>
      <x:c r="AI70" s="33" t="n">
        <x:f>IF(ISNUMBER(Q70),100*MAX(0,MIN(1,('Anchors'!$H$18-Q70)/('Anchors'!$H$18-'Anchors'!$G$18))),"")</x:f>
        <x:v>76.23908079238166</x:v>
      </x:c>
      <x:c r="AJ70" s="33" t="n">
        <x:f>IF(ISNUMBER(R70),100*MAX(0,MIN(1,('Anchors'!$H$19-R70)/('Anchors'!$H$19-'Anchors'!$G$19))),"")</x:f>
        <x:v>33.76636317030999</x:v>
      </x:c>
      <x:c r="AK70" s="33" t="n">
        <x:f>IF(ISNUMBER(S70),100*MAX(0,MIN(1,('Anchors'!$H$20-S70)/('Anchors'!$H$20-'Anchors'!$G$20))),"")</x:f>
        <x:v>63.311425477303075</x:v>
      </x:c>
      <x:c r="AL70" s="33" t="n">
        <x:f>IF(ISNUMBER(T70),100*MAX(0,MIN(1,('Anchors'!$H$21-T70)/('Anchors'!$H$21-'Anchors'!$G$21))),"")</x:f>
        <x:v>54.72727272727271</x:v>
      </x:c>
      <x:c r="AM70" s="33" t="n">
        <x:f>IF(ISNUMBER(U70),100*MAX(0,MIN(1,('Anchors'!$H$22-U70)/('Anchors'!$H$22-'Anchors'!$G$22))),"")</x:f>
        <x:v>27.461435002618884</x:v>
      </x:c>
      <x:c r="AN70" s="33" t="n">
        <x:f>IF(ISNUMBER(V70),100*MAX(0,MIN(1,('Anchors'!$H$23-V70)/('Anchors'!$H$23-'Anchors'!$G$23))),"")</x:f>
        <x:v>88.8105026850925</x:v>
      </x:c>
      <x:c r="AO70" s="27" t="n">
        <x:f>IF(ISNUMBER(W70),IF('Scoring Setup'!$L$9=1,1-'Scoring Setup'!$B$5*(1-MAX(0,MIN(1,(W70-'Scoring Setup'!$K$9)/(100-'Scoring Setup'!$K$9)))),1),"")</x:f>
        <x:v>0.9680000000000001</x:v>
      </x:c>
      <x:c r="AP70" s="27" t="n">
        <x:f>IF(ISNUMBER(X70),IF('Scoring Setup'!$L$10=1,1-'Scoring Setup'!$B$5*(1-MAX(0,MIN(1,(X70-'Scoring Setup'!$K$10)/(100-'Scoring Setup'!$K$10)))),1),"")</x:f>
        <x:v>0.9723479490806223</x:v>
      </x:c>
      <x:c r="AQ70" s="27" t="n">
        <x:f>IF(ISNUMBER(Y70),IF('Scoring Setup'!$L$11=1,1-'Scoring Setup'!$B$5*(1-MAX(0,MIN(1,(Y70-'Scoring Setup'!$K$11)/(100-'Scoring Setup'!$K$11)))),1),"")</x:f>
        <x:v>0.917150107268598</x:v>
      </x:c>
      <x:c r="AR70" s="27" t="n">
        <x:f>IF(ISNUMBER(Z70),IF('Scoring Setup'!$L$12=1,1-'Scoring Setup'!$B$5*(1-MAX(0,MIN(1,(Z70-'Scoring Setup'!$K$12)/(100-'Scoring Setup'!$K$12)))),1),"")</x:f>
        <x:v>0.8919566057178038</x:v>
      </x:c>
      <x:c r="AS70" s="27" t="n">
        <x:f>IF(ISNUMBER(AA70),IF('Scoring Setup'!$L$13=1,1-'Scoring Setup'!$B$5*(1-MAX(0,MIN(1,(AA70-'Scoring Setup'!$K$13)/(100-'Scoring Setup'!$K$13)))),1),"")</x:f>
        <x:v>0.9932319960051685</x:v>
      </x:c>
      <x:c r="AT70" s="27" t="n">
        <x:f>IF(ISNUMBER(AB70),IF('Scoring Setup'!$L$14=1,1-'Scoring Setup'!$B$5*(1-MAX(0,MIN(1,(AB70-'Scoring Setup'!$K$14)/(100-'Scoring Setup'!$K$14)))),1),"")</x:f>
        <x:v>0.9979097479305272</x:v>
      </x:c>
      <x:c r="AU70" s="27" t="n">
        <x:f>IF(ISNUMBER(AC70),IF('Scoring Setup'!$L$15=1,1-'Scoring Setup'!$B$5*(1-MAX(0,MIN(1,(AC70-'Scoring Setup'!$K$15)/(100-'Scoring Setup'!$K$15)))),1),"")</x:f>
        <x:v>0.9916818791180582</x:v>
      </x:c>
      <x:c r="AV70" s="27" t="n">
        <x:f>IF(ISNUMBER(AD70),IF('Scoring Setup'!$L$16=1,1-'Scoring Setup'!$B$5*(1-MAX(0,MIN(1,(AD70-'Scoring Setup'!$K$16)/(100-'Scoring Setup'!$K$16)))),1),"")</x:f>
        <x:v>0.9276713122857143</x:v>
      </x:c>
      <x:c r="AW70" s="27" t="n">
        <x:f>IF(ISNUMBER(AE70),IF('Scoring Setup'!$L$17=1,1-'Scoring Setup'!$B$5*(1-MAX(0,MIN(1,(AE70-'Scoring Setup'!$K$17)/(100-'Scoring Setup'!$K$17)))),1),"")</x:f>
        <x:v>0.93658536575</x:v>
      </x:c>
      <x:c r="AX70" s="27" t="n">
        <x:f>IF(ISNUMBER(AF70),IF('Scoring Setup'!$L$18=1,1-'Scoring Setup'!$B$5*(1-MAX(0,MIN(1,(AF70-'Scoring Setup'!$K$18)/(100-'Scoring Setup'!$K$18)))),1),"")</x:f>
        <x:v>0.9020302399310733</x:v>
      </x:c>
      <x:c r="AY70" s="27" t="n">
        <x:f>IF(ISNUMBER(AG70),IF('Scoring Setup'!$L$19=1,1-'Scoring Setup'!$B$5*(1-MAX(0,MIN(1,(AG70-'Scoring Setup'!$K$19)/(100-'Scoring Setup'!$K$19)))),1),"")</x:f>
        <x:v>0.9534888888888889</x:v>
      </x:c>
      <x:c r="AZ70" s="27" t="n">
        <x:f>IF(ISNUMBER(AH70),IF('Scoring Setup'!$L$20=1,1-'Scoring Setup'!$B$5*(1-MAX(0,MIN(1,(AH70-'Scoring Setup'!$K$20)/(100-'Scoring Setup'!$K$20)))),1),"")</x:f>
        <x:v>0.9499069089084201</x:v>
      </x:c>
      <x:c r="BA70" s="27" t="n">
        <x:f>IF(ISNUMBER(AI70),IF('Scoring Setup'!$L$21=1,1-'Scoring Setup'!$B$5*(1-MAX(0,MIN(1,(AI70-'Scoring Setup'!$K$21)/(100-'Scoring Setup'!$K$21)))),1),"")</x:f>
        <x:v>0.9524781615847633</x:v>
      </x:c>
      <x:c r="BB70" s="27" t="n">
        <x:f>IF(ISNUMBER(AJ70),IF('Scoring Setup'!$L$22=1,1-'Scoring Setup'!$B$5*(1-MAX(0,MIN(1,(AJ70-'Scoring Setup'!$K$22)/(100-'Scoring Setup'!$K$22)))),1),"")</x:f>
        <x:v>0.86753272634062</x:v>
      </x:c>
      <x:c r="BC70" s="27" t="n">
        <x:f>IF(ISNUMBER(AK70),IF('Scoring Setup'!$L$23=1,1-'Scoring Setup'!$B$5*(1-MAX(0,MIN(1,(AK70-'Scoring Setup'!$K$23)/(100-'Scoring Setup'!$K$23)))),1),"")</x:f>
        <x:v>0.9266228509546062</x:v>
      </x:c>
      <x:c r="BD70" s="27" t="n">
        <x:f>IF(ISNUMBER(AL70),IF('Scoring Setup'!$L$24=1,1-'Scoring Setup'!$B$5*(1-MAX(0,MIN(1,(AL70-'Scoring Setup'!$K$24)/(100-'Scoring Setup'!$K$24)))),1),"")</x:f>
        <x:v>0.9094545454545454</x:v>
      </x:c>
      <x:c r="BE70" s="27" t="n">
        <x:f>IF(ISNUMBER(AM70),IF('Scoring Setup'!$L$25=1,1-'Scoring Setup'!$B$5*(1-MAX(0,MIN(1,(AM70-'Scoring Setup'!$K$25)/(100-'Scoring Setup'!$K$25)))),1),"")</x:f>
        <x:v>0.8549228700052378</x:v>
      </x:c>
      <x:c r="BF70" s="27" t="n">
        <x:f>IF(ISNUMBER(AN70),IF('Scoring Setup'!$L$26=1,1-'Scoring Setup'!$B$5*(1-MAX(0,MIN(1,(AN70-'Scoring Setup'!$K$26)/(100-'Scoring Setup'!$K$26)))),1),"")</x:f>
        <x:v>0.977621005370185</x:v>
      </x:c>
      <x:c r="BG70" s="34" t="n">
        <x:f>IF(COUNT(W70,X70)=2,AVERAGE(W70,X70),"")</x:f>
        <x:v>85.08698727015556</x:v>
      </x:c>
      <x:c r="BH70" s="34" t="n">
        <x:f>IF(COUNT(Y70,Z70)=2,AVERAGE(Y70,Z70),"")</x:f>
        <x:v>52.27667824660044</x:v>
      </x:c>
      <x:c r="BI70" s="34" t="n">
        <x:f>IF(COUNT(AA70,AB70,AC70)=3,AVERAGE(AA70,AB70,AC70),"")</x:f>
        <x:v>97.13727050895898</x:v>
      </x:c>
      <x:c r="BJ70" s="34" t="n">
        <x:f>IF(COUNT(AD70,AE70)=2,AVERAGE(AD70,AE70),"")</x:f>
        <x:v>66.06416950892856</x:v>
      </x:c>
      <x:c r="BK70" s="34" t="n">
        <x:f>IF(COUNT(AF70,AG70)=2,AVERAGE(AF70,AG70),"")</x:f>
        <x:v>63.87978220499056</x:v>
      </x:c>
      <x:c r="BL70" s="34" t="n">
        <x:f>IF(COUNT(AH70,AI70)=2,AVERAGE(AH70,AI70),"")</x:f>
        <x:v>75.59626762329586</x:v>
      </x:c>
      <x:c r="BM70" s="34" t="n">
        <x:f>IF(COUNT(AJ70,AK70)=2,AVERAGE(AJ70,AK70),"")</x:f>
        <x:v>48.53889432380653</x:v>
      </x:c>
      <x:c r="BN70" s="34" t="n">
        <x:f>IF(COUNT(AL70,AM70,AN70)=3,AVERAGE(AL70,AM70,AN70),"")</x:f>
        <x:v>56.999736804994704</x:v>
      </x:c>
      <x:c r="BO70" s="35" t="n">
        <x:f>IF(AND(COUNT(BG70:BN70)=8,ABS('Scoring Setup'!$C$17-1)&lt;0.000001),BG70*'Scoring Setup'!$C$9+BH70*'Scoring Setup'!$C$10+BI70*'Scoring Setup'!$C$11+BJ70*'Scoring Setup'!$C$12+BK70*'Scoring Setup'!$C$13+BL70*'Scoring Setup'!$C$14+BM70*'Scoring Setup'!$C$15+BN70*'Scoring Setup'!$C$16,"")</x:f>
        <x:v>64.978835737477</x:v>
      </x:c>
      <x:c r="BP70" s="36" t="n">
        <x:f>IF(COUNT(AO70:BF70)=18,MIN(AO70:BF70),"")</x:f>
        <x:v>0.8549228700052378</x:v>
      </x:c>
      <x:c r="BQ70" s="35" t="n">
        <x:f>IF(AND(ISNUMBER(BO70),ISNUMBER(BP70)),BO70*BP70,"")</x:f>
        <x:v>55.551892738282746</x:v>
      </x:c>
      <x:c r="BR70" s="17" t="str">
        <x:f>IF(COUNT(AO70:BF70)=18,INDEX('Scoring Setup'!$F$9:$F$26,MATCH(MIN(AO70:BF70),AO70:BF70,0),1),"")</x:f>
        <x:v>州SAIDI不含重大事件日</x:v>
      </x:c>
    </x:row>
    <x:row r="71">
      <x:c r="A71" s="28" t="str">
        <x:v>51139</x:v>
      </x:c>
      <x:c r="B71" s="28" t="str">
        <x:v>Page County</x:v>
      </x:c>
      <x:c r="C71" s="28" t="str">
        <x:v>VA</x:v>
      </x:c>
      <x:c r="D71" s="31" t="n">
        <x:v>802.941043</x:v>
      </x:c>
      <x:c r="E71" s="32" t="n">
        <x:v>0.607</x:v>
      </x:c>
      <x:c r="F71" s="32" t="n">
        <x:v>0.922648514851485</x:v>
      </x:c>
      <x:c r="G71" s="32" t="n">
        <x:v>2.819469390349793</x:v>
      </x:c>
      <x:c r="H71" s="32" t="n">
        <x:v>3.0679087455473804</x:v>
      </x:c>
      <x:c r="I71" s="32" t="n">
        <x:v>0.9383878041443813</x:v>
      </x:c>
      <x:c r="J71" s="32" t="n">
        <x:v>0.19924049364990212</x:v>
      </x:c>
      <x:c r="K71" s="32" t="n">
        <x:v>0.00007603958978877768</x:v>
      </x:c>
      <x:c r="L71" s="32" t="n">
        <x:v>0.034893739</x:v>
      </x:c>
      <x:c r="M71" s="32" t="n">
        <x:v>0.034821941</x:v>
      </x:c>
      <x:c r="N71" s="32" t="n">
        <x:v>11778</x:v>
      </x:c>
      <x:c r="O71" s="32" t="n">
        <x:v>0.363</x:v>
      </x:c>
      <x:c r="P71" s="32" t="n">
        <x:v>736.0596374511719</x:v>
      </x:c>
      <x:c r="Q71" s="32" t="n">
        <x:v>10.950007820129397</x:v>
      </x:c>
      <x:c r="R71" s="32" t="n">
        <x:v>15.825585051423815</x:v>
      </x:c>
      <x:c r="S71" s="32" t="n">
        <x:v>0.8011800805664615</x:v>
      </x:c>
      <x:c r="T71" s="32" t="n">
        <x:v>89.9</x:v>
      </x:c>
      <x:c r="U71" s="32" t="n">
        <x:v>245.07712999476223</x:v>
      </x:c>
      <x:c r="V71" s="32" t="n">
        <x:v>244.75798925963002</x:v>
      </x:c>
      <x:c r="W71" s="33" t="n">
        <x:f>IF(ISNUMBER(E71),100*MAX(0,MIN(1,('Anchors'!$H$6-E71)/('Anchors'!$H$6-'Anchors'!$G$6))),"")</x:f>
        <x:v>41.85714285714287</x:v>
      </x:c>
      <x:c r="X71" s="33" t="n">
        <x:f>IF(ISNUMBER(F71),100*MAX(0,MIN(1,('Anchors'!$H$7-F71)/('Anchors'!$H$7-'Anchors'!$G$7))),"")</x:f>
        <x:v>0</x:v>
      </x:c>
      <x:c r="Y71" s="33" t="n">
        <x:f>IF(ISNUMBER(G71),100*MAX(0,MIN(1,('Anchors'!$H$8-G71)/('Anchors'!$H$8-'Anchors'!$G$8))),"")</x:f>
        <x:v>39.351020321673566</x:v>
      </x:c>
      <x:c r="Z71" s="33" t="n">
        <x:f>IF(ISNUMBER(H71),100*MAX(0,MIN(1,('Anchors'!$H$9-H71)/('Anchors'!$H$9-'Anchors'!$G$9))),"")</x:f>
        <x:v>31.069708481753988</x:v>
      </x:c>
      <x:c r="AA71" s="33" t="n">
        <x:f>IF(ISNUMBER(I71),100*MAX(0,MIN(1,(I71-'Anchors'!$H$10)/('Anchors'!$G$10-'Anchors'!$H$10))),"")</x:f>
        <x:v>94.29969919786045</x:v>
      </x:c>
      <x:c r="AB71" s="33" t="n">
        <x:f>IF(ISNUMBER(J71),100*MAX(0,MIN(1,('Anchors'!$H$11-J71)/('Anchors'!$H$11-'Anchors'!$G$11))),"")</x:f>
        <x:v>20.30380254003915</x:v>
      </x:c>
      <x:c r="AC71" s="33" t="n">
        <x:f>IF(ISNUMBER(K71),100*MAX(0,MIN(1,('Anchors'!$H$12-K71)/('Anchors'!$H$12-'Anchors'!$G$12))),"")</x:f>
        <x:v>99.98099010255281</x:v>
      </x:c>
      <x:c r="AD71" s="33" t="n">
        <x:f>IF(ISNUMBER(L71),100*MAX(0,MIN(1,(L71-'Anchors'!$H$13)/('Anchors'!$G$13-'Anchors'!$H$13))),"")</x:f>
        <x:v>0</x:v>
      </x:c>
      <x:c r="AE71" s="33" t="n">
        <x:f>IF(ISNUMBER(M71),100*MAX(0,MIN(1,(M71-'Anchors'!$H$14)/('Anchors'!$G$14-'Anchors'!$H$14))),"")</x:f>
        <x:v>0</x:v>
      </x:c>
      <x:c r="AF71" s="33" t="n">
        <x:f>IF(ISNUMBER(N71),100*MAX(0,MIN(1,(LN(1+N71)-LN(1+'Anchors'!$H$15))/(LN(1+'Anchors'!$G$15)-LN(1+'Anchors'!$H$15)))),"")</x:f>
        <x:v>41.06262037198145</x:v>
      </x:c>
      <x:c r="AG71" s="33" t="n">
        <x:f>IF(ISNUMBER(O71),100*MAX(0,MIN(1,('Anchors'!$H$16-O71)/('Anchors'!$H$16-'Anchors'!$G$16))),"")</x:f>
        <x:v>65.22222222222223</x:v>
      </x:c>
      <x:c r="AH71" s="33" t="n">
        <x:f>IF(ISNUMBER(P71),100*MAX(0,MIN(1,('Anchors'!$H$17-P71)/('Anchors'!$H$17-'Anchors'!$G$17))),"")</x:f>
        <x:v>97.59602416992188</x:v>
      </x:c>
      <x:c r="AI71" s="33" t="n">
        <x:f>IF(ISNUMBER(Q71),100*MAX(0,MIN(1,('Anchors'!$H$18-Q71)/('Anchors'!$H$18-'Anchors'!$G$18))),"")</x:f>
        <x:v>91.49998882838656</x:v>
      </x:c>
      <x:c r="AJ71" s="33" t="n">
        <x:f>IF(ISNUMBER(R71),100*MAX(0,MIN(1,('Anchors'!$H$19-R71)/('Anchors'!$H$19-'Anchors'!$G$19))),"")</x:f>
        <x:v>75.9431443301693</x:v>
      </x:c>
      <x:c r="AK71" s="33" t="n">
        <x:f>IF(ISNUMBER(S71),100*MAX(0,MIN(1,('Anchors'!$H$20-S71)/('Anchors'!$H$20-'Anchors'!$G$20))),"")</x:f>
        <x:v>100</x:v>
      </x:c>
      <x:c r="AL71" s="33" t="n">
        <x:f>IF(ISNUMBER(T71),100*MAX(0,MIN(1,('Anchors'!$H$21-T71)/('Anchors'!$H$21-'Anchors'!$G$21))),"")</x:f>
        <x:v>54.72727272727271</x:v>
      </x:c>
      <x:c r="AM71" s="33" t="n">
        <x:f>IF(ISNUMBER(U71),100*MAX(0,MIN(1,('Anchors'!$H$22-U71)/('Anchors'!$H$22-'Anchors'!$G$22))),"")</x:f>
        <x:v>27.461435002618884</x:v>
      </x:c>
      <x:c r="AN71" s="33" t="n">
        <x:f>IF(ISNUMBER(V71),100*MAX(0,MIN(1,('Anchors'!$H$23-V71)/('Anchors'!$H$23-'Anchors'!$G$23))),"")</x:f>
        <x:v>88.8105026850925</x:v>
      </x:c>
      <x:c r="AO71" s="27" t="n">
        <x:f>IF(ISNUMBER(W71),IF('Scoring Setup'!$L$9=1,1-'Scoring Setup'!$B$5*(1-MAX(0,MIN(1,(W71-'Scoring Setup'!$K$9)/(100-'Scoring Setup'!$K$9)))),1),"")</x:f>
        <x:v>0.8837142857142857</x:v>
      </x:c>
      <x:c r="AP71" s="27" t="n">
        <x:f>IF(ISNUMBER(X71),IF('Scoring Setup'!$L$10=1,1-'Scoring Setup'!$B$5*(1-MAX(0,MIN(1,(X71-'Scoring Setup'!$K$10)/(100-'Scoring Setup'!$K$10)))),1),"")</x:f>
        <x:v>0.8</x:v>
      </x:c>
      <x:c r="AQ71" s="27" t="n">
        <x:f>IF(ISNUMBER(Y71),IF('Scoring Setup'!$L$11=1,1-'Scoring Setup'!$B$5*(1-MAX(0,MIN(1,(Y71-'Scoring Setup'!$K$11)/(100-'Scoring Setup'!$K$11)))),1),"")</x:f>
        <x:v>0.8787020406433471</x:v>
      </x:c>
      <x:c r="AR71" s="27" t="n">
        <x:f>IF(ISNUMBER(Z71),IF('Scoring Setup'!$L$12=1,1-'Scoring Setup'!$B$5*(1-MAX(0,MIN(1,(Z71-'Scoring Setup'!$K$12)/(100-'Scoring Setup'!$K$12)))),1),"")</x:f>
        <x:v>0.8621394169635079</x:v>
      </x:c>
      <x:c r="AS71" s="27" t="n">
        <x:f>IF(ISNUMBER(AA71),IF('Scoring Setup'!$L$13=1,1-'Scoring Setup'!$B$5*(1-MAX(0,MIN(1,(AA71-'Scoring Setup'!$K$13)/(100-'Scoring Setup'!$K$13)))),1),"")</x:f>
        <x:v>0.9885993983957209</x:v>
      </x:c>
      <x:c r="AT71" s="27" t="n">
        <x:f>IF(ISNUMBER(AB71),IF('Scoring Setup'!$L$14=1,1-'Scoring Setup'!$B$5*(1-MAX(0,MIN(1,(AB71-'Scoring Setup'!$K$14)/(100-'Scoring Setup'!$K$14)))),1),"")</x:f>
        <x:v>0.8406076050800783</x:v>
      </x:c>
      <x:c r="AU71" s="27" t="n">
        <x:f>IF(ISNUMBER(AC71),IF('Scoring Setup'!$L$15=1,1-'Scoring Setup'!$B$5*(1-MAX(0,MIN(1,(AC71-'Scoring Setup'!$K$15)/(100-'Scoring Setup'!$K$15)))),1),"")</x:f>
        <x:v>0.9999619802051056</x:v>
      </x:c>
      <x:c r="AV71" s="27" t="n">
        <x:f>IF(ISNUMBER(AD71),IF('Scoring Setup'!$L$16=1,1-'Scoring Setup'!$B$5*(1-MAX(0,MIN(1,(AD71-'Scoring Setup'!$K$16)/(100-'Scoring Setup'!$K$16)))),1),"")</x:f>
        <x:v>0.8</x:v>
      </x:c>
      <x:c r="AW71" s="27" t="n">
        <x:f>IF(ISNUMBER(AE71),IF('Scoring Setup'!$L$17=1,1-'Scoring Setup'!$B$5*(1-MAX(0,MIN(1,(AE71-'Scoring Setup'!$K$17)/(100-'Scoring Setup'!$K$17)))),1),"")</x:f>
        <x:v>0.8</x:v>
      </x:c>
      <x:c r="AX71" s="27" t="n">
        <x:f>IF(ISNUMBER(AF71),IF('Scoring Setup'!$L$18=1,1-'Scoring Setup'!$B$5*(1-MAX(0,MIN(1,(AF71-'Scoring Setup'!$K$18)/(100-'Scoring Setup'!$K$18)))),1),"")</x:f>
        <x:v>0.8821252407439629</x:v>
      </x:c>
      <x:c r="AY71" s="27" t="n">
        <x:f>IF(ISNUMBER(AG71),IF('Scoring Setup'!$L$19=1,1-'Scoring Setup'!$B$5*(1-MAX(0,MIN(1,(AG71-'Scoring Setup'!$K$19)/(100-'Scoring Setup'!$K$19)))),1),"")</x:f>
        <x:v>0.9304444444444444</x:v>
      </x:c>
      <x:c r="AZ71" s="27" t="n">
        <x:f>IF(ISNUMBER(AH71),IF('Scoring Setup'!$L$20=1,1-'Scoring Setup'!$B$5*(1-MAX(0,MIN(1,(AH71-'Scoring Setup'!$K$20)/(100-'Scoring Setup'!$K$20)))),1),"")</x:f>
        <x:v>0.9951920483398438</x:v>
      </x:c>
      <x:c r="BA71" s="27" t="n">
        <x:f>IF(ISNUMBER(AI71),IF('Scoring Setup'!$L$21=1,1-'Scoring Setup'!$B$5*(1-MAX(0,MIN(1,(AI71-'Scoring Setup'!$K$21)/(100-'Scoring Setup'!$K$21)))),1),"")</x:f>
        <x:v>0.9829999776567732</x:v>
      </x:c>
      <x:c r="BB71" s="27" t="n">
        <x:f>IF(ISNUMBER(AJ71),IF('Scoring Setup'!$L$22=1,1-'Scoring Setup'!$B$5*(1-MAX(0,MIN(1,(AJ71-'Scoring Setup'!$K$22)/(100-'Scoring Setup'!$K$22)))),1),"")</x:f>
        <x:v>0.9518862886603386</x:v>
      </x:c>
      <x:c r="BC71" s="27" t="n">
        <x:f>IF(ISNUMBER(AK71),IF('Scoring Setup'!$L$23=1,1-'Scoring Setup'!$B$5*(1-MAX(0,MIN(1,(AK71-'Scoring Setup'!$K$23)/(100-'Scoring Setup'!$K$23)))),1),"")</x:f>
        <x:v>1</x:v>
      </x:c>
      <x:c r="BD71" s="27" t="n">
        <x:f>IF(ISNUMBER(AL71),IF('Scoring Setup'!$L$24=1,1-'Scoring Setup'!$B$5*(1-MAX(0,MIN(1,(AL71-'Scoring Setup'!$K$24)/(100-'Scoring Setup'!$K$24)))),1),"")</x:f>
        <x:v>0.9094545454545454</x:v>
      </x:c>
      <x:c r="BE71" s="27" t="n">
        <x:f>IF(ISNUMBER(AM71),IF('Scoring Setup'!$L$25=1,1-'Scoring Setup'!$B$5*(1-MAX(0,MIN(1,(AM71-'Scoring Setup'!$K$25)/(100-'Scoring Setup'!$K$25)))),1),"")</x:f>
        <x:v>0.8549228700052378</x:v>
      </x:c>
      <x:c r="BF71" s="27" t="n">
        <x:f>IF(ISNUMBER(AN71),IF('Scoring Setup'!$L$26=1,1-'Scoring Setup'!$B$5*(1-MAX(0,MIN(1,(AN71-'Scoring Setup'!$K$26)/(100-'Scoring Setup'!$K$26)))),1),"")</x:f>
        <x:v>0.977621005370185</x:v>
      </x:c>
      <x:c r="BG71" s="34" t="n">
        <x:f>IF(COUNT(W71,X71)=2,AVERAGE(W71,X71),"")</x:f>
        <x:v>20.928571428571434</x:v>
      </x:c>
      <x:c r="BH71" s="34" t="n">
        <x:f>IF(COUNT(Y71,Z71)=2,AVERAGE(Y71,Z71),"")</x:f>
        <x:v>35.210364401713775</x:v>
      </x:c>
      <x:c r="BI71" s="34" t="n">
        <x:f>IF(COUNT(AA71,AB71,AC71)=3,AVERAGE(AA71,AB71,AC71),"")</x:f>
        <x:v>71.52816394681747</x:v>
      </x:c>
      <x:c r="BJ71" s="34" t="n">
        <x:f>IF(COUNT(AD71,AE71)=2,AVERAGE(AD71,AE71),"")</x:f>
        <x:v>0</x:v>
      </x:c>
      <x:c r="BK71" s="34" t="n">
        <x:f>IF(COUNT(AF71,AG71)=2,AVERAGE(AF71,AG71),"")</x:f>
        <x:v>53.14242129710184</x:v>
      </x:c>
      <x:c r="BL71" s="34" t="n">
        <x:f>IF(COUNT(AH71,AI71)=2,AVERAGE(AH71,AI71),"")</x:f>
        <x:v>94.54800649915421</x:v>
      </x:c>
      <x:c r="BM71" s="34" t="n">
        <x:f>IF(COUNT(AJ71,AK71)=2,AVERAGE(AJ71,AK71),"")</x:f>
        <x:v>87.97157216508465</x:v>
      </x:c>
      <x:c r="BN71" s="34" t="n">
        <x:f>IF(COUNT(AL71,AM71,AN71)=3,AVERAGE(AL71,AM71,AN71),"")</x:f>
        <x:v>56.999736804994704</x:v>
      </x:c>
      <x:c r="BO71" s="35" t="n">
        <x:f>IF(AND(COUNT(BG71:BN71)=8,ABS('Scoring Setup'!$C$17-1)&lt;0.000001),BG71*'Scoring Setup'!$C$9+BH71*'Scoring Setup'!$C$10+BI71*'Scoring Setup'!$C$11+BJ71*'Scoring Setup'!$C$12+BK71*'Scoring Setup'!$C$13+BL71*'Scoring Setup'!$C$14+BM71*'Scoring Setup'!$C$15+BN71*'Scoring Setup'!$C$16,"")</x:f>
        <x:v>47.82788852230219</x:v>
      </x:c>
      <x:c r="BP71" s="36" t="n">
        <x:f>IF(COUNT(AO71:BF71)=18,MIN(AO71:BF71),"")</x:f>
        <x:v>0.8</x:v>
      </x:c>
      <x:c r="BQ71" s="35" t="n">
        <x:f>IF(AND(ISNUMBER(BO71),ISNUMBER(BP71)),BO71*BP71,"")</x:f>
        <x:v>38.26231081784175</x:v>
      </x:c>
      <x:c r="BR71" s="17" t="str">
        <x:f>IF(COUNT(AO71:BF71)=18,INDEX('Scoring Setup'!$F$9:$F$26,MATCH(MIN(AO71:BF71),AO71:BF71,0),1),"")</x:f>
        <x:v>洪水损失率全国百分位</x:v>
      </x:c>
    </x:row>
    <x:row r="72">
      <x:c r="A72" s="28" t="str">
        <x:v>51141</x:v>
      </x:c>
      <x:c r="B72" s="28" t="str">
        <x:v>Patrick County</x:v>
      </x:c>
      <x:c r="C72" s="28" t="str">
        <x:v>VA</x:v>
      </x:c>
      <x:c r="D72" s="31" t="n">
        <x:v>1250.852626</x:v>
      </x:c>
      <x:c r="E72" s="32" t="n">
        <x:v>0.398</x:v>
      </x:c>
      <x:c r="F72" s="32" t="n">
        <x:v>0.737314356435644</x:v>
      </x:c>
      <x:c r="G72" s="32" t="n">
        <x:v>2.8465430734769983</x:v>
      </x:c>
      <x:c r="H72" s="32" t="n">
        <x:v>3.217329046099332</x:v>
      </x:c>
      <x:c r="I72" s="32" t="n">
        <x:v>0.9710209377178989</x:v>
      </x:c>
      <x:c r="J72" s="32" t="n">
        <x:v>0.02685110075142647</x:v>
      </x:c>
      <x:c r="K72" s="32" t="n">
        <x:v>0.00018421334784013448</x:v>
      </x:c>
      <x:c r="L72" s="32" t="n">
        <x:v>0.16095834</x:v>
      </x:c>
      <x:c r="M72" s="32" t="n">
        <x:v>0.160382019</x:v>
      </x:c>
      <x:c r="N72" s="32" t="n">
        <x:v>7427</x:v>
      </x:c>
      <x:c r="O72" s="32" t="n">
        <x:v>0.2558</x:v>
      </x:c>
      <x:c r="P72" s="32" t="n">
        <x:v>846.7262756347657</x:v>
      </x:c>
      <x:c r="Q72" s="32" t="n">
        <x:v>10.169632895787556</x:v>
      </x:c>
      <x:c r="R72" s="32" t="n">
        <x:v>33.81090994017785</x:v>
      </x:c>
      <x:c r="S72" s="32" t="n">
        <x:v>27.697918913941123</x:v>
      </x:c>
      <x:c r="T72" s="32" t="n">
        <x:v>89.9</x:v>
      </x:c>
      <x:c r="U72" s="32" t="n">
        <x:v>245.07712999476223</x:v>
      </x:c>
      <x:c r="V72" s="32" t="n">
        <x:v>244.75798925963002</x:v>
      </x:c>
      <x:c r="W72" s="33" t="n">
        <x:f>IF(ISNUMBER(E72),100*MAX(0,MIN(1,('Anchors'!$H$6-E72)/('Anchors'!$H$6-'Anchors'!$G$6))),"")</x:f>
        <x:v>71.71428571428572</x:v>
      </x:c>
      <x:c r="X72" s="33" t="n">
        <x:f>IF(ISNUMBER(F72),100*MAX(0,MIN(1,('Anchors'!$H$7-F72)/('Anchors'!$H$7-'Anchors'!$G$7))),"")</x:f>
        <x:v>8.955091937765145</x:v>
      </x:c>
      <x:c r="Y72" s="33" t="n">
        <x:f>IF(ISNUMBER(G72),100*MAX(0,MIN(1,('Anchors'!$H$8-G72)/('Anchors'!$H$8-'Anchors'!$G$8))),"")</x:f>
        <x:v>38.448564217433386</x:v>
      </x:c>
      <x:c r="Z72" s="33" t="n">
        <x:f>IF(ISNUMBER(H72),100*MAX(0,MIN(1,('Anchors'!$H$9-H72)/('Anchors'!$H$9-'Anchors'!$G$9))),"")</x:f>
        <x:v>26.08903179668894</x:v>
      </x:c>
      <x:c r="AA72" s="33" t="n">
        <x:f>IF(ISNUMBER(I72),100*MAX(0,MIN(1,(I72-'Anchors'!$H$10)/('Anchors'!$G$10-'Anchors'!$H$10))),"")</x:f>
        <x:v>98.76999146820533</x:v>
      </x:c>
      <x:c r="AB72" s="33" t="n">
        <x:f>IF(ISNUMBER(J72),100*MAX(0,MIN(1,('Anchors'!$H$11-J72)/('Anchors'!$H$11-'Anchors'!$G$11))),"")</x:f>
        <x:v>89.25955969942942</x:v>
      </x:c>
      <x:c r="AC72" s="33" t="n">
        <x:f>IF(ISNUMBER(K72),100*MAX(0,MIN(1,('Anchors'!$H$12-K72)/('Anchors'!$H$12-'Anchors'!$G$12))),"")</x:f>
        <x:v>99.95394666303997</x:v>
      </x:c>
      <x:c r="AD72" s="33" t="n">
        <x:f>IF(ISNUMBER(L72),100*MAX(0,MIN(1,(L72-'Anchors'!$H$13)/('Anchors'!$G$13-'Anchors'!$H$13))),"")</x:f>
        <x:v>0</x:v>
      </x:c>
      <x:c r="AE72" s="33" t="n">
        <x:f>IF(ISNUMBER(M72),100*MAX(0,MIN(1,(M72-'Anchors'!$H$14)/('Anchors'!$G$14-'Anchors'!$H$14))),"")</x:f>
        <x:v>7.547752374999997</x:v>
      </x:c>
      <x:c r="AF72" s="33" t="n">
        <x:f>IF(ISNUMBER(N72),100*MAX(0,MIN(1,(LN(1+N72)-LN(1+'Anchors'!$H$15))/(LN(1+'Anchors'!$G$15)-LN(1+'Anchors'!$H$15)))),"")</x:f>
        <x:v>30.382467821017737</x:v>
      </x:c>
      <x:c r="AG72" s="33" t="n">
        <x:f>IF(ISNUMBER(O72),100*MAX(0,MIN(1,('Anchors'!$H$16-O72)/('Anchors'!$H$16-'Anchors'!$G$16))),"")</x:f>
        <x:v>77.13333333333333</x:v>
      </x:c>
      <x:c r="AH72" s="33" t="n">
        <x:f>IF(ISNUMBER(P72),100*MAX(0,MIN(1,('Anchors'!$H$17-P72)/('Anchors'!$H$17-'Anchors'!$G$17))),"")</x:f>
        <x:v>90.21824829101563</x:v>
      </x:c>
      <x:c r="AI72" s="33" t="n">
        <x:f>IF(ISNUMBER(Q72),100*MAX(0,MIN(1,('Anchors'!$H$18-Q72)/('Anchors'!$H$18-'Anchors'!$G$18))),"")</x:f>
        <x:v>92.61481014887491</x:v>
      </x:c>
      <x:c r="AJ72" s="33" t="n">
        <x:f>IF(ISNUMBER(R72),100*MAX(0,MIN(1,('Anchors'!$H$19-R72)/('Anchors'!$H$19-'Anchors'!$G$19))),"")</x:f>
        <x:v>35.97575568849366</x:v>
      </x:c>
      <x:c r="AK72" s="33" t="n">
        <x:f>IF(ISNUMBER(S72),100*MAX(0,MIN(1,('Anchors'!$H$20-S72)/('Anchors'!$H$20-'Anchors'!$G$20))),"")</x:f>
        <x:v>0</x:v>
      </x:c>
      <x:c r="AL72" s="33" t="n">
        <x:f>IF(ISNUMBER(T72),100*MAX(0,MIN(1,('Anchors'!$H$21-T72)/('Anchors'!$H$21-'Anchors'!$G$21))),"")</x:f>
        <x:v>54.72727272727271</x:v>
      </x:c>
      <x:c r="AM72" s="33" t="n">
        <x:f>IF(ISNUMBER(U72),100*MAX(0,MIN(1,('Anchors'!$H$22-U72)/('Anchors'!$H$22-'Anchors'!$G$22))),"")</x:f>
        <x:v>27.461435002618884</x:v>
      </x:c>
      <x:c r="AN72" s="33" t="n">
        <x:f>IF(ISNUMBER(V72),100*MAX(0,MIN(1,('Anchors'!$H$23-V72)/('Anchors'!$H$23-'Anchors'!$G$23))),"")</x:f>
        <x:v>88.8105026850925</x:v>
      </x:c>
      <x:c r="AO72" s="27" t="n">
        <x:f>IF(ISNUMBER(W72),IF('Scoring Setup'!$L$9=1,1-'Scoring Setup'!$B$5*(1-MAX(0,MIN(1,(W72-'Scoring Setup'!$K$9)/(100-'Scoring Setup'!$K$9)))),1),"")</x:f>
        <x:v>0.9434285714285714</x:v>
      </x:c>
      <x:c r="AP72" s="27" t="n">
        <x:f>IF(ISNUMBER(X72),IF('Scoring Setup'!$L$10=1,1-'Scoring Setup'!$B$5*(1-MAX(0,MIN(1,(X72-'Scoring Setup'!$K$10)/(100-'Scoring Setup'!$K$10)))),1),"")</x:f>
        <x:v>0.8179101838755303</x:v>
      </x:c>
      <x:c r="AQ72" s="27" t="n">
        <x:f>IF(ISNUMBER(Y72),IF('Scoring Setup'!$L$11=1,1-'Scoring Setup'!$B$5*(1-MAX(0,MIN(1,(Y72-'Scoring Setup'!$K$11)/(100-'Scoring Setup'!$K$11)))),1),"")</x:f>
        <x:v>0.8768971284348668</x:v>
      </x:c>
      <x:c r="AR72" s="27" t="n">
        <x:f>IF(ISNUMBER(Z72),IF('Scoring Setup'!$L$12=1,1-'Scoring Setup'!$B$5*(1-MAX(0,MIN(1,(Z72-'Scoring Setup'!$K$12)/(100-'Scoring Setup'!$K$12)))),1),"")</x:f>
        <x:v>0.8521780635933779</x:v>
      </x:c>
      <x:c r="AS72" s="27" t="n">
        <x:f>IF(ISNUMBER(AA72),IF('Scoring Setup'!$L$13=1,1-'Scoring Setup'!$B$5*(1-MAX(0,MIN(1,(AA72-'Scoring Setup'!$K$13)/(100-'Scoring Setup'!$K$13)))),1),"")</x:f>
        <x:v>0.9975399829364107</x:v>
      </x:c>
      <x:c r="AT72" s="27" t="n">
        <x:f>IF(ISNUMBER(AB72),IF('Scoring Setup'!$L$14=1,1-'Scoring Setup'!$B$5*(1-MAX(0,MIN(1,(AB72-'Scoring Setup'!$K$14)/(100-'Scoring Setup'!$K$14)))),1),"")</x:f>
        <x:v>0.9785191193988588</x:v>
      </x:c>
      <x:c r="AU72" s="27" t="n">
        <x:f>IF(ISNUMBER(AC72),IF('Scoring Setup'!$L$15=1,1-'Scoring Setup'!$B$5*(1-MAX(0,MIN(1,(AC72-'Scoring Setup'!$K$15)/(100-'Scoring Setup'!$K$15)))),1),"")</x:f>
        <x:v>0.99990789332608</x:v>
      </x:c>
      <x:c r="AV72" s="27" t="n">
        <x:f>IF(ISNUMBER(AD72),IF('Scoring Setup'!$L$16=1,1-'Scoring Setup'!$B$5*(1-MAX(0,MIN(1,(AD72-'Scoring Setup'!$K$16)/(100-'Scoring Setup'!$K$16)))),1),"")</x:f>
        <x:v>0.8</x:v>
      </x:c>
      <x:c r="AW72" s="27" t="n">
        <x:f>IF(ISNUMBER(AE72),IF('Scoring Setup'!$L$17=1,1-'Scoring Setup'!$B$5*(1-MAX(0,MIN(1,(AE72-'Scoring Setup'!$K$17)/(100-'Scoring Setup'!$K$17)))),1),"")</x:f>
        <x:v>0.8150955047499999</x:v>
      </x:c>
      <x:c r="AX72" s="27" t="n">
        <x:f>IF(ISNUMBER(AF72),IF('Scoring Setup'!$L$18=1,1-'Scoring Setup'!$B$5*(1-MAX(0,MIN(1,(AF72-'Scoring Setup'!$K$18)/(100-'Scoring Setup'!$K$18)))),1),"")</x:f>
        <x:v>0.8607649356420355</x:v>
      </x:c>
      <x:c r="AY72" s="27" t="n">
        <x:f>IF(ISNUMBER(AG72),IF('Scoring Setup'!$L$19=1,1-'Scoring Setup'!$B$5*(1-MAX(0,MIN(1,(AG72-'Scoring Setup'!$K$19)/(100-'Scoring Setup'!$K$19)))),1),"")</x:f>
        <x:v>0.9542666666666666</x:v>
      </x:c>
      <x:c r="AZ72" s="27" t="n">
        <x:f>IF(ISNUMBER(AH72),IF('Scoring Setup'!$L$20=1,1-'Scoring Setup'!$B$5*(1-MAX(0,MIN(1,(AH72-'Scoring Setup'!$K$20)/(100-'Scoring Setup'!$K$20)))),1),"")</x:f>
        <x:v>0.9804364965820312</x:v>
      </x:c>
      <x:c r="BA72" s="27" t="n">
        <x:f>IF(ISNUMBER(AI72),IF('Scoring Setup'!$L$21=1,1-'Scoring Setup'!$B$5*(1-MAX(0,MIN(1,(AI72-'Scoring Setup'!$K$21)/(100-'Scoring Setup'!$K$21)))),1),"")</x:f>
        <x:v>0.9852296202977499</x:v>
      </x:c>
      <x:c r="BB72" s="27" t="n">
        <x:f>IF(ISNUMBER(AJ72),IF('Scoring Setup'!$L$22=1,1-'Scoring Setup'!$B$5*(1-MAX(0,MIN(1,(AJ72-'Scoring Setup'!$K$22)/(100-'Scoring Setup'!$K$22)))),1),"")</x:f>
        <x:v>0.8719515113769873</x:v>
      </x:c>
      <x:c r="BC72" s="27" t="n">
        <x:f>IF(ISNUMBER(AK72),IF('Scoring Setup'!$L$23=1,1-'Scoring Setup'!$B$5*(1-MAX(0,MIN(1,(AK72-'Scoring Setup'!$K$23)/(100-'Scoring Setup'!$K$23)))),1),"")</x:f>
        <x:v>0.8</x:v>
      </x:c>
      <x:c r="BD72" s="27" t="n">
        <x:f>IF(ISNUMBER(AL72),IF('Scoring Setup'!$L$24=1,1-'Scoring Setup'!$B$5*(1-MAX(0,MIN(1,(AL72-'Scoring Setup'!$K$24)/(100-'Scoring Setup'!$K$24)))),1),"")</x:f>
        <x:v>0.9094545454545454</x:v>
      </x:c>
      <x:c r="BE72" s="27" t="n">
        <x:f>IF(ISNUMBER(AM72),IF('Scoring Setup'!$L$25=1,1-'Scoring Setup'!$B$5*(1-MAX(0,MIN(1,(AM72-'Scoring Setup'!$K$25)/(100-'Scoring Setup'!$K$25)))),1),"")</x:f>
        <x:v>0.8549228700052378</x:v>
      </x:c>
      <x:c r="BF72" s="27" t="n">
        <x:f>IF(ISNUMBER(AN72),IF('Scoring Setup'!$L$26=1,1-'Scoring Setup'!$B$5*(1-MAX(0,MIN(1,(AN72-'Scoring Setup'!$K$26)/(100-'Scoring Setup'!$K$26)))),1),"")</x:f>
        <x:v>0.977621005370185</x:v>
      </x:c>
      <x:c r="BG72" s="34" t="n">
        <x:f>IF(COUNT(W72,X72)=2,AVERAGE(W72,X72),"")</x:f>
        <x:v>40.334688826025435</x:v>
      </x:c>
      <x:c r="BH72" s="34" t="n">
        <x:f>IF(COUNT(Y72,Z72)=2,AVERAGE(Y72,Z72),"")</x:f>
        <x:v>32.268798007061164</x:v>
      </x:c>
      <x:c r="BI72" s="34" t="n">
        <x:f>IF(COUNT(AA72,AB72,AC72)=3,AVERAGE(AA72,AB72,AC72),"")</x:f>
        <x:v>95.99449927689157</x:v>
      </x:c>
      <x:c r="BJ72" s="34" t="n">
        <x:f>IF(COUNT(AD72,AE72)=2,AVERAGE(AD72,AE72),"")</x:f>
        <x:v>3.7738761874999986</x:v>
      </x:c>
      <x:c r="BK72" s="34" t="n">
        <x:f>IF(COUNT(AF72,AG72)=2,AVERAGE(AF72,AG72),"")</x:f>
        <x:v>53.75790057717553</x:v>
      </x:c>
      <x:c r="BL72" s="34" t="n">
        <x:f>IF(COUNT(AH72,AI72)=2,AVERAGE(AH72,AI72),"")</x:f>
        <x:v>91.41652921994526</x:v>
      </x:c>
      <x:c r="BM72" s="34" t="n">
        <x:f>IF(COUNT(AJ72,AK72)=2,AVERAGE(AJ72,AK72),"")</x:f>
        <x:v>17.98787784424683</x:v>
      </x:c>
      <x:c r="BN72" s="34" t="n">
        <x:f>IF(COUNT(AL72,AM72,AN72)=3,AVERAGE(AL72,AM72,AN72),"")</x:f>
        <x:v>56.999736804994704</x:v>
      </x:c>
      <x:c r="BO72" s="35" t="n">
        <x:f>IF(AND(COUNT(BG72:BN72)=8,ABS('Scoring Setup'!$C$17-1)&lt;0.000001),BG72*'Scoring Setup'!$C$9+BH72*'Scoring Setup'!$C$10+BI72*'Scoring Setup'!$C$11+BJ72*'Scoring Setup'!$C$12+BK72*'Scoring Setup'!$C$13+BL72*'Scoring Setup'!$C$14+BM72*'Scoring Setup'!$C$15+BN72*'Scoring Setup'!$C$16,"")</x:f>
        <x:v>48.409997482879504</x:v>
      </x:c>
      <x:c r="BP72" s="36" t="n">
        <x:f>IF(COUNT(AO72:BF72)=18,MIN(AO72:BF72),"")</x:f>
        <x:v>0.8</x:v>
      </x:c>
      <x:c r="BQ72" s="35" t="n">
        <x:f>IF(AND(ISNUMBER(BO72),ISNUMBER(BP72)),BO72*BP72,"")</x:f>
        <x:v>38.727997986303606</x:v>
      </x:c>
      <x:c r="BR72" s="17" t="str">
        <x:f>IF(COUNT(AO72:BF72)=18,INDEX('Scoring Setup'!$F$9:$F$26,MATCH(MIN(AO72:BF72),AO72:BF72,0),1),"")</x:f>
        <x:v>商业光纤100/20覆盖率</x:v>
      </x:c>
    </x:row>
    <x:row r="73">
      <x:c r="A73" s="28" t="str">
        <x:v>51143</x:v>
      </x:c>
      <x:c r="B73" s="28" t="str">
        <x:v>Pittsylvania County</x:v>
      </x:c>
      <x:c r="C73" s="28" t="str">
        <x:v>VA</x:v>
      </x:c>
      <x:c r="D73" s="31" t="n">
        <x:v>2509.705674</x:v>
      </x:c>
      <x:c r="E73" s="32" t="n">
        <x:v>0.322</x:v>
      </x:c>
      <x:c r="F73" s="32" t="n">
        <x:v>0.372215346534653</x:v>
      </x:c>
      <x:c r="G73" s="32" t="n">
        <x:v>2.769729931985377</x:v>
      </x:c>
      <x:c r="H73" s="32" t="n">
        <x:v>3.155046543</x:v>
      </x:c>
      <x:c r="I73" s="32" t="n">
        <x:v>0.9343145738599443</x:v>
      </x:c>
      <x:c r="J73" s="32" t="n">
        <x:v>0</x:v>
      </x:c>
      <x:c r="K73" s="32" t="n">
        <x:v>0.005025901040803313</x:v>
      </x:c>
      <x:c r="L73" s="32" t="n">
        <x:v>0.314159556</x:v>
      </x:c>
      <x:c r="M73" s="32" t="n">
        <x:v>0.263738887</x:v>
      </x:c>
      <x:c r="N73" s="32" t="n">
        <x:v>27924</x:v>
      </x:c>
      <x:c r="O73" s="32" t="n">
        <x:v>0.7054</x:v>
      </x:c>
      <x:c r="P73" s="32" t="n">
        <x:v>1024.5817647298177</x:v>
      </x:c>
      <x:c r="Q73" s="32" t="n">
        <x:v>22.19630781809489</x:v>
      </x:c>
      <x:c r="R73" s="32" t="n">
        <x:v>68.28876296445752</x:v>
      </x:c>
      <x:c r="S73" s="32" t="n">
        <x:v>0.38019723810656064</x:v>
      </x:c>
      <x:c r="T73" s="32" t="n">
        <x:v>89.9</x:v>
      </x:c>
      <x:c r="U73" s="32" t="n">
        <x:v>245.07712999476223</x:v>
      </x:c>
      <x:c r="V73" s="32" t="n">
        <x:v>244.75798925963002</x:v>
      </x:c>
      <x:c r="W73" s="33" t="n">
        <x:f>IF(ISNUMBER(E73),100*MAX(0,MIN(1,('Anchors'!$H$6-E73)/('Anchors'!$H$6-'Anchors'!$G$6))),"")</x:f>
        <x:v>82.57142857142858</x:v>
      </x:c>
      <x:c r="X73" s="33" t="n">
        <x:f>IF(ISNUMBER(F73),100*MAX(0,MIN(1,('Anchors'!$H$7-F73)/('Anchors'!$H$7-'Anchors'!$G$7))),"")</x:f>
        <x:v>61.11209335219243</x:v>
      </x:c>
      <x:c r="Y73" s="33" t="n">
        <x:f>IF(ISNUMBER(G73),100*MAX(0,MIN(1,('Anchors'!$H$8-G73)/('Anchors'!$H$8-'Anchors'!$G$8))),"")</x:f>
        <x:v>41.009002267154095</x:v>
      </x:c>
      <x:c r="Z73" s="33" t="n">
        <x:f>IF(ISNUMBER(H73),100*MAX(0,MIN(1,('Anchors'!$H$9-H73)/('Anchors'!$H$9-'Anchors'!$G$9))),"")</x:f>
        <x:v>28.16511523333333</x:v>
      </x:c>
      <x:c r="AA73" s="33" t="n">
        <x:f>IF(ISNUMBER(I73),100*MAX(0,MIN(1,(I73-'Anchors'!$H$10)/('Anchors'!$G$10-'Anchors'!$H$10))),"")</x:f>
        <x:v>93.74172244656772</x:v>
      </x:c>
      <x:c r="AB73" s="33" t="n">
        <x:f>IF(ISNUMBER(J73),100*MAX(0,MIN(1,('Anchors'!$H$11-J73)/('Anchors'!$H$11-'Anchors'!$G$11))),"")</x:f>
        <x:v>100</x:v>
      </x:c>
      <x:c r="AC73" s="33" t="n">
        <x:f>IF(ISNUMBER(K73),100*MAX(0,MIN(1,('Anchors'!$H$12-K73)/('Anchors'!$H$12-'Anchors'!$G$12))),"")</x:f>
        <x:v>98.74352473979917</x:v>
      </x:c>
      <x:c r="AD73" s="33" t="n">
        <x:f>IF(ISNUMBER(L73),100*MAX(0,MIN(1,(L73-'Anchors'!$H$13)/('Anchors'!$G$13-'Anchors'!$H$13))),"")</x:f>
        <x:v>16.308508</x:v>
      </x:c>
      <x:c r="AE73" s="33" t="n">
        <x:f>IF(ISNUMBER(M73),100*MAX(0,MIN(1,(M73-'Anchors'!$H$14)/('Anchors'!$G$14-'Anchors'!$H$14))),"")</x:f>
        <x:v>20.467360874999997</x:v>
      </x:c>
      <x:c r="AF73" s="33" t="n">
        <x:f>IF(ISNUMBER(N73),100*MAX(0,MIN(1,(LN(1+N73)-LN(1+'Anchors'!$H$15))/(LN(1+'Anchors'!$G$15)-LN(1+'Anchors'!$H$15)))),"")</x:f>
        <x:v>61.05810516977513</x:v>
      </x:c>
      <x:c r="AG73" s="33" t="n">
        <x:f>IF(ISNUMBER(O73),100*MAX(0,MIN(1,('Anchors'!$H$16-O73)/('Anchors'!$H$16-'Anchors'!$G$16))),"")</x:f>
        <x:v>27.177777777777774</x:v>
      </x:c>
      <x:c r="AH73" s="33" t="n">
        <x:f>IF(ISNUMBER(P73),100*MAX(0,MIN(1,('Anchors'!$H$17-P73)/('Anchors'!$H$17-'Anchors'!$G$17))),"")</x:f>
        <x:v>78.36121568467883</x:v>
      </x:c>
      <x:c r="AI73" s="33" t="n">
        <x:f>IF(ISNUMBER(Q73),100*MAX(0,MIN(1,('Anchors'!$H$18-Q73)/('Anchors'!$H$18-'Anchors'!$G$18))),"")</x:f>
        <x:v>75.43384597415015</x:v>
      </x:c>
      <x:c r="AJ73" s="33" t="n">
        <x:f>IF(ISNUMBER(R73),100*MAX(0,MIN(1,('Anchors'!$H$19-R73)/('Anchors'!$H$19-'Anchors'!$G$19))),"")</x:f>
        <x:v>0</x:v>
      </x:c>
      <x:c r="AK73" s="33" t="n">
        <x:f>IF(ISNUMBER(S73),100*MAX(0,MIN(1,('Anchors'!$H$20-S73)/('Anchors'!$H$20-'Anchors'!$G$20))),"")</x:f>
        <x:v>100</x:v>
      </x:c>
      <x:c r="AL73" s="33" t="n">
        <x:f>IF(ISNUMBER(T73),100*MAX(0,MIN(1,('Anchors'!$H$21-T73)/('Anchors'!$H$21-'Anchors'!$G$21))),"")</x:f>
        <x:v>54.72727272727271</x:v>
      </x:c>
      <x:c r="AM73" s="33" t="n">
        <x:f>IF(ISNUMBER(U73),100*MAX(0,MIN(1,('Anchors'!$H$22-U73)/('Anchors'!$H$22-'Anchors'!$G$22))),"")</x:f>
        <x:v>27.461435002618884</x:v>
      </x:c>
      <x:c r="AN73" s="33" t="n">
        <x:f>IF(ISNUMBER(V73),100*MAX(0,MIN(1,('Anchors'!$H$23-V73)/('Anchors'!$H$23-'Anchors'!$G$23))),"")</x:f>
        <x:v>88.8105026850925</x:v>
      </x:c>
      <x:c r="AO73" s="27" t="n">
        <x:f>IF(ISNUMBER(W73),IF('Scoring Setup'!$L$9=1,1-'Scoring Setup'!$B$5*(1-MAX(0,MIN(1,(W73-'Scoring Setup'!$K$9)/(100-'Scoring Setup'!$K$9)))),1),"")</x:f>
        <x:v>0.9651428571428572</x:v>
      </x:c>
      <x:c r="AP73" s="27" t="n">
        <x:f>IF(ISNUMBER(X73),IF('Scoring Setup'!$L$10=1,1-'Scoring Setup'!$B$5*(1-MAX(0,MIN(1,(X73-'Scoring Setup'!$K$10)/(100-'Scoring Setup'!$K$10)))),1),"")</x:f>
        <x:v>0.9222241867043849</x:v>
      </x:c>
      <x:c r="AQ73" s="27" t="n">
        <x:f>IF(ISNUMBER(Y73),IF('Scoring Setup'!$L$11=1,1-'Scoring Setup'!$B$5*(1-MAX(0,MIN(1,(Y73-'Scoring Setup'!$K$11)/(100-'Scoring Setup'!$K$11)))),1),"")</x:f>
        <x:v>0.8820180045343082</x:v>
      </x:c>
      <x:c r="AR73" s="27" t="n">
        <x:f>IF(ISNUMBER(Z73),IF('Scoring Setup'!$L$12=1,1-'Scoring Setup'!$B$5*(1-MAX(0,MIN(1,(Z73-'Scoring Setup'!$K$12)/(100-'Scoring Setup'!$K$12)))),1),"")</x:f>
        <x:v>0.8563302304666667</x:v>
      </x:c>
      <x:c r="AS73" s="27" t="n">
        <x:f>IF(ISNUMBER(AA73),IF('Scoring Setup'!$L$13=1,1-'Scoring Setup'!$B$5*(1-MAX(0,MIN(1,(AA73-'Scoring Setup'!$K$13)/(100-'Scoring Setup'!$K$13)))),1),"")</x:f>
        <x:v>0.9874834448931354</x:v>
      </x:c>
      <x:c r="AT73" s="27" t="n">
        <x:f>IF(ISNUMBER(AB73),IF('Scoring Setup'!$L$14=1,1-'Scoring Setup'!$B$5*(1-MAX(0,MIN(1,(AB73-'Scoring Setup'!$K$14)/(100-'Scoring Setup'!$K$14)))),1),"")</x:f>
        <x:v>1</x:v>
      </x:c>
      <x:c r="AU73" s="27" t="n">
        <x:f>IF(ISNUMBER(AC73),IF('Scoring Setup'!$L$15=1,1-'Scoring Setup'!$B$5*(1-MAX(0,MIN(1,(AC73-'Scoring Setup'!$K$15)/(100-'Scoring Setup'!$K$15)))),1),"")</x:f>
        <x:v>0.9974870494795983</x:v>
      </x:c>
      <x:c r="AV73" s="27" t="n">
        <x:f>IF(ISNUMBER(AD73),IF('Scoring Setup'!$L$16=1,1-'Scoring Setup'!$B$5*(1-MAX(0,MIN(1,(AD73-'Scoring Setup'!$K$16)/(100-'Scoring Setup'!$K$16)))),1),"")</x:f>
        <x:v>0.8326170159999999</x:v>
      </x:c>
      <x:c r="AW73" s="27" t="n">
        <x:f>IF(ISNUMBER(AE73),IF('Scoring Setup'!$L$17=1,1-'Scoring Setup'!$B$5*(1-MAX(0,MIN(1,(AE73-'Scoring Setup'!$K$17)/(100-'Scoring Setup'!$K$17)))),1),"")</x:f>
        <x:v>0.84093472175</x:v>
      </x:c>
      <x:c r="AX73" s="27" t="n">
        <x:f>IF(ISNUMBER(AF73),IF('Scoring Setup'!$L$18=1,1-'Scoring Setup'!$B$5*(1-MAX(0,MIN(1,(AF73-'Scoring Setup'!$K$18)/(100-'Scoring Setup'!$K$18)))),1),"")</x:f>
        <x:v>0.9221162103395503</x:v>
      </x:c>
      <x:c r="AY73" s="27" t="n">
        <x:f>IF(ISNUMBER(AG73),IF('Scoring Setup'!$L$19=1,1-'Scoring Setup'!$B$5*(1-MAX(0,MIN(1,(AG73-'Scoring Setup'!$K$19)/(100-'Scoring Setup'!$K$19)))),1),"")</x:f>
        <x:v>0.8543555555555555</x:v>
      </x:c>
      <x:c r="AZ73" s="27" t="n">
        <x:f>IF(ISNUMBER(AH73),IF('Scoring Setup'!$L$20=1,1-'Scoring Setup'!$B$5*(1-MAX(0,MIN(1,(AH73-'Scoring Setup'!$K$20)/(100-'Scoring Setup'!$K$20)))),1),"")</x:f>
        <x:v>0.9567224313693576</x:v>
      </x:c>
      <x:c r="BA73" s="27" t="n">
        <x:f>IF(ISNUMBER(AI73),IF('Scoring Setup'!$L$21=1,1-'Scoring Setup'!$B$5*(1-MAX(0,MIN(1,(AI73-'Scoring Setup'!$K$21)/(100-'Scoring Setup'!$K$21)))),1),"")</x:f>
        <x:v>0.9508676919483003</x:v>
      </x:c>
      <x:c r="BB73" s="27" t="n">
        <x:f>IF(ISNUMBER(AJ73),IF('Scoring Setup'!$L$22=1,1-'Scoring Setup'!$B$5*(1-MAX(0,MIN(1,(AJ73-'Scoring Setup'!$K$22)/(100-'Scoring Setup'!$K$22)))),1),"")</x:f>
        <x:v>0.8</x:v>
      </x:c>
      <x:c r="BC73" s="27" t="n">
        <x:f>IF(ISNUMBER(AK73),IF('Scoring Setup'!$L$23=1,1-'Scoring Setup'!$B$5*(1-MAX(0,MIN(1,(AK73-'Scoring Setup'!$K$23)/(100-'Scoring Setup'!$K$23)))),1),"")</x:f>
        <x:v>1</x:v>
      </x:c>
      <x:c r="BD73" s="27" t="n">
        <x:f>IF(ISNUMBER(AL73),IF('Scoring Setup'!$L$24=1,1-'Scoring Setup'!$B$5*(1-MAX(0,MIN(1,(AL73-'Scoring Setup'!$K$24)/(100-'Scoring Setup'!$K$24)))),1),"")</x:f>
        <x:v>0.9094545454545454</x:v>
      </x:c>
      <x:c r="BE73" s="27" t="n">
        <x:f>IF(ISNUMBER(AM73),IF('Scoring Setup'!$L$25=1,1-'Scoring Setup'!$B$5*(1-MAX(0,MIN(1,(AM73-'Scoring Setup'!$K$25)/(100-'Scoring Setup'!$K$25)))),1),"")</x:f>
        <x:v>0.8549228700052378</x:v>
      </x:c>
      <x:c r="BF73" s="27" t="n">
        <x:f>IF(ISNUMBER(AN73),IF('Scoring Setup'!$L$26=1,1-'Scoring Setup'!$B$5*(1-MAX(0,MIN(1,(AN73-'Scoring Setup'!$K$26)/(100-'Scoring Setup'!$K$26)))),1),"")</x:f>
        <x:v>0.977621005370185</x:v>
      </x:c>
      <x:c r="BG73" s="34" t="n">
        <x:f>IF(COUNT(W73,X73)=2,AVERAGE(W73,X73),"")</x:f>
        <x:v>71.84176096181051</x:v>
      </x:c>
      <x:c r="BH73" s="34" t="n">
        <x:f>IF(COUNT(Y73,Z73)=2,AVERAGE(Y73,Z73),"")</x:f>
        <x:v>34.58705875024371</x:v>
      </x:c>
      <x:c r="BI73" s="34" t="n">
        <x:f>IF(COUNT(AA73,AB73,AC73)=3,AVERAGE(AA73,AB73,AC73),"")</x:f>
        <x:v>97.49508239545564</x:v>
      </x:c>
      <x:c r="BJ73" s="34" t="n">
        <x:f>IF(COUNT(AD73,AE73)=2,AVERAGE(AD73,AE73),"")</x:f>
        <x:v>18.3879344375</x:v>
      </x:c>
      <x:c r="BK73" s="34" t="n">
        <x:f>IF(COUNT(AF73,AG73)=2,AVERAGE(AF73,AG73),"")</x:f>
        <x:v>44.117941473776455</x:v>
      </x:c>
      <x:c r="BL73" s="34" t="n">
        <x:f>IF(COUNT(AH73,AI73)=2,AVERAGE(AH73,AI73),"")</x:f>
        <x:v>76.89753082941448</x:v>
      </x:c>
      <x:c r="BM73" s="34" t="n">
        <x:f>IF(COUNT(AJ73,AK73)=2,AVERAGE(AJ73,AK73),"")</x:f>
        <x:v>50</x:v>
      </x:c>
      <x:c r="BN73" s="34" t="n">
        <x:f>IF(COUNT(AL73,AM73,AN73)=3,AVERAGE(AL73,AM73,AN73),"")</x:f>
        <x:v>56.999736804994704</x:v>
      </x:c>
      <x:c r="BO73" s="35" t="n">
        <x:f>IF(AND(COUNT(BG73:BN73)=8,ABS('Scoring Setup'!$C$17-1)&lt;0.000001),BG73*'Scoring Setup'!$C$9+BH73*'Scoring Setup'!$C$10+BI73*'Scoring Setup'!$C$11+BJ73*'Scoring Setup'!$C$12+BK73*'Scoring Setup'!$C$13+BL73*'Scoring Setup'!$C$14+BM73*'Scoring Setup'!$C$15+BN73*'Scoring Setup'!$C$16,"")</x:f>
        <x:v>53.54648125987214</x:v>
      </x:c>
      <x:c r="BP73" s="36" t="n">
        <x:f>IF(COUNT(AO73:BF73)=18,MIN(AO73:BF73),"")</x:f>
        <x:v>0.8</x:v>
      </x:c>
      <x:c r="BQ73" s="35" t="n">
        <x:f>IF(AND(ISNUMBER(BO73),ISNUMBER(BP73)),BO73*BP73,"")</x:f>
        <x:v>42.837185007897716</x:v>
      </x:c>
      <x:c r="BR73" s="17" t="str">
        <x:f>IF(COUNT(AO73:BF73)=18,INDEX('Scoring Setup'!$F$9:$F$26,MATCH(MIN(AO73:BF73),AO73:BF73,0),1),"")</x:f>
        <x:v>到Interstate距离</x:v>
      </x:c>
    </x:row>
    <x:row r="74">
      <x:c r="A74" s="28" t="str">
        <x:v>51145</x:v>
      </x:c>
      <x:c r="B74" s="28" t="str">
        <x:v>Powhatan County</x:v>
      </x:c>
      <x:c r="C74" s="28" t="str">
        <x:v>VA</x:v>
      </x:c>
      <x:c r="D74" s="31" t="n">
        <x:v>673.9213</x:v>
      </x:c>
      <x:c r="E74" s="32" t="n">
        <x:v>0.241</x:v>
      </x:c>
      <x:c r="F74" s="32" t="n">
        <x:v>0.305074257425743</x:v>
      </x:c>
      <x:c r="G74" s="32" t="n">
        <x:v>2.5865129092702666</x:v>
      </x:c>
      <x:c r="H74" s="32" t="n">
        <x:v>2.8840678875786567</x:v>
      </x:c>
      <x:c r="I74" s="32" t="n">
        <x:v>0.9520410341239561</x:v>
      </x:c>
      <x:c r="J74" s="32" t="n">
        <x:v>0.009451865062141629</x:v>
      </x:c>
      <x:c r="K74" s="32" t="n">
        <x:v>0.059875670339638754</x:v>
      </x:c>
      <x:c r="L74" s="32" t="n">
        <x:v>0.234273979</x:v>
      </x:c>
      <x:c r="M74" s="32" t="n">
        <x:v>0.17433635</x:v>
      </x:c>
      <x:c r="N74" s="32" t="n">
        <x:v>17199</x:v>
      </x:c>
      <x:c r="O74" s="32" t="n">
        <x:v>0.0022</x:v>
      </x:c>
      <x:c r="P74" s="32" t="n">
        <x:v>1130.6152425130208</x:v>
      </x:c>
      <x:c r="Q74" s="32" t="n">
        <x:v>27.51483771006266</x:v>
      </x:c>
      <x:c r="R74" s="32" t="n">
        <x:v>20.847070159244403</x:v>
      </x:c>
      <x:c r="S74" s="32" t="n">
        <x:v>9.886063226030721</x:v>
      </x:c>
      <x:c r="T74" s="32" t="n">
        <x:v>89.9</x:v>
      </x:c>
      <x:c r="U74" s="32" t="n">
        <x:v>245.07712999476223</x:v>
      </x:c>
      <x:c r="V74" s="32" t="n">
        <x:v>244.75798925963002</x:v>
      </x:c>
      <x:c r="W74" s="33" t="n">
        <x:f>IF(ISNUMBER(E74),100*MAX(0,MIN(1,('Anchors'!$H$6-E74)/('Anchors'!$H$6-'Anchors'!$G$6))),"")</x:f>
        <x:v>94.14285714285715</x:v>
      </x:c>
      <x:c r="X74" s="33" t="n">
        <x:f>IF(ISNUMBER(F74),100*MAX(0,MIN(1,('Anchors'!$H$7-F74)/('Anchors'!$H$7-'Anchors'!$G$7))),"")</x:f>
        <x:v>70.70367751060814</x:v>
      </x:c>
      <x:c r="Y74" s="33" t="n">
        <x:f>IF(ISNUMBER(G74),100*MAX(0,MIN(1,('Anchors'!$H$8-G74)/('Anchors'!$H$8-'Anchors'!$G$8))),"")</x:f>
        <x:v>47.11623635765778</x:v>
      </x:c>
      <x:c r="Z74" s="33" t="n">
        <x:f>IF(ISNUMBER(H74),100*MAX(0,MIN(1,('Anchors'!$H$9-H74)/('Anchors'!$H$9-'Anchors'!$G$9))),"")</x:f>
        <x:v>37.19773708071144</x:v>
      </x:c>
      <x:c r="AA74" s="33" t="n">
        <x:f>IF(ISNUMBER(I74),100*MAX(0,MIN(1,(I74-'Anchors'!$H$10)/('Anchors'!$G$10-'Anchors'!$H$10))),"")</x:f>
        <x:v>96.17000467451454</x:v>
      </x:c>
      <x:c r="AB74" s="33" t="n">
        <x:f>IF(ISNUMBER(J74),100*MAX(0,MIN(1,('Anchors'!$H$11-J74)/('Anchors'!$H$11-'Anchors'!$G$11))),"")</x:f>
        <x:v>96.21925397514335</x:v>
      </x:c>
      <x:c r="AC74" s="33" t="n">
        <x:f>IF(ISNUMBER(K74),100*MAX(0,MIN(1,('Anchors'!$H$12-K74)/('Anchors'!$H$12-'Anchors'!$G$12))),"")</x:f>
        <x:v>85.03108241509031</x:v>
      </x:c>
      <x:c r="AD74" s="33" t="n">
        <x:f>IF(ISNUMBER(L74),100*MAX(0,MIN(1,(L74-'Anchors'!$H$13)/('Anchors'!$G$13-'Anchors'!$H$13))),"")</x:f>
        <x:v>4.896282714285713</x:v>
      </x:c>
      <x:c r="AE74" s="33" t="n">
        <x:f>IF(ISNUMBER(M74),100*MAX(0,MIN(1,(M74-'Anchors'!$H$14)/('Anchors'!$G$14-'Anchors'!$H$14))),"")</x:f>
        <x:v>9.29204375</x:v>
      </x:c>
      <x:c r="AF74" s="33" t="n">
        <x:f>IF(ISNUMBER(N74),100*MAX(0,MIN(1,(LN(1+N74)-LN(1+'Anchors'!$H$15))/(LN(1+'Anchors'!$G$15)-LN(1+'Anchors'!$H$15)))),"")</x:f>
        <x:v>49.83240368564883</x:v>
      </x:c>
      <x:c r="AG74" s="33" t="n">
        <x:f>IF(ISNUMBER(O74),100*MAX(0,MIN(1,('Anchors'!$H$16-O74)/('Anchors'!$H$16-'Anchors'!$G$16))),"")</x:f>
        <x:v>100</x:v>
      </x:c>
      <x:c r="AH74" s="33" t="n">
        <x:f>IF(ISNUMBER(P74),100*MAX(0,MIN(1,('Anchors'!$H$17-P74)/('Anchors'!$H$17-'Anchors'!$G$17))),"")</x:f>
        <x:v>71.29231716579861</x:v>
      </x:c>
      <x:c r="AI74" s="33" t="n">
        <x:f>IF(ISNUMBER(Q74),100*MAX(0,MIN(1,('Anchors'!$H$18-Q74)/('Anchors'!$H$18-'Anchors'!$G$18))),"")</x:f>
        <x:v>67.83594612848191</x:v>
      </x:c>
      <x:c r="AJ74" s="33" t="n">
        <x:f>IF(ISNUMBER(R74),100*MAX(0,MIN(1,('Anchors'!$H$19-R74)/('Anchors'!$H$19-'Anchors'!$G$19))),"")</x:f>
        <x:v>64.78428853501244</x:v>
      </x:c>
      <x:c r="AK74" s="33" t="n">
        <x:f>IF(ISNUMBER(S74),100*MAX(0,MIN(1,('Anchors'!$H$20-S74)/('Anchors'!$H$20-'Anchors'!$G$20))),"")</x:f>
        <x:v>53.231246178785675</x:v>
      </x:c>
      <x:c r="AL74" s="33" t="n">
        <x:f>IF(ISNUMBER(T74),100*MAX(0,MIN(1,('Anchors'!$H$21-T74)/('Anchors'!$H$21-'Anchors'!$G$21))),"")</x:f>
        <x:v>54.72727272727271</x:v>
      </x:c>
      <x:c r="AM74" s="33" t="n">
        <x:f>IF(ISNUMBER(U74),100*MAX(0,MIN(1,('Anchors'!$H$22-U74)/('Anchors'!$H$22-'Anchors'!$G$22))),"")</x:f>
        <x:v>27.461435002618884</x:v>
      </x:c>
      <x:c r="AN74" s="33" t="n">
        <x:f>IF(ISNUMBER(V74),100*MAX(0,MIN(1,('Anchors'!$H$23-V74)/('Anchors'!$H$23-'Anchors'!$G$23))),"")</x:f>
        <x:v>88.8105026850925</x:v>
      </x:c>
      <x:c r="AO74" s="27" t="n">
        <x:f>IF(ISNUMBER(W74),IF('Scoring Setup'!$L$9=1,1-'Scoring Setup'!$B$5*(1-MAX(0,MIN(1,(W74-'Scoring Setup'!$K$9)/(100-'Scoring Setup'!$K$9)))),1),"")</x:f>
        <x:v>0.9882857142857143</x:v>
      </x:c>
      <x:c r="AP74" s="27" t="n">
        <x:f>IF(ISNUMBER(X74),IF('Scoring Setup'!$L$10=1,1-'Scoring Setup'!$B$5*(1-MAX(0,MIN(1,(X74-'Scoring Setup'!$K$10)/(100-'Scoring Setup'!$K$10)))),1),"")</x:f>
        <x:v>0.9414073550212163</x:v>
      </x:c>
      <x:c r="AQ74" s="27" t="n">
        <x:f>IF(ISNUMBER(Y74),IF('Scoring Setup'!$L$11=1,1-'Scoring Setup'!$B$5*(1-MAX(0,MIN(1,(Y74-'Scoring Setup'!$K$11)/(100-'Scoring Setup'!$K$11)))),1),"")</x:f>
        <x:v>0.8942324727153156</x:v>
      </x:c>
      <x:c r="AR74" s="27" t="n">
        <x:f>IF(ISNUMBER(Z74),IF('Scoring Setup'!$L$12=1,1-'Scoring Setup'!$B$5*(1-MAX(0,MIN(1,(Z74-'Scoring Setup'!$K$12)/(100-'Scoring Setup'!$K$12)))),1),"")</x:f>
        <x:v>0.8743954741614228</x:v>
      </x:c>
      <x:c r="AS74" s="27" t="n">
        <x:f>IF(ISNUMBER(AA74),IF('Scoring Setup'!$L$13=1,1-'Scoring Setup'!$B$5*(1-MAX(0,MIN(1,(AA74-'Scoring Setup'!$K$13)/(100-'Scoring Setup'!$K$13)))),1),"")</x:f>
        <x:v>0.9923400093490291</x:v>
      </x:c>
      <x:c r="AT74" s="27" t="n">
        <x:f>IF(ISNUMBER(AB74),IF('Scoring Setup'!$L$14=1,1-'Scoring Setup'!$B$5*(1-MAX(0,MIN(1,(AB74-'Scoring Setup'!$K$14)/(100-'Scoring Setup'!$K$14)))),1),"")</x:f>
        <x:v>0.9924385079502867</x:v>
      </x:c>
      <x:c r="AU74" s="27" t="n">
        <x:f>IF(ISNUMBER(AC74),IF('Scoring Setup'!$L$15=1,1-'Scoring Setup'!$B$5*(1-MAX(0,MIN(1,(AC74-'Scoring Setup'!$K$15)/(100-'Scoring Setup'!$K$15)))),1),"")</x:f>
        <x:v>0.9700621648301806</x:v>
      </x:c>
      <x:c r="AV74" s="27" t="n">
        <x:f>IF(ISNUMBER(AD74),IF('Scoring Setup'!$L$16=1,1-'Scoring Setup'!$B$5*(1-MAX(0,MIN(1,(AD74-'Scoring Setup'!$K$16)/(100-'Scoring Setup'!$K$16)))),1),"")</x:f>
        <x:v>0.8097925654285714</x:v>
      </x:c>
      <x:c r="AW74" s="27" t="n">
        <x:f>IF(ISNUMBER(AE74),IF('Scoring Setup'!$L$17=1,1-'Scoring Setup'!$B$5*(1-MAX(0,MIN(1,(AE74-'Scoring Setup'!$K$17)/(100-'Scoring Setup'!$K$17)))),1),"")</x:f>
        <x:v>0.8185840875</x:v>
      </x:c>
      <x:c r="AX74" s="27" t="n">
        <x:f>IF(ISNUMBER(AF74),IF('Scoring Setup'!$L$18=1,1-'Scoring Setup'!$B$5*(1-MAX(0,MIN(1,(AF74-'Scoring Setup'!$K$18)/(100-'Scoring Setup'!$K$18)))),1),"")</x:f>
        <x:v>0.8996648073712976</x:v>
      </x:c>
      <x:c r="AY74" s="27" t="n">
        <x:f>IF(ISNUMBER(AG74),IF('Scoring Setup'!$L$19=1,1-'Scoring Setup'!$B$5*(1-MAX(0,MIN(1,(AG74-'Scoring Setup'!$K$19)/(100-'Scoring Setup'!$K$19)))),1),"")</x:f>
        <x:v>1</x:v>
      </x:c>
      <x:c r="AZ74" s="27" t="n">
        <x:f>IF(ISNUMBER(AH74),IF('Scoring Setup'!$L$20=1,1-'Scoring Setup'!$B$5*(1-MAX(0,MIN(1,(AH74-'Scoring Setup'!$K$20)/(100-'Scoring Setup'!$K$20)))),1),"")</x:f>
        <x:v>0.9425846343315972</x:v>
      </x:c>
      <x:c r="BA74" s="27" t="n">
        <x:f>IF(ISNUMBER(AI74),IF('Scoring Setup'!$L$21=1,1-'Scoring Setup'!$B$5*(1-MAX(0,MIN(1,(AI74-'Scoring Setup'!$K$21)/(100-'Scoring Setup'!$K$21)))),1),"")</x:f>
        <x:v>0.9356718922569638</x:v>
      </x:c>
      <x:c r="BB74" s="27" t="n">
        <x:f>IF(ISNUMBER(AJ74),IF('Scoring Setup'!$L$22=1,1-'Scoring Setup'!$B$5*(1-MAX(0,MIN(1,(AJ74-'Scoring Setup'!$K$22)/(100-'Scoring Setup'!$K$22)))),1),"")</x:f>
        <x:v>0.9295685770700248</x:v>
      </x:c>
      <x:c r="BC74" s="27" t="n">
        <x:f>IF(ISNUMBER(AK74),IF('Scoring Setup'!$L$23=1,1-'Scoring Setup'!$B$5*(1-MAX(0,MIN(1,(AK74-'Scoring Setup'!$K$23)/(100-'Scoring Setup'!$K$23)))),1),"")</x:f>
        <x:v>0.9064624923575714</x:v>
      </x:c>
      <x:c r="BD74" s="27" t="n">
        <x:f>IF(ISNUMBER(AL74),IF('Scoring Setup'!$L$24=1,1-'Scoring Setup'!$B$5*(1-MAX(0,MIN(1,(AL74-'Scoring Setup'!$K$24)/(100-'Scoring Setup'!$K$24)))),1),"")</x:f>
        <x:v>0.9094545454545454</x:v>
      </x:c>
      <x:c r="BE74" s="27" t="n">
        <x:f>IF(ISNUMBER(AM74),IF('Scoring Setup'!$L$25=1,1-'Scoring Setup'!$B$5*(1-MAX(0,MIN(1,(AM74-'Scoring Setup'!$K$25)/(100-'Scoring Setup'!$K$25)))),1),"")</x:f>
        <x:v>0.8549228700052378</x:v>
      </x:c>
      <x:c r="BF74" s="27" t="n">
        <x:f>IF(ISNUMBER(AN74),IF('Scoring Setup'!$L$26=1,1-'Scoring Setup'!$B$5*(1-MAX(0,MIN(1,(AN74-'Scoring Setup'!$K$26)/(100-'Scoring Setup'!$K$26)))),1),"")</x:f>
        <x:v>0.977621005370185</x:v>
      </x:c>
      <x:c r="BG74" s="34" t="n">
        <x:f>IF(COUNT(W74,X74)=2,AVERAGE(W74,X74),"")</x:f>
        <x:v>82.42326732673266</x:v>
      </x:c>
      <x:c r="BH74" s="34" t="n">
        <x:f>IF(COUNT(Y74,Z74)=2,AVERAGE(Y74,Z74),"")</x:f>
        <x:v>42.156986719184616</x:v>
      </x:c>
      <x:c r="BI74" s="34" t="n">
        <x:f>IF(COUNT(AA74,AB74,AC74)=3,AVERAGE(AA74,AB74,AC74),"")</x:f>
        <x:v>92.47344702158273</x:v>
      </x:c>
      <x:c r="BJ74" s="34" t="n">
        <x:f>IF(COUNT(AD74,AE74)=2,AVERAGE(AD74,AE74),"")</x:f>
        <x:v>7.094163232142856</x:v>
      </x:c>
      <x:c r="BK74" s="34" t="n">
        <x:f>IF(COUNT(AF74,AG74)=2,AVERAGE(AF74,AG74),"")</x:f>
        <x:v>74.91620184282442</x:v>
      </x:c>
      <x:c r="BL74" s="34" t="n">
        <x:f>IF(COUNT(AH74,AI74)=2,AVERAGE(AH74,AI74),"")</x:f>
        <x:v>69.56413164714026</x:v>
      </x:c>
      <x:c r="BM74" s="34" t="n">
        <x:f>IF(COUNT(AJ74,AK74)=2,AVERAGE(AJ74,AK74),"")</x:f>
        <x:v>59.00776735689905</x:v>
      </x:c>
      <x:c r="BN74" s="34" t="n">
        <x:f>IF(COUNT(AL74,AM74,AN74)=3,AVERAGE(AL74,AM74,AN74),"")</x:f>
        <x:v>56.999736804994704</x:v>
      </x:c>
      <x:c r="BO74" s="35" t="n">
        <x:f>IF(AND(COUNT(BG74:BN74)=8,ABS('Scoring Setup'!$C$17-1)&lt;0.000001),BG74*'Scoring Setup'!$C$9+BH74*'Scoring Setup'!$C$10+BI74*'Scoring Setup'!$C$11+BJ74*'Scoring Setup'!$C$12+BK74*'Scoring Setup'!$C$13+BL74*'Scoring Setup'!$C$14+BM74*'Scoring Setup'!$C$15+BN74*'Scoring Setup'!$C$16,"")</x:f>
        <x:v>57.65062127786557</x:v>
      </x:c>
      <x:c r="BP74" s="36" t="n">
        <x:f>IF(COUNT(AO74:BF74)=18,MIN(AO74:BF74),"")</x:f>
        <x:v>0.8097925654285714</x:v>
      </x:c>
      <x:c r="BQ74" s="35" t="n">
        <x:f>IF(AND(ISNUMBER(BO74),ISNUMBER(BP74)),BO74*BP74,"")</x:f>
        <x:v>46.68504450315374</x:v>
      </x:c>
      <x:c r="BR74" s="17" t="str">
        <x:f>IF(COUNT(AO74:BF74)=18,INDEX('Scoring Setup'!$F$9:$F$26,MATCH(MIN(AO74:BF74),AO74:BF74,0),1),"")</x:f>
        <x:v>商业光纤100/20覆盖率</x:v>
      </x:c>
    </x:row>
    <x:row r="75">
      <x:c r="A75" s="28" t="str">
        <x:v>51147</x:v>
      </x:c>
      <x:c r="B75" s="28" t="str">
        <x:v>Prince Edward County</x:v>
      </x:c>
      <x:c r="C75" s="28" t="str">
        <x:v>VA</x:v>
      </x:c>
      <x:c r="D75" s="31" t="n">
        <x:v>906.356801</x:v>
      </x:c>
      <x:c r="E75" s="32" t="n">
        <x:v>0.305</x:v>
      </x:c>
      <x:c r="F75" s="32" t="n">
        <x:v>0.112623762376238</x:v>
      </x:c>
      <x:c r="G75" s="32" t="n">
        <x:v>3.159958692689882</x:v>
      </x:c>
      <x:c r="H75" s="32" t="n">
        <x:v>3.457887333526956</x:v>
      </x:c>
      <x:c r="I75" s="32" t="n">
        <x:v>0.9495299690615059</x:v>
      </x:c>
      <x:c r="J75" s="32" t="n">
        <x:v>0.0021357632183513294</x:v>
      </x:c>
      <x:c r="K75" s="32" t="n">
        <x:v>0.047303746951298166</x:v>
      </x:c>
      <x:c r="L75" s="32" t="n">
        <x:v>0.698771994</x:v>
      </x:c>
      <x:c r="M75" s="32" t="n">
        <x:v>0.671645894</x:v>
      </x:c>
      <x:c r="N75" s="32" t="n">
        <x:v>8550</x:v>
      </x:c>
      <x:c r="O75" s="32" t="n">
        <x:v>0.6106</x:v>
      </x:c>
      <x:c r="P75" s="32" t="n">
        <x:v>1156.7551879882812</x:v>
      </x:c>
      <x:c r="Q75" s="32" t="n">
        <x:v>27.54825496673584</x:v>
      </x:c>
      <x:c r="R75" s="32" t="n">
        <x:v>60.18409862470955</x:v>
      </x:c>
      <x:c r="S75" s="32" t="n">
        <x:v>9.014145170915077</x:v>
      </x:c>
      <x:c r="T75" s="32" t="n">
        <x:v>89.9</x:v>
      </x:c>
      <x:c r="U75" s="32" t="n">
        <x:v>245.07712999476223</x:v>
      </x:c>
      <x:c r="V75" s="32" t="n">
        <x:v>244.75798925963002</x:v>
      </x:c>
      <x:c r="W75" s="33" t="n">
        <x:f>IF(ISNUMBER(E75),100*MAX(0,MIN(1,('Anchors'!$H$6-E75)/('Anchors'!$H$6-'Anchors'!$G$6))),"")</x:f>
        <x:v>85</x:v>
      </x:c>
      <x:c r="X75" s="33" t="n">
        <x:f>IF(ISNUMBER(F75),100*MAX(0,MIN(1,('Anchors'!$H$7-F75)/('Anchors'!$H$7-'Anchors'!$G$7))),"")</x:f>
        <x:v>98.19660537482314</x:v>
      </x:c>
      <x:c r="Y75" s="33" t="n">
        <x:f>IF(ISNUMBER(G75),100*MAX(0,MIN(1,('Anchors'!$H$8-G75)/('Anchors'!$H$8-'Anchors'!$G$8))),"")</x:f>
        <x:v>28.001376910337267</x:v>
      </x:c>
      <x:c r="Z75" s="33" t="n">
        <x:f>IF(ISNUMBER(H75),100*MAX(0,MIN(1,('Anchors'!$H$9-H75)/('Anchors'!$H$9-'Anchors'!$G$9))),"")</x:f>
        <x:v>18.070422215768126</x:v>
      </x:c>
      <x:c r="AA75" s="33" t="n">
        <x:f>IF(ISNUMBER(I75),100*MAX(0,MIN(1,(I75-'Anchors'!$H$10)/('Anchors'!$G$10-'Anchors'!$H$10))),"")</x:f>
        <x:v>95.82602315911039</x:v>
      </x:c>
      <x:c r="AB75" s="33" t="n">
        <x:f>IF(ISNUMBER(J75),100*MAX(0,MIN(1,('Anchors'!$H$11-J75)/('Anchors'!$H$11-'Anchors'!$G$11))),"")</x:f>
        <x:v>99.14569471265948</x:v>
      </x:c>
      <x:c r="AC75" s="33" t="n">
        <x:f>IF(ISNUMBER(K75),100*MAX(0,MIN(1,('Anchors'!$H$12-K75)/('Anchors'!$H$12-'Anchors'!$G$12))),"")</x:f>
        <x:v>88.17406326217545</x:v>
      </x:c>
      <x:c r="AD75" s="33" t="n">
        <x:f>IF(ISNUMBER(L75),100*MAX(0,MIN(1,(L75-'Anchors'!$H$13)/('Anchors'!$G$13-'Anchors'!$H$13))),"")</x:f>
        <x:v>71.253142</x:v>
      </x:c>
      <x:c r="AE75" s="33" t="n">
        <x:f>IF(ISNUMBER(M75),100*MAX(0,MIN(1,(M75-'Anchors'!$H$14)/('Anchors'!$G$14-'Anchors'!$H$14))),"")</x:f>
        <x:v>71.45573675</x:v>
      </x:c>
      <x:c r="AF75" s="33" t="n">
        <x:f>IF(ISNUMBER(N75),100*MAX(0,MIN(1,(LN(1+N75)-LN(1+'Anchors'!$H$15))/(LN(1+'Anchors'!$G$15)-LN(1+'Anchors'!$H$15)))),"")</x:f>
        <x:v>33.643801104403245</x:v>
      </x:c>
      <x:c r="AG75" s="33" t="n">
        <x:f>IF(ISNUMBER(O75),100*MAX(0,MIN(1,('Anchors'!$H$16-O75)/('Anchors'!$H$16-'Anchors'!$G$16))),"")</x:f>
        <x:v>37.71111111111111</x:v>
      </x:c>
      <x:c r="AH75" s="33" t="n">
        <x:f>IF(ISNUMBER(P75),100*MAX(0,MIN(1,('Anchors'!$H$17-P75)/('Anchors'!$H$17-'Anchors'!$G$17))),"")</x:f>
        <x:v>69.54965413411458</x:v>
      </x:c>
      <x:c r="AI75" s="33" t="n">
        <x:f>IF(ISNUMBER(Q75),100*MAX(0,MIN(1,('Anchors'!$H$18-Q75)/('Anchors'!$H$18-'Anchors'!$G$18))),"")</x:f>
        <x:v>67.78820719037736</x:v>
      </x:c>
      <x:c r="AJ75" s="33" t="n">
        <x:f>IF(ISNUMBER(R75),100*MAX(0,MIN(1,('Anchors'!$H$19-R75)/('Anchors'!$H$19-'Anchors'!$G$19))),"")</x:f>
        <x:v>0</x:v>
      </x:c>
      <x:c r="AK75" s="33" t="n">
        <x:f>IF(ISNUMBER(S75),100*MAX(0,MIN(1,('Anchors'!$H$20-S75)/('Anchors'!$H$20-'Anchors'!$G$20))),"")</x:f>
        <x:v>57.820288574131176</x:v>
      </x:c>
      <x:c r="AL75" s="33" t="n">
        <x:f>IF(ISNUMBER(T75),100*MAX(0,MIN(1,('Anchors'!$H$21-T75)/('Anchors'!$H$21-'Anchors'!$G$21))),"")</x:f>
        <x:v>54.72727272727271</x:v>
      </x:c>
      <x:c r="AM75" s="33" t="n">
        <x:f>IF(ISNUMBER(U75),100*MAX(0,MIN(1,('Anchors'!$H$22-U75)/('Anchors'!$H$22-'Anchors'!$G$22))),"")</x:f>
        <x:v>27.461435002618884</x:v>
      </x:c>
      <x:c r="AN75" s="33" t="n">
        <x:f>IF(ISNUMBER(V75),100*MAX(0,MIN(1,('Anchors'!$H$23-V75)/('Anchors'!$H$23-'Anchors'!$G$23))),"")</x:f>
        <x:v>88.8105026850925</x:v>
      </x:c>
      <x:c r="AO75" s="27" t="n">
        <x:f>IF(ISNUMBER(W75),IF('Scoring Setup'!$L$9=1,1-'Scoring Setup'!$B$5*(1-MAX(0,MIN(1,(W75-'Scoring Setup'!$K$9)/(100-'Scoring Setup'!$K$9)))),1),"")</x:f>
        <x:v>0.97</x:v>
      </x:c>
      <x:c r="AP75" s="27" t="n">
        <x:f>IF(ISNUMBER(X75),IF('Scoring Setup'!$L$10=1,1-'Scoring Setup'!$B$5*(1-MAX(0,MIN(1,(X75-'Scoring Setup'!$K$10)/(100-'Scoring Setup'!$K$10)))),1),"")</x:f>
        <x:v>0.9963932107496463</x:v>
      </x:c>
      <x:c r="AQ75" s="27" t="n">
        <x:f>IF(ISNUMBER(Y75),IF('Scoring Setup'!$L$11=1,1-'Scoring Setup'!$B$5*(1-MAX(0,MIN(1,(Y75-'Scoring Setup'!$K$11)/(100-'Scoring Setup'!$K$11)))),1),"")</x:f>
        <x:v>0.8560027538206745</x:v>
      </x:c>
      <x:c r="AR75" s="27" t="n">
        <x:f>IF(ISNUMBER(Z75),IF('Scoring Setup'!$L$12=1,1-'Scoring Setup'!$B$5*(1-MAX(0,MIN(1,(Z75-'Scoring Setup'!$K$12)/(100-'Scoring Setup'!$K$12)))),1),"")</x:f>
        <x:v>0.8361408444315362</x:v>
      </x:c>
      <x:c r="AS75" s="27" t="n">
        <x:f>IF(ISNUMBER(AA75),IF('Scoring Setup'!$L$13=1,1-'Scoring Setup'!$B$5*(1-MAX(0,MIN(1,(AA75-'Scoring Setup'!$K$13)/(100-'Scoring Setup'!$K$13)))),1),"")</x:f>
        <x:v>0.9916520463182208</x:v>
      </x:c>
      <x:c r="AT75" s="27" t="n">
        <x:f>IF(ISNUMBER(AB75),IF('Scoring Setup'!$L$14=1,1-'Scoring Setup'!$B$5*(1-MAX(0,MIN(1,(AB75-'Scoring Setup'!$K$14)/(100-'Scoring Setup'!$K$14)))),1),"")</x:f>
        <x:v>0.9982913894253189</x:v>
      </x:c>
      <x:c r="AU75" s="27" t="n">
        <x:f>IF(ISNUMBER(AC75),IF('Scoring Setup'!$L$15=1,1-'Scoring Setup'!$B$5*(1-MAX(0,MIN(1,(AC75-'Scoring Setup'!$K$15)/(100-'Scoring Setup'!$K$15)))),1),"")</x:f>
        <x:v>0.9763481265243509</x:v>
      </x:c>
      <x:c r="AV75" s="27" t="n">
        <x:f>IF(ISNUMBER(AD75),IF('Scoring Setup'!$L$16=1,1-'Scoring Setup'!$B$5*(1-MAX(0,MIN(1,(AD75-'Scoring Setup'!$K$16)/(100-'Scoring Setup'!$K$16)))),1),"")</x:f>
        <x:v>0.942506284</x:v>
      </x:c>
      <x:c r="AW75" s="27" t="n">
        <x:f>IF(ISNUMBER(AE75),IF('Scoring Setup'!$L$17=1,1-'Scoring Setup'!$B$5*(1-MAX(0,MIN(1,(AE75-'Scoring Setup'!$K$17)/(100-'Scoring Setup'!$K$17)))),1),"")</x:f>
        <x:v>0.9429114735</x:v>
      </x:c>
      <x:c r="AX75" s="27" t="n">
        <x:f>IF(ISNUMBER(AF75),IF('Scoring Setup'!$L$18=1,1-'Scoring Setup'!$B$5*(1-MAX(0,MIN(1,(AF75-'Scoring Setup'!$K$18)/(100-'Scoring Setup'!$K$18)))),1),"")</x:f>
        <x:v>0.8672876022088065</x:v>
      </x:c>
      <x:c r="AY75" s="27" t="n">
        <x:f>IF(ISNUMBER(AG75),IF('Scoring Setup'!$L$19=1,1-'Scoring Setup'!$B$5*(1-MAX(0,MIN(1,(AG75-'Scoring Setup'!$K$19)/(100-'Scoring Setup'!$K$19)))),1),"")</x:f>
        <x:v>0.8754222222222222</x:v>
      </x:c>
      <x:c r="AZ75" s="27" t="n">
        <x:f>IF(ISNUMBER(AH75),IF('Scoring Setup'!$L$20=1,1-'Scoring Setup'!$B$5*(1-MAX(0,MIN(1,(AH75-'Scoring Setup'!$K$20)/(100-'Scoring Setup'!$K$20)))),1),"")</x:f>
        <x:v>0.9390993082682292</x:v>
      </x:c>
      <x:c r="BA75" s="27" t="n">
        <x:f>IF(ISNUMBER(AI75),IF('Scoring Setup'!$L$21=1,1-'Scoring Setup'!$B$5*(1-MAX(0,MIN(1,(AI75-'Scoring Setup'!$K$21)/(100-'Scoring Setup'!$K$21)))),1),"")</x:f>
        <x:v>0.9355764143807547</x:v>
      </x:c>
      <x:c r="BB75" s="27" t="n">
        <x:f>IF(ISNUMBER(AJ75),IF('Scoring Setup'!$L$22=1,1-'Scoring Setup'!$B$5*(1-MAX(0,MIN(1,(AJ75-'Scoring Setup'!$K$22)/(100-'Scoring Setup'!$K$22)))),1),"")</x:f>
        <x:v>0.8</x:v>
      </x:c>
      <x:c r="BC75" s="27" t="n">
        <x:f>IF(ISNUMBER(AK75),IF('Scoring Setup'!$L$23=1,1-'Scoring Setup'!$B$5*(1-MAX(0,MIN(1,(AK75-'Scoring Setup'!$K$23)/(100-'Scoring Setup'!$K$23)))),1),"")</x:f>
        <x:v>0.9156405771482623</x:v>
      </x:c>
      <x:c r="BD75" s="27" t="n">
        <x:f>IF(ISNUMBER(AL75),IF('Scoring Setup'!$L$24=1,1-'Scoring Setup'!$B$5*(1-MAX(0,MIN(1,(AL75-'Scoring Setup'!$K$24)/(100-'Scoring Setup'!$K$24)))),1),"")</x:f>
        <x:v>0.9094545454545454</x:v>
      </x:c>
      <x:c r="BE75" s="27" t="n">
        <x:f>IF(ISNUMBER(AM75),IF('Scoring Setup'!$L$25=1,1-'Scoring Setup'!$B$5*(1-MAX(0,MIN(1,(AM75-'Scoring Setup'!$K$25)/(100-'Scoring Setup'!$K$25)))),1),"")</x:f>
        <x:v>0.8549228700052378</x:v>
      </x:c>
      <x:c r="BF75" s="27" t="n">
        <x:f>IF(ISNUMBER(AN75),IF('Scoring Setup'!$L$26=1,1-'Scoring Setup'!$B$5*(1-MAX(0,MIN(1,(AN75-'Scoring Setup'!$K$26)/(100-'Scoring Setup'!$K$26)))),1),"")</x:f>
        <x:v>0.977621005370185</x:v>
      </x:c>
      <x:c r="BG75" s="34" t="n">
        <x:f>IF(COUNT(W75,X75)=2,AVERAGE(W75,X75),"")</x:f>
        <x:v>91.59830268741158</x:v>
      </x:c>
      <x:c r="BH75" s="34" t="n">
        <x:f>IF(COUNT(Y75,Z75)=2,AVERAGE(Y75,Z75),"")</x:f>
        <x:v>23.035899563052695</x:v>
      </x:c>
      <x:c r="BI75" s="34" t="n">
        <x:f>IF(COUNT(AA75,AB75,AC75)=3,AVERAGE(AA75,AB75,AC75),"")</x:f>
        <x:v>94.38192704464844</x:v>
      </x:c>
      <x:c r="BJ75" s="34" t="n">
        <x:f>IF(COUNT(AD75,AE75)=2,AVERAGE(AD75,AE75),"")</x:f>
        <x:v>71.354439375</x:v>
      </x:c>
      <x:c r="BK75" s="34" t="n">
        <x:f>IF(COUNT(AF75,AG75)=2,AVERAGE(AF75,AG75),"")</x:f>
        <x:v>35.67745610775718</x:v>
      </x:c>
      <x:c r="BL75" s="34" t="n">
        <x:f>IF(COUNT(AH75,AI75)=2,AVERAGE(AH75,AI75),"")</x:f>
        <x:v>68.66893066224597</x:v>
      </x:c>
      <x:c r="BM75" s="34" t="n">
        <x:f>IF(COUNT(AJ75,AK75)=2,AVERAGE(AJ75,AK75),"")</x:f>
        <x:v>28.910144287065588</x:v>
      </x:c>
      <x:c r="BN75" s="34" t="n">
        <x:f>IF(COUNT(AL75,AM75,AN75)=3,AVERAGE(AL75,AM75,AN75),"")</x:f>
        <x:v>56.999736804994704</x:v>
      </x:c>
      <x:c r="BO75" s="35" t="n">
        <x:f>IF(AND(COUNT(BG75:BN75)=8,ABS('Scoring Setup'!$C$17-1)&lt;0.000001),BG75*'Scoring Setup'!$C$9+BH75*'Scoring Setup'!$C$10+BI75*'Scoring Setup'!$C$11+BJ75*'Scoring Setup'!$C$12+BK75*'Scoring Setup'!$C$13+BL75*'Scoring Setup'!$C$14+BM75*'Scoring Setup'!$C$15+BN75*'Scoring Setup'!$C$16,"")</x:f>
        <x:v>55.88726722305624</x:v>
      </x:c>
      <x:c r="BP75" s="36" t="n">
        <x:f>IF(COUNT(AO75:BF75)=18,MIN(AO75:BF75),"")</x:f>
        <x:v>0.8</x:v>
      </x:c>
      <x:c r="BQ75" s="35" t="n">
        <x:f>IF(AND(ISNUMBER(BO75),ISNUMBER(BP75)),BO75*BP75,"")</x:f>
        <x:v>44.709813778444996</x:v>
      </x:c>
      <x:c r="BR75" s="17" t="str">
        <x:f>IF(COUNT(AO75:BF75)=18,INDEX('Scoring Setup'!$F$9:$F$26,MATCH(MIN(AO75:BF75),AO75:BF75,0),1),"")</x:f>
        <x:v>到Interstate距离</x:v>
      </x:c>
    </x:row>
    <x:row r="76">
      <x:c r="A76" s="28" t="str">
        <x:v>51149</x:v>
      </x:c>
      <x:c r="B76" s="28" t="str">
        <x:v>Prince George County</x:v>
      </x:c>
      <x:c r="C76" s="28" t="str">
        <x:v>VA</x:v>
      </x:c>
      <x:c r="D76" s="31" t="n">
        <x:v>687.232241</x:v>
      </x:c>
      <x:c r="E76" s="32" t="n">
        <x:v>0.345</x:v>
      </x:c>
      <x:c r="F76" s="32" t="n">
        <x:v>0.08972772277227721</x:v>
      </x:c>
      <x:c r="G76" s="32" t="n">
        <x:v>2.574327427728232</x:v>
      </x:c>
      <x:c r="H76" s="32" t="n">
        <x:v>2.905858552699214</x:v>
      </x:c>
      <x:c r="I76" s="32" t="n">
        <x:v>0.8945728603662696</x:v>
      </x:c>
      <x:c r="J76" s="32" t="n">
        <x:v>0.04099136219525512</x:v>
      </x:c>
      <x:c r="K76" s="32" t="n">
        <x:v>0.14950936663693132</x:v>
      </x:c>
      <x:c r="L76" s="32" t="n">
        <x:v>0.338340192</x:v>
      </x:c>
      <x:c r="M76" s="32" t="n">
        <x:v>0.330658436</x:v>
      </x:c>
      <x:c r="N76" s="32" t="n">
        <x:v>17049</x:v>
      </x:c>
      <x:c r="O76" s="32" t="n">
        <x:v>0.3805</x:v>
      </x:c>
      <x:c r="P76" s="32" t="n">
        <x:v>1464.2783935546877</x:v>
      </x:c>
      <x:c r="Q76" s="32" t="n">
        <x:v>37.66997350056966</x:v>
      </x:c>
      <x:c r="R76" s="32" t="n">
        <x:v>7.265176152703968</x:v>
      </x:c>
      <x:c r="S76" s="32" t="n">
        <x:v>5.913263516417761</x:v>
      </x:c>
      <x:c r="T76" s="32" t="n">
        <x:v>89.9</x:v>
      </x:c>
      <x:c r="U76" s="32" t="n">
        <x:v>245.07712999476223</x:v>
      </x:c>
      <x:c r="V76" s="32" t="n">
        <x:v>244.75798925963002</x:v>
      </x:c>
      <x:c r="W76" s="33" t="n">
        <x:f>IF(ISNUMBER(E76),100*MAX(0,MIN(1,('Anchors'!$H$6-E76)/('Anchors'!$H$6-'Anchors'!$G$6))),"")</x:f>
        <x:v>79.28571428571429</x:v>
      </x:c>
      <x:c r="X76" s="33" t="n">
        <x:f>IF(ISNUMBER(F76),100*MAX(0,MIN(1,('Anchors'!$H$7-F76)/('Anchors'!$H$7-'Anchors'!$G$7))),"")</x:f>
        <x:v>100</x:v>
      </x:c>
      <x:c r="Y76" s="33" t="n">
        <x:f>IF(ISNUMBER(G76),100*MAX(0,MIN(1,('Anchors'!$H$8-G76)/('Anchors'!$H$8-'Anchors'!$G$8))),"")</x:f>
        <x:v>47.522419075725594</x:v>
      </x:c>
      <x:c r="Z76" s="33" t="n">
        <x:f>IF(ISNUMBER(H76),100*MAX(0,MIN(1,('Anchors'!$H$9-H76)/('Anchors'!$H$9-'Anchors'!$G$9))),"")</x:f>
        <x:v>36.47138157669288</x:v>
      </x:c>
      <x:c r="AA76" s="33" t="n">
        <x:f>IF(ISNUMBER(I76),100*MAX(0,MIN(1,(I76-'Anchors'!$H$10)/('Anchors'!$G$10-'Anchors'!$H$10))),"")</x:f>
        <x:v>88.29765210496844</x:v>
      </x:c>
      <x:c r="AB76" s="33" t="n">
        <x:f>IF(ISNUMBER(J76),100*MAX(0,MIN(1,('Anchors'!$H$11-J76)/('Anchors'!$H$11-'Anchors'!$G$11))),"")</x:f>
        <x:v>83.60345512189795</x:v>
      </x:c>
      <x:c r="AC76" s="33" t="n">
        <x:f>IF(ISNUMBER(K76),100*MAX(0,MIN(1,('Anchors'!$H$12-K76)/('Anchors'!$H$12-'Anchors'!$G$12))),"")</x:f>
        <x:v>62.62265834076717</x:v>
      </x:c>
      <x:c r="AD76" s="33" t="n">
        <x:f>IF(ISNUMBER(L76),100*MAX(0,MIN(1,(L76-'Anchors'!$H$13)/('Anchors'!$G$13-'Anchors'!$H$13))),"")</x:f>
        <x:v>19.762884571428568</x:v>
      </x:c>
      <x:c r="AE76" s="33" t="n">
        <x:f>IF(ISNUMBER(M76),100*MAX(0,MIN(1,(M76-'Anchors'!$H$14)/('Anchors'!$G$14-'Anchors'!$H$14))),"")</x:f>
        <x:v>28.8323045</x:v>
      </x:c>
      <x:c r="AF76" s="33" t="n">
        <x:f>IF(ISNUMBER(N76),100*MAX(0,MIN(1,(LN(1+N76)-LN(1+'Anchors'!$H$15))/(LN(1+'Anchors'!$G$15)-LN(1+'Anchors'!$H$15)))),"")</x:f>
        <x:v>49.62950374524225</x:v>
      </x:c>
      <x:c r="AG76" s="33" t="n">
        <x:f>IF(ISNUMBER(O76),100*MAX(0,MIN(1,('Anchors'!$H$16-O76)/('Anchors'!$H$16-'Anchors'!$G$16))),"")</x:f>
        <x:v>63.27777777777778</x:v>
      </x:c>
      <x:c r="AH76" s="33" t="n">
        <x:f>IF(ISNUMBER(P76),100*MAX(0,MIN(1,('Anchors'!$H$17-P76)/('Anchors'!$H$17-'Anchors'!$G$17))),"")</x:f>
        <x:v>49.04810709635415</x:v>
      </x:c>
      <x:c r="AI76" s="33" t="n">
        <x:f>IF(ISNUMBER(Q76),100*MAX(0,MIN(1,('Anchors'!$H$18-Q76)/('Anchors'!$H$18-'Anchors'!$G$18))),"")</x:f>
        <x:v>53.32860928490049</x:v>
      </x:c>
      <x:c r="AJ76" s="33" t="n">
        <x:f>IF(ISNUMBER(R76),100*MAX(0,MIN(1,('Anchors'!$H$19-R76)/('Anchors'!$H$19-'Anchors'!$G$19))),"")</x:f>
        <x:v>94.96627521621342</x:v>
      </x:c>
      <x:c r="AK76" s="33" t="n">
        <x:f>IF(ISNUMBER(S76),100*MAX(0,MIN(1,('Anchors'!$H$20-S76)/('Anchors'!$H$20-'Anchors'!$G$20))),"")</x:f>
        <x:v>74.14071833464337</x:v>
      </x:c>
      <x:c r="AL76" s="33" t="n">
        <x:f>IF(ISNUMBER(T76),100*MAX(0,MIN(1,('Anchors'!$H$21-T76)/('Anchors'!$H$21-'Anchors'!$G$21))),"")</x:f>
        <x:v>54.72727272727271</x:v>
      </x:c>
      <x:c r="AM76" s="33" t="n">
        <x:f>IF(ISNUMBER(U76),100*MAX(0,MIN(1,('Anchors'!$H$22-U76)/('Anchors'!$H$22-'Anchors'!$G$22))),"")</x:f>
        <x:v>27.461435002618884</x:v>
      </x:c>
      <x:c r="AN76" s="33" t="n">
        <x:f>IF(ISNUMBER(V76),100*MAX(0,MIN(1,('Anchors'!$H$23-V76)/('Anchors'!$H$23-'Anchors'!$G$23))),"")</x:f>
        <x:v>88.8105026850925</x:v>
      </x:c>
      <x:c r="AO76" s="27" t="n">
        <x:f>IF(ISNUMBER(W76),IF('Scoring Setup'!$L$9=1,1-'Scoring Setup'!$B$5*(1-MAX(0,MIN(1,(W76-'Scoring Setup'!$K$9)/(100-'Scoring Setup'!$K$9)))),1),"")</x:f>
        <x:v>0.9585714285714286</x:v>
      </x:c>
      <x:c r="AP76" s="27" t="n">
        <x:f>IF(ISNUMBER(X76),IF('Scoring Setup'!$L$10=1,1-'Scoring Setup'!$B$5*(1-MAX(0,MIN(1,(X76-'Scoring Setup'!$K$10)/(100-'Scoring Setup'!$K$10)))),1),"")</x:f>
        <x:v>1</x:v>
      </x:c>
      <x:c r="AQ76" s="27" t="n">
        <x:f>IF(ISNUMBER(Y76),IF('Scoring Setup'!$L$11=1,1-'Scoring Setup'!$B$5*(1-MAX(0,MIN(1,(Y76-'Scoring Setup'!$K$11)/(100-'Scoring Setup'!$K$11)))),1),"")</x:f>
        <x:v>0.8950448381514512</x:v>
      </x:c>
      <x:c r="AR76" s="27" t="n">
        <x:f>IF(ISNUMBER(Z76),IF('Scoring Setup'!$L$12=1,1-'Scoring Setup'!$B$5*(1-MAX(0,MIN(1,(Z76-'Scoring Setup'!$K$12)/(100-'Scoring Setup'!$K$12)))),1),"")</x:f>
        <x:v>0.8729427631533857</x:v>
      </x:c>
      <x:c r="AS76" s="27" t="n">
        <x:f>IF(ISNUMBER(AA76),IF('Scoring Setup'!$L$13=1,1-'Scoring Setup'!$B$5*(1-MAX(0,MIN(1,(AA76-'Scoring Setup'!$K$13)/(100-'Scoring Setup'!$K$13)))),1),"")</x:f>
        <x:v>0.9765953042099369</x:v>
      </x:c>
      <x:c r="AT76" s="27" t="n">
        <x:f>IF(ISNUMBER(AB76),IF('Scoring Setup'!$L$14=1,1-'Scoring Setup'!$B$5*(1-MAX(0,MIN(1,(AB76-'Scoring Setup'!$K$14)/(100-'Scoring Setup'!$K$14)))),1),"")</x:f>
        <x:v>0.9672069102437959</x:v>
      </x:c>
      <x:c r="AU76" s="27" t="n">
        <x:f>IF(ISNUMBER(AC76),IF('Scoring Setup'!$L$15=1,1-'Scoring Setup'!$B$5*(1-MAX(0,MIN(1,(AC76-'Scoring Setup'!$K$15)/(100-'Scoring Setup'!$K$15)))),1),"")</x:f>
        <x:v>0.9252453166815343</x:v>
      </x:c>
      <x:c r="AV76" s="27" t="n">
        <x:f>IF(ISNUMBER(AD76),IF('Scoring Setup'!$L$16=1,1-'Scoring Setup'!$B$5*(1-MAX(0,MIN(1,(AD76-'Scoring Setup'!$K$16)/(100-'Scoring Setup'!$K$16)))),1),"")</x:f>
        <x:v>0.8395257691428571</x:v>
      </x:c>
      <x:c r="AW76" s="27" t="n">
        <x:f>IF(ISNUMBER(AE76),IF('Scoring Setup'!$L$17=1,1-'Scoring Setup'!$B$5*(1-MAX(0,MIN(1,(AE76-'Scoring Setup'!$K$17)/(100-'Scoring Setup'!$K$17)))),1),"")</x:f>
        <x:v>0.857664609</x:v>
      </x:c>
      <x:c r="AX76" s="27" t="n">
        <x:f>IF(ISNUMBER(AF76),IF('Scoring Setup'!$L$18=1,1-'Scoring Setup'!$B$5*(1-MAX(0,MIN(1,(AF76-'Scoring Setup'!$K$18)/(100-'Scoring Setup'!$K$18)))),1),"")</x:f>
        <x:v>0.8992590074904845</x:v>
      </x:c>
      <x:c r="AY76" s="27" t="n">
        <x:f>IF(ISNUMBER(AG76),IF('Scoring Setup'!$L$19=1,1-'Scoring Setup'!$B$5*(1-MAX(0,MIN(1,(AG76-'Scoring Setup'!$K$19)/(100-'Scoring Setup'!$K$19)))),1),"")</x:f>
        <x:v>0.9265555555555556</x:v>
      </x:c>
      <x:c r="AZ76" s="27" t="n">
        <x:f>IF(ISNUMBER(AH76),IF('Scoring Setup'!$L$20=1,1-'Scoring Setup'!$B$5*(1-MAX(0,MIN(1,(AH76-'Scoring Setup'!$K$20)/(100-'Scoring Setup'!$K$20)))),1),"")</x:f>
        <x:v>0.8980962141927082</x:v>
      </x:c>
      <x:c r="BA76" s="27" t="n">
        <x:f>IF(ISNUMBER(AI76),IF('Scoring Setup'!$L$21=1,1-'Scoring Setup'!$B$5*(1-MAX(0,MIN(1,(AI76-'Scoring Setup'!$K$21)/(100-'Scoring Setup'!$K$21)))),1),"")</x:f>
        <x:v>0.906657218569801</x:v>
      </x:c>
      <x:c r="BB76" s="27" t="n">
        <x:f>IF(ISNUMBER(AJ76),IF('Scoring Setup'!$L$22=1,1-'Scoring Setup'!$B$5*(1-MAX(0,MIN(1,(AJ76-'Scoring Setup'!$K$22)/(100-'Scoring Setup'!$K$22)))),1),"")</x:f>
        <x:v>0.9899325504324268</x:v>
      </x:c>
      <x:c r="BC76" s="27" t="n">
        <x:f>IF(ISNUMBER(AK76),IF('Scoring Setup'!$L$23=1,1-'Scoring Setup'!$B$5*(1-MAX(0,MIN(1,(AK76-'Scoring Setup'!$K$23)/(100-'Scoring Setup'!$K$23)))),1),"")</x:f>
        <x:v>0.9482814366692868</x:v>
      </x:c>
      <x:c r="BD76" s="27" t="n">
        <x:f>IF(ISNUMBER(AL76),IF('Scoring Setup'!$L$24=1,1-'Scoring Setup'!$B$5*(1-MAX(0,MIN(1,(AL76-'Scoring Setup'!$K$24)/(100-'Scoring Setup'!$K$24)))),1),"")</x:f>
        <x:v>0.9094545454545454</x:v>
      </x:c>
      <x:c r="BE76" s="27" t="n">
        <x:f>IF(ISNUMBER(AM76),IF('Scoring Setup'!$L$25=1,1-'Scoring Setup'!$B$5*(1-MAX(0,MIN(1,(AM76-'Scoring Setup'!$K$25)/(100-'Scoring Setup'!$K$25)))),1),"")</x:f>
        <x:v>0.8549228700052378</x:v>
      </x:c>
      <x:c r="BF76" s="27" t="n">
        <x:f>IF(ISNUMBER(AN76),IF('Scoring Setup'!$L$26=1,1-'Scoring Setup'!$B$5*(1-MAX(0,MIN(1,(AN76-'Scoring Setup'!$K$26)/(100-'Scoring Setup'!$K$26)))),1),"")</x:f>
        <x:v>0.977621005370185</x:v>
      </x:c>
      <x:c r="BG76" s="34" t="n">
        <x:f>IF(COUNT(W76,X76)=2,AVERAGE(W76,X76),"")</x:f>
        <x:v>89.64285714285714</x:v>
      </x:c>
      <x:c r="BH76" s="34" t="n">
        <x:f>IF(COUNT(Y76,Z76)=2,AVERAGE(Y76,Z76),"")</x:f>
        <x:v>41.996900326209236</x:v>
      </x:c>
      <x:c r="BI76" s="34" t="n">
        <x:f>IF(COUNT(AA76,AB76,AC76)=3,AVERAGE(AA76,AB76,AC76),"")</x:f>
        <x:v>78.17458852254451</x:v>
      </x:c>
      <x:c r="BJ76" s="34" t="n">
        <x:f>IF(COUNT(AD76,AE76)=2,AVERAGE(AD76,AE76),"")</x:f>
        <x:v>24.297594535714282</x:v>
      </x:c>
      <x:c r="BK76" s="34" t="n">
        <x:f>IF(COUNT(AF76,AG76)=2,AVERAGE(AF76,AG76),"")</x:f>
        <x:v>56.453640761510016</x:v>
      </x:c>
      <x:c r="BL76" s="34" t="n">
        <x:f>IF(COUNT(AH76,AI76)=2,AVERAGE(AH76,AI76),"")</x:f>
        <x:v>51.18835819062732</x:v>
      </x:c>
      <x:c r="BM76" s="34" t="n">
        <x:f>IF(COUNT(AJ76,AK76)=2,AVERAGE(AJ76,AK76),"")</x:f>
        <x:v>84.55349677542839</x:v>
      </x:c>
      <x:c r="BN76" s="34" t="n">
        <x:f>IF(COUNT(AL76,AM76,AN76)=3,AVERAGE(AL76,AM76,AN76),"")</x:f>
        <x:v>56.999736804994704</x:v>
      </x:c>
      <x:c r="BO76" s="35" t="n">
        <x:f>IF(AND(COUNT(BG76:BN76)=8,ABS('Scoring Setup'!$C$17-1)&lt;0.000001),BG76*'Scoring Setup'!$C$9+BH76*'Scoring Setup'!$C$10+BI76*'Scoring Setup'!$C$11+BJ76*'Scoring Setup'!$C$12+BK76*'Scoring Setup'!$C$13+BL76*'Scoring Setup'!$C$14+BM76*'Scoring Setup'!$C$15+BN76*'Scoring Setup'!$C$16,"")</x:f>
        <x:v>57.14326195130565</x:v>
      </x:c>
      <x:c r="BP76" s="36" t="n">
        <x:f>IF(COUNT(AO76:BF76)=18,MIN(AO76:BF76),"")</x:f>
        <x:v>0.8395257691428571</x:v>
      </x:c>
      <x:c r="BQ76" s="35" t="n">
        <x:f>IF(AND(ISNUMBER(BO76),ISNUMBER(BP76)),BO76*BP76,"")</x:f>
        <x:v>47.973240941001634</x:v>
      </x:c>
      <x:c r="BR76" s="17" t="str">
        <x:f>IF(COUNT(AO76:BF76)=18,INDEX('Scoring Setup'!$F$9:$F$26,MATCH(MIN(AO76:BF76),AO76:BF76,0),1),"")</x:f>
        <x:v>商业光纤100/20覆盖率</x:v>
      </x:c>
    </x:row>
    <x:row r="77">
      <x:c r="A77" s="28" t="str">
        <x:v>51153</x:v>
      </x:c>
      <x:c r="B77" s="28" t="str">
        <x:v>Prince William County</x:v>
      </x:c>
      <x:c r="C77" s="28" t="str">
        <x:v>VA</x:v>
      </x:c>
      <x:c r="D77" s="31" t="n">
        <x:v>868.307139</x:v>
      </x:c>
      <x:c r="E77" s="32" t="n">
        <x:v>0.191</x:v>
      </x:c>
      <x:c r="F77" s="32" t="n">
        <x:v>0.367883663366337</x:v>
      </x:c>
      <x:c r="G77" s="32" t="n">
        <x:v>3.587506860846005</x:v>
      </x:c>
      <x:c r="H77" s="32" t="n">
        <x:v>3.978985416096768</x:v>
      </x:c>
      <x:c r="I77" s="32" t="n">
        <x:v>0.678752100978809</x:v>
      </x:c>
      <x:c r="J77" s="32" t="n">
        <x:v>0.07075908513617792</x:v>
      </x:c>
      <x:c r="K77" s="32" t="n">
        <x:v>0.0752510875655011</x:v>
      </x:c>
      <x:c r="L77" s="32" t="n">
        <x:v>0.829174196</x:v>
      </x:c>
      <x:c r="M77" s="32" t="n">
        <x:v>0.341332047</x:v>
      </x:c>
      <x:c r="N77" s="32" t="n">
        <x:v>266734</x:v>
      </x:c>
      <x:c r="O77" s="32" t="n">
        <x:v>0.4117</x:v>
      </x:c>
      <x:c r="P77" s="32" t="n">
        <x:v>1082.4550821940104</x:v>
      </x:c>
      <x:c r="Q77" s="32" t="n">
        <x:v>21.502473704020183</x:v>
      </x:c>
      <x:c r="R77" s="32" t="n">
        <x:v>11.537808712190182</x:v>
      </x:c>
      <x:c r="S77" s="32" t="n">
        <x:v>4.94420421517464</x:v>
      </x:c>
      <x:c r="T77" s="32" t="n">
        <x:v>89.9</x:v>
      </x:c>
      <x:c r="U77" s="32" t="n">
        <x:v>245.07712999476223</x:v>
      </x:c>
      <x:c r="V77" s="32" t="n">
        <x:v>244.75798925963002</x:v>
      </x:c>
      <x:c r="W77" s="33" t="n">
        <x:f>IF(ISNUMBER(E77),100*MAX(0,MIN(1,('Anchors'!$H$6-E77)/('Anchors'!$H$6-'Anchors'!$G$6))),"")</x:f>
        <x:v>100</x:v>
      </x:c>
      <x:c r="X77" s="33" t="n">
        <x:f>IF(ISNUMBER(F77),100*MAX(0,MIN(1,('Anchors'!$H$7-F77)/('Anchors'!$H$7-'Anchors'!$G$7))),"")</x:f>
        <x:v>61.730905233380426</x:v>
      </x:c>
      <x:c r="Y77" s="33" t="n">
        <x:f>IF(ISNUMBER(G77),100*MAX(0,MIN(1,('Anchors'!$H$8-G77)/('Anchors'!$H$8-'Anchors'!$G$8))),"")</x:f>
        <x:v>13.749771305133166</x:v>
      </x:c>
      <x:c r="Z77" s="33" t="n">
        <x:f>IF(ISNUMBER(H77),100*MAX(0,MIN(1,('Anchors'!$H$9-H77)/('Anchors'!$H$9-'Anchors'!$G$9))),"")</x:f>
        <x:v>0.7004861301077359</x:v>
      </x:c>
      <x:c r="AA77" s="33" t="n">
        <x:f>IF(ISNUMBER(I77),100*MAX(0,MIN(1,(I77-'Anchors'!$H$10)/('Anchors'!$G$10-'Anchors'!$H$10))),"")</x:f>
        <x:v>58.73316451764508</x:v>
      </x:c>
      <x:c r="AB77" s="33" t="n">
        <x:f>IF(ISNUMBER(J77),100*MAX(0,MIN(1,('Anchors'!$H$11-J77)/('Anchors'!$H$11-'Anchors'!$G$11))),"")</x:f>
        <x:v>71.69636594552884</x:v>
      </x:c>
      <x:c r="AC77" s="33" t="n">
        <x:f>IF(ISNUMBER(K77),100*MAX(0,MIN(1,('Anchors'!$H$12-K77)/('Anchors'!$H$12-'Anchors'!$G$12))),"")</x:f>
        <x:v>81.18722810862474</x:v>
      </x:c>
      <x:c r="AD77" s="33" t="n">
        <x:f>IF(ISNUMBER(L77),100*MAX(0,MIN(1,(L77-'Anchors'!$H$13)/('Anchors'!$G$13-'Anchors'!$H$13))),"")</x:f>
        <x:v>89.88202799999999</x:v>
      </x:c>
      <x:c r="AE77" s="33" t="n">
        <x:f>IF(ISNUMBER(M77),100*MAX(0,MIN(1,(M77-'Anchors'!$H$14)/('Anchors'!$G$14-'Anchors'!$H$14))),"")</x:f>
        <x:v>30.166505875</x:v>
      </x:c>
      <x:c r="AF77" s="33" t="n">
        <x:f>IF(ISNUMBER(N77),100*MAX(0,MIN(1,(LN(1+N77)-LN(1+'Anchors'!$H$15))/(LN(1+'Anchors'!$G$15)-LN(1+'Anchors'!$H$15)))),"")</x:f>
        <x:v>100</x:v>
      </x:c>
      <x:c r="AG77" s="33" t="n">
        <x:f>IF(ISNUMBER(O77),100*MAX(0,MIN(1,('Anchors'!$H$16-O77)/('Anchors'!$H$16-'Anchors'!$G$16))),"")</x:f>
        <x:v>59.81111111111112</x:v>
      </x:c>
      <x:c r="AH77" s="33" t="n">
        <x:f>IF(ISNUMBER(P77),100*MAX(0,MIN(1,('Anchors'!$H$17-P77)/('Anchors'!$H$17-'Anchors'!$G$17))),"")</x:f>
        <x:v>74.5029945203993</x:v>
      </x:c>
      <x:c r="AI77" s="33" t="n">
        <x:f>IF(ISNUMBER(Q77),100*MAX(0,MIN(1,('Anchors'!$H$18-Q77)/('Anchors'!$H$18-'Anchors'!$G$18))),"")</x:f>
        <x:v>76.42503756568544</x:v>
      </x:c>
      <x:c r="AJ77" s="33" t="n">
        <x:f>IF(ISNUMBER(R77),100*MAX(0,MIN(1,('Anchors'!$H$19-R77)/('Anchors'!$H$19-'Anchors'!$G$19))),"")</x:f>
        <x:v>85.47153619513293</x:v>
      </x:c>
      <x:c r="AK77" s="33" t="n">
        <x:f>IF(ISNUMBER(S77),100*MAX(0,MIN(1,('Anchors'!$H$20-S77)/('Anchors'!$H$20-'Anchors'!$G$20))),"")</x:f>
        <x:v>79.24103044644927</x:v>
      </x:c>
      <x:c r="AL77" s="33" t="n">
        <x:f>IF(ISNUMBER(T77),100*MAX(0,MIN(1,('Anchors'!$H$21-T77)/('Anchors'!$H$21-'Anchors'!$G$21))),"")</x:f>
        <x:v>54.72727272727271</x:v>
      </x:c>
      <x:c r="AM77" s="33" t="n">
        <x:f>IF(ISNUMBER(U77),100*MAX(0,MIN(1,('Anchors'!$H$22-U77)/('Anchors'!$H$22-'Anchors'!$G$22))),"")</x:f>
        <x:v>27.461435002618884</x:v>
      </x:c>
      <x:c r="AN77" s="33" t="n">
        <x:f>IF(ISNUMBER(V77),100*MAX(0,MIN(1,('Anchors'!$H$23-V77)/('Anchors'!$H$23-'Anchors'!$G$23))),"")</x:f>
        <x:v>88.8105026850925</x:v>
      </x:c>
      <x:c r="AO77" s="27" t="n">
        <x:f>IF(ISNUMBER(W77),IF('Scoring Setup'!$L$9=1,1-'Scoring Setup'!$B$5*(1-MAX(0,MIN(1,(W77-'Scoring Setup'!$K$9)/(100-'Scoring Setup'!$K$9)))),1),"")</x:f>
        <x:v>1</x:v>
      </x:c>
      <x:c r="AP77" s="27" t="n">
        <x:f>IF(ISNUMBER(X77),IF('Scoring Setup'!$L$10=1,1-'Scoring Setup'!$B$5*(1-MAX(0,MIN(1,(X77-'Scoring Setup'!$K$10)/(100-'Scoring Setup'!$K$10)))),1),"")</x:f>
        <x:v>0.9234618104667609</x:v>
      </x:c>
      <x:c r="AQ77" s="27" t="n">
        <x:f>IF(ISNUMBER(Y77),IF('Scoring Setup'!$L$11=1,1-'Scoring Setup'!$B$5*(1-MAX(0,MIN(1,(Y77-'Scoring Setup'!$K$11)/(100-'Scoring Setup'!$K$11)))),1),"")</x:f>
        <x:v>0.8274995426102663</x:v>
      </x:c>
      <x:c r="AR77" s="27" t="n">
        <x:f>IF(ISNUMBER(Z77),IF('Scoring Setup'!$L$12=1,1-'Scoring Setup'!$B$5*(1-MAX(0,MIN(1,(Z77-'Scoring Setup'!$K$12)/(100-'Scoring Setup'!$K$12)))),1),"")</x:f>
        <x:v>0.8014009722602154</x:v>
      </x:c>
      <x:c r="AS77" s="27" t="n">
        <x:f>IF(ISNUMBER(AA77),IF('Scoring Setup'!$L$13=1,1-'Scoring Setup'!$B$5*(1-MAX(0,MIN(1,(AA77-'Scoring Setup'!$K$13)/(100-'Scoring Setup'!$K$13)))),1),"")</x:f>
        <x:v>0.9174663290352901</x:v>
      </x:c>
      <x:c r="AT77" s="27" t="n">
        <x:f>IF(ISNUMBER(AB77),IF('Scoring Setup'!$L$14=1,1-'Scoring Setup'!$B$5*(1-MAX(0,MIN(1,(AB77-'Scoring Setup'!$K$14)/(100-'Scoring Setup'!$K$14)))),1),"")</x:f>
        <x:v>0.9433927318910577</x:v>
      </x:c>
      <x:c r="AU77" s="27" t="n">
        <x:f>IF(ISNUMBER(AC77),IF('Scoring Setup'!$L$15=1,1-'Scoring Setup'!$B$5*(1-MAX(0,MIN(1,(AC77-'Scoring Setup'!$K$15)/(100-'Scoring Setup'!$K$15)))),1),"")</x:f>
        <x:v>0.9623744562172495</x:v>
      </x:c>
      <x:c r="AV77" s="27" t="n">
        <x:f>IF(ISNUMBER(AD77),IF('Scoring Setup'!$L$16=1,1-'Scoring Setup'!$B$5*(1-MAX(0,MIN(1,(AD77-'Scoring Setup'!$K$16)/(100-'Scoring Setup'!$K$16)))),1),"")</x:f>
        <x:v>0.9797640559999999</x:v>
      </x:c>
      <x:c r="AW77" s="27" t="n">
        <x:f>IF(ISNUMBER(AE77),IF('Scoring Setup'!$L$17=1,1-'Scoring Setup'!$B$5*(1-MAX(0,MIN(1,(AE77-'Scoring Setup'!$K$17)/(100-'Scoring Setup'!$K$17)))),1),"")</x:f>
        <x:v>0.86033301175</x:v>
      </x:c>
      <x:c r="AX77" s="27" t="n">
        <x:f>IF(ISNUMBER(AF77),IF('Scoring Setup'!$L$18=1,1-'Scoring Setup'!$B$5*(1-MAX(0,MIN(1,(AF77-'Scoring Setup'!$K$18)/(100-'Scoring Setup'!$K$18)))),1),"")</x:f>
        <x:v>1</x:v>
      </x:c>
      <x:c r="AY77" s="27" t="n">
        <x:f>IF(ISNUMBER(AG77),IF('Scoring Setup'!$L$19=1,1-'Scoring Setup'!$B$5*(1-MAX(0,MIN(1,(AG77-'Scoring Setup'!$K$19)/(100-'Scoring Setup'!$K$19)))),1),"")</x:f>
        <x:v>0.9196222222222222</x:v>
      </x:c>
      <x:c r="AZ77" s="27" t="n">
        <x:f>IF(ISNUMBER(AH77),IF('Scoring Setup'!$L$20=1,1-'Scoring Setup'!$B$5*(1-MAX(0,MIN(1,(AH77-'Scoring Setup'!$K$20)/(100-'Scoring Setup'!$K$20)))),1),"")</x:f>
        <x:v>0.9490059890407986</x:v>
      </x:c>
      <x:c r="BA77" s="27" t="n">
        <x:f>IF(ISNUMBER(AI77),IF('Scoring Setup'!$L$21=1,1-'Scoring Setup'!$B$5*(1-MAX(0,MIN(1,(AI77-'Scoring Setup'!$K$21)/(100-'Scoring Setup'!$K$21)))),1),"")</x:f>
        <x:v>0.9528500751313709</x:v>
      </x:c>
      <x:c r="BB77" s="27" t="n">
        <x:f>IF(ISNUMBER(AJ77),IF('Scoring Setup'!$L$22=1,1-'Scoring Setup'!$B$5*(1-MAX(0,MIN(1,(AJ77-'Scoring Setup'!$K$22)/(100-'Scoring Setup'!$K$22)))),1),"")</x:f>
        <x:v>0.9709430723902659</x:v>
      </x:c>
      <x:c r="BC77" s="27" t="n">
        <x:f>IF(ISNUMBER(AK77),IF('Scoring Setup'!$L$23=1,1-'Scoring Setup'!$B$5*(1-MAX(0,MIN(1,(AK77-'Scoring Setup'!$K$23)/(100-'Scoring Setup'!$K$23)))),1),"")</x:f>
        <x:v>0.9584820608928986</x:v>
      </x:c>
      <x:c r="BD77" s="27" t="n">
        <x:f>IF(ISNUMBER(AL77),IF('Scoring Setup'!$L$24=1,1-'Scoring Setup'!$B$5*(1-MAX(0,MIN(1,(AL77-'Scoring Setup'!$K$24)/(100-'Scoring Setup'!$K$24)))),1),"")</x:f>
        <x:v>0.9094545454545454</x:v>
      </x:c>
      <x:c r="BE77" s="27" t="n">
        <x:f>IF(ISNUMBER(AM77),IF('Scoring Setup'!$L$25=1,1-'Scoring Setup'!$B$5*(1-MAX(0,MIN(1,(AM77-'Scoring Setup'!$K$25)/(100-'Scoring Setup'!$K$25)))),1),"")</x:f>
        <x:v>0.8549228700052378</x:v>
      </x:c>
      <x:c r="BF77" s="27" t="n">
        <x:f>IF(ISNUMBER(AN77),IF('Scoring Setup'!$L$26=1,1-'Scoring Setup'!$B$5*(1-MAX(0,MIN(1,(AN77-'Scoring Setup'!$K$26)/(100-'Scoring Setup'!$K$26)))),1),"")</x:f>
        <x:v>0.977621005370185</x:v>
      </x:c>
      <x:c r="BG77" s="34" t="n">
        <x:f>IF(COUNT(W77,X77)=2,AVERAGE(W77,X77),"")</x:f>
        <x:v>80.86545261669022</x:v>
      </x:c>
      <x:c r="BH77" s="34" t="n">
        <x:f>IF(COUNT(Y77,Z77)=2,AVERAGE(Y77,Z77),"")</x:f>
        <x:v>7.225128717620451</x:v>
      </x:c>
      <x:c r="BI77" s="34" t="n">
        <x:f>IF(COUNT(AA77,AB77,AC77)=3,AVERAGE(AA77,AB77,AC77),"")</x:f>
        <x:v>70.53891952393289</x:v>
      </x:c>
      <x:c r="BJ77" s="34" t="n">
        <x:f>IF(COUNT(AD77,AE77)=2,AVERAGE(AD77,AE77),"")</x:f>
        <x:v>60.024266937499995</x:v>
      </x:c>
      <x:c r="BK77" s="34" t="n">
        <x:f>IF(COUNT(AF77,AG77)=2,AVERAGE(AF77,AG77),"")</x:f>
        <x:v>79.90555555555557</x:v>
      </x:c>
      <x:c r="BL77" s="34" t="n">
        <x:f>IF(COUNT(AH77,AI77)=2,AVERAGE(AH77,AI77),"")</x:f>
        <x:v>75.46401604304236</x:v>
      </x:c>
      <x:c r="BM77" s="34" t="n">
        <x:f>IF(COUNT(AJ77,AK77)=2,AVERAGE(AJ77,AK77),"")</x:f>
        <x:v>82.3562833207911</x:v>
      </x:c>
      <x:c r="BN77" s="34" t="n">
        <x:f>IF(COUNT(AL77,AM77,AN77)=3,AVERAGE(AL77,AM77,AN77),"")</x:f>
        <x:v>56.999736804994704</x:v>
      </x:c>
      <x:c r="BO77" s="35" t="n">
        <x:f>IF(AND(COUNT(BG77:BN77)=8,ABS('Scoring Setup'!$C$17-1)&lt;0.000001),BG77*'Scoring Setup'!$C$9+BH77*'Scoring Setup'!$C$10+BI77*'Scoring Setup'!$C$11+BJ77*'Scoring Setup'!$C$12+BK77*'Scoring Setup'!$C$13+BL77*'Scoring Setup'!$C$14+BM77*'Scoring Setup'!$C$15+BN77*'Scoring Setup'!$C$16,"")</x:f>
        <x:v>55.569381216582045</x:v>
      </x:c>
      <x:c r="BP77" s="36" t="n">
        <x:f>IF(COUNT(AO77:BF77)=18,MIN(AO77:BF77),"")</x:f>
        <x:v>0.8014009722602154</x:v>
      </x:c>
      <x:c r="BQ77" s="35" t="n">
        <x:f>IF(AND(ISNUMBER(BO77),ISNUMBER(BP77)),BO77*BP77,"")</x:f>
        <x:v>44.533356134867404</x:v>
      </x:c>
      <x:c r="BR77" s="17" t="str">
        <x:f>IF(COUNT(AO77:BF77)=18,INDEX('Scoring Setup'!$F$9:$F$26,MATCH(MIN(AO77:BF77),AO77:BF77,0),1),"")</x:f>
        <x:v>2050 BAU水压力</x:v>
      </x:c>
    </x:row>
    <x:row r="78">
      <x:c r="A78" s="28" t="str">
        <x:v>51155</x:v>
      </x:c>
      <x:c r="B78" s="28" t="str">
        <x:v>Pulaski County</x:v>
      </x:c>
      <x:c r="C78" s="28" t="str">
        <x:v>VA</x:v>
      </x:c>
      <x:c r="D78" s="31" t="n">
        <x:v>828.380598</x:v>
      </x:c>
      <x:c r="E78" s="32" t="n">
        <x:v>0.537</x:v>
      </x:c>
      <x:c r="F78" s="32" t="n">
        <x:v>0.761757425742574</x:v>
      </x:c>
      <x:c r="G78" s="32" t="n">
        <x:v>1.885636830596275</x:v>
      </x:c>
      <x:c r="H78" s="32" t="n">
        <x:v>2.282656327</x:v>
      </x:c>
      <x:c r="I78" s="32" t="n">
        <x:v>0.9167944021546163</x:v>
      </x:c>
      <x:c r="J78" s="32" t="n">
        <x:v>0.002320352983493752</x:v>
      </x:c>
      <x:c r="K78" s="32" t="n">
        <x:v>0.0002294908766551488</x:v>
      </x:c>
      <x:c r="L78" s="32" t="n">
        <x:v>0.110795604</x:v>
      </x:c>
      <x:c r="M78" s="32" t="n">
        <x:v>0.110480097</x:v>
      </x:c>
      <x:c r="N78" s="32" t="n">
        <x:v>15892</x:v>
      </x:c>
      <x:c r="O78" s="32" t="n">
        <x:v>0.2011</x:v>
      </x:c>
      <x:c r="P78" s="32" t="n">
        <x:v>513.5880564371745</x:v>
      </x:c>
      <x:c r="Q78" s="32" t="n">
        <x:v>2.560109543800354</x:v>
      </x:c>
      <x:c r="R78" s="32" t="n">
        <x:v>0.47908620332113505</x:v>
      </x:c>
      <x:c r="S78" s="32" t="n">
        <x:v>1.2072222536190256</x:v>
      </x:c>
      <x:c r="T78" s="32" t="n">
        <x:v>89.9</x:v>
      </x:c>
      <x:c r="U78" s="32" t="n">
        <x:v>245.07712999476223</x:v>
      </x:c>
      <x:c r="V78" s="32" t="n">
        <x:v>244.75798925963002</x:v>
      </x:c>
      <x:c r="W78" s="33" t="n">
        <x:f>IF(ISNUMBER(E78),100*MAX(0,MIN(1,('Anchors'!$H$6-E78)/('Anchors'!$H$6-'Anchors'!$G$6))),"")</x:f>
        <x:v>51.857142857142854</x:v>
      </x:c>
      <x:c r="X78" s="33" t="n">
        <x:f>IF(ISNUMBER(F78),100*MAX(0,MIN(1,('Anchors'!$H$7-F78)/('Anchors'!$H$7-'Anchors'!$G$7))),"")</x:f>
        <x:v>5.4632248939180075</x:v>
      </x:c>
      <x:c r="Y78" s="33" t="n">
        <x:f>IF(ISNUMBER(G78),100*MAX(0,MIN(1,('Anchors'!$H$8-G78)/('Anchors'!$H$8-'Anchors'!$G$8))),"")</x:f>
        <x:v>70.4787723134575</x:v>
      </x:c>
      <x:c r="Z78" s="33" t="n">
        <x:f>IF(ISNUMBER(H78),100*MAX(0,MIN(1,('Anchors'!$H$9-H78)/('Anchors'!$H$9-'Anchors'!$G$9))),"")</x:f>
        <x:v>57.24478909999999</x:v>
      </x:c>
      <x:c r="AA78" s="33" t="n">
        <x:f>IF(ISNUMBER(I78),100*MAX(0,MIN(1,(I78-'Anchors'!$H$10)/('Anchors'!$G$10-'Anchors'!$H$10))),"")</x:f>
        <x:v>91.3416989252899</x:v>
      </x:c>
      <x:c r="AB78" s="33" t="n">
        <x:f>IF(ISNUMBER(J78),100*MAX(0,MIN(1,('Anchors'!$H$11-J78)/('Anchors'!$H$11-'Anchors'!$G$11))),"")</x:f>
        <x:v>99.07185880660249</x:v>
      </x:c>
      <x:c r="AC78" s="33" t="n">
        <x:f>IF(ISNUMBER(K78),100*MAX(0,MIN(1,('Anchors'!$H$12-K78)/('Anchors'!$H$12-'Anchors'!$G$12))),"")</x:f>
        <x:v>99.94262728083622</x:v>
      </x:c>
      <x:c r="AD78" s="33" t="n">
        <x:f>IF(ISNUMBER(L78),100*MAX(0,MIN(1,(L78-'Anchors'!$H$13)/('Anchors'!$G$13-'Anchors'!$H$13))),"")</x:f>
        <x:v>0</x:v>
      </x:c>
      <x:c r="AE78" s="33" t="n">
        <x:f>IF(ISNUMBER(M78),100*MAX(0,MIN(1,(M78-'Anchors'!$H$14)/('Anchors'!$G$14-'Anchors'!$H$14))),"")</x:f>
        <x:v>1.3100121249999992</x:v>
      </x:c>
      <x:c r="AF78" s="33" t="n">
        <x:f>IF(ISNUMBER(N78),100*MAX(0,MIN(1,(LN(1+N78)-LN(1+'Anchors'!$H$15))/(LN(1+'Anchors'!$G$15)-LN(1+'Anchors'!$H$15)))),"")</x:f>
        <x:v>48.001717644980964</x:v>
      </x:c>
      <x:c r="AG78" s="33" t="n">
        <x:f>IF(ISNUMBER(O78),100*MAX(0,MIN(1,('Anchors'!$H$16-O78)/('Anchors'!$H$16-'Anchors'!$G$16))),"")</x:f>
        <x:v>83.21111111111111</x:v>
      </x:c>
      <x:c r="AH78" s="33" t="n">
        <x:f>IF(ISNUMBER(P78),100*MAX(0,MIN(1,('Anchors'!$H$17-P78)/('Anchors'!$H$17-'Anchors'!$G$17))),"")</x:f>
        <x:v>100</x:v>
      </x:c>
      <x:c r="AI78" s="33" t="n">
        <x:f>IF(ISNUMBER(Q78),100*MAX(0,MIN(1,('Anchors'!$H$18-Q78)/('Anchors'!$H$18-'Anchors'!$G$18))),"")</x:f>
        <x:v>100</x:v>
      </x:c>
      <x:c r="AJ78" s="33" t="n">
        <x:f>IF(ISNUMBER(R78),100*MAX(0,MIN(1,('Anchors'!$H$19-R78)/('Anchors'!$H$19-'Anchors'!$G$19))),"")</x:f>
        <x:v>100</x:v>
      </x:c>
      <x:c r="AK78" s="33" t="n">
        <x:f>IF(ISNUMBER(S78),100*MAX(0,MIN(1,('Anchors'!$H$20-S78)/('Anchors'!$H$20-'Anchors'!$G$20))),"")</x:f>
        <x:v>98.90935655989986</x:v>
      </x:c>
      <x:c r="AL78" s="33" t="n">
        <x:f>IF(ISNUMBER(T78),100*MAX(0,MIN(1,('Anchors'!$H$21-T78)/('Anchors'!$H$21-'Anchors'!$G$21))),"")</x:f>
        <x:v>54.72727272727271</x:v>
      </x:c>
      <x:c r="AM78" s="33" t="n">
        <x:f>IF(ISNUMBER(U78),100*MAX(0,MIN(1,('Anchors'!$H$22-U78)/('Anchors'!$H$22-'Anchors'!$G$22))),"")</x:f>
        <x:v>27.461435002618884</x:v>
      </x:c>
      <x:c r="AN78" s="33" t="n">
        <x:f>IF(ISNUMBER(V78),100*MAX(0,MIN(1,('Anchors'!$H$23-V78)/('Anchors'!$H$23-'Anchors'!$G$23))),"")</x:f>
        <x:v>88.8105026850925</x:v>
      </x:c>
      <x:c r="AO78" s="27" t="n">
        <x:f>IF(ISNUMBER(W78),IF('Scoring Setup'!$L$9=1,1-'Scoring Setup'!$B$5*(1-MAX(0,MIN(1,(W78-'Scoring Setup'!$K$9)/(100-'Scoring Setup'!$K$9)))),1),"")</x:f>
        <x:v>0.9037142857142857</x:v>
      </x:c>
      <x:c r="AP78" s="27" t="n">
        <x:f>IF(ISNUMBER(X78),IF('Scoring Setup'!$L$10=1,1-'Scoring Setup'!$B$5*(1-MAX(0,MIN(1,(X78-'Scoring Setup'!$K$10)/(100-'Scoring Setup'!$K$10)))),1),"")</x:f>
        <x:v>0.810926449787836</x:v>
      </x:c>
      <x:c r="AQ78" s="27" t="n">
        <x:f>IF(ISNUMBER(Y78),IF('Scoring Setup'!$L$11=1,1-'Scoring Setup'!$B$5*(1-MAX(0,MIN(1,(Y78-'Scoring Setup'!$K$11)/(100-'Scoring Setup'!$K$11)))),1),"")</x:f>
        <x:v>0.9409575446269149</x:v>
      </x:c>
      <x:c r="AR78" s="27" t="n">
        <x:f>IF(ISNUMBER(Z78),IF('Scoring Setup'!$L$12=1,1-'Scoring Setup'!$B$5*(1-MAX(0,MIN(1,(Z78-'Scoring Setup'!$K$12)/(100-'Scoring Setup'!$K$12)))),1),"")</x:f>
        <x:v>0.9144895782</x:v>
      </x:c>
      <x:c r="AS78" s="27" t="n">
        <x:f>IF(ISNUMBER(AA78),IF('Scoring Setup'!$L$13=1,1-'Scoring Setup'!$B$5*(1-MAX(0,MIN(1,(AA78-'Scoring Setup'!$K$13)/(100-'Scoring Setup'!$K$13)))),1),"")</x:f>
        <x:v>0.9826833978505798</x:v>
      </x:c>
      <x:c r="AT78" s="27" t="n">
        <x:f>IF(ISNUMBER(AB78),IF('Scoring Setup'!$L$14=1,1-'Scoring Setup'!$B$5*(1-MAX(0,MIN(1,(AB78-'Scoring Setup'!$K$14)/(100-'Scoring Setup'!$K$14)))),1),"")</x:f>
        <x:v>0.998143717613205</x:v>
      </x:c>
      <x:c r="AU78" s="27" t="n">
        <x:f>IF(ISNUMBER(AC78),IF('Scoring Setup'!$L$15=1,1-'Scoring Setup'!$B$5*(1-MAX(0,MIN(1,(AC78-'Scoring Setup'!$K$15)/(100-'Scoring Setup'!$K$15)))),1),"")</x:f>
        <x:v>0.9998852545616724</x:v>
      </x:c>
      <x:c r="AV78" s="27" t="n">
        <x:f>IF(ISNUMBER(AD78),IF('Scoring Setup'!$L$16=1,1-'Scoring Setup'!$B$5*(1-MAX(0,MIN(1,(AD78-'Scoring Setup'!$K$16)/(100-'Scoring Setup'!$K$16)))),1),"")</x:f>
        <x:v>0.8</x:v>
      </x:c>
      <x:c r="AW78" s="27" t="n">
        <x:f>IF(ISNUMBER(AE78),IF('Scoring Setup'!$L$17=1,1-'Scoring Setup'!$B$5*(1-MAX(0,MIN(1,(AE78-'Scoring Setup'!$K$17)/(100-'Scoring Setup'!$K$17)))),1),"")</x:f>
        <x:v>0.80262002425</x:v>
      </x:c>
      <x:c r="AX78" s="27" t="n">
        <x:f>IF(ISNUMBER(AF78),IF('Scoring Setup'!$L$18=1,1-'Scoring Setup'!$B$5*(1-MAX(0,MIN(1,(AF78-'Scoring Setup'!$K$18)/(100-'Scoring Setup'!$K$18)))),1),"")</x:f>
        <x:v>0.896003435289962</x:v>
      </x:c>
      <x:c r="AY78" s="27" t="n">
        <x:f>IF(ISNUMBER(AG78),IF('Scoring Setup'!$L$19=1,1-'Scoring Setup'!$B$5*(1-MAX(0,MIN(1,(AG78-'Scoring Setup'!$K$19)/(100-'Scoring Setup'!$K$19)))),1),"")</x:f>
        <x:v>0.9664222222222222</x:v>
      </x:c>
      <x:c r="AZ78" s="27" t="n">
        <x:f>IF(ISNUMBER(AH78),IF('Scoring Setup'!$L$20=1,1-'Scoring Setup'!$B$5*(1-MAX(0,MIN(1,(AH78-'Scoring Setup'!$K$20)/(100-'Scoring Setup'!$K$20)))),1),"")</x:f>
        <x:v>1</x:v>
      </x:c>
      <x:c r="BA78" s="27" t="n">
        <x:f>IF(ISNUMBER(AI78),IF('Scoring Setup'!$L$21=1,1-'Scoring Setup'!$B$5*(1-MAX(0,MIN(1,(AI78-'Scoring Setup'!$K$21)/(100-'Scoring Setup'!$K$21)))),1),"")</x:f>
        <x:v>1</x:v>
      </x:c>
      <x:c r="BB78" s="27" t="n">
        <x:f>IF(ISNUMBER(AJ78),IF('Scoring Setup'!$L$22=1,1-'Scoring Setup'!$B$5*(1-MAX(0,MIN(1,(AJ78-'Scoring Setup'!$K$22)/(100-'Scoring Setup'!$K$22)))),1),"")</x:f>
        <x:v>1</x:v>
      </x:c>
      <x:c r="BC78" s="27" t="n">
        <x:f>IF(ISNUMBER(AK78),IF('Scoring Setup'!$L$23=1,1-'Scoring Setup'!$B$5*(1-MAX(0,MIN(1,(AK78-'Scoring Setup'!$K$23)/(100-'Scoring Setup'!$K$23)))),1),"")</x:f>
        <x:v>0.9978187131197997</x:v>
      </x:c>
      <x:c r="BD78" s="27" t="n">
        <x:f>IF(ISNUMBER(AL78),IF('Scoring Setup'!$L$24=1,1-'Scoring Setup'!$B$5*(1-MAX(0,MIN(1,(AL78-'Scoring Setup'!$K$24)/(100-'Scoring Setup'!$K$24)))),1),"")</x:f>
        <x:v>0.9094545454545454</x:v>
      </x:c>
      <x:c r="BE78" s="27" t="n">
        <x:f>IF(ISNUMBER(AM78),IF('Scoring Setup'!$L$25=1,1-'Scoring Setup'!$B$5*(1-MAX(0,MIN(1,(AM78-'Scoring Setup'!$K$25)/(100-'Scoring Setup'!$K$25)))),1),"")</x:f>
        <x:v>0.8549228700052378</x:v>
      </x:c>
      <x:c r="BF78" s="27" t="n">
        <x:f>IF(ISNUMBER(AN78),IF('Scoring Setup'!$L$26=1,1-'Scoring Setup'!$B$5*(1-MAX(0,MIN(1,(AN78-'Scoring Setup'!$K$26)/(100-'Scoring Setup'!$K$26)))),1),"")</x:f>
        <x:v>0.977621005370185</x:v>
      </x:c>
      <x:c r="BG78" s="34" t="n">
        <x:f>IF(COUNT(W78,X78)=2,AVERAGE(W78,X78),"")</x:f>
        <x:v>28.660183875530432</x:v>
      </x:c>
      <x:c r="BH78" s="34" t="n">
        <x:f>IF(COUNT(Y78,Z78)=2,AVERAGE(Y78,Z78),"")</x:f>
        <x:v>63.861780706728744</x:v>
      </x:c>
      <x:c r="BI78" s="34" t="n">
        <x:f>IF(COUNT(AA78,AB78,AC78)=3,AVERAGE(AA78,AB78,AC78),"")</x:f>
        <x:v>96.78539500424289</x:v>
      </x:c>
      <x:c r="BJ78" s="34" t="n">
        <x:f>IF(COUNT(AD78,AE78)=2,AVERAGE(AD78,AE78),"")</x:f>
        <x:v>0.6550060624999996</x:v>
      </x:c>
      <x:c r="BK78" s="34" t="n">
        <x:f>IF(COUNT(AF78,AG78)=2,AVERAGE(AF78,AG78),"")</x:f>
        <x:v>65.60641437804604</x:v>
      </x:c>
      <x:c r="BL78" s="34" t="n">
        <x:f>IF(COUNT(AH78,AI78)=2,AVERAGE(AH78,AI78),"")</x:f>
        <x:v>100</x:v>
      </x:c>
      <x:c r="BM78" s="34" t="n">
        <x:f>IF(COUNT(AJ78,AK78)=2,AVERAGE(AJ78,AK78),"")</x:f>
        <x:v>99.45467827994993</x:v>
      </x:c>
      <x:c r="BN78" s="34" t="n">
        <x:f>IF(COUNT(AL78,AM78,AN78)=3,AVERAGE(AL78,AM78,AN78),"")</x:f>
        <x:v>56.999736804994704</x:v>
      </x:c>
      <x:c r="BO78" s="35" t="n">
        <x:f>IF(AND(COUNT(BG78:BN78)=8,ABS('Scoring Setup'!$C$17-1)&lt;0.000001),BG78*'Scoring Setup'!$C$9+BH78*'Scoring Setup'!$C$10+BI78*'Scoring Setup'!$C$11+BJ78*'Scoring Setup'!$C$12+BK78*'Scoring Setup'!$C$13+BL78*'Scoring Setup'!$C$14+BM78*'Scoring Setup'!$C$15+BN78*'Scoring Setup'!$C$16,"")</x:f>
        <x:v>59.015711028873596</x:v>
      </x:c>
      <x:c r="BP78" s="36" t="n">
        <x:f>IF(COUNT(AO78:BF78)=18,MIN(AO78:BF78),"")</x:f>
        <x:v>0.8</x:v>
      </x:c>
      <x:c r="BQ78" s="35" t="n">
        <x:f>IF(AND(ISNUMBER(BO78),ISNUMBER(BP78)),BO78*BP78,"")</x:f>
        <x:v>47.21256882309888</x:v>
      </x:c>
      <x:c r="BR78" s="17" t="str">
        <x:f>IF(COUNT(AO78:BF78)=18,INDEX('Scoring Setup'!$F$9:$F$26,MATCH(MIN(AO78:BF78),AO78:BF78,0),1),"")</x:f>
        <x:v>商业光纤100/20覆盖率</x:v>
      </x:c>
    </x:row>
    <x:row r="79">
      <x:c r="A79" s="28" t="str">
        <x:v>51157</x:v>
      </x:c>
      <x:c r="B79" s="28" t="str">
        <x:v>Rappahannock County</x:v>
      </x:c>
      <x:c r="C79" s="28" t="str">
        <x:v>VA</x:v>
      </x:c>
      <x:c r="D79" s="31" t="n">
        <x:v>689.900923</x:v>
      </x:c>
      <x:c r="E79" s="32" t="n">
        <x:v>0.442</x:v>
      </x:c>
      <x:c r="F79" s="32" t="n">
        <x:v>0.824566831683168</x:v>
      </x:c>
      <x:c r="G79" s="32" t="n">
        <x:v>2.7034237431412116</x:v>
      </x:c>
      <x:c r="H79" s="32" t="n">
        <x:v>3.0524762372922627</x:v>
      </x:c>
      <x:c r="I79" s="32" t="n">
        <x:v>0.9878389471626816</x:v>
      </x:c>
      <x:c r="J79" s="32" t="n">
        <x:v>0.18340823052032523</x:v>
      </x:c>
      <x:c r="K79" s="32" t="n">
        <x:v>0.000977262362368884</x:v>
      </x:c>
      <x:c r="L79" s="32" t="n">
        <x:v>0.001139471</x:v>
      </x:c>
      <x:c r="M79" s="32" t="n">
        <x:v>0.000227894</x:v>
      </x:c>
      <x:c r="N79" s="32" t="n">
        <x:v>3657</x:v>
      </x:c>
      <x:c r="O79" s="32" t="n">
        <x:v>0.0573</x:v>
      </x:c>
      <x:c r="P79" s="32" t="n">
        <x:v>845.5532897949219</x:v>
      </x:c>
      <x:c r="Q79" s="32" t="n">
        <x:v>15.693673801422118</x:v>
      </x:c>
      <x:c r="R79" s="32" t="n">
        <x:v>26.193626214991394</x:v>
      </x:c>
      <x:c r="S79" s="32" t="n">
        <x:v>20.07818751055222</x:v>
      </x:c>
      <x:c r="T79" s="32" t="n">
        <x:v>89.9</x:v>
      </x:c>
      <x:c r="U79" s="32" t="n">
        <x:v>245.07712999476223</x:v>
      </x:c>
      <x:c r="V79" s="32" t="n">
        <x:v>244.75798925963002</x:v>
      </x:c>
      <x:c r="W79" s="33" t="n">
        <x:f>IF(ISNUMBER(E79),100*MAX(0,MIN(1,('Anchors'!$H$6-E79)/('Anchors'!$H$6-'Anchors'!$G$6))),"")</x:f>
        <x:v>65.42857142857143</x:v>
      </x:c>
      <x:c r="X79" s="33" t="n">
        <x:f>IF(ISNUMBER(F79),100*MAX(0,MIN(1,('Anchors'!$H$7-F79)/('Anchors'!$H$7-'Anchors'!$G$7))),"")</x:f>
        <x:v>0</x:v>
      </x:c>
      <x:c r="Y79" s="33" t="n">
        <x:f>IF(ISNUMBER(G79),100*MAX(0,MIN(1,('Anchors'!$H$8-G79)/('Anchors'!$H$8-'Anchors'!$G$8))),"")</x:f>
        <x:v>43.21920856195962</x:v>
      </x:c>
      <x:c r="Z79" s="33" t="n">
        <x:f>IF(ISNUMBER(H79),100*MAX(0,MIN(1,('Anchors'!$H$9-H79)/('Anchors'!$H$9-'Anchors'!$G$9))),"")</x:f>
        <x:v>31.584125423591242</x:v>
      </x:c>
      <x:c r="AA79" s="33" t="n">
        <x:f>IF(ISNUMBER(I79),100*MAX(0,MIN(1,(I79-'Anchors'!$H$10)/('Anchors'!$G$10-'Anchors'!$H$10))),"")</x:f>
        <x:v>100</x:v>
      </x:c>
      <x:c r="AB79" s="33" t="n">
        <x:f>IF(ISNUMBER(J79),100*MAX(0,MIN(1,('Anchors'!$H$11-J79)/('Anchors'!$H$11-'Anchors'!$G$11))),"")</x:f>
        <x:v>26.636707791869906</x:v>
      </x:c>
      <x:c r="AC79" s="33" t="n">
        <x:f>IF(ISNUMBER(K79),100*MAX(0,MIN(1,('Anchors'!$H$12-K79)/('Anchors'!$H$12-'Anchors'!$G$12))),"")</x:f>
        <x:v>99.75568440940778</x:v>
      </x:c>
      <x:c r="AD79" s="33" t="n">
        <x:f>IF(ISNUMBER(L79),100*MAX(0,MIN(1,(L79-'Anchors'!$H$13)/('Anchors'!$G$13-'Anchors'!$H$13))),"")</x:f>
        <x:v>0</x:v>
      </x:c>
      <x:c r="AE79" s="33" t="n">
        <x:f>IF(ISNUMBER(M79),100*MAX(0,MIN(1,(M79-'Anchors'!$H$14)/('Anchors'!$G$14-'Anchors'!$H$14))),"")</x:f>
        <x:v>0</x:v>
      </x:c>
      <x:c r="AF79" s="33" t="n">
        <x:f>IF(ISNUMBER(N79),100*MAX(0,MIN(1,(LN(1+N79)-LN(1+'Anchors'!$H$15))/(LN(1+'Anchors'!$G$15)-LN(1+'Anchors'!$H$15)))),"")</x:f>
        <x:v>13.974292479449641</x:v>
      </x:c>
      <x:c r="AG79" s="33" t="n">
        <x:f>IF(ISNUMBER(O79),100*MAX(0,MIN(1,('Anchors'!$H$16-O79)/('Anchors'!$H$16-'Anchors'!$G$16))),"")</x:f>
        <x:v>99.1888888888889</x:v>
      </x:c>
      <x:c r="AH79" s="33" t="n">
        <x:f>IF(ISNUMBER(P79),100*MAX(0,MIN(1,('Anchors'!$H$17-P79)/('Anchors'!$H$17-'Anchors'!$G$17))),"")</x:f>
        <x:v>90.2964473470052</x:v>
      </x:c>
      <x:c r="AI79" s="33" t="n">
        <x:f>IF(ISNUMBER(Q79),100*MAX(0,MIN(1,('Anchors'!$H$18-Q79)/('Anchors'!$H$18-'Anchors'!$G$18))),"")</x:f>
        <x:v>84.72332314082553</x:v>
      </x:c>
      <x:c r="AJ79" s="33" t="n">
        <x:f>IF(ISNUMBER(R79),100*MAX(0,MIN(1,('Anchors'!$H$19-R79)/('Anchors'!$H$19-'Anchors'!$G$19))),"")</x:f>
        <x:v>52.903052855574686</x:v>
      </x:c>
      <x:c r="AK79" s="33" t="n">
        <x:f>IF(ISNUMBER(S79),100*MAX(0,MIN(1,('Anchors'!$H$20-S79)/('Anchors'!$H$20-'Anchors'!$G$20))),"")</x:f>
        <x:v>0</x:v>
      </x:c>
      <x:c r="AL79" s="33" t="n">
        <x:f>IF(ISNUMBER(T79),100*MAX(0,MIN(1,('Anchors'!$H$21-T79)/('Anchors'!$H$21-'Anchors'!$G$21))),"")</x:f>
        <x:v>54.72727272727271</x:v>
      </x:c>
      <x:c r="AM79" s="33" t="n">
        <x:f>IF(ISNUMBER(U79),100*MAX(0,MIN(1,('Anchors'!$H$22-U79)/('Anchors'!$H$22-'Anchors'!$G$22))),"")</x:f>
        <x:v>27.461435002618884</x:v>
      </x:c>
      <x:c r="AN79" s="33" t="n">
        <x:f>IF(ISNUMBER(V79),100*MAX(0,MIN(1,('Anchors'!$H$23-V79)/('Anchors'!$H$23-'Anchors'!$G$23))),"")</x:f>
        <x:v>88.8105026850925</x:v>
      </x:c>
      <x:c r="AO79" s="27" t="n">
        <x:f>IF(ISNUMBER(W79),IF('Scoring Setup'!$L$9=1,1-'Scoring Setup'!$B$5*(1-MAX(0,MIN(1,(W79-'Scoring Setup'!$K$9)/(100-'Scoring Setup'!$K$9)))),1),"")</x:f>
        <x:v>0.9308571428571428</x:v>
      </x:c>
      <x:c r="AP79" s="27" t="n">
        <x:f>IF(ISNUMBER(X79),IF('Scoring Setup'!$L$10=1,1-'Scoring Setup'!$B$5*(1-MAX(0,MIN(1,(X79-'Scoring Setup'!$K$10)/(100-'Scoring Setup'!$K$10)))),1),"")</x:f>
        <x:v>0.8</x:v>
      </x:c>
      <x:c r="AQ79" s="27" t="n">
        <x:f>IF(ISNUMBER(Y79),IF('Scoring Setup'!$L$11=1,1-'Scoring Setup'!$B$5*(1-MAX(0,MIN(1,(Y79-'Scoring Setup'!$K$11)/(100-'Scoring Setup'!$K$11)))),1),"")</x:f>
        <x:v>0.8864384171239192</x:v>
      </x:c>
      <x:c r="AR79" s="27" t="n">
        <x:f>IF(ISNUMBER(Z79),IF('Scoring Setup'!$L$12=1,1-'Scoring Setup'!$B$5*(1-MAX(0,MIN(1,(Z79-'Scoring Setup'!$K$12)/(100-'Scoring Setup'!$K$12)))),1),"")</x:f>
        <x:v>0.8631682508471825</x:v>
      </x:c>
      <x:c r="AS79" s="27" t="n">
        <x:f>IF(ISNUMBER(AA79),IF('Scoring Setup'!$L$13=1,1-'Scoring Setup'!$B$5*(1-MAX(0,MIN(1,(AA79-'Scoring Setup'!$K$13)/(100-'Scoring Setup'!$K$13)))),1),"")</x:f>
        <x:v>1</x:v>
      </x:c>
      <x:c r="AT79" s="27" t="n">
        <x:f>IF(ISNUMBER(AB79),IF('Scoring Setup'!$L$14=1,1-'Scoring Setup'!$B$5*(1-MAX(0,MIN(1,(AB79-'Scoring Setup'!$K$14)/(100-'Scoring Setup'!$K$14)))),1),"")</x:f>
        <x:v>0.8532734155837398</x:v>
      </x:c>
      <x:c r="AU79" s="27" t="n">
        <x:f>IF(ISNUMBER(AC79),IF('Scoring Setup'!$L$15=1,1-'Scoring Setup'!$B$5*(1-MAX(0,MIN(1,(AC79-'Scoring Setup'!$K$15)/(100-'Scoring Setup'!$K$15)))),1),"")</x:f>
        <x:v>0.9995113688188155</x:v>
      </x:c>
      <x:c r="AV79" s="27" t="n">
        <x:f>IF(ISNUMBER(AD79),IF('Scoring Setup'!$L$16=1,1-'Scoring Setup'!$B$5*(1-MAX(0,MIN(1,(AD79-'Scoring Setup'!$K$16)/(100-'Scoring Setup'!$K$16)))),1),"")</x:f>
        <x:v>0.8</x:v>
      </x:c>
      <x:c r="AW79" s="27" t="n">
        <x:f>IF(ISNUMBER(AE79),IF('Scoring Setup'!$L$17=1,1-'Scoring Setup'!$B$5*(1-MAX(0,MIN(1,(AE79-'Scoring Setup'!$K$17)/(100-'Scoring Setup'!$K$17)))),1),"")</x:f>
        <x:v>0.8</x:v>
      </x:c>
      <x:c r="AX79" s="27" t="n">
        <x:f>IF(ISNUMBER(AF79),IF('Scoring Setup'!$L$18=1,1-'Scoring Setup'!$B$5*(1-MAX(0,MIN(1,(AF79-'Scoring Setup'!$K$18)/(100-'Scoring Setup'!$K$18)))),1),"")</x:f>
        <x:v>0.8279485849588992</x:v>
      </x:c>
      <x:c r="AY79" s="27" t="n">
        <x:f>IF(ISNUMBER(AG79),IF('Scoring Setup'!$L$19=1,1-'Scoring Setup'!$B$5*(1-MAX(0,MIN(1,(AG79-'Scoring Setup'!$K$19)/(100-'Scoring Setup'!$K$19)))),1),"")</x:f>
        <x:v>0.9983777777777778</x:v>
      </x:c>
      <x:c r="AZ79" s="27" t="n">
        <x:f>IF(ISNUMBER(AH79),IF('Scoring Setup'!$L$20=1,1-'Scoring Setup'!$B$5*(1-MAX(0,MIN(1,(AH79-'Scoring Setup'!$K$20)/(100-'Scoring Setup'!$K$20)))),1),"")</x:f>
        <x:v>0.9805928946940103</x:v>
      </x:c>
      <x:c r="BA79" s="27" t="n">
        <x:f>IF(ISNUMBER(AI79),IF('Scoring Setup'!$L$21=1,1-'Scoring Setup'!$B$5*(1-MAX(0,MIN(1,(AI79-'Scoring Setup'!$K$21)/(100-'Scoring Setup'!$K$21)))),1),"")</x:f>
        <x:v>0.969446646281651</x:v>
      </x:c>
      <x:c r="BB79" s="27" t="n">
        <x:f>IF(ISNUMBER(AJ79),IF('Scoring Setup'!$L$22=1,1-'Scoring Setup'!$B$5*(1-MAX(0,MIN(1,(AJ79-'Scoring Setup'!$K$22)/(100-'Scoring Setup'!$K$22)))),1),"")</x:f>
        <x:v>0.9058061057111494</x:v>
      </x:c>
      <x:c r="BC79" s="27" t="n">
        <x:f>IF(ISNUMBER(AK79),IF('Scoring Setup'!$L$23=1,1-'Scoring Setup'!$B$5*(1-MAX(0,MIN(1,(AK79-'Scoring Setup'!$K$23)/(100-'Scoring Setup'!$K$23)))),1),"")</x:f>
        <x:v>0.8</x:v>
      </x:c>
      <x:c r="BD79" s="27" t="n">
        <x:f>IF(ISNUMBER(AL79),IF('Scoring Setup'!$L$24=1,1-'Scoring Setup'!$B$5*(1-MAX(0,MIN(1,(AL79-'Scoring Setup'!$K$24)/(100-'Scoring Setup'!$K$24)))),1),"")</x:f>
        <x:v>0.9094545454545454</x:v>
      </x:c>
      <x:c r="BE79" s="27" t="n">
        <x:f>IF(ISNUMBER(AM79),IF('Scoring Setup'!$L$25=1,1-'Scoring Setup'!$B$5*(1-MAX(0,MIN(1,(AM79-'Scoring Setup'!$K$25)/(100-'Scoring Setup'!$K$25)))),1),"")</x:f>
        <x:v>0.8549228700052378</x:v>
      </x:c>
      <x:c r="BF79" s="27" t="n">
        <x:f>IF(ISNUMBER(AN79),IF('Scoring Setup'!$L$26=1,1-'Scoring Setup'!$B$5*(1-MAX(0,MIN(1,(AN79-'Scoring Setup'!$K$26)/(100-'Scoring Setup'!$K$26)))),1),"")</x:f>
        <x:v>0.977621005370185</x:v>
      </x:c>
      <x:c r="BG79" s="34" t="n">
        <x:f>IF(COUNT(W79,X79)=2,AVERAGE(W79,X79),"")</x:f>
        <x:v>32.714285714285715</x:v>
      </x:c>
      <x:c r="BH79" s="34" t="n">
        <x:f>IF(COUNT(Y79,Z79)=2,AVERAGE(Y79,Z79),"")</x:f>
        <x:v>37.40166699277543</x:v>
      </x:c>
      <x:c r="BI79" s="34" t="n">
        <x:f>IF(COUNT(AA79,AB79,AC79)=3,AVERAGE(AA79,AB79,AC79),"")</x:f>
        <x:v>75.46413073375923</x:v>
      </x:c>
      <x:c r="BJ79" s="34" t="n">
        <x:f>IF(COUNT(AD79,AE79)=2,AVERAGE(AD79,AE79),"")</x:f>
        <x:v>0</x:v>
      </x:c>
      <x:c r="BK79" s="34" t="n">
        <x:f>IF(COUNT(AF79,AG79)=2,AVERAGE(AF79,AG79),"")</x:f>
        <x:v>56.58159068416927</x:v>
      </x:c>
      <x:c r="BL79" s="34" t="n">
        <x:f>IF(COUNT(AH79,AI79)=2,AVERAGE(AH79,AI79),"")</x:f>
        <x:v>87.50988524391536</x:v>
      </x:c>
      <x:c r="BM79" s="34" t="n">
        <x:f>IF(COUNT(AJ79,AK79)=2,AVERAGE(AJ79,AK79),"")</x:f>
        <x:v>26.451526427787343</x:v>
      </x:c>
      <x:c r="BN79" s="34" t="n">
        <x:f>IF(COUNT(AL79,AM79,AN79)=3,AVERAGE(AL79,AM79,AN79),"")</x:f>
        <x:v>56.999736804994704</x:v>
      </x:c>
      <x:c r="BO79" s="35" t="n">
        <x:f>IF(AND(COUNT(BG79:BN79)=8,ABS('Scoring Setup'!$C$17-1)&lt;0.000001),BG79*'Scoring Setup'!$C$9+BH79*'Scoring Setup'!$C$10+BI79*'Scoring Setup'!$C$11+BJ79*'Scoring Setup'!$C$12+BK79*'Scoring Setup'!$C$13+BL79*'Scoring Setup'!$C$14+BM79*'Scoring Setup'!$C$15+BN79*'Scoring Setup'!$C$16,"")</x:f>
        <x:v>46.754325736860054</x:v>
      </x:c>
      <x:c r="BP79" s="36" t="n">
        <x:f>IF(COUNT(AO79:BF79)=18,MIN(AO79:BF79),"")</x:f>
        <x:v>0.8</x:v>
      </x:c>
      <x:c r="BQ79" s="35" t="n">
        <x:f>IF(AND(ISNUMBER(BO79),ISNUMBER(BP79)),BO79*BP79,"")</x:f>
        <x:v>37.40346058948804</x:v>
      </x:c>
      <x:c r="BR79" s="17" t="str">
        <x:f>IF(COUNT(AO79:BF79)=18,INDEX('Scoring Setup'!$F$9:$F$26,MATCH(MIN(AO79:BF79),AO79:BF79,0),1),"")</x:f>
        <x:v>洪水损失率全国百分位</x:v>
      </x:c>
    </x:row>
    <x:row r="80">
      <x:c r="A80" s="28" t="str">
        <x:v>51159</x:v>
      </x:c>
      <x:c r="B80" s="28" t="str">
        <x:v>Richmond County</x:v>
      </x:c>
      <x:c r="C80" s="28" t="str">
        <x:v>VA</x:v>
      </x:c>
      <x:c r="D80" s="31" t="n">
        <x:v>495.925427</x:v>
      </x:c>
      <x:c r="E80" s="32" t="n">
        <x:v>0.249</x:v>
      </x:c>
      <x:c r="F80" s="32" t="n">
        <x:v>0.034653465346534705</x:v>
      </x:c>
      <x:c r="G80" s="32" t="n">
        <x:v>3.5884563322783234</x:v>
      </x:c>
      <x:c r="H80" s="32" t="n">
        <x:v>3.9799828868269995</x:v>
      </x:c>
      <x:c r="I80" s="32" t="n">
        <x:v>0.9462425632453806</x:v>
      </x:c>
      <x:c r="J80" s="32" t="n">
        <x:v>0.06751085508450053</x:v>
      </x:c>
      <x:c r="K80" s="32" t="n">
        <x:v>0.14035208974850993</x:v>
      </x:c>
      <x:c r="L80" s="32" t="n">
        <x:v>0.393684689</x:v>
      </x:c>
      <x:c r="M80" s="32" t="n">
        <x:v>0.391640164</x:v>
      </x:c>
      <x:c r="N80" s="32" t="n">
        <x:v>3447</x:v>
      </x:c>
      <x:c r="O80" s="32" t="n">
        <x:v>0.5485</x:v>
      </x:c>
      <x:c r="P80" s="32" t="n">
        <x:v>1359.0317545572916</x:v>
      </x:c>
      <x:c r="Q80" s="32" t="n">
        <x:v>31.27382348378499</x:v>
      </x:c>
      <x:c r="R80" s="32" t="n">
        <x:v>54.0110503705885</x:v>
      </x:c>
      <x:c r="S80" s="32" t="n">
        <x:v>41.54780520958742</x:v>
      </x:c>
      <x:c r="T80" s="32" t="n">
        <x:v>89.9</x:v>
      </x:c>
      <x:c r="U80" s="32" t="n">
        <x:v>245.07712999476223</x:v>
      </x:c>
      <x:c r="V80" s="32" t="n">
        <x:v>244.75798925963002</x:v>
      </x:c>
      <x:c r="W80" s="33" t="n">
        <x:f>IF(ISNUMBER(E80),100*MAX(0,MIN(1,('Anchors'!$H$6-E80)/('Anchors'!$H$6-'Anchors'!$G$6))),"")</x:f>
        <x:v>93</x:v>
      </x:c>
      <x:c r="X80" s="33" t="n">
        <x:f>IF(ISNUMBER(F80),100*MAX(0,MIN(1,('Anchors'!$H$7-F80)/('Anchors'!$H$7-'Anchors'!$G$7))),"")</x:f>
        <x:v>100</x:v>
      </x:c>
      <x:c r="Y80" s="33" t="n">
        <x:f>IF(ISNUMBER(G80),100*MAX(0,MIN(1,('Anchors'!$H$8-G80)/('Anchors'!$H$8-'Anchors'!$G$8))),"")</x:f>
        <x:v>13.71812225738922</x:v>
      </x:c>
      <x:c r="Z80" s="33" t="n">
        <x:f>IF(ISNUMBER(H80),100*MAX(0,MIN(1,('Anchors'!$H$9-H80)/('Anchors'!$H$9-'Anchors'!$G$9))),"")</x:f>
        <x:v>0.6672371057666826</x:v>
      </x:c>
      <x:c r="AA80" s="33" t="n">
        <x:f>IF(ISNUMBER(I80),100*MAX(0,MIN(1,(I80-'Anchors'!$H$10)/('Anchors'!$G$10-'Anchors'!$H$10))),"")</x:f>
        <x:v>95.37569359525762</x:v>
      </x:c>
      <x:c r="AB80" s="33" t="n">
        <x:f>IF(ISNUMBER(J80),100*MAX(0,MIN(1,('Anchors'!$H$11-J80)/('Anchors'!$H$11-'Anchors'!$G$11))),"")</x:f>
        <x:v>72.99565796619979</x:v>
      </x:c>
      <x:c r="AC80" s="33" t="n">
        <x:f>IF(ISNUMBER(K80),100*MAX(0,MIN(1,('Anchors'!$H$12-K80)/('Anchors'!$H$12-'Anchors'!$G$12))),"")</x:f>
        <x:v>64.91197756287251</x:v>
      </x:c>
      <x:c r="AD80" s="33" t="n">
        <x:f>IF(ISNUMBER(L80),100*MAX(0,MIN(1,(L80-'Anchors'!$H$13)/('Anchors'!$G$13-'Anchors'!$H$13))),"")</x:f>
        <x:v>27.66924128571428</x:v>
      </x:c>
      <x:c r="AE80" s="33" t="n">
        <x:f>IF(ISNUMBER(M80),100*MAX(0,MIN(1,(M80-'Anchors'!$H$14)/('Anchors'!$G$14-'Anchors'!$H$14))),"")</x:f>
        <x:v>36.4550205</x:v>
      </x:c>
      <x:c r="AF80" s="33" t="n">
        <x:f>IF(ISNUMBER(N80),100*MAX(0,MIN(1,(LN(1+N80)-LN(1+'Anchors'!$H$15))/(LN(1+'Anchors'!$G$15)-LN(1+'Anchors'!$H$15)))),"")</x:f>
        <x:v>12.604770428431102</x:v>
      </x:c>
      <x:c r="AG80" s="33" t="n">
        <x:f>IF(ISNUMBER(O80),100*MAX(0,MIN(1,('Anchors'!$H$16-O80)/('Anchors'!$H$16-'Anchors'!$G$16))),"")</x:f>
        <x:v>44.611111111111114</x:v>
      </x:c>
      <x:c r="AH80" s="33" t="n">
        <x:f>IF(ISNUMBER(P80),100*MAX(0,MIN(1,('Anchors'!$H$17-P80)/('Anchors'!$H$17-'Anchors'!$G$17))),"")</x:f>
        <x:v>56.064549696180556</x:v>
      </x:c>
      <x:c r="AI80" s="33" t="n">
        <x:f>IF(ISNUMBER(Q80),100*MAX(0,MIN(1,('Anchors'!$H$18-Q80)/('Anchors'!$H$18-'Anchors'!$G$18))),"")</x:f>
        <x:v>62.465966451735724</x:v>
      </x:c>
      <x:c r="AJ80" s="33" t="n">
        <x:f>IF(ISNUMBER(R80),100*MAX(0,MIN(1,('Anchors'!$H$19-R80)/('Anchors'!$H$19-'Anchors'!$G$19))),"")</x:f>
        <x:v>0</x:v>
      </x:c>
      <x:c r="AK80" s="33" t="n">
        <x:f>IF(ISNUMBER(S80),100*MAX(0,MIN(1,('Anchors'!$H$20-S80)/('Anchors'!$H$20-'Anchors'!$G$20))),"")</x:f>
        <x:v>0</x:v>
      </x:c>
      <x:c r="AL80" s="33" t="n">
        <x:f>IF(ISNUMBER(T80),100*MAX(0,MIN(1,('Anchors'!$H$21-T80)/('Anchors'!$H$21-'Anchors'!$G$21))),"")</x:f>
        <x:v>54.72727272727271</x:v>
      </x:c>
      <x:c r="AM80" s="33" t="n">
        <x:f>IF(ISNUMBER(U80),100*MAX(0,MIN(1,('Anchors'!$H$22-U80)/('Anchors'!$H$22-'Anchors'!$G$22))),"")</x:f>
        <x:v>27.461435002618884</x:v>
      </x:c>
      <x:c r="AN80" s="33" t="n">
        <x:f>IF(ISNUMBER(V80),100*MAX(0,MIN(1,('Anchors'!$H$23-V80)/('Anchors'!$H$23-'Anchors'!$G$23))),"")</x:f>
        <x:v>88.8105026850925</x:v>
      </x:c>
      <x:c r="AO80" s="27" t="n">
        <x:f>IF(ISNUMBER(W80),IF('Scoring Setup'!$L$9=1,1-'Scoring Setup'!$B$5*(1-MAX(0,MIN(1,(W80-'Scoring Setup'!$K$9)/(100-'Scoring Setup'!$K$9)))),1),"")</x:f>
        <x:v>0.986</x:v>
      </x:c>
      <x:c r="AP80" s="27" t="n">
        <x:f>IF(ISNUMBER(X80),IF('Scoring Setup'!$L$10=1,1-'Scoring Setup'!$B$5*(1-MAX(0,MIN(1,(X80-'Scoring Setup'!$K$10)/(100-'Scoring Setup'!$K$10)))),1),"")</x:f>
        <x:v>1</x:v>
      </x:c>
      <x:c r="AQ80" s="27" t="n">
        <x:f>IF(ISNUMBER(Y80),IF('Scoring Setup'!$L$11=1,1-'Scoring Setup'!$B$5*(1-MAX(0,MIN(1,(Y80-'Scoring Setup'!$K$11)/(100-'Scoring Setup'!$K$11)))),1),"")</x:f>
        <x:v>0.8274362445147785</x:v>
      </x:c>
      <x:c r="AR80" s="27" t="n">
        <x:f>IF(ISNUMBER(Z80),IF('Scoring Setup'!$L$12=1,1-'Scoring Setup'!$B$5*(1-MAX(0,MIN(1,(Z80-'Scoring Setup'!$K$12)/(100-'Scoring Setup'!$K$12)))),1),"")</x:f>
        <x:v>0.8013344742115334</x:v>
      </x:c>
      <x:c r="AS80" s="27" t="n">
        <x:f>IF(ISNUMBER(AA80),IF('Scoring Setup'!$L$13=1,1-'Scoring Setup'!$B$5*(1-MAX(0,MIN(1,(AA80-'Scoring Setup'!$K$13)/(100-'Scoring Setup'!$K$13)))),1),"")</x:f>
        <x:v>0.9907513871905153</x:v>
      </x:c>
      <x:c r="AT80" s="27" t="n">
        <x:f>IF(ISNUMBER(AB80),IF('Scoring Setup'!$L$14=1,1-'Scoring Setup'!$B$5*(1-MAX(0,MIN(1,(AB80-'Scoring Setup'!$K$14)/(100-'Scoring Setup'!$K$14)))),1),"")</x:f>
        <x:v>0.9459913159323996</x:v>
      </x:c>
      <x:c r="AU80" s="27" t="n">
        <x:f>IF(ISNUMBER(AC80),IF('Scoring Setup'!$L$15=1,1-'Scoring Setup'!$B$5*(1-MAX(0,MIN(1,(AC80-'Scoring Setup'!$K$15)/(100-'Scoring Setup'!$K$15)))),1),"")</x:f>
        <x:v>0.929823955125745</x:v>
      </x:c>
      <x:c r="AV80" s="27" t="n">
        <x:f>IF(ISNUMBER(AD80),IF('Scoring Setup'!$L$16=1,1-'Scoring Setup'!$B$5*(1-MAX(0,MIN(1,(AD80-'Scoring Setup'!$K$16)/(100-'Scoring Setup'!$K$16)))),1),"")</x:f>
        <x:v>0.8553384825714285</x:v>
      </x:c>
      <x:c r="AW80" s="27" t="n">
        <x:f>IF(ISNUMBER(AE80),IF('Scoring Setup'!$L$17=1,1-'Scoring Setup'!$B$5*(1-MAX(0,MIN(1,(AE80-'Scoring Setup'!$K$17)/(100-'Scoring Setup'!$K$17)))),1),"")</x:f>
        <x:v>0.872910041</x:v>
      </x:c>
      <x:c r="AX80" s="27" t="n">
        <x:f>IF(ISNUMBER(AF80),IF('Scoring Setup'!$L$18=1,1-'Scoring Setup'!$B$5*(1-MAX(0,MIN(1,(AF80-'Scoring Setup'!$K$18)/(100-'Scoring Setup'!$K$18)))),1),"")</x:f>
        <x:v>0.8252095408568622</x:v>
      </x:c>
      <x:c r="AY80" s="27" t="n">
        <x:f>IF(ISNUMBER(AG80),IF('Scoring Setup'!$L$19=1,1-'Scoring Setup'!$B$5*(1-MAX(0,MIN(1,(AG80-'Scoring Setup'!$K$19)/(100-'Scoring Setup'!$K$19)))),1),"")</x:f>
        <x:v>0.8892222222222222</x:v>
      </x:c>
      <x:c r="AZ80" s="27" t="n">
        <x:f>IF(ISNUMBER(AH80),IF('Scoring Setup'!$L$20=1,1-'Scoring Setup'!$B$5*(1-MAX(0,MIN(1,(AH80-'Scoring Setup'!$K$20)/(100-'Scoring Setup'!$K$20)))),1),"")</x:f>
        <x:v>0.9121290993923611</x:v>
      </x:c>
      <x:c r="BA80" s="27" t="n">
        <x:f>IF(ISNUMBER(AI80),IF('Scoring Setup'!$L$21=1,1-'Scoring Setup'!$B$5*(1-MAX(0,MIN(1,(AI80-'Scoring Setup'!$K$21)/(100-'Scoring Setup'!$K$21)))),1),"")</x:f>
        <x:v>0.9249319329034714</x:v>
      </x:c>
      <x:c r="BB80" s="27" t="n">
        <x:f>IF(ISNUMBER(AJ80),IF('Scoring Setup'!$L$22=1,1-'Scoring Setup'!$B$5*(1-MAX(0,MIN(1,(AJ80-'Scoring Setup'!$K$22)/(100-'Scoring Setup'!$K$22)))),1),"")</x:f>
        <x:v>0.8</x:v>
      </x:c>
      <x:c r="BC80" s="27" t="n">
        <x:f>IF(ISNUMBER(AK80),IF('Scoring Setup'!$L$23=1,1-'Scoring Setup'!$B$5*(1-MAX(0,MIN(1,(AK80-'Scoring Setup'!$K$23)/(100-'Scoring Setup'!$K$23)))),1),"")</x:f>
        <x:v>0.8</x:v>
      </x:c>
      <x:c r="BD80" s="27" t="n">
        <x:f>IF(ISNUMBER(AL80),IF('Scoring Setup'!$L$24=1,1-'Scoring Setup'!$B$5*(1-MAX(0,MIN(1,(AL80-'Scoring Setup'!$K$24)/(100-'Scoring Setup'!$K$24)))),1),"")</x:f>
        <x:v>0.9094545454545454</x:v>
      </x:c>
      <x:c r="BE80" s="27" t="n">
        <x:f>IF(ISNUMBER(AM80),IF('Scoring Setup'!$L$25=1,1-'Scoring Setup'!$B$5*(1-MAX(0,MIN(1,(AM80-'Scoring Setup'!$K$25)/(100-'Scoring Setup'!$K$25)))),1),"")</x:f>
        <x:v>0.8549228700052378</x:v>
      </x:c>
      <x:c r="BF80" s="27" t="n">
        <x:f>IF(ISNUMBER(AN80),IF('Scoring Setup'!$L$26=1,1-'Scoring Setup'!$B$5*(1-MAX(0,MIN(1,(AN80-'Scoring Setup'!$K$26)/(100-'Scoring Setup'!$K$26)))),1),"")</x:f>
        <x:v>0.977621005370185</x:v>
      </x:c>
      <x:c r="BG80" s="34" t="n">
        <x:f>IF(COUNT(W80,X80)=2,AVERAGE(W80,X80),"")</x:f>
        <x:v>96.5</x:v>
      </x:c>
      <x:c r="BH80" s="34" t="n">
        <x:f>IF(COUNT(Y80,Z80)=2,AVERAGE(Y80,Z80),"")</x:f>
        <x:v>7.1926796815779515</x:v>
      </x:c>
      <x:c r="BI80" s="34" t="n">
        <x:f>IF(COUNT(AA80,AB80,AC80)=3,AVERAGE(AA80,AB80,AC80),"")</x:f>
        <x:v>77.76110970810997</x:v>
      </x:c>
      <x:c r="BJ80" s="34" t="n">
        <x:f>IF(COUNT(AD80,AE80)=2,AVERAGE(AD80,AE80),"")</x:f>
        <x:v>32.06213089285714</x:v>
      </x:c>
      <x:c r="BK80" s="34" t="n">
        <x:f>IF(COUNT(AF80,AG80)=2,AVERAGE(AF80,AG80),"")</x:f>
        <x:v>28.60794076977111</x:v>
      </x:c>
      <x:c r="BL80" s="34" t="n">
        <x:f>IF(COUNT(AH80,AI80)=2,AVERAGE(AH80,AI80),"")</x:f>
        <x:v>59.26525807395814</x:v>
      </x:c>
      <x:c r="BM80" s="34" t="n">
        <x:f>IF(COUNT(AJ80,AK80)=2,AVERAGE(AJ80,AK80),"")</x:f>
        <x:v>0</x:v>
      </x:c>
      <x:c r="BN80" s="34" t="n">
        <x:f>IF(COUNT(AL80,AM80,AN80)=3,AVERAGE(AL80,AM80,AN80),"")</x:f>
        <x:v>56.999736804994704</x:v>
      </x:c>
      <x:c r="BO80" s="35" t="n">
        <x:f>IF(AND(COUNT(BG80:BN80)=8,ABS('Scoring Setup'!$C$17-1)&lt;0.000001),BG80*'Scoring Setup'!$C$9+BH80*'Scoring Setup'!$C$10+BI80*'Scoring Setup'!$C$11+BJ80*'Scoring Setup'!$C$12+BK80*'Scoring Setup'!$C$13+BL80*'Scoring Setup'!$C$14+BM80*'Scoring Setup'!$C$15+BN80*'Scoring Setup'!$C$16,"")</x:f>
        <x:v>44.99483801858573</x:v>
      </x:c>
      <x:c r="BP80" s="36" t="n">
        <x:f>IF(COUNT(AO80:BF80)=18,MIN(AO80:BF80),"")</x:f>
        <x:v>0.8</x:v>
      </x:c>
      <x:c r="BQ80" s="35" t="n">
        <x:f>IF(AND(ISNUMBER(BO80),ISNUMBER(BP80)),BO80*BP80,"")</x:f>
        <x:v>35.995870414868584</x:v>
      </x:c>
      <x:c r="BR80" s="17" t="str">
        <x:f>IF(COUNT(AO80:BF80)=18,INDEX('Scoring Setup'!$F$9:$F$26,MATCH(MIN(AO80:BF80),AO80:BF80,0),1),"")</x:f>
        <x:v>到Interstate距离</x:v>
      </x:c>
    </x:row>
    <x:row r="81">
      <x:c r="A81" s="28" t="str">
        <x:v>51161</x:v>
      </x:c>
      <x:c r="B81" s="28" t="str">
        <x:v>Roanoke County</x:v>
      </x:c>
      <x:c r="C81" s="28" t="str">
        <x:v>VA</x:v>
      </x:c>
      <x:c r="D81" s="31" t="n">
        <x:v>648.917442</x:v>
      </x:c>
      <x:c r="E81" s="32" t="n">
        <x:v>0.616</x:v>
      </x:c>
      <x:c r="F81" s="32" t="n">
        <x:v>0.43409653465346504</x:v>
      </x:c>
      <x:c r="G81" s="32" t="n">
        <x:v>2.7252407952724322</x:v>
      </x:c>
      <x:c r="H81" s="32" t="n">
        <x:v>3.1012350139280445</x:v>
      </x:c>
      <x:c r="I81" s="32" t="n">
        <x:v>0.8487770278507386</x:v>
      </x:c>
      <x:c r="J81" s="32" t="n">
        <x:v>0.09610888831993934</x:v>
      </x:c>
      <x:c r="K81" s="32" t="n">
        <x:v>0.000536123948532101</x:v>
      </x:c>
      <x:c r="L81" s="32" t="n">
        <x:v>0.579369628</x:v>
      </x:c>
      <x:c r="M81" s="32" t="n">
        <x:v>0.575402248</x:v>
      </x:c>
      <x:c r="N81" s="32" t="n">
        <x:v>49599</x:v>
      </x:c>
      <x:c r="O81" s="32" t="n">
        <x:v>0.1333</x:v>
      </x:c>
      <x:c r="P81" s="32" t="n">
        <x:v>809.7884155273438</x:v>
      </x:c>
      <x:c r="Q81" s="32" t="n">
        <x:v>9.888103596369426</x:v>
      </x:c>
      <x:c r="R81" s="32" t="n">
        <x:v>7.647115816563457</x:v>
      </x:c>
      <x:c r="S81" s="32" t="n">
        <x:v>5.889526638658583</x:v>
      </x:c>
      <x:c r="T81" s="32" t="n">
        <x:v>89.9</x:v>
      </x:c>
      <x:c r="U81" s="32" t="n">
        <x:v>245.07712999476223</x:v>
      </x:c>
      <x:c r="V81" s="32" t="n">
        <x:v>244.75798925963002</x:v>
      </x:c>
      <x:c r="W81" s="33" t="n">
        <x:f>IF(ISNUMBER(E81),100*MAX(0,MIN(1,('Anchors'!$H$6-E81)/('Anchors'!$H$6-'Anchors'!$G$6))),"")</x:f>
        <x:v>40.571428571428584</x:v>
      </x:c>
      <x:c r="X81" s="33" t="n">
        <x:f>IF(ISNUMBER(F81),100*MAX(0,MIN(1,('Anchors'!$H$7-F81)/('Anchors'!$H$7-'Anchors'!$G$7))),"")</x:f>
        <x:v>52.27192362093357</x:v>
      </x:c>
      <x:c r="Y81" s="33" t="n">
        <x:f>IF(ISNUMBER(G81),100*MAX(0,MIN(1,('Anchors'!$H$8-G81)/('Anchors'!$H$8-'Anchors'!$G$8))),"")</x:f>
        <x:v>42.49197349091893</x:v>
      </x:c>
      <x:c r="Z81" s="33" t="n">
        <x:f>IF(ISNUMBER(H81),100*MAX(0,MIN(1,('Anchors'!$H$9-H81)/('Anchors'!$H$9-'Anchors'!$G$9))),"")</x:f>
        <x:v>29.958832869065184</x:v>
      </x:c>
      <x:c r="AA81" s="33" t="n">
        <x:f>IF(ISNUMBER(I81),100*MAX(0,MIN(1,(I81-'Anchors'!$H$10)/('Anchors'!$G$10-'Anchors'!$H$10))),"")</x:f>
        <x:v>82.02425039051214</x:v>
      </x:c>
      <x:c r="AB81" s="33" t="n">
        <x:f>IF(ISNUMBER(J81),100*MAX(0,MIN(1,('Anchors'!$H$11-J81)/('Anchors'!$H$11-'Anchors'!$G$11))),"")</x:f>
        <x:v>61.556444672024256</x:v>
      </x:c>
      <x:c r="AC81" s="33" t="n">
        <x:f>IF(ISNUMBER(K81),100*MAX(0,MIN(1,('Anchors'!$H$12-K81)/('Anchors'!$H$12-'Anchors'!$G$12))),"")</x:f>
        <x:v>99.86596901286698</x:v>
      </x:c>
      <x:c r="AD81" s="33" t="n">
        <x:f>IF(ISNUMBER(L81),100*MAX(0,MIN(1,(L81-'Anchors'!$H$13)/('Anchors'!$G$13-'Anchors'!$H$13))),"")</x:f>
        <x:v>54.19566114285714</x:v>
      </x:c>
      <x:c r="AE81" s="33" t="n">
        <x:f>IF(ISNUMBER(M81),100*MAX(0,MIN(1,(M81-'Anchors'!$H$14)/('Anchors'!$G$14-'Anchors'!$H$14))),"")</x:f>
        <x:v>59.425281</x:v>
      </x:c>
      <x:c r="AF81" s="33" t="n">
        <x:f>IF(ISNUMBER(N81),100*MAX(0,MIN(1,(LN(1+N81)-LN(1+'Anchors'!$H$15))/(LN(1+'Anchors'!$G$15)-LN(1+'Anchors'!$H$15)))),"")</x:f>
        <x:v>74.3652436167478</x:v>
      </x:c>
      <x:c r="AG81" s="33" t="n">
        <x:f>IF(ISNUMBER(O81),100*MAX(0,MIN(1,('Anchors'!$H$16-O81)/('Anchors'!$H$16-'Anchors'!$G$16))),"")</x:f>
        <x:v>90.74444444444445</x:v>
      </x:c>
      <x:c r="AH81" s="33" t="n">
        <x:f>IF(ISNUMBER(P81),100*MAX(0,MIN(1,('Anchors'!$H$17-P81)/('Anchors'!$H$17-'Anchors'!$G$17))),"")</x:f>
        <x:v>92.68077229817709</x:v>
      </x:c>
      <x:c r="AI81" s="33" t="n">
        <x:f>IF(ISNUMBER(Q81),100*MAX(0,MIN(1,('Anchors'!$H$18-Q81)/('Anchors'!$H$18-'Anchors'!$G$18))),"")</x:f>
        <x:v>93.01699486232938</x:v>
      </x:c>
      <x:c r="AJ81" s="33" t="n">
        <x:f>IF(ISNUMBER(R81),100*MAX(0,MIN(1,('Anchors'!$H$19-R81)/('Anchors'!$H$19-'Anchors'!$G$19))),"")</x:f>
        <x:v>94.11752040763676</x:v>
      </x:c>
      <x:c r="AK81" s="33" t="n">
        <x:f>IF(ISNUMBER(S81),100*MAX(0,MIN(1,('Anchors'!$H$20-S81)/('Anchors'!$H$20-'Anchors'!$G$20))),"")</x:f>
        <x:v>74.26564927021798</x:v>
      </x:c>
      <x:c r="AL81" s="33" t="n">
        <x:f>IF(ISNUMBER(T81),100*MAX(0,MIN(1,('Anchors'!$H$21-T81)/('Anchors'!$H$21-'Anchors'!$G$21))),"")</x:f>
        <x:v>54.72727272727271</x:v>
      </x:c>
      <x:c r="AM81" s="33" t="n">
        <x:f>IF(ISNUMBER(U81),100*MAX(0,MIN(1,('Anchors'!$H$22-U81)/('Anchors'!$H$22-'Anchors'!$G$22))),"")</x:f>
        <x:v>27.461435002618884</x:v>
      </x:c>
      <x:c r="AN81" s="33" t="n">
        <x:f>IF(ISNUMBER(V81),100*MAX(0,MIN(1,('Anchors'!$H$23-V81)/('Anchors'!$H$23-'Anchors'!$G$23))),"")</x:f>
        <x:v>88.8105026850925</x:v>
      </x:c>
      <x:c r="AO81" s="27" t="n">
        <x:f>IF(ISNUMBER(W81),IF('Scoring Setup'!$L$9=1,1-'Scoring Setup'!$B$5*(1-MAX(0,MIN(1,(W81-'Scoring Setup'!$K$9)/(100-'Scoring Setup'!$K$9)))),1),"")</x:f>
        <x:v>0.8811428571428572</x:v>
      </x:c>
      <x:c r="AP81" s="27" t="n">
        <x:f>IF(ISNUMBER(X81),IF('Scoring Setup'!$L$10=1,1-'Scoring Setup'!$B$5*(1-MAX(0,MIN(1,(X81-'Scoring Setup'!$K$10)/(100-'Scoring Setup'!$K$10)))),1),"")</x:f>
        <x:v>0.9045438472418671</x:v>
      </x:c>
      <x:c r="AQ81" s="27" t="n">
        <x:f>IF(ISNUMBER(Y81),IF('Scoring Setup'!$L$11=1,1-'Scoring Setup'!$B$5*(1-MAX(0,MIN(1,(Y81-'Scoring Setup'!$K$11)/(100-'Scoring Setup'!$K$11)))),1),"")</x:f>
        <x:v>0.8849839469818379</x:v>
      </x:c>
      <x:c r="AR81" s="27" t="n">
        <x:f>IF(ISNUMBER(Z81),IF('Scoring Setup'!$L$12=1,1-'Scoring Setup'!$B$5*(1-MAX(0,MIN(1,(Z81-'Scoring Setup'!$K$12)/(100-'Scoring Setup'!$K$12)))),1),"")</x:f>
        <x:v>0.8599176657381303</x:v>
      </x:c>
      <x:c r="AS81" s="27" t="n">
        <x:f>IF(ISNUMBER(AA81),IF('Scoring Setup'!$L$13=1,1-'Scoring Setup'!$B$5*(1-MAX(0,MIN(1,(AA81-'Scoring Setup'!$K$13)/(100-'Scoring Setup'!$K$13)))),1),"")</x:f>
        <x:v>0.9640485007810242</x:v>
      </x:c>
      <x:c r="AT81" s="27" t="n">
        <x:f>IF(ISNUMBER(AB81),IF('Scoring Setup'!$L$14=1,1-'Scoring Setup'!$B$5*(1-MAX(0,MIN(1,(AB81-'Scoring Setup'!$K$14)/(100-'Scoring Setup'!$K$14)))),1),"")</x:f>
        <x:v>0.9231128893440486</x:v>
      </x:c>
      <x:c r="AU81" s="27" t="n">
        <x:f>IF(ISNUMBER(AC81),IF('Scoring Setup'!$L$15=1,1-'Scoring Setup'!$B$5*(1-MAX(0,MIN(1,(AC81-'Scoring Setup'!$K$15)/(100-'Scoring Setup'!$K$15)))),1),"")</x:f>
        <x:v>0.999731938025734</x:v>
      </x:c>
      <x:c r="AV81" s="27" t="n">
        <x:f>IF(ISNUMBER(AD81),IF('Scoring Setup'!$L$16=1,1-'Scoring Setup'!$B$5*(1-MAX(0,MIN(1,(AD81-'Scoring Setup'!$K$16)/(100-'Scoring Setup'!$K$16)))),1),"")</x:f>
        <x:v>0.9083913222857143</x:v>
      </x:c>
      <x:c r="AW81" s="27" t="n">
        <x:f>IF(ISNUMBER(AE81),IF('Scoring Setup'!$L$17=1,1-'Scoring Setup'!$B$5*(1-MAX(0,MIN(1,(AE81-'Scoring Setup'!$K$17)/(100-'Scoring Setup'!$K$17)))),1),"")</x:f>
        <x:v>0.918850562</x:v>
      </x:c>
      <x:c r="AX81" s="27" t="n">
        <x:f>IF(ISNUMBER(AF81),IF('Scoring Setup'!$L$18=1,1-'Scoring Setup'!$B$5*(1-MAX(0,MIN(1,(AF81-'Scoring Setup'!$K$18)/(100-'Scoring Setup'!$K$18)))),1),"")</x:f>
        <x:v>0.9487304872334956</x:v>
      </x:c>
      <x:c r="AY81" s="27" t="n">
        <x:f>IF(ISNUMBER(AG81),IF('Scoring Setup'!$L$19=1,1-'Scoring Setup'!$B$5*(1-MAX(0,MIN(1,(AG81-'Scoring Setup'!$K$19)/(100-'Scoring Setup'!$K$19)))),1),"")</x:f>
        <x:v>0.9814888888888889</x:v>
      </x:c>
      <x:c r="AZ81" s="27" t="n">
        <x:f>IF(ISNUMBER(AH81),IF('Scoring Setup'!$L$20=1,1-'Scoring Setup'!$B$5*(1-MAX(0,MIN(1,(AH81-'Scoring Setup'!$K$20)/(100-'Scoring Setup'!$K$20)))),1),"")</x:f>
        <x:v>0.9853615445963542</x:v>
      </x:c>
      <x:c r="BA81" s="27" t="n">
        <x:f>IF(ISNUMBER(AI81),IF('Scoring Setup'!$L$21=1,1-'Scoring Setup'!$B$5*(1-MAX(0,MIN(1,(AI81-'Scoring Setup'!$K$21)/(100-'Scoring Setup'!$K$21)))),1),"")</x:f>
        <x:v>0.9860339897246587</x:v>
      </x:c>
      <x:c r="BB81" s="27" t="n">
        <x:f>IF(ISNUMBER(AJ81),IF('Scoring Setup'!$L$22=1,1-'Scoring Setup'!$B$5*(1-MAX(0,MIN(1,(AJ81-'Scoring Setup'!$K$22)/(100-'Scoring Setup'!$K$22)))),1),"")</x:f>
        <x:v>0.9882350408152735</x:v>
      </x:c>
      <x:c r="BC81" s="27" t="n">
        <x:f>IF(ISNUMBER(AK81),IF('Scoring Setup'!$L$23=1,1-'Scoring Setup'!$B$5*(1-MAX(0,MIN(1,(AK81-'Scoring Setup'!$K$23)/(100-'Scoring Setup'!$K$23)))),1),"")</x:f>
        <x:v>0.9485312985404359</x:v>
      </x:c>
      <x:c r="BD81" s="27" t="n">
        <x:f>IF(ISNUMBER(AL81),IF('Scoring Setup'!$L$24=1,1-'Scoring Setup'!$B$5*(1-MAX(0,MIN(1,(AL81-'Scoring Setup'!$K$24)/(100-'Scoring Setup'!$K$24)))),1),"")</x:f>
        <x:v>0.9094545454545454</x:v>
      </x:c>
      <x:c r="BE81" s="27" t="n">
        <x:f>IF(ISNUMBER(AM81),IF('Scoring Setup'!$L$25=1,1-'Scoring Setup'!$B$5*(1-MAX(0,MIN(1,(AM81-'Scoring Setup'!$K$25)/(100-'Scoring Setup'!$K$25)))),1),"")</x:f>
        <x:v>0.8549228700052378</x:v>
      </x:c>
      <x:c r="BF81" s="27" t="n">
        <x:f>IF(ISNUMBER(AN81),IF('Scoring Setup'!$L$26=1,1-'Scoring Setup'!$B$5*(1-MAX(0,MIN(1,(AN81-'Scoring Setup'!$K$26)/(100-'Scoring Setup'!$K$26)))),1),"")</x:f>
        <x:v>0.977621005370185</x:v>
      </x:c>
      <x:c r="BG81" s="34" t="n">
        <x:f>IF(COUNT(W81,X81)=2,AVERAGE(W81,X81),"")</x:f>
        <x:v>46.42167609618107</x:v>
      </x:c>
      <x:c r="BH81" s="34" t="n">
        <x:f>IF(COUNT(Y81,Z81)=2,AVERAGE(Y81,Z81),"")</x:f>
        <x:v>36.22540317999206</x:v>
      </x:c>
      <x:c r="BI81" s="34" t="n">
        <x:f>IF(COUNT(AA81,AB81,AC81)=3,AVERAGE(AA81,AB81,AC81),"")</x:f>
        <x:v>81.14888802513445</x:v>
      </x:c>
      <x:c r="BJ81" s="34" t="n">
        <x:f>IF(COUNT(AD81,AE81)=2,AVERAGE(AD81,AE81),"")</x:f>
        <x:v>56.810471071428566</x:v>
      </x:c>
      <x:c r="BK81" s="34" t="n">
        <x:f>IF(COUNT(AF81,AG81)=2,AVERAGE(AF81,AG81),"")</x:f>
        <x:v>82.55484403059613</x:v>
      </x:c>
      <x:c r="BL81" s="34" t="n">
        <x:f>IF(COUNT(AH81,AI81)=2,AVERAGE(AH81,AI81),"")</x:f>
        <x:v>92.84888358025324</x:v>
      </x:c>
      <x:c r="BM81" s="34" t="n">
        <x:f>IF(COUNT(AJ81,AK81)=2,AVERAGE(AJ81,AK81),"")</x:f>
        <x:v>84.19158483892737</x:v>
      </x:c>
      <x:c r="BN81" s="34" t="n">
        <x:f>IF(COUNT(AL81,AM81,AN81)=3,AVERAGE(AL81,AM81,AN81),"")</x:f>
        <x:v>56.999736804994704</x:v>
      </x:c>
      <x:c r="BO81" s="35" t="n">
        <x:f>IF(AND(COUNT(BG81:BN81)=8,ABS('Scoring Setup'!$C$17-1)&lt;0.000001),BG81*'Scoring Setup'!$C$9+BH81*'Scoring Setup'!$C$10+BI81*'Scoring Setup'!$C$11+BJ81*'Scoring Setup'!$C$12+BK81*'Scoring Setup'!$C$13+BL81*'Scoring Setup'!$C$14+BM81*'Scoring Setup'!$C$15+BN81*'Scoring Setup'!$C$16,"")</x:f>
        <x:v>59.89061302078988</x:v>
      </x:c>
      <x:c r="BP81" s="36" t="n">
        <x:f>IF(COUNT(AO81:BF81)=18,MIN(AO81:BF81),"")</x:f>
        <x:v>0.8549228700052378</x:v>
      </x:c>
      <x:c r="BQ81" s="35" t="n">
        <x:f>IF(AND(ISNUMBER(BO81),ISNUMBER(BP81)),BO81*BP81,"")</x:f>
        <x:v>51.20185477010675</x:v>
      </x:c>
      <x:c r="BR81" s="17" t="str">
        <x:f>IF(COUNT(AO81:BF81)=18,INDEX('Scoring Setup'!$F$9:$F$26,MATCH(MIN(AO81:BF81),AO81:BF81,0),1),"")</x:f>
        <x:v>州SAIDI不含重大事件日</x:v>
      </x:c>
    </x:row>
    <x:row r="82">
      <x:c r="A82" s="28" t="str">
        <x:v>51163</x:v>
      </x:c>
      <x:c r="B82" s="28" t="str">
        <x:v>Rockbridge County</x:v>
      </x:c>
      <x:c r="C82" s="28" t="str">
        <x:v>VA</x:v>
      </x:c>
      <x:c r="D82" s="31" t="n">
        <x:v>1545.053251</x:v>
      </x:c>
      <x:c r="E82" s="32" t="n">
        <x:v>0.635</x:v>
      </x:c>
      <x:c r="F82" s="32" t="n">
        <x:v>0.923886138613861</x:v>
      </x:c>
      <x:c r="G82" s="32" t="n">
        <x:v>2.347786261981338</x:v>
      </x:c>
      <x:c r="H82" s="32" t="n">
        <x:v>2.645844728</x:v>
      </x:c>
      <x:c r="I82" s="32" t="n">
        <x:v>0.9634310901373614</x:v>
      </x:c>
      <x:c r="J82" s="32" t="n">
        <x:v>0.1008676935805577</x:v>
      </x:c>
      <x:c r="K82" s="32" t="n">
        <x:v>0.0002747576701246633</x:v>
      </x:c>
      <x:c r="L82" s="32" t="n">
        <x:v>0.713813979</x:v>
      </x:c>
      <x:c r="M82" s="32" t="n">
        <x:v>0.713263621</x:v>
      </x:c>
      <x:c r="N82" s="32" t="n">
        <x:v>11122</x:v>
      </x:c>
      <x:c r="O82" s="32" t="n">
        <x:v>0.125</x:v>
      </x:c>
      <x:c r="P82" s="32" t="n">
        <x:v>716.0297200520833</x:v>
      </x:c>
      <x:c r="Q82" s="32" t="n">
        <x:v>10.302694543202715</x:v>
      </x:c>
      <x:c r="R82" s="32" t="n">
        <x:v>0.5890875526418101</x:v>
      </x:c>
      <x:c r="S82" s="32" t="n">
        <x:v>2.4656775694908974</x:v>
      </x:c>
      <x:c r="T82" s="32" t="n">
        <x:v>89.9</x:v>
      </x:c>
      <x:c r="U82" s="32" t="n">
        <x:v>245.07712999476223</x:v>
      </x:c>
      <x:c r="V82" s="32" t="n">
        <x:v>244.75798925963002</x:v>
      </x:c>
      <x:c r="W82" s="33" t="n">
        <x:f>IF(ISNUMBER(E82),100*MAX(0,MIN(1,('Anchors'!$H$6-E82)/('Anchors'!$H$6-'Anchors'!$G$6))),"")</x:f>
        <x:v>37.85714285714286</x:v>
      </x:c>
      <x:c r="X82" s="33" t="n">
        <x:f>IF(ISNUMBER(F82),100*MAX(0,MIN(1,('Anchors'!$H$7-F82)/('Anchors'!$H$7-'Anchors'!$G$7))),"")</x:f>
        <x:v>0</x:v>
      </x:c>
      <x:c r="Y82" s="33" t="n">
        <x:f>IF(ISNUMBER(G82),100*MAX(0,MIN(1,('Anchors'!$H$8-G82)/('Anchors'!$H$8-'Anchors'!$G$8))),"")</x:f>
        <x:v>55.073791267288726</x:v>
      </x:c>
      <x:c r="Z82" s="33" t="n">
        <x:f>IF(ISNUMBER(H82),100*MAX(0,MIN(1,('Anchors'!$H$9-H82)/('Anchors'!$H$9-'Anchors'!$G$9))),"")</x:f>
        <x:v>45.13850906666666</x:v>
      </x:c>
      <x:c r="AA82" s="33" t="n">
        <x:f>IF(ISNUMBER(I82),100*MAX(0,MIN(1,(I82-'Anchors'!$H$10)/('Anchors'!$G$10-'Anchors'!$H$10))),"")</x:f>
        <x:v>97.7302863201865</x:v>
      </x:c>
      <x:c r="AB82" s="33" t="n">
        <x:f>IF(ISNUMBER(J82),100*MAX(0,MIN(1,('Anchors'!$H$11-J82)/('Anchors'!$H$11-'Anchors'!$G$11))),"")</x:f>
        <x:v>59.652922567776926</x:v>
      </x:c>
      <x:c r="AC82" s="33" t="n">
        <x:f>IF(ISNUMBER(K82),100*MAX(0,MIN(1,('Anchors'!$H$12-K82)/('Anchors'!$H$12-'Anchors'!$G$12))),"")</x:f>
        <x:v>99.93131058246885</x:v>
      </x:c>
      <x:c r="AD82" s="33" t="n">
        <x:f>IF(ISNUMBER(L82),100*MAX(0,MIN(1,(L82-'Anchors'!$H$13)/('Anchors'!$G$13-'Anchors'!$H$13))),"")</x:f>
        <x:v>73.40199700000001</x:v>
      </x:c>
      <x:c r="AE82" s="33" t="n">
        <x:f>IF(ISNUMBER(M82),100*MAX(0,MIN(1,(M82-'Anchors'!$H$14)/('Anchors'!$G$14-'Anchors'!$H$14))),"")</x:f>
        <x:v>76.657952625</x:v>
      </x:c>
      <x:c r="AF82" s="33" t="n">
        <x:f>IF(ISNUMBER(N82),100*MAX(0,MIN(1,(LN(1+N82)-LN(1+'Anchors'!$H$15))/(LN(1+'Anchors'!$G$15)-LN(1+'Anchors'!$H$15)))),"")</x:f>
        <x:v>39.73523292710539</x:v>
      </x:c>
      <x:c r="AG82" s="33" t="n">
        <x:f>IF(ISNUMBER(O82),100*MAX(0,MIN(1,('Anchors'!$H$16-O82)/('Anchors'!$H$16-'Anchors'!$G$16))),"")</x:f>
        <x:v>91.66666666666667</x:v>
      </x:c>
      <x:c r="AH82" s="33" t="n">
        <x:f>IF(ISNUMBER(P82),100*MAX(0,MIN(1,('Anchors'!$H$17-P82)/('Anchors'!$H$17-'Anchors'!$G$17))),"")</x:f>
        <x:v>98.93135199652777</x:v>
      </x:c>
      <x:c r="AI82" s="33" t="n">
        <x:f>IF(ISNUMBER(Q82),100*MAX(0,MIN(1,('Anchors'!$H$18-Q82)/('Anchors'!$H$18-'Anchors'!$G$18))),"")</x:f>
        <x:v>92.42472208113898</x:v>
      </x:c>
      <x:c r="AJ82" s="33" t="n">
        <x:f>IF(ISNUMBER(R82),100*MAX(0,MIN(1,('Anchors'!$H$19-R82)/('Anchors'!$H$19-'Anchors'!$G$19))),"")</x:f>
        <x:v>100</x:v>
      </x:c>
      <x:c r="AK82" s="33" t="n">
        <x:f>IF(ISNUMBER(S82),100*MAX(0,MIN(1,('Anchors'!$H$20-S82)/('Anchors'!$H$20-'Anchors'!$G$20))),"")</x:f>
        <x:v>92.28590752899528</x:v>
      </x:c>
      <x:c r="AL82" s="33" t="n">
        <x:f>IF(ISNUMBER(T82),100*MAX(0,MIN(1,('Anchors'!$H$21-T82)/('Anchors'!$H$21-'Anchors'!$G$21))),"")</x:f>
        <x:v>54.72727272727271</x:v>
      </x:c>
      <x:c r="AM82" s="33" t="n">
        <x:f>IF(ISNUMBER(U82),100*MAX(0,MIN(1,('Anchors'!$H$22-U82)/('Anchors'!$H$22-'Anchors'!$G$22))),"")</x:f>
        <x:v>27.461435002618884</x:v>
      </x:c>
      <x:c r="AN82" s="33" t="n">
        <x:f>IF(ISNUMBER(V82),100*MAX(0,MIN(1,('Anchors'!$H$23-V82)/('Anchors'!$H$23-'Anchors'!$G$23))),"")</x:f>
        <x:v>88.8105026850925</x:v>
      </x:c>
      <x:c r="AO82" s="27" t="n">
        <x:f>IF(ISNUMBER(W82),IF('Scoring Setup'!$L$9=1,1-'Scoring Setup'!$B$5*(1-MAX(0,MIN(1,(W82-'Scoring Setup'!$K$9)/(100-'Scoring Setup'!$K$9)))),1),"")</x:f>
        <x:v>0.8757142857142857</x:v>
      </x:c>
      <x:c r="AP82" s="27" t="n">
        <x:f>IF(ISNUMBER(X82),IF('Scoring Setup'!$L$10=1,1-'Scoring Setup'!$B$5*(1-MAX(0,MIN(1,(X82-'Scoring Setup'!$K$10)/(100-'Scoring Setup'!$K$10)))),1),"")</x:f>
        <x:v>0.8</x:v>
      </x:c>
      <x:c r="AQ82" s="27" t="n">
        <x:f>IF(ISNUMBER(Y82),IF('Scoring Setup'!$L$11=1,1-'Scoring Setup'!$B$5*(1-MAX(0,MIN(1,(Y82-'Scoring Setup'!$K$11)/(100-'Scoring Setup'!$K$11)))),1),"")</x:f>
        <x:v>0.9101475825345775</x:v>
      </x:c>
      <x:c r="AR82" s="27" t="n">
        <x:f>IF(ISNUMBER(Z82),IF('Scoring Setup'!$L$12=1,1-'Scoring Setup'!$B$5*(1-MAX(0,MIN(1,(Z82-'Scoring Setup'!$K$12)/(100-'Scoring Setup'!$K$12)))),1),"")</x:f>
        <x:v>0.8902770181333333</x:v>
      </x:c>
      <x:c r="AS82" s="27" t="n">
        <x:f>IF(ISNUMBER(AA82),IF('Scoring Setup'!$L$13=1,1-'Scoring Setup'!$B$5*(1-MAX(0,MIN(1,(AA82-'Scoring Setup'!$K$13)/(100-'Scoring Setup'!$K$13)))),1),"")</x:f>
        <x:v>0.995460572640373</x:v>
      </x:c>
      <x:c r="AT82" s="27" t="n">
        <x:f>IF(ISNUMBER(AB82),IF('Scoring Setup'!$L$14=1,1-'Scoring Setup'!$B$5*(1-MAX(0,MIN(1,(AB82-'Scoring Setup'!$K$14)/(100-'Scoring Setup'!$K$14)))),1),"")</x:f>
        <x:v>0.9193058451355538</x:v>
      </x:c>
      <x:c r="AU82" s="27" t="n">
        <x:f>IF(ISNUMBER(AC82),IF('Scoring Setup'!$L$15=1,1-'Scoring Setup'!$B$5*(1-MAX(0,MIN(1,(AC82-'Scoring Setup'!$K$15)/(100-'Scoring Setup'!$K$15)))),1),"")</x:f>
        <x:v>0.9998626211649377</x:v>
      </x:c>
      <x:c r="AV82" s="27" t="n">
        <x:f>IF(ISNUMBER(AD82),IF('Scoring Setup'!$L$16=1,1-'Scoring Setup'!$B$5*(1-MAX(0,MIN(1,(AD82-'Scoring Setup'!$K$16)/(100-'Scoring Setup'!$K$16)))),1),"")</x:f>
        <x:v>0.946803994</x:v>
      </x:c>
      <x:c r="AW82" s="27" t="n">
        <x:f>IF(ISNUMBER(AE82),IF('Scoring Setup'!$L$17=1,1-'Scoring Setup'!$B$5*(1-MAX(0,MIN(1,(AE82-'Scoring Setup'!$K$17)/(100-'Scoring Setup'!$K$17)))),1),"")</x:f>
        <x:v>0.95331590525</x:v>
      </x:c>
      <x:c r="AX82" s="27" t="n">
        <x:f>IF(ISNUMBER(AF82),IF('Scoring Setup'!$L$18=1,1-'Scoring Setup'!$B$5*(1-MAX(0,MIN(1,(AF82-'Scoring Setup'!$K$18)/(100-'Scoring Setup'!$K$18)))),1),"")</x:f>
        <x:v>0.8794704658542107</x:v>
      </x:c>
      <x:c r="AY82" s="27" t="n">
        <x:f>IF(ISNUMBER(AG82),IF('Scoring Setup'!$L$19=1,1-'Scoring Setup'!$B$5*(1-MAX(0,MIN(1,(AG82-'Scoring Setup'!$K$19)/(100-'Scoring Setup'!$K$19)))),1),"")</x:f>
        <x:v>0.9833333333333334</x:v>
      </x:c>
      <x:c r="AZ82" s="27" t="n">
        <x:f>IF(ISNUMBER(AH82),IF('Scoring Setup'!$L$20=1,1-'Scoring Setup'!$B$5*(1-MAX(0,MIN(1,(AH82-'Scoring Setup'!$K$20)/(100-'Scoring Setup'!$K$20)))),1),"")</x:f>
        <x:v>0.9978627039930555</x:v>
      </x:c>
      <x:c r="BA82" s="27" t="n">
        <x:f>IF(ISNUMBER(AI82),IF('Scoring Setup'!$L$21=1,1-'Scoring Setup'!$B$5*(1-MAX(0,MIN(1,(AI82-'Scoring Setup'!$K$21)/(100-'Scoring Setup'!$K$21)))),1),"")</x:f>
        <x:v>0.9848494441622779</x:v>
      </x:c>
      <x:c r="BB82" s="27" t="n">
        <x:f>IF(ISNUMBER(AJ82),IF('Scoring Setup'!$L$22=1,1-'Scoring Setup'!$B$5*(1-MAX(0,MIN(1,(AJ82-'Scoring Setup'!$K$22)/(100-'Scoring Setup'!$K$22)))),1),"")</x:f>
        <x:v>1</x:v>
      </x:c>
      <x:c r="BC82" s="27" t="n">
        <x:f>IF(ISNUMBER(AK82),IF('Scoring Setup'!$L$23=1,1-'Scoring Setup'!$B$5*(1-MAX(0,MIN(1,(AK82-'Scoring Setup'!$K$23)/(100-'Scoring Setup'!$K$23)))),1),"")</x:f>
        <x:v>0.9845718150579905</x:v>
      </x:c>
      <x:c r="BD82" s="27" t="n">
        <x:f>IF(ISNUMBER(AL82),IF('Scoring Setup'!$L$24=1,1-'Scoring Setup'!$B$5*(1-MAX(0,MIN(1,(AL82-'Scoring Setup'!$K$24)/(100-'Scoring Setup'!$K$24)))),1),"")</x:f>
        <x:v>0.9094545454545454</x:v>
      </x:c>
      <x:c r="BE82" s="27" t="n">
        <x:f>IF(ISNUMBER(AM82),IF('Scoring Setup'!$L$25=1,1-'Scoring Setup'!$B$5*(1-MAX(0,MIN(1,(AM82-'Scoring Setup'!$K$25)/(100-'Scoring Setup'!$K$25)))),1),"")</x:f>
        <x:v>0.8549228700052378</x:v>
      </x:c>
      <x:c r="BF82" s="27" t="n">
        <x:f>IF(ISNUMBER(AN82),IF('Scoring Setup'!$L$26=1,1-'Scoring Setup'!$B$5*(1-MAX(0,MIN(1,(AN82-'Scoring Setup'!$K$26)/(100-'Scoring Setup'!$K$26)))),1),"")</x:f>
        <x:v>0.977621005370185</x:v>
      </x:c>
      <x:c r="BG82" s="34" t="n">
        <x:f>IF(COUNT(W82,X82)=2,AVERAGE(W82,X82),"")</x:f>
        <x:v>18.92857142857143</x:v>
      </x:c>
      <x:c r="BH82" s="34" t="n">
        <x:f>IF(COUNT(Y82,Z82)=2,AVERAGE(Y82,Z82),"")</x:f>
        <x:v>50.10615016697769</x:v>
      </x:c>
      <x:c r="BI82" s="34" t="n">
        <x:f>IF(COUNT(AA82,AB82,AC82)=3,AVERAGE(AA82,AB82,AC82),"")</x:f>
        <x:v>85.77150649014409</x:v>
      </x:c>
      <x:c r="BJ82" s="34" t="n">
        <x:f>IF(COUNT(AD82,AE82)=2,AVERAGE(AD82,AE82),"")</x:f>
        <x:v>75.0299748125</x:v>
      </x:c>
      <x:c r="BK82" s="34" t="n">
        <x:f>IF(COUNT(AF82,AG82)=2,AVERAGE(AF82,AG82),"")</x:f>
        <x:v>65.70094979688604</x:v>
      </x:c>
      <x:c r="BL82" s="34" t="n">
        <x:f>IF(COUNT(AH82,AI82)=2,AVERAGE(AH82,AI82),"")</x:f>
        <x:v>95.67803703883337</x:v>
      </x:c>
      <x:c r="BM82" s="34" t="n">
        <x:f>IF(COUNT(AJ82,AK82)=2,AVERAGE(AJ82,AK82),"")</x:f>
        <x:v>96.14295376449763</x:v>
      </x:c>
      <x:c r="BN82" s="34" t="n">
        <x:f>IF(COUNT(AL82,AM82,AN82)=3,AVERAGE(AL82,AM82,AN82),"")</x:f>
        <x:v>56.999736804994704</x:v>
      </x:c>
      <x:c r="BO82" s="35" t="n">
        <x:f>IF(AND(COUNT(BG82:BN82)=8,ABS('Scoring Setup'!$C$17-1)&lt;0.000001),BG82*'Scoring Setup'!$C$9+BH82*'Scoring Setup'!$C$10+BI82*'Scoring Setup'!$C$11+BJ82*'Scoring Setup'!$C$12+BK82*'Scoring Setup'!$C$13+BL82*'Scoring Setup'!$C$14+BM82*'Scoring Setup'!$C$15+BN82*'Scoring Setup'!$C$16,"")</x:f>
        <x:v>61.25530086787066</x:v>
      </x:c>
      <x:c r="BP82" s="36" t="n">
        <x:f>IF(COUNT(AO82:BF82)=18,MIN(AO82:BF82),"")</x:f>
        <x:v>0.8</x:v>
      </x:c>
      <x:c r="BQ82" s="35" t="n">
        <x:f>IF(AND(ISNUMBER(BO82),ISNUMBER(BP82)),BO82*BP82,"")</x:f>
        <x:v>49.00424069429653</x:v>
      </x:c>
      <x:c r="BR82" s="17" t="str">
        <x:f>IF(COUNT(AO82:BF82)=18,INDEX('Scoring Setup'!$F$9:$F$26,MATCH(MIN(AO82:BF82),AO82:BF82,0),1),"")</x:f>
        <x:v>洪水损失率全国百分位</x:v>
      </x:c>
    </x:row>
    <x:row r="83">
      <x:c r="A83" s="28" t="str">
        <x:v>51165</x:v>
      </x:c>
      <x:c r="B83" s="28" t="str">
        <x:v>Rockingham County</x:v>
      </x:c>
      <x:c r="C83" s="28" t="str">
        <x:v>VA</x:v>
      </x:c>
      <x:c r="D83" s="31" t="n">
        <x:v>2200.961635</x:v>
      </x:c>
      <x:c r="E83" s="32" t="n">
        <x:v>0.557</x:v>
      </x:c>
      <x:c r="F83" s="32" t="n">
        <x:v>0.884282178217822</x:v>
      </x:c>
      <x:c r="G83" s="32" t="n">
        <x:v>2.813227999858458</x:v>
      </x:c>
      <x:c r="H83" s="32" t="n">
        <x:v>3.0616520844988897</x:v>
      </x:c>
      <x:c r="I83" s="32" t="n">
        <x:v>0.9277874758352582</x:v>
      </x:c>
      <x:c r="J83" s="32" t="n">
        <x:v>0.07644205453065224</x:v>
      </x:c>
      <x:c r="K83" s="32" t="n">
        <x:v>0.0002221810926743836</x:v>
      </x:c>
      <x:c r="L83" s="32" t="n">
        <x:v>0.284243277</x:v>
      </x:c>
      <x:c r="M83" s="32" t="n">
        <x:v>0.283625948</x:v>
      </x:c>
      <x:c r="N83" s="32" t="n">
        <x:v>45352</x:v>
      </x:c>
      <x:c r="O83" s="32" t="n">
        <x:v>0.2526</x:v>
      </x:c>
      <x:c r="P83" s="32" t="n">
        <x:v>638.0420430501302</x:v>
      </x:c>
      <x:c r="Q83" s="32" t="n">
        <x:v>8.918772331873576</x:v>
      </x:c>
      <x:c r="R83" s="32" t="n">
        <x:v>7.1097935048961745</x:v>
      </x:c>
      <x:c r="S83" s="32" t="n">
        <x:v>2.7766269468174465</x:v>
      </x:c>
      <x:c r="T83" s="32" t="n">
        <x:v>89.9</x:v>
      </x:c>
      <x:c r="U83" s="32" t="n">
        <x:v>245.07712999476223</x:v>
      </x:c>
      <x:c r="V83" s="32" t="n">
        <x:v>244.75798925963002</x:v>
      </x:c>
      <x:c r="W83" s="33" t="n">
        <x:f>IF(ISNUMBER(E83),100*MAX(0,MIN(1,('Anchors'!$H$6-E83)/('Anchors'!$H$6-'Anchors'!$G$6))),"")</x:f>
        <x:v>49</x:v>
      </x:c>
      <x:c r="X83" s="33" t="n">
        <x:f>IF(ISNUMBER(F83),100*MAX(0,MIN(1,('Anchors'!$H$7-F83)/('Anchors'!$H$7-'Anchors'!$G$7))),"")</x:f>
        <x:v>0</x:v>
      </x:c>
      <x:c r="Y83" s="33" t="n">
        <x:f>IF(ISNUMBER(G83),100*MAX(0,MIN(1,('Anchors'!$H$8-G83)/('Anchors'!$H$8-'Anchors'!$G$8))),"")</x:f>
        <x:v>39.55906667138473</x:v>
      </x:c>
      <x:c r="Z83" s="33" t="n">
        <x:f>IF(ISNUMBER(H83),100*MAX(0,MIN(1,('Anchors'!$H$9-H83)/('Anchors'!$H$9-'Anchors'!$G$9))),"")</x:f>
        <x:v>31.278263850037007</x:v>
      </x:c>
      <x:c r="AA83" s="33" t="n">
        <x:f>IF(ISNUMBER(I83),100*MAX(0,MIN(1,(I83-'Anchors'!$H$10)/('Anchors'!$G$10-'Anchors'!$H$10))),"")</x:f>
        <x:v>92.84759942948743</x:v>
      </x:c>
      <x:c r="AB83" s="33" t="n">
        <x:f>IF(ISNUMBER(J83),100*MAX(0,MIN(1,('Anchors'!$H$11-J83)/('Anchors'!$H$11-'Anchors'!$G$11))),"")</x:f>
        <x:v>69.42317818773911</x:v>
      </x:c>
      <x:c r="AC83" s="33" t="n">
        <x:f>IF(ISNUMBER(K83),100*MAX(0,MIN(1,('Anchors'!$H$12-K83)/('Anchors'!$H$12-'Anchors'!$G$12))),"")</x:f>
        <x:v>99.94445472683141</x:v>
      </x:c>
      <x:c r="AD83" s="33" t="n">
        <x:f>IF(ISNUMBER(L83),100*MAX(0,MIN(1,(L83-'Anchors'!$H$13)/('Anchors'!$G$13-'Anchors'!$H$13))),"")</x:f>
        <x:v>12.034753857142858</x:v>
      </x:c>
      <x:c r="AE83" s="33" t="n">
        <x:f>IF(ISNUMBER(M83),100*MAX(0,MIN(1,(M83-'Anchors'!$H$14)/('Anchors'!$G$14-'Anchors'!$H$14))),"")</x:f>
        <x:v>22.9532435</x:v>
      </x:c>
      <x:c r="AF83" s="33" t="n">
        <x:f>IF(ISNUMBER(N83),100*MAX(0,MIN(1,(LN(1+N83)-LN(1+'Anchors'!$H$15))/(LN(1+'Anchors'!$G$15)-LN(1+'Anchors'!$H$15)))),"")</x:f>
        <x:v>72.2917061404541</x:v>
      </x:c>
      <x:c r="AG83" s="33" t="n">
        <x:f>IF(ISNUMBER(O83),100*MAX(0,MIN(1,('Anchors'!$H$16-O83)/('Anchors'!$H$16-'Anchors'!$G$16))),"")</x:f>
        <x:v>77.4888888888889</x:v>
      </x:c>
      <x:c r="AH83" s="33" t="n">
        <x:f>IF(ISNUMBER(P83),100*MAX(0,MIN(1,('Anchors'!$H$17-P83)/('Anchors'!$H$17-'Anchors'!$G$17))),"")</x:f>
        <x:v>100</x:v>
      </x:c>
      <x:c r="AI83" s="33" t="n">
        <x:f>IF(ISNUMBER(Q83),100*MAX(0,MIN(1,('Anchors'!$H$18-Q83)/('Anchors'!$H$18-'Anchors'!$G$18))),"")</x:f>
        <x:v>94.40175381160917</x:v>
      </x:c>
      <x:c r="AJ83" s="33" t="n">
        <x:f>IF(ISNUMBER(R83),100*MAX(0,MIN(1,('Anchors'!$H$19-R83)/('Anchors'!$H$19-'Anchors'!$G$19))),"")</x:f>
        <x:v>95.31156998911962</x:v>
      </x:c>
      <x:c r="AK83" s="33" t="n">
        <x:f>IF(ISNUMBER(S83),100*MAX(0,MIN(1,('Anchors'!$H$20-S83)/('Anchors'!$H$20-'Anchors'!$G$20))),"")</x:f>
        <x:v>90.64933185885555</x:v>
      </x:c>
      <x:c r="AL83" s="33" t="n">
        <x:f>IF(ISNUMBER(T83),100*MAX(0,MIN(1,('Anchors'!$H$21-T83)/('Anchors'!$H$21-'Anchors'!$G$21))),"")</x:f>
        <x:v>54.72727272727271</x:v>
      </x:c>
      <x:c r="AM83" s="33" t="n">
        <x:f>IF(ISNUMBER(U83),100*MAX(0,MIN(1,('Anchors'!$H$22-U83)/('Anchors'!$H$22-'Anchors'!$G$22))),"")</x:f>
        <x:v>27.461435002618884</x:v>
      </x:c>
      <x:c r="AN83" s="33" t="n">
        <x:f>IF(ISNUMBER(V83),100*MAX(0,MIN(1,('Anchors'!$H$23-V83)/('Anchors'!$H$23-'Anchors'!$G$23))),"")</x:f>
        <x:v>88.8105026850925</x:v>
      </x:c>
      <x:c r="AO83" s="27" t="n">
        <x:f>IF(ISNUMBER(W83),IF('Scoring Setup'!$L$9=1,1-'Scoring Setup'!$B$5*(1-MAX(0,MIN(1,(W83-'Scoring Setup'!$K$9)/(100-'Scoring Setup'!$K$9)))),1),"")</x:f>
        <x:v>0.898</x:v>
      </x:c>
      <x:c r="AP83" s="27" t="n">
        <x:f>IF(ISNUMBER(X83),IF('Scoring Setup'!$L$10=1,1-'Scoring Setup'!$B$5*(1-MAX(0,MIN(1,(X83-'Scoring Setup'!$K$10)/(100-'Scoring Setup'!$K$10)))),1),"")</x:f>
        <x:v>0.8</x:v>
      </x:c>
      <x:c r="AQ83" s="27" t="n">
        <x:f>IF(ISNUMBER(Y83),IF('Scoring Setup'!$L$11=1,1-'Scoring Setup'!$B$5*(1-MAX(0,MIN(1,(Y83-'Scoring Setup'!$K$11)/(100-'Scoring Setup'!$K$11)))),1),"")</x:f>
        <x:v>0.8791181333427694</x:v>
      </x:c>
      <x:c r="AR83" s="27" t="n">
        <x:f>IF(ISNUMBER(Z83),IF('Scoring Setup'!$L$12=1,1-'Scoring Setup'!$B$5*(1-MAX(0,MIN(1,(Z83-'Scoring Setup'!$K$12)/(100-'Scoring Setup'!$K$12)))),1),"")</x:f>
        <x:v>0.862556527700074</x:v>
      </x:c>
      <x:c r="AS83" s="27" t="n">
        <x:f>IF(ISNUMBER(AA83),IF('Scoring Setup'!$L$13=1,1-'Scoring Setup'!$B$5*(1-MAX(0,MIN(1,(AA83-'Scoring Setup'!$K$13)/(100-'Scoring Setup'!$K$13)))),1),"")</x:f>
        <x:v>0.9856951988589748</x:v>
      </x:c>
      <x:c r="AT83" s="27" t="n">
        <x:f>IF(ISNUMBER(AB83),IF('Scoring Setup'!$L$14=1,1-'Scoring Setup'!$B$5*(1-MAX(0,MIN(1,(AB83-'Scoring Setup'!$K$14)/(100-'Scoring Setup'!$K$14)))),1),"")</x:f>
        <x:v>0.9388463563754782</x:v>
      </x:c>
      <x:c r="AU83" s="27" t="n">
        <x:f>IF(ISNUMBER(AC83),IF('Scoring Setup'!$L$15=1,1-'Scoring Setup'!$B$5*(1-MAX(0,MIN(1,(AC83-'Scoring Setup'!$K$15)/(100-'Scoring Setup'!$K$15)))),1),"")</x:f>
        <x:v>0.9998889094536628</x:v>
      </x:c>
      <x:c r="AV83" s="27" t="n">
        <x:f>IF(ISNUMBER(AD83),IF('Scoring Setup'!$L$16=1,1-'Scoring Setup'!$B$5*(1-MAX(0,MIN(1,(AD83-'Scoring Setup'!$K$16)/(100-'Scoring Setup'!$K$16)))),1),"")</x:f>
        <x:v>0.8240695077142857</x:v>
      </x:c>
      <x:c r="AW83" s="27" t="n">
        <x:f>IF(ISNUMBER(AE83),IF('Scoring Setup'!$L$17=1,1-'Scoring Setup'!$B$5*(1-MAX(0,MIN(1,(AE83-'Scoring Setup'!$K$17)/(100-'Scoring Setup'!$K$17)))),1),"")</x:f>
        <x:v>0.8459064869999999</x:v>
      </x:c>
      <x:c r="AX83" s="27" t="n">
        <x:f>IF(ISNUMBER(AF83),IF('Scoring Setup'!$L$18=1,1-'Scoring Setup'!$B$5*(1-MAX(0,MIN(1,(AF83-'Scoring Setup'!$K$18)/(100-'Scoring Setup'!$K$18)))),1),"")</x:f>
        <x:v>0.9445834122809081</x:v>
      </x:c>
      <x:c r="AY83" s="27" t="n">
        <x:f>IF(ISNUMBER(AG83),IF('Scoring Setup'!$L$19=1,1-'Scoring Setup'!$B$5*(1-MAX(0,MIN(1,(AG83-'Scoring Setup'!$K$19)/(100-'Scoring Setup'!$K$19)))),1),"")</x:f>
        <x:v>0.9549777777777778</x:v>
      </x:c>
      <x:c r="AZ83" s="27" t="n">
        <x:f>IF(ISNUMBER(AH83),IF('Scoring Setup'!$L$20=1,1-'Scoring Setup'!$B$5*(1-MAX(0,MIN(1,(AH83-'Scoring Setup'!$K$20)/(100-'Scoring Setup'!$K$20)))),1),"")</x:f>
        <x:v>1</x:v>
      </x:c>
      <x:c r="BA83" s="27" t="n">
        <x:f>IF(ISNUMBER(AI83),IF('Scoring Setup'!$L$21=1,1-'Scoring Setup'!$B$5*(1-MAX(0,MIN(1,(AI83-'Scoring Setup'!$K$21)/(100-'Scoring Setup'!$K$21)))),1),"")</x:f>
        <x:v>0.9888035076232183</x:v>
      </x:c>
      <x:c r="BB83" s="27" t="n">
        <x:f>IF(ISNUMBER(AJ83),IF('Scoring Setup'!$L$22=1,1-'Scoring Setup'!$B$5*(1-MAX(0,MIN(1,(AJ83-'Scoring Setup'!$K$22)/(100-'Scoring Setup'!$K$22)))),1),"")</x:f>
        <x:v>0.9906231399782393</x:v>
      </x:c>
      <x:c r="BC83" s="27" t="n">
        <x:f>IF(ISNUMBER(AK83),IF('Scoring Setup'!$L$23=1,1-'Scoring Setup'!$B$5*(1-MAX(0,MIN(1,(AK83-'Scoring Setup'!$K$23)/(100-'Scoring Setup'!$K$23)))),1),"")</x:f>
        <x:v>0.9812986637177111</x:v>
      </x:c>
      <x:c r="BD83" s="27" t="n">
        <x:f>IF(ISNUMBER(AL83),IF('Scoring Setup'!$L$24=1,1-'Scoring Setup'!$B$5*(1-MAX(0,MIN(1,(AL83-'Scoring Setup'!$K$24)/(100-'Scoring Setup'!$K$24)))),1),"")</x:f>
        <x:v>0.9094545454545454</x:v>
      </x:c>
      <x:c r="BE83" s="27" t="n">
        <x:f>IF(ISNUMBER(AM83),IF('Scoring Setup'!$L$25=1,1-'Scoring Setup'!$B$5*(1-MAX(0,MIN(1,(AM83-'Scoring Setup'!$K$25)/(100-'Scoring Setup'!$K$25)))),1),"")</x:f>
        <x:v>0.8549228700052378</x:v>
      </x:c>
      <x:c r="BF83" s="27" t="n">
        <x:f>IF(ISNUMBER(AN83),IF('Scoring Setup'!$L$26=1,1-'Scoring Setup'!$B$5*(1-MAX(0,MIN(1,(AN83-'Scoring Setup'!$K$26)/(100-'Scoring Setup'!$K$26)))),1),"")</x:f>
        <x:v>0.977621005370185</x:v>
      </x:c>
      <x:c r="BG83" s="34" t="n">
        <x:f>IF(COUNT(W83,X83)=2,AVERAGE(W83,X83),"")</x:f>
        <x:v>24.5</x:v>
      </x:c>
      <x:c r="BH83" s="34" t="n">
        <x:f>IF(COUNT(Y83,Z83)=2,AVERAGE(Y83,Z83),"")</x:f>
        <x:v>35.41866526071087</x:v>
      </x:c>
      <x:c r="BI83" s="34" t="n">
        <x:f>IF(COUNT(AA83,AB83,AC83)=3,AVERAGE(AA83,AB83,AC83),"")</x:f>
        <x:v>87.40507744801931</x:v>
      </x:c>
      <x:c r="BJ83" s="34" t="n">
        <x:f>IF(COUNT(AD83,AE83)=2,AVERAGE(AD83,AE83),"")</x:f>
        <x:v>17.49399867857143</x:v>
      </x:c>
      <x:c r="BK83" s="34" t="n">
        <x:f>IF(COUNT(AF83,AG83)=2,AVERAGE(AF83,AG83),"")</x:f>
        <x:v>74.89029751467149</x:v>
      </x:c>
      <x:c r="BL83" s="34" t="n">
        <x:f>IF(COUNT(AH83,AI83)=2,AVERAGE(AH83,AI83),"")</x:f>
        <x:v>97.20087690580459</x:v>
      </x:c>
      <x:c r="BM83" s="34" t="n">
        <x:f>IF(COUNT(AJ83,AK83)=2,AVERAGE(AJ83,AK83),"")</x:f>
        <x:v>92.98045092398758</x:v>
      </x:c>
      <x:c r="BN83" s="34" t="n">
        <x:f>IF(COUNT(AL83,AM83,AN83)=3,AVERAGE(AL83,AM83,AN83),"")</x:f>
        <x:v>56.999736804994704</x:v>
      </x:c>
      <x:c r="BO83" s="35" t="n">
        <x:f>IF(AND(COUNT(BG83:BN83)=8,ABS('Scoring Setup'!$C$17-1)&lt;0.000001),BG83*'Scoring Setup'!$C$9+BH83*'Scoring Setup'!$C$10+BI83*'Scoring Setup'!$C$11+BJ83*'Scoring Setup'!$C$12+BK83*'Scoring Setup'!$C$13+BL83*'Scoring Setup'!$C$14+BM83*'Scoring Setup'!$C$15+BN83*'Scoring Setup'!$C$16,"")</x:f>
        <x:v>54.121657849256415</x:v>
      </x:c>
      <x:c r="BP83" s="36" t="n">
        <x:f>IF(COUNT(AO83:BF83)=18,MIN(AO83:BF83),"")</x:f>
        <x:v>0.8</x:v>
      </x:c>
      <x:c r="BQ83" s="35" t="n">
        <x:f>IF(AND(ISNUMBER(BO83),ISNUMBER(BP83)),BO83*BP83,"")</x:f>
        <x:v>43.297326279405134</x:v>
      </x:c>
      <x:c r="BR83" s="17" t="str">
        <x:f>IF(COUNT(AO83:BF83)=18,INDEX('Scoring Setup'!$F$9:$F$26,MATCH(MIN(AO83:BF83),AO83:BF83,0),1),"")</x:f>
        <x:v>洪水损失率全国百分位</x:v>
      </x:c>
    </x:row>
    <x:row r="84">
      <x:c r="A84" s="28" t="str">
        <x:v>51167</x:v>
      </x:c>
      <x:c r="B84" s="28" t="str">
        <x:v>Russell County</x:v>
      </x:c>
      <x:c r="C84" s="28" t="str">
        <x:v>VA</x:v>
      </x:c>
      <x:c r="D84" s="31" t="n">
        <x:v>1226.421372</x:v>
      </x:c>
      <x:c r="E84" s="32" t="n">
        <x:v>0.826</x:v>
      </x:c>
      <x:c r="F84" s="32" t="n">
        <x:v>0.828898514851485</x:v>
      </x:c>
      <x:c r="G84" s="32" t="n">
        <x:v>1.9265855253245525</x:v>
      </x:c>
      <x:c r="H84" s="32" t="n">
        <x:v>2.143800530844805</x:v>
      </x:c>
      <x:c r="I84" s="32" t="n">
        <x:v>0.9584926493439069</x:v>
      </x:c>
      <x:c r="J84" s="32" t="n">
        <x:v>0.063004116372735</x:v>
      </x:c>
      <x:c r="K84" s="32" t="n">
        <x:v>0.00017183826728528443</x:v>
      </x:c>
      <x:c r="L84" s="32" t="n">
        <x:v>0.887105161</x:v>
      </x:c>
      <x:c r="M84" s="32" t="n">
        <x:v>0.887105161</x:v>
      </x:c>
      <x:c r="N84" s="32" t="n">
        <x:v>9191</x:v>
      </x:c>
      <x:c r="O84" s="32" t="n">
        <x:v>0.3468</x:v>
      </x:c>
      <x:c r="P84" s="32" t="n">
        <x:v>547.808696492513</x:v>
      </x:c>
      <x:c r="Q84" s="32" t="n">
        <x:v>2.242249135176341</x:v>
      </x:c>
      <x:c r="R84" s="32" t="n">
        <x:v>27.741454499745355</x:v>
      </x:c>
      <x:c r="S84" s="32" t="n">
        <x:v>3.5913815570390897</x:v>
      </x:c>
      <x:c r="T84" s="32" t="n">
        <x:v>89.9</x:v>
      </x:c>
      <x:c r="U84" s="32" t="n">
        <x:v>245.07712999476223</x:v>
      </x:c>
      <x:c r="V84" s="32" t="n">
        <x:v>244.75798925963002</x:v>
      </x:c>
      <x:c r="W84" s="33" t="n">
        <x:f>IF(ISNUMBER(E84),100*MAX(0,MIN(1,('Anchors'!$H$6-E84)/('Anchors'!$H$6-'Anchors'!$G$6))),"")</x:f>
        <x:v>10.571428571428582</x:v>
      </x:c>
      <x:c r="X84" s="33" t="n">
        <x:f>IF(ISNUMBER(F84),100*MAX(0,MIN(1,('Anchors'!$H$7-F84)/('Anchors'!$H$7-'Anchors'!$G$7))),"")</x:f>
        <x:v>0</x:v>
      </x:c>
      <x:c r="Y84" s="33" t="n">
        <x:f>IF(ISNUMBER(G84),100*MAX(0,MIN(1,('Anchors'!$H$8-G84)/('Anchors'!$H$8-'Anchors'!$G$8))),"")</x:f>
        <x:v>69.11381582251491</x:v>
      </x:c>
      <x:c r="Z84" s="33" t="n">
        <x:f>IF(ISNUMBER(H84),100*MAX(0,MIN(1,('Anchors'!$H$9-H84)/('Anchors'!$H$9-'Anchors'!$G$9))),"")</x:f>
        <x:v>61.8733156385065</x:v>
      </x:c>
      <x:c r="AA84" s="33" t="n">
        <x:f>IF(ISNUMBER(I84),100*MAX(0,MIN(1,(I84-'Anchors'!$H$10)/('Anchors'!$G$10-'Anchors'!$H$10))),"")</x:f>
        <x:v>97.05378758135711</x:v>
      </x:c>
      <x:c r="AB84" s="33" t="n">
        <x:f>IF(ISNUMBER(J84),100*MAX(0,MIN(1,('Anchors'!$H$11-J84)/('Anchors'!$H$11-'Anchors'!$G$11))),"")</x:f>
        <x:v>74.79835345090599</x:v>
      </x:c>
      <x:c r="AC84" s="33" t="n">
        <x:f>IF(ISNUMBER(K84),100*MAX(0,MIN(1,('Anchors'!$H$12-K84)/('Anchors'!$H$12-'Anchors'!$G$12))),"")</x:f>
        <x:v>99.95704043317868</x:v>
      </x:c>
      <x:c r="AD84" s="33" t="n">
        <x:f>IF(ISNUMBER(L84),100*MAX(0,MIN(1,(L84-'Anchors'!$H$13)/('Anchors'!$G$13-'Anchors'!$H$13))),"")</x:f>
        <x:v>98.15788014285715</x:v>
      </x:c>
      <x:c r="AE84" s="33" t="n">
        <x:f>IF(ISNUMBER(M84),100*MAX(0,MIN(1,(M84-'Anchors'!$H$14)/('Anchors'!$G$14-'Anchors'!$H$14))),"")</x:f>
        <x:v>98.38814512500001</x:v>
      </x:c>
      <x:c r="AF84" s="33" t="n">
        <x:f>IF(ISNUMBER(N84),100*MAX(0,MIN(1,(LN(1+N84)-LN(1+'Anchors'!$H$15))/(LN(1+'Anchors'!$G$15)-LN(1+'Anchors'!$H$15)))),"")</x:f>
        <x:v>35.31823683946945</x:v>
      </x:c>
      <x:c r="AG84" s="33" t="n">
        <x:f>IF(ISNUMBER(O84),100*MAX(0,MIN(1,('Anchors'!$H$16-O84)/('Anchors'!$H$16-'Anchors'!$G$16))),"")</x:f>
        <x:v>67.02222222222223</x:v>
      </x:c>
      <x:c r="AH84" s="33" t="n">
        <x:f>IF(ISNUMBER(P84),100*MAX(0,MIN(1,('Anchors'!$H$17-P84)/('Anchors'!$H$17-'Anchors'!$G$17))),"")</x:f>
        <x:v>100</x:v>
      </x:c>
      <x:c r="AI84" s="33" t="n">
        <x:f>IF(ISNUMBER(Q84),100*MAX(0,MIN(1,('Anchors'!$H$18-Q84)/('Anchors'!$H$18-'Anchors'!$G$18))),"")</x:f>
        <x:v>100</x:v>
      </x:c>
      <x:c r="AJ84" s="33" t="n">
        <x:f>IF(ISNUMBER(R84),100*MAX(0,MIN(1,('Anchors'!$H$19-R84)/('Anchors'!$H$19-'Anchors'!$G$19))),"")</x:f>
        <x:v>49.46343444501032</x:v>
      </x:c>
      <x:c r="AK84" s="33" t="n">
        <x:f>IF(ISNUMBER(S84),100*MAX(0,MIN(1,('Anchors'!$H$20-S84)/('Anchors'!$H$20-'Anchors'!$G$20))),"")</x:f>
        <x:v>86.36114969979427</x:v>
      </x:c>
      <x:c r="AL84" s="33" t="n">
        <x:f>IF(ISNUMBER(T84),100*MAX(0,MIN(1,('Anchors'!$H$21-T84)/('Anchors'!$H$21-'Anchors'!$G$21))),"")</x:f>
        <x:v>54.72727272727271</x:v>
      </x:c>
      <x:c r="AM84" s="33" t="n">
        <x:f>IF(ISNUMBER(U84),100*MAX(0,MIN(1,('Anchors'!$H$22-U84)/('Anchors'!$H$22-'Anchors'!$G$22))),"")</x:f>
        <x:v>27.461435002618884</x:v>
      </x:c>
      <x:c r="AN84" s="33" t="n">
        <x:f>IF(ISNUMBER(V84),100*MAX(0,MIN(1,('Anchors'!$H$23-V84)/('Anchors'!$H$23-'Anchors'!$G$23))),"")</x:f>
        <x:v>88.8105026850925</x:v>
      </x:c>
      <x:c r="AO84" s="27" t="n">
        <x:f>IF(ISNUMBER(W84),IF('Scoring Setup'!$L$9=1,1-'Scoring Setup'!$B$5*(1-MAX(0,MIN(1,(W84-'Scoring Setup'!$K$9)/(100-'Scoring Setup'!$K$9)))),1),"")</x:f>
        <x:v>0.8211428571428572</x:v>
      </x:c>
      <x:c r="AP84" s="27" t="n">
        <x:f>IF(ISNUMBER(X84),IF('Scoring Setup'!$L$10=1,1-'Scoring Setup'!$B$5*(1-MAX(0,MIN(1,(X84-'Scoring Setup'!$K$10)/(100-'Scoring Setup'!$K$10)))),1),"")</x:f>
        <x:v>0.8</x:v>
      </x:c>
      <x:c r="AQ84" s="27" t="n">
        <x:f>IF(ISNUMBER(Y84),IF('Scoring Setup'!$L$11=1,1-'Scoring Setup'!$B$5*(1-MAX(0,MIN(1,(Y84-'Scoring Setup'!$K$11)/(100-'Scoring Setup'!$K$11)))),1),"")</x:f>
        <x:v>0.9382276316450299</x:v>
      </x:c>
      <x:c r="AR84" s="27" t="n">
        <x:f>IF(ISNUMBER(Z84),IF('Scoring Setup'!$L$12=1,1-'Scoring Setup'!$B$5*(1-MAX(0,MIN(1,(Z84-'Scoring Setup'!$K$12)/(100-'Scoring Setup'!$K$12)))),1),"")</x:f>
        <x:v>0.923746631277013</x:v>
      </x:c>
      <x:c r="AS84" s="27" t="n">
        <x:f>IF(ISNUMBER(AA84),IF('Scoring Setup'!$L$13=1,1-'Scoring Setup'!$B$5*(1-MAX(0,MIN(1,(AA84-'Scoring Setup'!$K$13)/(100-'Scoring Setup'!$K$13)))),1),"")</x:f>
        <x:v>0.9941075751627142</x:v>
      </x:c>
      <x:c r="AT84" s="27" t="n">
        <x:f>IF(ISNUMBER(AB84),IF('Scoring Setup'!$L$14=1,1-'Scoring Setup'!$B$5*(1-MAX(0,MIN(1,(AB84-'Scoring Setup'!$K$14)/(100-'Scoring Setup'!$K$14)))),1),"")</x:f>
        <x:v>0.949596706901812</x:v>
      </x:c>
      <x:c r="AU84" s="27" t="n">
        <x:f>IF(ISNUMBER(AC84),IF('Scoring Setup'!$L$15=1,1-'Scoring Setup'!$B$5*(1-MAX(0,MIN(1,(AC84-'Scoring Setup'!$K$15)/(100-'Scoring Setup'!$K$15)))),1),"")</x:f>
        <x:v>0.9999140808663574</x:v>
      </x:c>
      <x:c r="AV84" s="27" t="n">
        <x:f>IF(ISNUMBER(AD84),IF('Scoring Setup'!$L$16=1,1-'Scoring Setup'!$B$5*(1-MAX(0,MIN(1,(AD84-'Scoring Setup'!$K$16)/(100-'Scoring Setup'!$K$16)))),1),"")</x:f>
        <x:v>0.9963157602857143</x:v>
      </x:c>
      <x:c r="AW84" s="27" t="n">
        <x:f>IF(ISNUMBER(AE84),IF('Scoring Setup'!$L$17=1,1-'Scoring Setup'!$B$5*(1-MAX(0,MIN(1,(AE84-'Scoring Setup'!$K$17)/(100-'Scoring Setup'!$K$17)))),1),"")</x:f>
        <x:v>0.99677629025</x:v>
      </x:c>
      <x:c r="AX84" s="27" t="n">
        <x:f>IF(ISNUMBER(AF84),IF('Scoring Setup'!$L$18=1,1-'Scoring Setup'!$B$5*(1-MAX(0,MIN(1,(AF84-'Scoring Setup'!$K$18)/(100-'Scoring Setup'!$K$18)))),1),"")</x:f>
        <x:v>0.8706364736789389</x:v>
      </x:c>
      <x:c r="AY84" s="27" t="n">
        <x:f>IF(ISNUMBER(AG84),IF('Scoring Setup'!$L$19=1,1-'Scoring Setup'!$B$5*(1-MAX(0,MIN(1,(AG84-'Scoring Setup'!$K$19)/(100-'Scoring Setup'!$K$19)))),1),"")</x:f>
        <x:v>0.9340444444444445</x:v>
      </x:c>
      <x:c r="AZ84" s="27" t="n">
        <x:f>IF(ISNUMBER(AH84),IF('Scoring Setup'!$L$20=1,1-'Scoring Setup'!$B$5*(1-MAX(0,MIN(1,(AH84-'Scoring Setup'!$K$20)/(100-'Scoring Setup'!$K$20)))),1),"")</x:f>
        <x:v>1</x:v>
      </x:c>
      <x:c r="BA84" s="27" t="n">
        <x:f>IF(ISNUMBER(AI84),IF('Scoring Setup'!$L$21=1,1-'Scoring Setup'!$B$5*(1-MAX(0,MIN(1,(AI84-'Scoring Setup'!$K$21)/(100-'Scoring Setup'!$K$21)))),1),"")</x:f>
        <x:v>1</x:v>
      </x:c>
      <x:c r="BB84" s="27" t="n">
        <x:f>IF(ISNUMBER(AJ84),IF('Scoring Setup'!$L$22=1,1-'Scoring Setup'!$B$5*(1-MAX(0,MIN(1,(AJ84-'Scoring Setup'!$K$22)/(100-'Scoring Setup'!$K$22)))),1),"")</x:f>
        <x:v>0.8989268688900206</x:v>
      </x:c>
      <x:c r="BC84" s="27" t="n">
        <x:f>IF(ISNUMBER(AK84),IF('Scoring Setup'!$L$23=1,1-'Scoring Setup'!$B$5*(1-MAX(0,MIN(1,(AK84-'Scoring Setup'!$K$23)/(100-'Scoring Setup'!$K$23)))),1),"")</x:f>
        <x:v>0.9727222993995885</x:v>
      </x:c>
      <x:c r="BD84" s="27" t="n">
        <x:f>IF(ISNUMBER(AL84),IF('Scoring Setup'!$L$24=1,1-'Scoring Setup'!$B$5*(1-MAX(0,MIN(1,(AL84-'Scoring Setup'!$K$24)/(100-'Scoring Setup'!$K$24)))),1),"")</x:f>
        <x:v>0.9094545454545454</x:v>
      </x:c>
      <x:c r="BE84" s="27" t="n">
        <x:f>IF(ISNUMBER(AM84),IF('Scoring Setup'!$L$25=1,1-'Scoring Setup'!$B$5*(1-MAX(0,MIN(1,(AM84-'Scoring Setup'!$K$25)/(100-'Scoring Setup'!$K$25)))),1),"")</x:f>
        <x:v>0.8549228700052378</x:v>
      </x:c>
      <x:c r="BF84" s="27" t="n">
        <x:f>IF(ISNUMBER(AN84),IF('Scoring Setup'!$L$26=1,1-'Scoring Setup'!$B$5*(1-MAX(0,MIN(1,(AN84-'Scoring Setup'!$K$26)/(100-'Scoring Setup'!$K$26)))),1),"")</x:f>
        <x:v>0.977621005370185</x:v>
      </x:c>
      <x:c r="BG84" s="34" t="n">
        <x:f>IF(COUNT(W84,X84)=2,AVERAGE(W84,X84),"")</x:f>
        <x:v>5.285714285714291</x:v>
      </x:c>
      <x:c r="BH84" s="34" t="n">
        <x:f>IF(COUNT(Y84,Z84)=2,AVERAGE(Y84,Z84),"")</x:f>
        <x:v>65.49356573051071</x:v>
      </x:c>
      <x:c r="BI84" s="34" t="n">
        <x:f>IF(COUNT(AA84,AB84,AC84)=3,AVERAGE(AA84,AB84,AC84),"")</x:f>
        <x:v>90.6030604884806</x:v>
      </x:c>
      <x:c r="BJ84" s="34" t="n">
        <x:f>IF(COUNT(AD84,AE84)=2,AVERAGE(AD84,AE84),"")</x:f>
        <x:v>98.27301263392857</x:v>
      </x:c>
      <x:c r="BK84" s="34" t="n">
        <x:f>IF(COUNT(AF84,AG84)=2,AVERAGE(AF84,AG84),"")</x:f>
        <x:v>51.17022953084584</x:v>
      </x:c>
      <x:c r="BL84" s="34" t="n">
        <x:f>IF(COUNT(AH84,AI84)=2,AVERAGE(AH84,AI84),"")</x:f>
        <x:v>100</x:v>
      </x:c>
      <x:c r="BM84" s="34" t="n">
        <x:f>IF(COUNT(AJ84,AK84)=2,AVERAGE(AJ84,AK84),"")</x:f>
        <x:v>67.9122920724023</x:v>
      </x:c>
      <x:c r="BN84" s="34" t="n">
        <x:f>IF(COUNT(AL84,AM84,AN84)=3,AVERAGE(AL84,AM84,AN84),"")</x:f>
        <x:v>56.999736804994704</x:v>
      </x:c>
      <x:c r="BO84" s="35" t="n">
        <x:f>IF(AND(COUNT(BG84:BN84)=8,ABS('Scoring Setup'!$C$17-1)&lt;0.000001),BG84*'Scoring Setup'!$C$9+BH84*'Scoring Setup'!$C$10+BI84*'Scoring Setup'!$C$11+BJ84*'Scoring Setup'!$C$12+BK84*'Scoring Setup'!$C$13+BL84*'Scoring Setup'!$C$14+BM84*'Scoring Setup'!$C$15+BN84*'Scoring Setup'!$C$16,"")</x:f>
        <x:v>63.1274504851176</x:v>
      </x:c>
      <x:c r="BP84" s="36" t="n">
        <x:f>IF(COUNT(AO84:BF84)=18,MIN(AO84:BF84),"")</x:f>
        <x:v>0.8</x:v>
      </x:c>
      <x:c r="BQ84" s="35" t="n">
        <x:f>IF(AND(ISNUMBER(BO84),ISNUMBER(BP84)),BO84*BP84,"")</x:f>
        <x:v>50.50196038809408</x:v>
      </x:c>
      <x:c r="BR84" s="17" t="str">
        <x:f>IF(COUNT(AO84:BF84)=18,INDEX('Scoring Setup'!$F$9:$F$26,MATCH(MIN(AO84:BF84),AO84:BF84,0),1),"")</x:f>
        <x:v>洪水损失率全国百分位</x:v>
      </x:c>
    </x:row>
    <x:row r="85">
      <x:c r="A85" s="28" t="str">
        <x:v>51169</x:v>
      </x:c>
      <x:c r="B85" s="28" t="str">
        <x:v>Scott County</x:v>
      </x:c>
      <x:c r="C85" s="28" t="str">
        <x:v>VA</x:v>
      </x:c>
      <x:c r="D85" s="31" t="n">
        <x:v>1387.786258</x:v>
      </x:c>
      <x:c r="E85" s="32" t="n">
        <x:v>0.778</x:v>
      </x:c>
      <x:c r="F85" s="32" t="n">
        <x:v>0.838799504950495</x:v>
      </x:c>
      <x:c r="G85" s="32" t="n">
        <x:v>1.7889074359445885</x:v>
      </x:c>
      <x:c r="H85" s="32" t="n">
        <x:v>2.014395463318848</x:v>
      </x:c>
      <x:c r="I85" s="32" t="n">
        <x:v>0.9661516434311257</x:v>
      </x:c>
      <x:c r="J85" s="32" t="n">
        <x:v>0.00480502891173193</x:v>
      </x:c>
      <x:c r="K85" s="32" t="n">
        <x:v>0.0012474633618264571</x:v>
      </x:c>
      <x:c r="L85" s="32" t="n">
        <x:v>0.976692564</x:v>
      </x:c>
      <x:c r="M85" s="32" t="n">
        <x:v>0.976692564</x:v>
      </x:c>
      <x:c r="N85" s="32" t="n">
        <x:v>8218</x:v>
      </x:c>
      <x:c r="O85" s="32" t="n">
        <x:v>0.4712</x:v>
      </x:c>
      <x:c r="P85" s="32" t="n">
        <x:v>753.4522969563802</x:v>
      </x:c>
      <x:c r="Q85" s="32" t="n">
        <x:v>4.681923667589824</x:v>
      </x:c>
      <x:c r="R85" s="32" t="n">
        <x:v>13.698411283861237</x:v>
      </x:c>
      <x:c r="S85" s="32" t="n">
        <x:v>1.6856190316782937</x:v>
      </x:c>
      <x:c r="T85" s="32" t="n">
        <x:v>89.9</x:v>
      </x:c>
      <x:c r="U85" s="32" t="n">
        <x:v>245.07712999476223</x:v>
      </x:c>
      <x:c r="V85" s="32" t="n">
        <x:v>244.75798925963002</x:v>
      </x:c>
      <x:c r="W85" s="33" t="n">
        <x:f>IF(ISNUMBER(E85),100*MAX(0,MIN(1,('Anchors'!$H$6-E85)/('Anchors'!$H$6-'Anchors'!$G$6))),"")</x:f>
        <x:v>17.42857142857143</x:v>
      </x:c>
      <x:c r="X85" s="33" t="n">
        <x:f>IF(ISNUMBER(F85),100*MAX(0,MIN(1,('Anchors'!$H$7-F85)/('Anchors'!$H$7-'Anchors'!$G$7))),"")</x:f>
        <x:v>0</x:v>
      </x:c>
      <x:c r="Y85" s="33" t="n">
        <x:f>IF(ISNUMBER(G85),100*MAX(0,MIN(1,('Anchors'!$H$8-G85)/('Anchors'!$H$8-'Anchors'!$G$8))),"")</x:f>
        <x:v>73.70308546851372</x:v>
      </x:c>
      <x:c r="Z85" s="33" t="n">
        <x:f>IF(ISNUMBER(H85),100*MAX(0,MIN(1,('Anchors'!$H$9-H85)/('Anchors'!$H$9-'Anchors'!$G$9))),"")</x:f>
        <x:v>66.18681788937172</x:v>
      </x:c>
      <x:c r="AA85" s="33" t="n">
        <x:f>IF(ISNUMBER(I85),100*MAX(0,MIN(1,(I85-'Anchors'!$H$10)/('Anchors'!$G$10-'Anchors'!$H$10))),"")</x:f>
        <x:v>98.10296485357887</x:v>
      </x:c>
      <x:c r="AB85" s="33" t="n">
        <x:f>IF(ISNUMBER(J85),100*MAX(0,MIN(1,('Anchors'!$H$11-J85)/('Anchors'!$H$11-'Anchors'!$G$11))),"")</x:f>
        <x:v>98.07798843530723</x:v>
      </x:c>
      <x:c r="AC85" s="33" t="n">
        <x:f>IF(ISNUMBER(K85),100*MAX(0,MIN(1,('Anchors'!$H$12-K85)/('Anchors'!$H$12-'Anchors'!$G$12))),"")</x:f>
        <x:v>99.68813415954338</x:v>
      </x:c>
      <x:c r="AD85" s="33" t="n">
        <x:f>IF(ISNUMBER(L85),100*MAX(0,MIN(1,(L85-'Anchors'!$H$13)/('Anchors'!$G$13-'Anchors'!$H$13))),"")</x:f>
        <x:v>100</x:v>
      </x:c>
      <x:c r="AE85" s="33" t="n">
        <x:f>IF(ISNUMBER(M85),100*MAX(0,MIN(1,(M85-'Anchors'!$H$14)/('Anchors'!$G$14-'Anchors'!$H$14))),"")</x:f>
        <x:v>100</x:v>
      </x:c>
      <x:c r="AF85" s="33" t="n">
        <x:f>IF(ISNUMBER(N85),100*MAX(0,MIN(1,(LN(1+N85)-LN(1+'Anchors'!$H$15))/(LN(1+'Anchors'!$G$15)-LN(1+'Anchors'!$H$15)))),"")</x:f>
        <x:v>32.72650356577713</x:v>
      </x:c>
      <x:c r="AG85" s="33" t="n">
        <x:f>IF(ISNUMBER(O85),100*MAX(0,MIN(1,('Anchors'!$H$16-O85)/('Anchors'!$H$16-'Anchors'!$G$16))),"")</x:f>
        <x:v>53.2</x:v>
      </x:c>
      <x:c r="AH85" s="33" t="n">
        <x:f>IF(ISNUMBER(P85),100*MAX(0,MIN(1,('Anchors'!$H$17-P85)/('Anchors'!$H$17-'Anchors'!$G$17))),"")</x:f>
        <x:v>96.43651353624132</x:v>
      </x:c>
      <x:c r="AI85" s="33" t="n">
        <x:f>IF(ISNUMBER(Q85),100*MAX(0,MIN(1,('Anchors'!$H$18-Q85)/('Anchors'!$H$18-'Anchors'!$G$18))),"")</x:f>
        <x:v>100</x:v>
      </x:c>
      <x:c r="AJ85" s="33" t="n">
        <x:f>IF(ISNUMBER(R85),100*MAX(0,MIN(1,('Anchors'!$H$19-R85)/('Anchors'!$H$19-'Anchors'!$G$19))),"")</x:f>
        <x:v>80.67019714697504</x:v>
      </x:c>
      <x:c r="AK85" s="33" t="n">
        <x:f>IF(ISNUMBER(S85),100*MAX(0,MIN(1,('Anchors'!$H$20-S85)/('Anchors'!$H$20-'Anchors'!$G$20))),"")</x:f>
        <x:v>96.39147878064055</x:v>
      </x:c>
      <x:c r="AL85" s="33" t="n">
        <x:f>IF(ISNUMBER(T85),100*MAX(0,MIN(1,('Anchors'!$H$21-T85)/('Anchors'!$H$21-'Anchors'!$G$21))),"")</x:f>
        <x:v>54.72727272727271</x:v>
      </x:c>
      <x:c r="AM85" s="33" t="n">
        <x:f>IF(ISNUMBER(U85),100*MAX(0,MIN(1,('Anchors'!$H$22-U85)/('Anchors'!$H$22-'Anchors'!$G$22))),"")</x:f>
        <x:v>27.461435002618884</x:v>
      </x:c>
      <x:c r="AN85" s="33" t="n">
        <x:f>IF(ISNUMBER(V85),100*MAX(0,MIN(1,('Anchors'!$H$23-V85)/('Anchors'!$H$23-'Anchors'!$G$23))),"")</x:f>
        <x:v>88.8105026850925</x:v>
      </x:c>
      <x:c r="AO85" s="27" t="n">
        <x:f>IF(ISNUMBER(W85),IF('Scoring Setup'!$L$9=1,1-'Scoring Setup'!$B$5*(1-MAX(0,MIN(1,(W85-'Scoring Setup'!$K$9)/(100-'Scoring Setup'!$K$9)))),1),"")</x:f>
        <x:v>0.8348571428571429</x:v>
      </x:c>
      <x:c r="AP85" s="27" t="n">
        <x:f>IF(ISNUMBER(X85),IF('Scoring Setup'!$L$10=1,1-'Scoring Setup'!$B$5*(1-MAX(0,MIN(1,(X85-'Scoring Setup'!$K$10)/(100-'Scoring Setup'!$K$10)))),1),"")</x:f>
        <x:v>0.8</x:v>
      </x:c>
      <x:c r="AQ85" s="27" t="n">
        <x:f>IF(ISNUMBER(Y85),IF('Scoring Setup'!$L$11=1,1-'Scoring Setup'!$B$5*(1-MAX(0,MIN(1,(Y85-'Scoring Setup'!$K$11)/(100-'Scoring Setup'!$K$11)))),1),"")</x:f>
        <x:v>0.9474061709370274</x:v>
      </x:c>
      <x:c r="AR85" s="27" t="n">
        <x:f>IF(ISNUMBER(Z85),IF('Scoring Setup'!$L$12=1,1-'Scoring Setup'!$B$5*(1-MAX(0,MIN(1,(Z85-'Scoring Setup'!$K$12)/(100-'Scoring Setup'!$K$12)))),1),"")</x:f>
        <x:v>0.9323736357787434</x:v>
      </x:c>
      <x:c r="AS85" s="27" t="n">
        <x:f>IF(ISNUMBER(AA85),IF('Scoring Setup'!$L$13=1,1-'Scoring Setup'!$B$5*(1-MAX(0,MIN(1,(AA85-'Scoring Setup'!$K$13)/(100-'Scoring Setup'!$K$13)))),1),"")</x:f>
        <x:v>0.9962059297071577</x:v>
      </x:c>
      <x:c r="AT85" s="27" t="n">
        <x:f>IF(ISNUMBER(AB85),IF('Scoring Setup'!$L$14=1,1-'Scoring Setup'!$B$5*(1-MAX(0,MIN(1,(AB85-'Scoring Setup'!$K$14)/(100-'Scoring Setup'!$K$14)))),1),"")</x:f>
        <x:v>0.9961559768706144</x:v>
      </x:c>
      <x:c r="AU85" s="27" t="n">
        <x:f>IF(ISNUMBER(AC85),IF('Scoring Setup'!$L$15=1,1-'Scoring Setup'!$B$5*(1-MAX(0,MIN(1,(AC85-'Scoring Setup'!$K$15)/(100-'Scoring Setup'!$K$15)))),1),"")</x:f>
        <x:v>0.9993762683190868</x:v>
      </x:c>
      <x:c r="AV85" s="27" t="n">
        <x:f>IF(ISNUMBER(AD85),IF('Scoring Setup'!$L$16=1,1-'Scoring Setup'!$B$5*(1-MAX(0,MIN(1,(AD85-'Scoring Setup'!$K$16)/(100-'Scoring Setup'!$K$16)))),1),"")</x:f>
        <x:v>1</x:v>
      </x:c>
      <x:c r="AW85" s="27" t="n">
        <x:f>IF(ISNUMBER(AE85),IF('Scoring Setup'!$L$17=1,1-'Scoring Setup'!$B$5*(1-MAX(0,MIN(1,(AE85-'Scoring Setup'!$K$17)/(100-'Scoring Setup'!$K$17)))),1),"")</x:f>
        <x:v>1</x:v>
      </x:c>
      <x:c r="AX85" s="27" t="n">
        <x:f>IF(ISNUMBER(AF85),IF('Scoring Setup'!$L$18=1,1-'Scoring Setup'!$B$5*(1-MAX(0,MIN(1,(AF85-'Scoring Setup'!$K$18)/(100-'Scoring Setup'!$K$18)))),1),"")</x:f>
        <x:v>0.8654530071315543</x:v>
      </x:c>
      <x:c r="AY85" s="27" t="n">
        <x:f>IF(ISNUMBER(AG85),IF('Scoring Setup'!$L$19=1,1-'Scoring Setup'!$B$5*(1-MAX(0,MIN(1,(AG85-'Scoring Setup'!$K$19)/(100-'Scoring Setup'!$K$19)))),1),"")</x:f>
        <x:v>0.9064</x:v>
      </x:c>
      <x:c r="AZ85" s="27" t="n">
        <x:f>IF(ISNUMBER(AH85),IF('Scoring Setup'!$L$20=1,1-'Scoring Setup'!$B$5*(1-MAX(0,MIN(1,(AH85-'Scoring Setup'!$K$20)/(100-'Scoring Setup'!$K$20)))),1),"")</x:f>
        <x:v>0.9928730270724826</x:v>
      </x:c>
      <x:c r="BA85" s="27" t="n">
        <x:f>IF(ISNUMBER(AI85),IF('Scoring Setup'!$L$21=1,1-'Scoring Setup'!$B$5*(1-MAX(0,MIN(1,(AI85-'Scoring Setup'!$K$21)/(100-'Scoring Setup'!$K$21)))),1),"")</x:f>
        <x:v>1</x:v>
      </x:c>
      <x:c r="BB85" s="27" t="n">
        <x:f>IF(ISNUMBER(AJ85),IF('Scoring Setup'!$L$22=1,1-'Scoring Setup'!$B$5*(1-MAX(0,MIN(1,(AJ85-'Scoring Setup'!$K$22)/(100-'Scoring Setup'!$K$22)))),1),"")</x:f>
        <x:v>0.9613403942939501</x:v>
      </x:c>
      <x:c r="BC85" s="27" t="n">
        <x:f>IF(ISNUMBER(AK85),IF('Scoring Setup'!$L$23=1,1-'Scoring Setup'!$B$5*(1-MAX(0,MIN(1,(AK85-'Scoring Setup'!$K$23)/(100-'Scoring Setup'!$K$23)))),1),"")</x:f>
        <x:v>0.9927829575612811</x:v>
      </x:c>
      <x:c r="BD85" s="27" t="n">
        <x:f>IF(ISNUMBER(AL85),IF('Scoring Setup'!$L$24=1,1-'Scoring Setup'!$B$5*(1-MAX(0,MIN(1,(AL85-'Scoring Setup'!$K$24)/(100-'Scoring Setup'!$K$24)))),1),"")</x:f>
        <x:v>0.9094545454545454</x:v>
      </x:c>
      <x:c r="BE85" s="27" t="n">
        <x:f>IF(ISNUMBER(AM85),IF('Scoring Setup'!$L$25=1,1-'Scoring Setup'!$B$5*(1-MAX(0,MIN(1,(AM85-'Scoring Setup'!$K$25)/(100-'Scoring Setup'!$K$25)))),1),"")</x:f>
        <x:v>0.8549228700052378</x:v>
      </x:c>
      <x:c r="BF85" s="27" t="n">
        <x:f>IF(ISNUMBER(AN85),IF('Scoring Setup'!$L$26=1,1-'Scoring Setup'!$B$5*(1-MAX(0,MIN(1,(AN85-'Scoring Setup'!$K$26)/(100-'Scoring Setup'!$K$26)))),1),"")</x:f>
        <x:v>0.977621005370185</x:v>
      </x:c>
      <x:c r="BG85" s="34" t="n">
        <x:f>IF(COUNT(W85,X85)=2,AVERAGE(W85,X85),"")</x:f>
        <x:v>8.714285714285715</x:v>
      </x:c>
      <x:c r="BH85" s="34" t="n">
        <x:f>IF(COUNT(Y85,Z85)=2,AVERAGE(Y85,Z85),"")</x:f>
        <x:v>69.94495167894272</x:v>
      </x:c>
      <x:c r="BI85" s="34" t="n">
        <x:f>IF(COUNT(AA85,AB85,AC85)=3,AVERAGE(AA85,AB85,AC85),"")</x:f>
        <x:v>98.6230291494765</x:v>
      </x:c>
      <x:c r="BJ85" s="34" t="n">
        <x:f>IF(COUNT(AD85,AE85)=2,AVERAGE(AD85,AE85),"")</x:f>
        <x:v>100</x:v>
      </x:c>
      <x:c r="BK85" s="34" t="n">
        <x:f>IF(COUNT(AF85,AG85)=2,AVERAGE(AF85,AG85),"")</x:f>
        <x:v>42.96325178288856</x:v>
      </x:c>
      <x:c r="BL85" s="34" t="n">
        <x:f>IF(COUNT(AH85,AI85)=2,AVERAGE(AH85,AI85),"")</x:f>
        <x:v>98.21825676812065</x:v>
      </x:c>
      <x:c r="BM85" s="34" t="n">
        <x:f>IF(COUNT(AJ85,AK85)=2,AVERAGE(AJ85,AK85),"")</x:f>
        <x:v>88.5308379638078</x:v>
      </x:c>
      <x:c r="BN85" s="34" t="n">
        <x:f>IF(COUNT(AL85,AM85,AN85)=3,AVERAGE(AL85,AM85,AN85),"")</x:f>
        <x:v>56.999736804994704</x:v>
      </x:c>
      <x:c r="BO85" s="35" t="n">
        <x:f>IF(AND(COUNT(BG85:BN85)=8,ABS('Scoring Setup'!$C$17-1)&lt;0.000001),BG85*'Scoring Setup'!$C$9+BH85*'Scoring Setup'!$C$10+BI85*'Scoring Setup'!$C$11+BJ85*'Scoring Setup'!$C$12+BK85*'Scoring Setup'!$C$13+BL85*'Scoring Setup'!$C$14+BM85*'Scoring Setup'!$C$15+BN85*'Scoring Setup'!$C$16,"")</x:f>
        <x:v>65.45642277854844</x:v>
      </x:c>
      <x:c r="BP85" s="36" t="n">
        <x:f>IF(COUNT(AO85:BF85)=18,MIN(AO85:BF85),"")</x:f>
        <x:v>0.8</x:v>
      </x:c>
      <x:c r="BQ85" s="35" t="n">
        <x:f>IF(AND(ISNUMBER(BO85),ISNUMBER(BP85)),BO85*BP85,"")</x:f>
        <x:v>52.36513822283876</x:v>
      </x:c>
      <x:c r="BR85" s="17" t="str">
        <x:f>IF(COUNT(AO85:BF85)=18,INDEX('Scoring Setup'!$F$9:$F$26,MATCH(MIN(AO85:BF85),AO85:BF85,0),1),"")</x:f>
        <x:v>洪水损失率全国百分位</x:v>
      </x:c>
    </x:row>
    <x:row r="86">
      <x:c r="A86" s="28" t="str">
        <x:v>51171</x:v>
      </x:c>
      <x:c r="B86" s="28" t="str">
        <x:v>Shenandoah County</x:v>
      </x:c>
      <x:c r="C86" s="28" t="str">
        <x:v>VA</x:v>
      </x:c>
      <x:c r="D86" s="31" t="n">
        <x:v>1315.922187</x:v>
      </x:c>
      <x:c r="E86" s="32" t="n">
        <x:v>0.588</x:v>
      </x:c>
      <x:c r="F86" s="32" t="n">
        <x:v>0.857982673267327</x:v>
      </x:c>
      <x:c r="G86" s="32" t="n">
        <x:v>2.8187743215512304</x:v>
      </x:c>
      <x:c r="H86" s="32" t="n">
        <x:v>3.0673722522769404</x:v>
      </x:c>
      <x:c r="I86" s="32" t="n">
        <x:v>0.932219977076357</x:v>
      </x:c>
      <x:c r="J86" s="32" t="n">
        <x:v>0.003367546990867598</x:v>
      </x:c>
      <x:c r="K86" s="32" t="n">
        <x:v>0.00011168976397364939</x:v>
      </x:c>
      <x:c r="L86" s="32" t="n">
        <x:v>0.337167536</x:v>
      </x:c>
      <x:c r="M86" s="32" t="n">
        <x:v>0.298169845</x:v>
      </x:c>
      <x:c r="N86" s="32" t="n">
        <x:v>21180</x:v>
      </x:c>
      <x:c r="O86" s="32" t="n">
        <x:v>0.4298</x:v>
      </x:c>
      <x:c r="P86" s="32" t="n">
        <x:v>666.2670857747396</x:v>
      </x:c>
      <x:c r="Q86" s="32" t="n">
        <x:v>12.647935422261556</x:v>
      </x:c>
      <x:c r="R86" s="32" t="n">
        <x:v>2.0374590863838886</x:v>
      </x:c>
      <x:c r="S86" s="32" t="n">
        <x:v>2.981170393841634</x:v>
      </x:c>
      <x:c r="T86" s="32" t="n">
        <x:v>89.9</x:v>
      </x:c>
      <x:c r="U86" s="32" t="n">
        <x:v>245.07712999476223</x:v>
      </x:c>
      <x:c r="V86" s="32" t="n">
        <x:v>244.75798925963002</x:v>
      </x:c>
      <x:c r="W86" s="33" t="n">
        <x:f>IF(ISNUMBER(E86),100*MAX(0,MIN(1,('Anchors'!$H$6-E86)/('Anchors'!$H$6-'Anchors'!$G$6))),"")</x:f>
        <x:v>44.571428571428584</x:v>
      </x:c>
      <x:c r="X86" s="33" t="n">
        <x:f>IF(ISNUMBER(F86),100*MAX(0,MIN(1,('Anchors'!$H$7-F86)/('Anchors'!$H$7-'Anchors'!$G$7))),"")</x:f>
        <x:v>0</x:v>
      </x:c>
      <x:c r="Y86" s="33" t="n">
        <x:f>IF(ISNUMBER(G86),100*MAX(0,MIN(1,('Anchors'!$H$8-G86)/('Anchors'!$H$8-'Anchors'!$G$8))),"")</x:f>
        <x:v>39.374189281625654</x:v>
      </x:c>
      <x:c r="Z86" s="33" t="n">
        <x:f>IF(ISNUMBER(H86),100*MAX(0,MIN(1,('Anchors'!$H$9-H86)/('Anchors'!$H$9-'Anchors'!$G$9))),"")</x:f>
        <x:v>31.087591590768653</x:v>
      </x:c>
      <x:c r="AA86" s="33" t="n">
        <x:f>IF(ISNUMBER(I86),100*MAX(0,MIN(1,(I86-'Anchors'!$H$10)/('Anchors'!$G$10-'Anchors'!$H$10))),"")</x:f>
        <x:v>93.45479138032287</x:v>
      </x:c>
      <x:c r="AB86" s="33" t="n">
        <x:f>IF(ISNUMBER(J86),100*MAX(0,MIN(1,('Anchors'!$H$11-J86)/('Anchors'!$H$11-'Anchors'!$G$11))),"")</x:f>
        <x:v>98.65298120365296</x:v>
      </x:c>
      <x:c r="AC86" s="33" t="n">
        <x:f>IF(ISNUMBER(K86),100*MAX(0,MIN(1,('Anchors'!$H$12-K86)/('Anchors'!$H$12-'Anchors'!$G$12))),"")</x:f>
        <x:v>99.97207755900659</x:v>
      </x:c>
      <x:c r="AD86" s="33" t="n">
        <x:f>IF(ISNUMBER(L86),100*MAX(0,MIN(1,(L86-'Anchors'!$H$13)/('Anchors'!$G$13-'Anchors'!$H$13))),"")</x:f>
        <x:v>19.595362285714284</x:v>
      </x:c>
      <x:c r="AE86" s="33" t="n">
        <x:f>IF(ISNUMBER(M86),100*MAX(0,MIN(1,(M86-'Anchors'!$H$14)/('Anchors'!$G$14-'Anchors'!$H$14))),"")</x:f>
        <x:v>24.771230624999994</x:v>
      </x:c>
      <x:c r="AF86" s="33" t="n">
        <x:f>IF(ISNUMBER(N86),100*MAX(0,MIN(1,(LN(1+N86)-LN(1+'Anchors'!$H$15))/(LN(1+'Anchors'!$G$15)-LN(1+'Anchors'!$H$15)))),"")</x:f>
        <x:v>54.655091091293215</x:v>
      </x:c>
      <x:c r="AG86" s="33" t="n">
        <x:f>IF(ISNUMBER(O86),100*MAX(0,MIN(1,('Anchors'!$H$16-O86)/('Anchors'!$H$16-'Anchors'!$G$16))),"")</x:f>
        <x:v>57.800000000000004</x:v>
      </x:c>
      <x:c r="AH86" s="33" t="n">
        <x:f>IF(ISNUMBER(P86),100*MAX(0,MIN(1,('Anchors'!$H$17-P86)/('Anchors'!$H$17-'Anchors'!$G$17))),"")</x:f>
        <x:v>100</x:v>
      </x:c>
      <x:c r="AI86" s="33" t="n">
        <x:f>IF(ISNUMBER(Q86),100*MAX(0,MIN(1,('Anchors'!$H$18-Q86)/('Anchors'!$H$18-'Anchors'!$G$18))),"")</x:f>
        <x:v>89.07437796819778</x:v>
      </x:c>
      <x:c r="AJ86" s="33" t="n">
        <x:f>IF(ISNUMBER(R86),100*MAX(0,MIN(1,('Anchors'!$H$19-R86)/('Anchors'!$H$19-'Anchors'!$G$19))),"")</x:f>
        <x:v>100</x:v>
      </x:c>
      <x:c r="AK86" s="33" t="n">
        <x:f>IF(ISNUMBER(S86),100*MAX(0,MIN(1,('Anchors'!$H$20-S86)/('Anchors'!$H$20-'Anchors'!$G$20))),"")</x:f>
        <x:v>89.5727874008335</x:v>
      </x:c>
      <x:c r="AL86" s="33" t="n">
        <x:f>IF(ISNUMBER(T86),100*MAX(0,MIN(1,('Anchors'!$H$21-T86)/('Anchors'!$H$21-'Anchors'!$G$21))),"")</x:f>
        <x:v>54.72727272727271</x:v>
      </x:c>
      <x:c r="AM86" s="33" t="n">
        <x:f>IF(ISNUMBER(U86),100*MAX(0,MIN(1,('Anchors'!$H$22-U86)/('Anchors'!$H$22-'Anchors'!$G$22))),"")</x:f>
        <x:v>27.461435002618884</x:v>
      </x:c>
      <x:c r="AN86" s="33" t="n">
        <x:f>IF(ISNUMBER(V86),100*MAX(0,MIN(1,('Anchors'!$H$23-V86)/('Anchors'!$H$23-'Anchors'!$G$23))),"")</x:f>
        <x:v>88.8105026850925</x:v>
      </x:c>
      <x:c r="AO86" s="27" t="n">
        <x:f>IF(ISNUMBER(W86),IF('Scoring Setup'!$L$9=1,1-'Scoring Setup'!$B$5*(1-MAX(0,MIN(1,(W86-'Scoring Setup'!$K$9)/(100-'Scoring Setup'!$K$9)))),1),"")</x:f>
        <x:v>0.8891428571428571</x:v>
      </x:c>
      <x:c r="AP86" s="27" t="n">
        <x:f>IF(ISNUMBER(X86),IF('Scoring Setup'!$L$10=1,1-'Scoring Setup'!$B$5*(1-MAX(0,MIN(1,(X86-'Scoring Setup'!$K$10)/(100-'Scoring Setup'!$K$10)))),1),"")</x:f>
        <x:v>0.8</x:v>
      </x:c>
      <x:c r="AQ86" s="27" t="n">
        <x:f>IF(ISNUMBER(Y86),IF('Scoring Setup'!$L$11=1,1-'Scoring Setup'!$B$5*(1-MAX(0,MIN(1,(Y86-'Scoring Setup'!$K$11)/(100-'Scoring Setup'!$K$11)))),1),"")</x:f>
        <x:v>0.8787483785632513</x:v>
      </x:c>
      <x:c r="AR86" s="27" t="n">
        <x:f>IF(ISNUMBER(Z86),IF('Scoring Setup'!$L$12=1,1-'Scoring Setup'!$B$5*(1-MAX(0,MIN(1,(Z86-'Scoring Setup'!$K$12)/(100-'Scoring Setup'!$K$12)))),1),"")</x:f>
        <x:v>0.8621751831815373</x:v>
      </x:c>
      <x:c r="AS86" s="27" t="n">
        <x:f>IF(ISNUMBER(AA86),IF('Scoring Setup'!$L$13=1,1-'Scoring Setup'!$B$5*(1-MAX(0,MIN(1,(AA86-'Scoring Setup'!$K$13)/(100-'Scoring Setup'!$K$13)))),1),"")</x:f>
        <x:v>0.9869095827606458</x:v>
      </x:c>
      <x:c r="AT86" s="27" t="n">
        <x:f>IF(ISNUMBER(AB86),IF('Scoring Setup'!$L$14=1,1-'Scoring Setup'!$B$5*(1-MAX(0,MIN(1,(AB86-'Scoring Setup'!$K$14)/(100-'Scoring Setup'!$K$14)))),1),"")</x:f>
        <x:v>0.997305962407306</x:v>
      </x:c>
      <x:c r="AU86" s="27" t="n">
        <x:f>IF(ISNUMBER(AC86),IF('Scoring Setup'!$L$15=1,1-'Scoring Setup'!$B$5*(1-MAX(0,MIN(1,(AC86-'Scoring Setup'!$K$15)/(100-'Scoring Setup'!$K$15)))),1),"")</x:f>
        <x:v>0.9999441551180132</x:v>
      </x:c>
      <x:c r="AV86" s="27" t="n">
        <x:f>IF(ISNUMBER(AD86),IF('Scoring Setup'!$L$16=1,1-'Scoring Setup'!$B$5*(1-MAX(0,MIN(1,(AD86-'Scoring Setup'!$K$16)/(100-'Scoring Setup'!$K$16)))),1),"")</x:f>
        <x:v>0.8391907245714285</x:v>
      </x:c>
      <x:c r="AW86" s="27" t="n">
        <x:f>IF(ISNUMBER(AE86),IF('Scoring Setup'!$L$17=1,1-'Scoring Setup'!$B$5*(1-MAX(0,MIN(1,(AE86-'Scoring Setup'!$K$17)/(100-'Scoring Setup'!$K$17)))),1),"")</x:f>
        <x:v>0.84954246125</x:v>
      </x:c>
      <x:c r="AX86" s="27" t="n">
        <x:f>IF(ISNUMBER(AF86),IF('Scoring Setup'!$L$18=1,1-'Scoring Setup'!$B$5*(1-MAX(0,MIN(1,(AF86-'Scoring Setup'!$K$18)/(100-'Scoring Setup'!$K$18)))),1),"")</x:f>
        <x:v>0.9093101821825864</x:v>
      </x:c>
      <x:c r="AY86" s="27" t="n">
        <x:f>IF(ISNUMBER(AG86),IF('Scoring Setup'!$L$19=1,1-'Scoring Setup'!$B$5*(1-MAX(0,MIN(1,(AG86-'Scoring Setup'!$K$19)/(100-'Scoring Setup'!$K$19)))),1),"")</x:f>
        <x:v>0.9156</x:v>
      </x:c>
      <x:c r="AZ86" s="27" t="n">
        <x:f>IF(ISNUMBER(AH86),IF('Scoring Setup'!$L$20=1,1-'Scoring Setup'!$B$5*(1-MAX(0,MIN(1,(AH86-'Scoring Setup'!$K$20)/(100-'Scoring Setup'!$K$20)))),1),"")</x:f>
        <x:v>1</x:v>
      </x:c>
      <x:c r="BA86" s="27" t="n">
        <x:f>IF(ISNUMBER(AI86),IF('Scoring Setup'!$L$21=1,1-'Scoring Setup'!$B$5*(1-MAX(0,MIN(1,(AI86-'Scoring Setup'!$K$21)/(100-'Scoring Setup'!$K$21)))),1),"")</x:f>
        <x:v>0.9781487559363956</x:v>
      </x:c>
      <x:c r="BB86" s="27" t="n">
        <x:f>IF(ISNUMBER(AJ86),IF('Scoring Setup'!$L$22=1,1-'Scoring Setup'!$B$5*(1-MAX(0,MIN(1,(AJ86-'Scoring Setup'!$K$22)/(100-'Scoring Setup'!$K$22)))),1),"")</x:f>
        <x:v>1</x:v>
      </x:c>
      <x:c r="BC86" s="27" t="n">
        <x:f>IF(ISNUMBER(AK86),IF('Scoring Setup'!$L$23=1,1-'Scoring Setup'!$B$5*(1-MAX(0,MIN(1,(AK86-'Scoring Setup'!$K$23)/(100-'Scoring Setup'!$K$23)))),1),"")</x:f>
        <x:v>0.979145574801667</x:v>
      </x:c>
      <x:c r="BD86" s="27" t="n">
        <x:f>IF(ISNUMBER(AL86),IF('Scoring Setup'!$L$24=1,1-'Scoring Setup'!$B$5*(1-MAX(0,MIN(1,(AL86-'Scoring Setup'!$K$24)/(100-'Scoring Setup'!$K$24)))),1),"")</x:f>
        <x:v>0.9094545454545454</x:v>
      </x:c>
      <x:c r="BE86" s="27" t="n">
        <x:f>IF(ISNUMBER(AM86),IF('Scoring Setup'!$L$25=1,1-'Scoring Setup'!$B$5*(1-MAX(0,MIN(1,(AM86-'Scoring Setup'!$K$25)/(100-'Scoring Setup'!$K$25)))),1),"")</x:f>
        <x:v>0.8549228700052378</x:v>
      </x:c>
      <x:c r="BF86" s="27" t="n">
        <x:f>IF(ISNUMBER(AN86),IF('Scoring Setup'!$L$26=1,1-'Scoring Setup'!$B$5*(1-MAX(0,MIN(1,(AN86-'Scoring Setup'!$K$26)/(100-'Scoring Setup'!$K$26)))),1),"")</x:f>
        <x:v>0.977621005370185</x:v>
      </x:c>
      <x:c r="BG86" s="34" t="n">
        <x:f>IF(COUNT(W86,X86)=2,AVERAGE(W86,X86),"")</x:f>
        <x:v>22.285714285714292</x:v>
      </x:c>
      <x:c r="BH86" s="34" t="n">
        <x:f>IF(COUNT(Y86,Z86)=2,AVERAGE(Y86,Z86),"")</x:f>
        <x:v>35.23089043619716</x:v>
      </x:c>
      <x:c r="BI86" s="34" t="n">
        <x:f>IF(COUNT(AA86,AB86,AC86)=3,AVERAGE(AA86,AB86,AC86),"")</x:f>
        <x:v>97.3599500476608</x:v>
      </x:c>
      <x:c r="BJ86" s="34" t="n">
        <x:f>IF(COUNT(AD86,AE86)=2,AVERAGE(AD86,AE86),"")</x:f>
        <x:v>22.183296455357137</x:v>
      </x:c>
      <x:c r="BK86" s="34" t="n">
        <x:f>IF(COUNT(AF86,AG86)=2,AVERAGE(AF86,AG86),"")</x:f>
        <x:v>56.227545545646606</x:v>
      </x:c>
      <x:c r="BL86" s="34" t="n">
        <x:f>IF(COUNT(AH86,AI86)=2,AVERAGE(AH86,AI86),"")</x:f>
        <x:v>94.53718898409889</x:v>
      </x:c>
      <x:c r="BM86" s="34" t="n">
        <x:f>IF(COUNT(AJ86,AK86)=2,AVERAGE(AJ86,AK86),"")</x:f>
        <x:v>94.78639370041675</x:v>
      </x:c>
      <x:c r="BN86" s="34" t="n">
        <x:f>IF(COUNT(AL86,AM86,AN86)=3,AVERAGE(AL86,AM86,AN86),"")</x:f>
        <x:v>56.999736804994704</x:v>
      </x:c>
      <x:c r="BO86" s="35" t="n">
        <x:f>IF(AND(COUNT(BG86:BN86)=8,ABS('Scoring Setup'!$C$17-1)&lt;0.000001),BG86*'Scoring Setup'!$C$9+BH86*'Scoring Setup'!$C$10+BI86*'Scoring Setup'!$C$11+BJ86*'Scoring Setup'!$C$12+BK86*'Scoring Setup'!$C$13+BL86*'Scoring Setup'!$C$14+BM86*'Scoring Setup'!$C$15+BN86*'Scoring Setup'!$C$16,"")</x:f>
        <x:v>53.41792889640151</x:v>
      </x:c>
      <x:c r="BP86" s="36" t="n">
        <x:f>IF(COUNT(AO86:BF86)=18,MIN(AO86:BF86),"")</x:f>
        <x:v>0.8</x:v>
      </x:c>
      <x:c r="BQ86" s="35" t="n">
        <x:f>IF(AND(ISNUMBER(BO86),ISNUMBER(BP86)),BO86*BP86,"")</x:f>
        <x:v>42.73434311712121</x:v>
      </x:c>
      <x:c r="BR86" s="17" t="str">
        <x:f>IF(COUNT(AO86:BF86)=18,INDEX('Scoring Setup'!$F$9:$F$26,MATCH(MIN(AO86:BF86),AO86:BF86,0),1),"")</x:f>
        <x:v>洪水损失率全国百分位</x:v>
      </x:c>
    </x:row>
    <x:row r="87">
      <x:c r="A87" s="28" t="str">
        <x:v>51173</x:v>
      </x:c>
      <x:c r="B87" s="28" t="str">
        <x:v>Smyth County</x:v>
      </x:c>
      <x:c r="C87" s="28" t="str">
        <x:v>VA</x:v>
      </x:c>
      <x:c r="D87" s="31" t="n">
        <x:v>1169.221995</x:v>
      </x:c>
      <x:c r="E87" s="32" t="n">
        <x:v>0.661</x:v>
      </x:c>
      <x:c r="F87" s="32" t="n">
        <x:v>0.765470297029703</x:v>
      </x:c>
      <x:c r="G87" s="32" t="n">
        <x:v>1.3152730179650496</x:v>
      </x:c>
      <x:c r="H87" s="32" t="n">
        <x:v>1.5792602877822206</x:v>
      </x:c>
      <x:c r="I87" s="32" t="n">
        <x:v>0.9611191838139066</x:v>
      </x:c>
      <x:c r="J87" s="32" t="n">
        <x:v>0.07533539278874819</x:v>
      </x:c>
      <x:c r="K87" s="32" t="n">
        <x:v>0.0010775266194387953</x:v>
      </x:c>
      <x:c r="L87" s="32" t="n">
        <x:v>0.984772452</x:v>
      </x:c>
      <x:c r="M87" s="32" t="n">
        <x:v>0.984772452</x:v>
      </x:c>
      <x:c r="N87" s="32" t="n">
        <x:v>11902</x:v>
      </x:c>
      <x:c r="O87" s="32" t="n">
        <x:v>0.6841</x:v>
      </x:c>
      <x:c r="P87" s="32" t="n">
        <x:v>344.62285970052085</x:v>
      </x:c>
      <x:c r="Q87" s="32" t="n">
        <x:v>1.0789788703123728</x:v>
      </x:c>
      <x:c r="R87" s="32" t="n">
        <x:v>2.2460858803418002</x:v>
      </x:c>
      <x:c r="S87" s="32" t="n">
        <x:v>1.606260521830938</x:v>
      </x:c>
      <x:c r="T87" s="32" t="n">
        <x:v>89.9</x:v>
      </x:c>
      <x:c r="U87" s="32" t="n">
        <x:v>245.07712999476223</x:v>
      </x:c>
      <x:c r="V87" s="32" t="n">
        <x:v>244.75798925963002</x:v>
      </x:c>
      <x:c r="W87" s="33" t="n">
        <x:f>IF(ISNUMBER(E87),100*MAX(0,MIN(1,('Anchors'!$H$6-E87)/('Anchors'!$H$6-'Anchors'!$G$6))),"")</x:f>
        <x:v>34.14285714285714</x:v>
      </x:c>
      <x:c r="X87" s="33" t="n">
        <x:f>IF(ISNUMBER(F87),100*MAX(0,MIN(1,('Anchors'!$H$7-F87)/('Anchors'!$H$7-'Anchors'!$G$7))),"")</x:f>
        <x:v>4.932814710042429</x:v>
      </x:c>
      <x:c r="Y87" s="33" t="n">
        <x:f>IF(ISNUMBER(G87),100*MAX(0,MIN(1,('Anchors'!$H$8-G87)/('Anchors'!$H$8-'Anchors'!$G$8))),"")</x:f>
        <x:v>89.49089940116502</x:v>
      </x:c>
      <x:c r="Z87" s="33" t="n">
        <x:f>IF(ISNUMBER(H87),100*MAX(0,MIN(1,('Anchors'!$H$9-H87)/('Anchors'!$H$9-'Anchors'!$G$9))),"")</x:f>
        <x:v>80.69132374059264</x:v>
      </x:c>
      <x:c r="AA87" s="33" t="n">
        <x:f>IF(ISNUMBER(I87),100*MAX(0,MIN(1,(I87-'Anchors'!$H$10)/('Anchors'!$G$10-'Anchors'!$H$10))),"")</x:f>
        <x:v>97.41358682382283</x:v>
      </x:c>
      <x:c r="AB87" s="33" t="n">
        <x:f>IF(ISNUMBER(J87),100*MAX(0,MIN(1,('Anchors'!$H$11-J87)/('Anchors'!$H$11-'Anchors'!$G$11))),"")</x:f>
        <x:v>69.86584288450072</x:v>
      </x:c>
      <x:c r="AC87" s="33" t="n">
        <x:f>IF(ISNUMBER(K87),100*MAX(0,MIN(1,('Anchors'!$H$12-K87)/('Anchors'!$H$12-'Anchors'!$G$12))),"")</x:f>
        <x:v>99.73061834514031</x:v>
      </x:c>
      <x:c r="AD87" s="33" t="n">
        <x:f>IF(ISNUMBER(L87),100*MAX(0,MIN(1,(L87-'Anchors'!$H$13)/('Anchors'!$G$13-'Anchors'!$H$13))),"")</x:f>
        <x:v>100</x:v>
      </x:c>
      <x:c r="AE87" s="33" t="n">
        <x:f>IF(ISNUMBER(M87),100*MAX(0,MIN(1,(M87-'Anchors'!$H$14)/('Anchors'!$G$14-'Anchors'!$H$14))),"")</x:f>
        <x:v>100</x:v>
      </x:c>
      <x:c r="AF87" s="33" t="n">
        <x:f>IF(ISNUMBER(N87),100*MAX(0,MIN(1,(LN(1+N87)-LN(1+'Anchors'!$H$15))/(LN(1+'Anchors'!$G$15)-LN(1+'Anchors'!$H$15)))),"")</x:f>
        <x:v>41.30520078820176</x:v>
      </x:c>
      <x:c r="AG87" s="33" t="n">
        <x:f>IF(ISNUMBER(O87),100*MAX(0,MIN(1,('Anchors'!$H$16-O87)/('Anchors'!$H$16-'Anchors'!$G$16))),"")</x:f>
        <x:v>29.54444444444444</x:v>
      </x:c>
      <x:c r="AH87" s="33" t="n">
        <x:f>IF(ISNUMBER(P87),100*MAX(0,MIN(1,('Anchors'!$H$17-P87)/('Anchors'!$H$17-'Anchors'!$G$17))),"")</x:f>
        <x:v>100</x:v>
      </x:c>
      <x:c r="AI87" s="33" t="n">
        <x:f>IF(ISNUMBER(Q87),100*MAX(0,MIN(1,('Anchors'!$H$18-Q87)/('Anchors'!$H$18-'Anchors'!$G$18))),"")</x:f>
        <x:v>100</x:v>
      </x:c>
      <x:c r="AJ87" s="33" t="n">
        <x:f>IF(ISNUMBER(R87),100*MAX(0,MIN(1,('Anchors'!$H$19-R87)/('Anchors'!$H$19-'Anchors'!$G$19))),"")</x:f>
        <x:v>100</x:v>
      </x:c>
      <x:c r="AK87" s="33" t="n">
        <x:f>IF(ISNUMBER(S87),100*MAX(0,MIN(1,('Anchors'!$H$20-S87)/('Anchors'!$H$20-'Anchors'!$G$20))),"")</x:f>
        <x:v>96.80915514825823</x:v>
      </x:c>
      <x:c r="AL87" s="33" t="n">
        <x:f>IF(ISNUMBER(T87),100*MAX(0,MIN(1,('Anchors'!$H$21-T87)/('Anchors'!$H$21-'Anchors'!$G$21))),"")</x:f>
        <x:v>54.72727272727271</x:v>
      </x:c>
      <x:c r="AM87" s="33" t="n">
        <x:f>IF(ISNUMBER(U87),100*MAX(0,MIN(1,('Anchors'!$H$22-U87)/('Anchors'!$H$22-'Anchors'!$G$22))),"")</x:f>
        <x:v>27.461435002618884</x:v>
      </x:c>
      <x:c r="AN87" s="33" t="n">
        <x:f>IF(ISNUMBER(V87),100*MAX(0,MIN(1,('Anchors'!$H$23-V87)/('Anchors'!$H$23-'Anchors'!$G$23))),"")</x:f>
        <x:v>88.8105026850925</x:v>
      </x:c>
      <x:c r="AO87" s="27" t="n">
        <x:f>IF(ISNUMBER(W87),IF('Scoring Setup'!$L$9=1,1-'Scoring Setup'!$B$5*(1-MAX(0,MIN(1,(W87-'Scoring Setup'!$K$9)/(100-'Scoring Setup'!$K$9)))),1),"")</x:f>
        <x:v>0.8682857142857143</x:v>
      </x:c>
      <x:c r="AP87" s="27" t="n">
        <x:f>IF(ISNUMBER(X87),IF('Scoring Setup'!$L$10=1,1-'Scoring Setup'!$B$5*(1-MAX(0,MIN(1,(X87-'Scoring Setup'!$K$10)/(100-'Scoring Setup'!$K$10)))),1),"")</x:f>
        <x:v>0.8098656294200849</x:v>
      </x:c>
      <x:c r="AQ87" s="27" t="n">
        <x:f>IF(ISNUMBER(Y87),IF('Scoring Setup'!$L$11=1,1-'Scoring Setup'!$B$5*(1-MAX(0,MIN(1,(Y87-'Scoring Setup'!$K$11)/(100-'Scoring Setup'!$K$11)))),1),"")</x:f>
        <x:v>0.97898179880233</x:v>
      </x:c>
      <x:c r="AR87" s="27" t="n">
        <x:f>IF(ISNUMBER(Z87),IF('Scoring Setup'!$L$12=1,1-'Scoring Setup'!$B$5*(1-MAX(0,MIN(1,(Z87-'Scoring Setup'!$K$12)/(100-'Scoring Setup'!$K$12)))),1),"")</x:f>
        <x:v>0.9613826474811853</x:v>
      </x:c>
      <x:c r="AS87" s="27" t="n">
        <x:f>IF(ISNUMBER(AA87),IF('Scoring Setup'!$L$13=1,1-'Scoring Setup'!$B$5*(1-MAX(0,MIN(1,(AA87-'Scoring Setup'!$K$13)/(100-'Scoring Setup'!$K$13)))),1),"")</x:f>
        <x:v>0.9948271736476456</x:v>
      </x:c>
      <x:c r="AT87" s="27" t="n">
        <x:f>IF(ISNUMBER(AB87),IF('Scoring Setup'!$L$14=1,1-'Scoring Setup'!$B$5*(1-MAX(0,MIN(1,(AB87-'Scoring Setup'!$K$14)/(100-'Scoring Setup'!$K$14)))),1),"")</x:f>
        <x:v>0.9397316857690015</x:v>
      </x:c>
      <x:c r="AU87" s="27" t="n">
        <x:f>IF(ISNUMBER(AC87),IF('Scoring Setup'!$L$15=1,1-'Scoring Setup'!$B$5*(1-MAX(0,MIN(1,(AC87-'Scoring Setup'!$K$15)/(100-'Scoring Setup'!$K$15)))),1),"")</x:f>
        <x:v>0.9994612366902806</x:v>
      </x:c>
      <x:c r="AV87" s="27" t="n">
        <x:f>IF(ISNUMBER(AD87),IF('Scoring Setup'!$L$16=1,1-'Scoring Setup'!$B$5*(1-MAX(0,MIN(1,(AD87-'Scoring Setup'!$K$16)/(100-'Scoring Setup'!$K$16)))),1),"")</x:f>
        <x:v>1</x:v>
      </x:c>
      <x:c r="AW87" s="27" t="n">
        <x:f>IF(ISNUMBER(AE87),IF('Scoring Setup'!$L$17=1,1-'Scoring Setup'!$B$5*(1-MAX(0,MIN(1,(AE87-'Scoring Setup'!$K$17)/(100-'Scoring Setup'!$K$17)))),1),"")</x:f>
        <x:v>1</x:v>
      </x:c>
      <x:c r="AX87" s="27" t="n">
        <x:f>IF(ISNUMBER(AF87),IF('Scoring Setup'!$L$18=1,1-'Scoring Setup'!$B$5*(1-MAX(0,MIN(1,(AF87-'Scoring Setup'!$K$18)/(100-'Scoring Setup'!$K$18)))),1),"")</x:f>
        <x:v>0.8826104015764035</x:v>
      </x:c>
      <x:c r="AY87" s="27" t="n">
        <x:f>IF(ISNUMBER(AG87),IF('Scoring Setup'!$L$19=1,1-'Scoring Setup'!$B$5*(1-MAX(0,MIN(1,(AG87-'Scoring Setup'!$K$19)/(100-'Scoring Setup'!$K$19)))),1),"")</x:f>
        <x:v>0.8590888888888889</x:v>
      </x:c>
      <x:c r="AZ87" s="27" t="n">
        <x:f>IF(ISNUMBER(AH87),IF('Scoring Setup'!$L$20=1,1-'Scoring Setup'!$B$5*(1-MAX(0,MIN(1,(AH87-'Scoring Setup'!$K$20)/(100-'Scoring Setup'!$K$20)))),1),"")</x:f>
        <x:v>1</x:v>
      </x:c>
      <x:c r="BA87" s="27" t="n">
        <x:f>IF(ISNUMBER(AI87),IF('Scoring Setup'!$L$21=1,1-'Scoring Setup'!$B$5*(1-MAX(0,MIN(1,(AI87-'Scoring Setup'!$K$21)/(100-'Scoring Setup'!$K$21)))),1),"")</x:f>
        <x:v>1</x:v>
      </x:c>
      <x:c r="BB87" s="27" t="n">
        <x:f>IF(ISNUMBER(AJ87),IF('Scoring Setup'!$L$22=1,1-'Scoring Setup'!$B$5*(1-MAX(0,MIN(1,(AJ87-'Scoring Setup'!$K$22)/(100-'Scoring Setup'!$K$22)))),1),"")</x:f>
        <x:v>1</x:v>
      </x:c>
      <x:c r="BC87" s="27" t="n">
        <x:f>IF(ISNUMBER(AK87),IF('Scoring Setup'!$L$23=1,1-'Scoring Setup'!$B$5*(1-MAX(0,MIN(1,(AK87-'Scoring Setup'!$K$23)/(100-'Scoring Setup'!$K$23)))),1),"")</x:f>
        <x:v>0.9936183102965165</x:v>
      </x:c>
      <x:c r="BD87" s="27" t="n">
        <x:f>IF(ISNUMBER(AL87),IF('Scoring Setup'!$L$24=1,1-'Scoring Setup'!$B$5*(1-MAX(0,MIN(1,(AL87-'Scoring Setup'!$K$24)/(100-'Scoring Setup'!$K$24)))),1),"")</x:f>
        <x:v>0.9094545454545454</x:v>
      </x:c>
      <x:c r="BE87" s="27" t="n">
        <x:f>IF(ISNUMBER(AM87),IF('Scoring Setup'!$L$25=1,1-'Scoring Setup'!$B$5*(1-MAX(0,MIN(1,(AM87-'Scoring Setup'!$K$25)/(100-'Scoring Setup'!$K$25)))),1),"")</x:f>
        <x:v>0.8549228700052378</x:v>
      </x:c>
      <x:c r="BF87" s="27" t="n">
        <x:f>IF(ISNUMBER(AN87),IF('Scoring Setup'!$L$26=1,1-'Scoring Setup'!$B$5*(1-MAX(0,MIN(1,(AN87-'Scoring Setup'!$K$26)/(100-'Scoring Setup'!$K$26)))),1),"")</x:f>
        <x:v>0.977621005370185</x:v>
      </x:c>
      <x:c r="BG87" s="34" t="n">
        <x:f>IF(COUNT(W87,X87)=2,AVERAGE(W87,X87),"")</x:f>
        <x:v>19.537835926449784</x:v>
      </x:c>
      <x:c r="BH87" s="34" t="n">
        <x:f>IF(COUNT(Y87,Z87)=2,AVERAGE(Y87,Z87),"")</x:f>
        <x:v>85.09111157087884</x:v>
      </x:c>
      <x:c r="BI87" s="34" t="n">
        <x:f>IF(COUNT(AA87,AB87,AC87)=3,AVERAGE(AA87,AB87,AC87),"")</x:f>
        <x:v>89.00334935115463</x:v>
      </x:c>
      <x:c r="BJ87" s="34" t="n">
        <x:f>IF(COUNT(AD87,AE87)=2,AVERAGE(AD87,AE87),"")</x:f>
        <x:v>100</x:v>
      </x:c>
      <x:c r="BK87" s="34" t="n">
        <x:f>IF(COUNT(AF87,AG87)=2,AVERAGE(AF87,AG87),"")</x:f>
        <x:v>35.4248226163231</x:v>
      </x:c>
      <x:c r="BL87" s="34" t="n">
        <x:f>IF(COUNT(AH87,AI87)=2,AVERAGE(AH87,AI87),"")</x:f>
        <x:v>100</x:v>
      </x:c>
      <x:c r="BM87" s="34" t="n">
        <x:f>IF(COUNT(AJ87,AK87)=2,AVERAGE(AJ87,AK87),"")</x:f>
        <x:v>98.40457757412912</x:v>
      </x:c>
      <x:c r="BN87" s="34" t="n">
        <x:f>IF(COUNT(AL87,AM87,AN87)=3,AVERAGE(AL87,AM87,AN87),"")</x:f>
        <x:v>56.999736804994704</x:v>
      </x:c>
      <x:c r="BO87" s="35" t="n">
        <x:f>IF(AND(COUNT(BG87:BN87)=8,ABS('Scoring Setup'!$C$17-1)&lt;0.000001),BG87*'Scoring Setup'!$C$9+BH87*'Scoring Setup'!$C$10+BI87*'Scoring Setup'!$C$11+BJ87*'Scoring Setup'!$C$12+BK87*'Scoring Setup'!$C$13+BL87*'Scoring Setup'!$C$14+BM87*'Scoring Setup'!$C$15+BN87*'Scoring Setup'!$C$16,"")</x:f>
        <x:v>68.43497302377338</x:v>
      </x:c>
      <x:c r="BP87" s="36" t="n">
        <x:f>IF(COUNT(AO87:BF87)=18,MIN(AO87:BF87),"")</x:f>
        <x:v>0.8098656294200849</x:v>
      </x:c>
      <x:c r="BQ87" s="35" t="n">
        <x:f>IF(AND(ISNUMBER(BO87),ISNUMBER(BP87)),BO87*BP87,"")</x:f>
        <x:v>55.42313250224476</x:v>
      </x:c>
      <x:c r="BR87" s="17" t="str">
        <x:f>IF(COUNT(AO87:BF87)=18,INDEX('Scoring Setup'!$F$9:$F$26,MATCH(MIN(AO87:BF87),AO87:BF87,0),1),"")</x:f>
        <x:v>洪水损失率全国百分位</x:v>
      </x:c>
    </x:row>
    <x:row r="88">
      <x:c r="A88" s="28" t="str">
        <x:v>51175</x:v>
      </x:c>
      <x:c r="B88" s="28" t="str">
        <x:v>Southampton County</x:v>
      </x:c>
      <x:c r="C88" s="28" t="str">
        <x:v>VA</x:v>
      </x:c>
      <x:c r="D88" s="31" t="n">
        <x:v>1552.048348</x:v>
      </x:c>
      <x:c r="E88" s="32" t="n">
        <x:v>0.344</x:v>
      </x:c>
      <x:c r="F88" s="32" t="n">
        <x:v>0.49009900990099</x:v>
      </x:c>
      <x:c r="G88" s="32" t="n">
        <x:v>3.7205495379841897</x:v>
      </x:c>
      <x:c r="H88" s="32" t="n">
        <x:v>4.058068907</x:v>
      </x:c>
      <x:c r="I88" s="32" t="n">
        <x:v>0.956386460918672</x:v>
      </x:c>
      <x:c r="J88" s="32" t="n">
        <x:v>0.005832010856242285</x:v>
      </x:c>
      <x:c r="K88" s="32" t="n">
        <x:v>0.22124697301443091</x:v>
      </x:c>
      <x:c r="L88" s="32" t="n">
        <x:v>0.512346339</x:v>
      </x:c>
      <x:c r="M88" s="32" t="n">
        <x:v>0.512346339</x:v>
      </x:c>
      <x:c r="N88" s="32" t="n">
        <x:v>7901</x:v>
      </x:c>
      <x:c r="O88" s="32" t="n">
        <x:v>0.4279</x:v>
      </x:c>
      <x:c r="P88" s="32" t="n">
        <x:v>1373.9895629882812</x:v>
      </x:c>
      <x:c r="Q88" s="32" t="n">
        <x:v>32.37005469004313</x:v>
      </x:c>
      <x:c r="R88" s="32" t="n">
        <x:v>31.815078215243535</x:v>
      </x:c>
      <x:c r="S88" s="32" t="n">
        <x:v>0.4632256865721155</x:v>
      </x:c>
      <x:c r="T88" s="32" t="n">
        <x:v>89.9</x:v>
      </x:c>
      <x:c r="U88" s="32" t="n">
        <x:v>245.07712999476223</x:v>
      </x:c>
      <x:c r="V88" s="32" t="n">
        <x:v>244.75798925963002</x:v>
      </x:c>
      <x:c r="W88" s="33" t="n">
        <x:f>IF(ISNUMBER(E88),100*MAX(0,MIN(1,('Anchors'!$H$6-E88)/('Anchors'!$H$6-'Anchors'!$G$6))),"")</x:f>
        <x:v>79.42857142857143</x:v>
      </x:c>
      <x:c r="X88" s="33" t="n">
        <x:f>IF(ISNUMBER(F88),100*MAX(0,MIN(1,('Anchors'!$H$7-F88)/('Anchors'!$H$7-'Anchors'!$G$7))),"")</x:f>
        <x:v>44.27157001414429</x:v>
      </x:c>
      <x:c r="Y88" s="33" t="n">
        <x:f>IF(ISNUMBER(G88),100*MAX(0,MIN(1,('Anchors'!$H$8-G88)/('Anchors'!$H$8-'Anchors'!$G$8))),"")</x:f>
        <x:v>9.31501540052701</x:v>
      </x:c>
      <x:c r="Z88" s="33" t="n">
        <x:f>IF(ISNUMBER(H88),100*MAX(0,MIN(1,('Anchors'!$H$9-H88)/('Anchors'!$H$9-'Anchors'!$G$9))),"")</x:f>
        <x:v>0</x:v>
      </x:c>
      <x:c r="AA88" s="33" t="n">
        <x:f>IF(ISNUMBER(I88),100*MAX(0,MIN(1,(I88-'Anchors'!$H$10)/('Anchors'!$G$10-'Anchors'!$H$10))),"")</x:f>
        <x:v>96.76526861899616</x:v>
      </x:c>
      <x:c r="AB88" s="33" t="n">
        <x:f>IF(ISNUMBER(J88),100*MAX(0,MIN(1,('Anchors'!$H$11-J88)/('Anchors'!$H$11-'Anchors'!$G$11))),"")</x:f>
        <x:v>97.66719565750309</x:v>
      </x:c>
      <x:c r="AC88" s="33" t="n">
        <x:f>IF(ISNUMBER(K88),100*MAX(0,MIN(1,('Anchors'!$H$12-K88)/('Anchors'!$H$12-'Anchors'!$G$12))),"")</x:f>
        <x:v>44.68825674639228</x:v>
      </x:c>
      <x:c r="AD88" s="33" t="n">
        <x:f>IF(ISNUMBER(L88),100*MAX(0,MIN(1,(L88-'Anchors'!$H$13)/('Anchors'!$G$13-'Anchors'!$H$13))),"")</x:f>
        <x:v>44.62090557142858</x:v>
      </x:c>
      <x:c r="AE88" s="33" t="n">
        <x:f>IF(ISNUMBER(M88),100*MAX(0,MIN(1,(M88-'Anchors'!$H$14)/('Anchors'!$G$14-'Anchors'!$H$14))),"")</x:f>
        <x:v>51.54329237500001</x:v>
      </x:c>
      <x:c r="AF88" s="33" t="n">
        <x:f>IF(ISNUMBER(N88),100*MAX(0,MIN(1,(LN(1+N88)-LN(1+'Anchors'!$H$15))/(LN(1+'Anchors'!$G$15)-LN(1+'Anchors'!$H$15)))),"")</x:f>
        <x:v>31.81539164553049</x:v>
      </x:c>
      <x:c r="AG88" s="33" t="n">
        <x:f>IF(ISNUMBER(O88),100*MAX(0,MIN(1,('Anchors'!$H$16-O88)/('Anchors'!$H$16-'Anchors'!$G$16))),"")</x:f>
        <x:v>58.01111111111111</x:v>
      </x:c>
      <x:c r="AH88" s="33" t="n">
        <x:f>IF(ISNUMBER(P88),100*MAX(0,MIN(1,('Anchors'!$H$17-P88)/('Anchors'!$H$17-'Anchors'!$G$17))),"")</x:f>
        <x:v>55.067362467447914</x:v>
      </x:c>
      <x:c r="AI88" s="33" t="n">
        <x:f>IF(ISNUMBER(Q88),100*MAX(0,MIN(1,('Anchors'!$H$18-Q88)/('Anchors'!$H$18-'Anchors'!$G$18))),"")</x:f>
        <x:v>60.899921871366956</x:v>
      </x:c>
      <x:c r="AJ88" s="33" t="n">
        <x:f>IF(ISNUMBER(R88),100*MAX(0,MIN(1,('Anchors'!$H$19-R88)/('Anchors'!$H$19-'Anchors'!$G$19))),"")</x:f>
        <x:v>40.41093729945881</x:v>
      </x:c>
      <x:c r="AK88" s="33" t="n">
        <x:f>IF(ISNUMBER(S88),100*MAX(0,MIN(1,('Anchors'!$H$20-S88)/('Anchors'!$H$20-'Anchors'!$G$20))),"")</x:f>
        <x:v>100</x:v>
      </x:c>
      <x:c r="AL88" s="33" t="n">
        <x:f>IF(ISNUMBER(T88),100*MAX(0,MIN(1,('Anchors'!$H$21-T88)/('Anchors'!$H$21-'Anchors'!$G$21))),"")</x:f>
        <x:v>54.72727272727271</x:v>
      </x:c>
      <x:c r="AM88" s="33" t="n">
        <x:f>IF(ISNUMBER(U88),100*MAX(0,MIN(1,('Anchors'!$H$22-U88)/('Anchors'!$H$22-'Anchors'!$G$22))),"")</x:f>
        <x:v>27.461435002618884</x:v>
      </x:c>
      <x:c r="AN88" s="33" t="n">
        <x:f>IF(ISNUMBER(V88),100*MAX(0,MIN(1,('Anchors'!$H$23-V88)/('Anchors'!$H$23-'Anchors'!$G$23))),"")</x:f>
        <x:v>88.8105026850925</x:v>
      </x:c>
      <x:c r="AO88" s="27" t="n">
        <x:f>IF(ISNUMBER(W88),IF('Scoring Setup'!$L$9=1,1-'Scoring Setup'!$B$5*(1-MAX(0,MIN(1,(W88-'Scoring Setup'!$K$9)/(100-'Scoring Setup'!$K$9)))),1),"")</x:f>
        <x:v>0.9588571428571429</x:v>
      </x:c>
      <x:c r="AP88" s="27" t="n">
        <x:f>IF(ISNUMBER(X88),IF('Scoring Setup'!$L$10=1,1-'Scoring Setup'!$B$5*(1-MAX(0,MIN(1,(X88-'Scoring Setup'!$K$10)/(100-'Scoring Setup'!$K$10)))),1),"")</x:f>
        <x:v>0.8885431400282886</x:v>
      </x:c>
      <x:c r="AQ88" s="27" t="n">
        <x:f>IF(ISNUMBER(Y88),IF('Scoring Setup'!$L$11=1,1-'Scoring Setup'!$B$5*(1-MAX(0,MIN(1,(Y88-'Scoring Setup'!$K$11)/(100-'Scoring Setup'!$K$11)))),1),"")</x:f>
        <x:v>0.818630030801054</x:v>
      </x:c>
      <x:c r="AR88" s="27" t="n">
        <x:f>IF(ISNUMBER(Z88),IF('Scoring Setup'!$L$12=1,1-'Scoring Setup'!$B$5*(1-MAX(0,MIN(1,(Z88-'Scoring Setup'!$K$12)/(100-'Scoring Setup'!$K$12)))),1),"")</x:f>
        <x:v>0.8</x:v>
      </x:c>
      <x:c r="AS88" s="27" t="n">
        <x:f>IF(ISNUMBER(AA88),IF('Scoring Setup'!$L$13=1,1-'Scoring Setup'!$B$5*(1-MAX(0,MIN(1,(AA88-'Scoring Setup'!$K$13)/(100-'Scoring Setup'!$K$13)))),1),"")</x:f>
        <x:v>0.9935305372379923</x:v>
      </x:c>
      <x:c r="AT88" s="27" t="n">
        <x:f>IF(ISNUMBER(AB88),IF('Scoring Setup'!$L$14=1,1-'Scoring Setup'!$B$5*(1-MAX(0,MIN(1,(AB88-'Scoring Setup'!$K$14)/(100-'Scoring Setup'!$K$14)))),1),"")</x:f>
        <x:v>0.9953343913150061</x:v>
      </x:c>
      <x:c r="AU88" s="27" t="n">
        <x:f>IF(ISNUMBER(AC88),IF('Scoring Setup'!$L$15=1,1-'Scoring Setup'!$B$5*(1-MAX(0,MIN(1,(AC88-'Scoring Setup'!$K$15)/(100-'Scoring Setup'!$K$15)))),1),"")</x:f>
        <x:v>0.8893765134927846</x:v>
      </x:c>
      <x:c r="AV88" s="27" t="n">
        <x:f>IF(ISNUMBER(AD88),IF('Scoring Setup'!$L$16=1,1-'Scoring Setup'!$B$5*(1-MAX(0,MIN(1,(AD88-'Scoring Setup'!$K$16)/(100-'Scoring Setup'!$K$16)))),1),"")</x:f>
        <x:v>0.8892418111428572</x:v>
      </x:c>
      <x:c r="AW88" s="27" t="n">
        <x:f>IF(ISNUMBER(AE88),IF('Scoring Setup'!$L$17=1,1-'Scoring Setup'!$B$5*(1-MAX(0,MIN(1,(AE88-'Scoring Setup'!$K$17)/(100-'Scoring Setup'!$K$17)))),1),"")</x:f>
        <x:v>0.90308658475</x:v>
      </x:c>
      <x:c r="AX88" s="27" t="n">
        <x:f>IF(ISNUMBER(AF88),IF('Scoring Setup'!$L$18=1,1-'Scoring Setup'!$B$5*(1-MAX(0,MIN(1,(AF88-'Scoring Setup'!$K$18)/(100-'Scoring Setup'!$K$18)))),1),"")</x:f>
        <x:v>0.863630783291061</x:v>
      </x:c>
      <x:c r="AY88" s="27" t="n">
        <x:f>IF(ISNUMBER(AG88),IF('Scoring Setup'!$L$19=1,1-'Scoring Setup'!$B$5*(1-MAX(0,MIN(1,(AG88-'Scoring Setup'!$K$19)/(100-'Scoring Setup'!$K$19)))),1),"")</x:f>
        <x:v>0.9160222222222222</x:v>
      </x:c>
      <x:c r="AZ88" s="27" t="n">
        <x:f>IF(ISNUMBER(AH88),IF('Scoring Setup'!$L$20=1,1-'Scoring Setup'!$B$5*(1-MAX(0,MIN(1,(AH88-'Scoring Setup'!$K$20)/(100-'Scoring Setup'!$K$20)))),1),"")</x:f>
        <x:v>0.9101347249348958</x:v>
      </x:c>
      <x:c r="BA88" s="27" t="n">
        <x:f>IF(ISNUMBER(AI88),IF('Scoring Setup'!$L$21=1,1-'Scoring Setup'!$B$5*(1-MAX(0,MIN(1,(AI88-'Scoring Setup'!$K$21)/(100-'Scoring Setup'!$K$21)))),1),"")</x:f>
        <x:v>0.9217998437427339</x:v>
      </x:c>
      <x:c r="BB88" s="27" t="n">
        <x:f>IF(ISNUMBER(AJ88),IF('Scoring Setup'!$L$22=1,1-'Scoring Setup'!$B$5*(1-MAX(0,MIN(1,(AJ88-'Scoring Setup'!$K$22)/(100-'Scoring Setup'!$K$22)))),1),"")</x:f>
        <x:v>0.8808218745989176</x:v>
      </x:c>
      <x:c r="BC88" s="27" t="n">
        <x:f>IF(ISNUMBER(AK88),IF('Scoring Setup'!$L$23=1,1-'Scoring Setup'!$B$5*(1-MAX(0,MIN(1,(AK88-'Scoring Setup'!$K$23)/(100-'Scoring Setup'!$K$23)))),1),"")</x:f>
        <x:v>1</x:v>
      </x:c>
      <x:c r="BD88" s="27" t="n">
        <x:f>IF(ISNUMBER(AL88),IF('Scoring Setup'!$L$24=1,1-'Scoring Setup'!$B$5*(1-MAX(0,MIN(1,(AL88-'Scoring Setup'!$K$24)/(100-'Scoring Setup'!$K$24)))),1),"")</x:f>
        <x:v>0.9094545454545454</x:v>
      </x:c>
      <x:c r="BE88" s="27" t="n">
        <x:f>IF(ISNUMBER(AM88),IF('Scoring Setup'!$L$25=1,1-'Scoring Setup'!$B$5*(1-MAX(0,MIN(1,(AM88-'Scoring Setup'!$K$25)/(100-'Scoring Setup'!$K$25)))),1),"")</x:f>
        <x:v>0.8549228700052378</x:v>
      </x:c>
      <x:c r="BF88" s="27" t="n">
        <x:f>IF(ISNUMBER(AN88),IF('Scoring Setup'!$L$26=1,1-'Scoring Setup'!$B$5*(1-MAX(0,MIN(1,(AN88-'Scoring Setup'!$K$26)/(100-'Scoring Setup'!$K$26)))),1),"")</x:f>
        <x:v>0.977621005370185</x:v>
      </x:c>
      <x:c r="BG88" s="34" t="n">
        <x:f>IF(COUNT(W88,X88)=2,AVERAGE(W88,X88),"")</x:f>
        <x:v>61.85007072135786</x:v>
      </x:c>
      <x:c r="BH88" s="34" t="n">
        <x:f>IF(COUNT(Y88,Z88)=2,AVERAGE(Y88,Z88),"")</x:f>
        <x:v>4.657507700263505</x:v>
      </x:c>
      <x:c r="BI88" s="34" t="n">
        <x:f>IF(COUNT(AA88,AB88,AC88)=3,AVERAGE(AA88,AB88,AC88),"")</x:f>
        <x:v>79.7069070076305</x:v>
      </x:c>
      <x:c r="BJ88" s="34" t="n">
        <x:f>IF(COUNT(AD88,AE88)=2,AVERAGE(AD88,AE88),"")</x:f>
        <x:v>48.08209897321429</x:v>
      </x:c>
      <x:c r="BK88" s="34" t="n">
        <x:f>IF(COUNT(AF88,AG88)=2,AVERAGE(AF88,AG88),"")</x:f>
        <x:v>44.9132513783208</x:v>
      </x:c>
      <x:c r="BL88" s="34" t="n">
        <x:f>IF(COUNT(AH88,AI88)=2,AVERAGE(AH88,AI88),"")</x:f>
        <x:v>57.98364216940743</x:v>
      </x:c>
      <x:c r="BM88" s="34" t="n">
        <x:f>IF(COUNT(AJ88,AK88)=2,AVERAGE(AJ88,AK88),"")</x:f>
        <x:v>70.2054686497294</x:v>
      </x:c>
      <x:c r="BN88" s="34" t="n">
        <x:f>IF(COUNT(AL88,AM88,AN88)=3,AVERAGE(AL88,AM88,AN88),"")</x:f>
        <x:v>56.999736804994704</x:v>
      </x:c>
      <x:c r="BO88" s="35" t="n">
        <x:f>IF(AND(COUNT(BG88:BN88)=8,ABS('Scoring Setup'!$C$17-1)&lt;0.000001),BG88*'Scoring Setup'!$C$9+BH88*'Scoring Setup'!$C$10+BI88*'Scoring Setup'!$C$11+BJ88*'Scoring Setup'!$C$12+BK88*'Scoring Setup'!$C$13+BL88*'Scoring Setup'!$C$14+BM88*'Scoring Setup'!$C$15+BN88*'Scoring Setup'!$C$16,"")</x:f>
        <x:v>47.896110930560305</x:v>
      </x:c>
      <x:c r="BP88" s="36" t="n">
        <x:f>IF(COUNT(AO88:BF88)=18,MIN(AO88:BF88),"")</x:f>
        <x:v>0.8</x:v>
      </x:c>
      <x:c r="BQ88" s="35" t="n">
        <x:f>IF(AND(ISNUMBER(BO88),ISNUMBER(BP88)),BO88*BP88,"")</x:f>
        <x:v>38.31688874444824</x:v>
      </x:c>
      <x:c r="BR88" s="17" t="str">
        <x:f>IF(COUNT(AO88:BF88)=18,INDEX('Scoring Setup'!$F$9:$F$26,MATCH(MIN(AO88:BF88),AO88:BF88,0),1),"")</x:f>
        <x:v>2050 BAU水压力</x:v>
      </x:c>
    </x:row>
    <x:row r="89">
      <x:c r="A89" s="28" t="str">
        <x:v>51177</x:v>
      </x:c>
      <x:c r="B89" s="28" t="str">
        <x:v>Spotsylvania County</x:v>
      </x:c>
      <x:c r="C89" s="28" t="str">
        <x:v>VA</x:v>
      </x:c>
      <x:c r="D89" s="31" t="n">
        <x:v>1041.093159</x:v>
      </x:c>
      <x:c r="E89" s="32" t="n">
        <x:v>0.259</x:v>
      </x:c>
      <x:c r="F89" s="32" t="n">
        <x:v>0.256497524752475</x:v>
      </x:c>
      <x:c r="G89" s="32" t="n">
        <x:v>2.4774254593178755</x:v>
      </x:c>
      <x:c r="H89" s="32" t="n">
        <x:v>2.843341417300714</x:v>
      </x:c>
      <x:c r="I89" s="32" t="n">
        <x:v>0.8759501449315276</x:v>
      </x:c>
      <x:c r="J89" s="32" t="n">
        <x:v>0.036939940108825</x:v>
      </x:c>
      <x:c r="K89" s="32" t="n">
        <x:v>0.07313275865630228</x:v>
      </x:c>
      <x:c r="L89" s="32" t="n">
        <x:v>0.60308145</x:v>
      </x:c>
      <x:c r="M89" s="32" t="n">
        <x:v>0.256927604</x:v>
      </x:c>
      <x:c r="N89" s="32" t="n">
        <x:v>78647</x:v>
      </x:c>
      <x:c r="O89" s="32" t="n">
        <x:v>0.2654</x:v>
      </x:c>
      <x:c r="P89" s="32" t="n">
        <x:v>1074.8024088541667</x:v>
      </x:c>
      <x:c r="Q89" s="32" t="n">
        <x:v>24.56630605061849</x:v>
      </x:c>
      <x:c r="R89" s="32" t="n">
        <x:v>13.31974952817028</x:v>
      </x:c>
      <x:c r="S89" s="32" t="n">
        <x:v>17.420839009151766</x:v>
      </x:c>
      <x:c r="T89" s="32" t="n">
        <x:v>89.9</x:v>
      </x:c>
      <x:c r="U89" s="32" t="n">
        <x:v>245.07712999476223</x:v>
      </x:c>
      <x:c r="V89" s="32" t="n">
        <x:v>244.75798925963002</x:v>
      </x:c>
      <x:c r="W89" s="33" t="n">
        <x:f>IF(ISNUMBER(E89),100*MAX(0,MIN(1,('Anchors'!$H$6-E89)/('Anchors'!$H$6-'Anchors'!$G$6))),"")</x:f>
        <x:v>91.57142857142858</x:v>
      </x:c>
      <x:c r="X89" s="33" t="n">
        <x:f>IF(ISNUMBER(F89),100*MAX(0,MIN(1,('Anchors'!$H$7-F89)/('Anchors'!$H$7-'Anchors'!$G$7))),"")</x:f>
        <x:v>77.64321074964643</x:v>
      </x:c>
      <x:c r="Y89" s="33" t="n">
        <x:f>IF(ISNUMBER(G89),100*MAX(0,MIN(1,('Anchors'!$H$8-G89)/('Anchors'!$H$8-'Anchors'!$G$8))),"")</x:f>
        <x:v>50.752484689404156</x:v>
      </x:c>
      <x:c r="Z89" s="33" t="n">
        <x:f>IF(ISNUMBER(H89),100*MAX(0,MIN(1,('Anchors'!$H$9-H89)/('Anchors'!$H$9-'Anchors'!$G$9))),"")</x:f>
        <x:v>38.5552860899762</x:v>
      </x:c>
      <x:c r="AA89" s="33" t="n">
        <x:f>IF(ISNUMBER(I89),100*MAX(0,MIN(1,(I89-'Anchors'!$H$10)/('Anchors'!$G$10-'Anchors'!$H$10))),"")</x:f>
        <x:v>85.74659519609968</x:v>
      </x:c>
      <x:c r="AB89" s="33" t="n">
        <x:f>IF(ISNUMBER(J89),100*MAX(0,MIN(1,('Anchors'!$H$11-J89)/('Anchors'!$H$11-'Anchors'!$G$11))),"")</x:f>
        <x:v>85.22402395646999</x:v>
      </x:c>
      <x:c r="AC89" s="33" t="n">
        <x:f>IF(ISNUMBER(K89),100*MAX(0,MIN(1,('Anchors'!$H$12-K89)/('Anchors'!$H$12-'Anchors'!$G$12))),"")</x:f>
        <x:v>81.71681033592442</x:v>
      </x:c>
      <x:c r="AD89" s="33" t="n">
        <x:f>IF(ISNUMBER(L89),100*MAX(0,MIN(1,(L89-'Anchors'!$H$13)/('Anchors'!$G$13-'Anchors'!$H$13))),"")</x:f>
        <x:v>57.58306428571429</x:v>
      </x:c>
      <x:c r="AE89" s="33" t="n">
        <x:f>IF(ISNUMBER(M89),100*MAX(0,MIN(1,(M89-'Anchors'!$H$14)/('Anchors'!$G$14-'Anchors'!$H$14))),"")</x:f>
        <x:v>19.615950499999997</x:v>
      </x:c>
      <x:c r="AF89" s="33" t="n">
        <x:f>IF(ISNUMBER(N89),100*MAX(0,MIN(1,(LN(1+N89)-LN(1+'Anchors'!$H$15))/(LN(1+'Anchors'!$G$15)-LN(1+'Anchors'!$H$15)))),"")</x:f>
        <x:v>85.04376829568501</x:v>
      </x:c>
      <x:c r="AG89" s="33" t="n">
        <x:f>IF(ISNUMBER(O89),100*MAX(0,MIN(1,('Anchors'!$H$16-O89)/('Anchors'!$H$16-'Anchors'!$G$16))),"")</x:f>
        <x:v>76.06666666666666</x:v>
      </x:c>
      <x:c r="AH89" s="33" t="n">
        <x:f>IF(ISNUMBER(P89),100*MAX(0,MIN(1,('Anchors'!$H$17-P89)/('Anchors'!$H$17-'Anchors'!$G$17))),"")</x:f>
        <x:v>75.01317274305555</x:v>
      </x:c>
      <x:c r="AI89" s="33" t="n">
        <x:f>IF(ISNUMBER(Q89),100*MAX(0,MIN(1,('Anchors'!$H$18-Q89)/('Anchors'!$H$18-'Anchors'!$G$18))),"")</x:f>
        <x:v>72.04813421340215</x:v>
      </x:c>
      <x:c r="AJ89" s="33" t="n">
        <x:f>IF(ISNUMBER(R89),100*MAX(0,MIN(1,('Anchors'!$H$19-R89)/('Anchors'!$H$19-'Anchors'!$G$19))),"")</x:f>
        <x:v>81.51166771517715</x:v>
      </x:c>
      <x:c r="AK89" s="33" t="n">
        <x:f>IF(ISNUMBER(S89),100*MAX(0,MIN(1,('Anchors'!$H$20-S89)/('Anchors'!$H$20-'Anchors'!$G$20))),"")</x:f>
        <x:v>13.574531530780176</x:v>
      </x:c>
      <x:c r="AL89" s="33" t="n">
        <x:f>IF(ISNUMBER(T89),100*MAX(0,MIN(1,('Anchors'!$H$21-T89)/('Anchors'!$H$21-'Anchors'!$G$21))),"")</x:f>
        <x:v>54.72727272727271</x:v>
      </x:c>
      <x:c r="AM89" s="33" t="n">
        <x:f>IF(ISNUMBER(U89),100*MAX(0,MIN(1,('Anchors'!$H$22-U89)/('Anchors'!$H$22-'Anchors'!$G$22))),"")</x:f>
        <x:v>27.461435002618884</x:v>
      </x:c>
      <x:c r="AN89" s="33" t="n">
        <x:f>IF(ISNUMBER(V89),100*MAX(0,MIN(1,('Anchors'!$H$23-V89)/('Anchors'!$H$23-'Anchors'!$G$23))),"")</x:f>
        <x:v>88.8105026850925</x:v>
      </x:c>
      <x:c r="AO89" s="27" t="n">
        <x:f>IF(ISNUMBER(W89),IF('Scoring Setup'!$L$9=1,1-'Scoring Setup'!$B$5*(1-MAX(0,MIN(1,(W89-'Scoring Setup'!$K$9)/(100-'Scoring Setup'!$K$9)))),1),"")</x:f>
        <x:v>0.9831428571428572</x:v>
      </x:c>
      <x:c r="AP89" s="27" t="n">
        <x:f>IF(ISNUMBER(X89),IF('Scoring Setup'!$L$10=1,1-'Scoring Setup'!$B$5*(1-MAX(0,MIN(1,(X89-'Scoring Setup'!$K$10)/(100-'Scoring Setup'!$K$10)))),1),"")</x:f>
        <x:v>0.9552864214992929</x:v>
      </x:c>
      <x:c r="AQ89" s="27" t="n">
        <x:f>IF(ISNUMBER(Y89),IF('Scoring Setup'!$L$11=1,1-'Scoring Setup'!$B$5*(1-MAX(0,MIN(1,(Y89-'Scoring Setup'!$K$11)/(100-'Scoring Setup'!$K$11)))),1),"")</x:f>
        <x:v>0.9015049693788083</x:v>
      </x:c>
      <x:c r="AR89" s="27" t="n">
        <x:f>IF(ISNUMBER(Z89),IF('Scoring Setup'!$L$12=1,1-'Scoring Setup'!$B$5*(1-MAX(0,MIN(1,(Z89-'Scoring Setup'!$K$12)/(100-'Scoring Setup'!$K$12)))),1),"")</x:f>
        <x:v>0.8771105721799524</x:v>
      </x:c>
      <x:c r="AS89" s="27" t="n">
        <x:f>IF(ISNUMBER(AA89),IF('Scoring Setup'!$L$13=1,1-'Scoring Setup'!$B$5*(1-MAX(0,MIN(1,(AA89-'Scoring Setup'!$K$13)/(100-'Scoring Setup'!$K$13)))),1),"")</x:f>
        <x:v>0.9714931903921994</x:v>
      </x:c>
      <x:c r="AT89" s="27" t="n">
        <x:f>IF(ISNUMBER(AB89),IF('Scoring Setup'!$L$14=1,1-'Scoring Setup'!$B$5*(1-MAX(0,MIN(1,(AB89-'Scoring Setup'!$K$14)/(100-'Scoring Setup'!$K$14)))),1),"")</x:f>
        <x:v>0.97044804791294</x:v>
      </x:c>
      <x:c r="AU89" s="27" t="n">
        <x:f>IF(ISNUMBER(AC89),IF('Scoring Setup'!$L$15=1,1-'Scoring Setup'!$B$5*(1-MAX(0,MIN(1,(AC89-'Scoring Setup'!$K$15)/(100-'Scoring Setup'!$K$15)))),1),"")</x:f>
        <x:v>0.9634336206718488</x:v>
      </x:c>
      <x:c r="AV89" s="27" t="n">
        <x:f>IF(ISNUMBER(AD89),IF('Scoring Setup'!$L$16=1,1-'Scoring Setup'!$B$5*(1-MAX(0,MIN(1,(AD89-'Scoring Setup'!$K$16)/(100-'Scoring Setup'!$K$16)))),1),"")</x:f>
        <x:v>0.9151661285714285</x:v>
      </x:c>
      <x:c r="AW89" s="27" t="n">
        <x:f>IF(ISNUMBER(AE89),IF('Scoring Setup'!$L$17=1,1-'Scoring Setup'!$B$5*(1-MAX(0,MIN(1,(AE89-'Scoring Setup'!$K$17)/(100-'Scoring Setup'!$K$17)))),1),"")</x:f>
        <x:v>0.839231901</x:v>
      </x:c>
      <x:c r="AX89" s="27" t="n">
        <x:f>IF(ISNUMBER(AF89),IF('Scoring Setup'!$L$18=1,1-'Scoring Setup'!$B$5*(1-MAX(0,MIN(1,(AF89-'Scoring Setup'!$K$18)/(100-'Scoring Setup'!$K$18)))),1),"")</x:f>
        <x:v>0.97008753659137</x:v>
      </x:c>
      <x:c r="AY89" s="27" t="n">
        <x:f>IF(ISNUMBER(AG89),IF('Scoring Setup'!$L$19=1,1-'Scoring Setup'!$B$5*(1-MAX(0,MIN(1,(AG89-'Scoring Setup'!$K$19)/(100-'Scoring Setup'!$K$19)))),1),"")</x:f>
        <x:v>0.9521333333333333</x:v>
      </x:c>
      <x:c r="AZ89" s="27" t="n">
        <x:f>IF(ISNUMBER(AH89),IF('Scoring Setup'!$L$20=1,1-'Scoring Setup'!$B$5*(1-MAX(0,MIN(1,(AH89-'Scoring Setup'!$K$20)/(100-'Scoring Setup'!$K$20)))),1),"")</x:f>
        <x:v>0.9500263454861111</x:v>
      </x:c>
      <x:c r="BA89" s="27" t="n">
        <x:f>IF(ISNUMBER(AI89),IF('Scoring Setup'!$L$21=1,1-'Scoring Setup'!$B$5*(1-MAX(0,MIN(1,(AI89-'Scoring Setup'!$K$21)/(100-'Scoring Setup'!$K$21)))),1),"")</x:f>
        <x:v>0.9440962684268043</x:v>
      </x:c>
      <x:c r="BB89" s="27" t="n">
        <x:f>IF(ISNUMBER(AJ89),IF('Scoring Setup'!$L$22=1,1-'Scoring Setup'!$B$5*(1-MAX(0,MIN(1,(AJ89-'Scoring Setup'!$K$22)/(100-'Scoring Setup'!$K$22)))),1),"")</x:f>
        <x:v>0.9630233354303543</x:v>
      </x:c>
      <x:c r="BC89" s="27" t="n">
        <x:f>IF(ISNUMBER(AK89),IF('Scoring Setup'!$L$23=1,1-'Scoring Setup'!$B$5*(1-MAX(0,MIN(1,(AK89-'Scoring Setup'!$K$23)/(100-'Scoring Setup'!$K$23)))),1),"")</x:f>
        <x:v>0.8271490630615603</x:v>
      </x:c>
      <x:c r="BD89" s="27" t="n">
        <x:f>IF(ISNUMBER(AL89),IF('Scoring Setup'!$L$24=1,1-'Scoring Setup'!$B$5*(1-MAX(0,MIN(1,(AL89-'Scoring Setup'!$K$24)/(100-'Scoring Setup'!$K$24)))),1),"")</x:f>
        <x:v>0.9094545454545454</x:v>
      </x:c>
      <x:c r="BE89" s="27" t="n">
        <x:f>IF(ISNUMBER(AM89),IF('Scoring Setup'!$L$25=1,1-'Scoring Setup'!$B$5*(1-MAX(0,MIN(1,(AM89-'Scoring Setup'!$K$25)/(100-'Scoring Setup'!$K$25)))),1),"")</x:f>
        <x:v>0.8549228700052378</x:v>
      </x:c>
      <x:c r="BF89" s="27" t="n">
        <x:f>IF(ISNUMBER(AN89),IF('Scoring Setup'!$L$26=1,1-'Scoring Setup'!$B$5*(1-MAX(0,MIN(1,(AN89-'Scoring Setup'!$K$26)/(100-'Scoring Setup'!$K$26)))),1),"")</x:f>
        <x:v>0.977621005370185</x:v>
      </x:c>
      <x:c r="BG89" s="34" t="n">
        <x:f>IF(COUNT(W89,X89)=2,AVERAGE(W89,X89),"")</x:f>
        <x:v>84.60731966053751</x:v>
      </x:c>
      <x:c r="BH89" s="34" t="n">
        <x:f>IF(COUNT(Y89,Z89)=2,AVERAGE(Y89,Z89),"")</x:f>
        <x:v>44.653885389690174</x:v>
      </x:c>
      <x:c r="BI89" s="34" t="n">
        <x:f>IF(COUNT(AA89,AB89,AC89)=3,AVERAGE(AA89,AB89,AC89),"")</x:f>
        <x:v>84.22914316283136</x:v>
      </x:c>
      <x:c r="BJ89" s="34" t="n">
        <x:f>IF(COUNT(AD89,AE89)=2,AVERAGE(AD89,AE89),"")</x:f>
        <x:v>38.59950739285715</x:v>
      </x:c>
      <x:c r="BK89" s="34" t="n">
        <x:f>IF(COUNT(AF89,AG89)=2,AVERAGE(AF89,AG89),"")</x:f>
        <x:v>80.55521748117584</x:v>
      </x:c>
      <x:c r="BL89" s="34" t="n">
        <x:f>IF(COUNT(AH89,AI89)=2,AVERAGE(AH89,AI89),"")</x:f>
        <x:v>73.53065347822886</x:v>
      </x:c>
      <x:c r="BM89" s="34" t="n">
        <x:f>IF(COUNT(AJ89,AK89)=2,AVERAGE(AJ89,AK89),"")</x:f>
        <x:v>47.543099622978666</x:v>
      </x:c>
      <x:c r="BN89" s="34" t="n">
        <x:f>IF(COUNT(AL89,AM89,AN89)=3,AVERAGE(AL89,AM89,AN89),"")</x:f>
        <x:v>56.999736804994704</x:v>
      </x:c>
      <x:c r="BO89" s="35" t="n">
        <x:f>IF(AND(COUNT(BG89:BN89)=8,ABS('Scoring Setup'!$C$17-1)&lt;0.000001),BG89*'Scoring Setup'!$C$9+BH89*'Scoring Setup'!$C$10+BI89*'Scoring Setup'!$C$11+BJ89*'Scoring Setup'!$C$12+BK89*'Scoring Setup'!$C$13+BL89*'Scoring Setup'!$C$14+BM89*'Scoring Setup'!$C$15+BN89*'Scoring Setup'!$C$16,"")</x:f>
        <x:v>60.88350454423701</x:v>
      </x:c>
      <x:c r="BP89" s="36" t="n">
        <x:f>IF(COUNT(AO89:BF89)=18,MIN(AO89:BF89),"")</x:f>
        <x:v>0.8271490630615603</x:v>
      </x:c>
      <x:c r="BQ89" s="35" t="n">
        <x:f>IF(AND(ISNUMBER(BO89),ISNUMBER(BP89)),BO89*BP89,"")</x:f>
        <x:v>50.3597337396699</x:v>
      </x:c>
      <x:c r="BR89" s="17" t="str">
        <x:f>IF(COUNT(AO89:BF89)=18,INDEX('Scoring Setup'!$F$9:$F$26,MATCH(MIN(AO89:BF89),AO89:BF89,0),1),"")</x:f>
        <x:v>到铁路距离</x:v>
      </x:c>
    </x:row>
    <x:row r="90">
      <x:c r="A90" s="28" t="str">
        <x:v>51179</x:v>
      </x:c>
      <x:c r="B90" s="28" t="str">
        <x:v>Stafford County</x:v>
      </x:c>
      <x:c r="C90" s="28" t="str">
        <x:v>VA</x:v>
      </x:c>
      <x:c r="D90" s="31" t="n">
        <x:v>695.402835</x:v>
      </x:c>
      <x:c r="E90" s="32" t="n">
        <x:v>0.247</x:v>
      </x:c>
      <x:c r="F90" s="32" t="n">
        <x:v>0.45575495049505</x:v>
      </x:c>
      <x:c r="G90" s="32" t="n">
        <x:v>3.3357176339776005</x:v>
      </x:c>
      <x:c r="H90" s="32" t="n">
        <x:v>3.71527262700629</x:v>
      </x:c>
      <x:c r="I90" s="32" t="n">
        <x:v>0.8104804450546971</x:v>
      </x:c>
      <x:c r="J90" s="32" t="n">
        <x:v>0.03580870403888112</x:v>
      </x:c>
      <x:c r="K90" s="32" t="n">
        <x:v>0.08186582606509506</x:v>
      </x:c>
      <x:c r="L90" s="32" t="n">
        <x:v>0.722125273</x:v>
      </x:c>
      <x:c r="M90" s="32" t="n">
        <x:v>0.450519289</x:v>
      </x:c>
      <x:c r="N90" s="32" t="n">
        <x:v>85363</x:v>
      </x:c>
      <x:c r="O90" s="32" t="n">
        <x:v>0.2428</x:v>
      </x:c>
      <x:c r="P90" s="32" t="n">
        <x:v>1105.4203369140623</x:v>
      </x:c>
      <x:c r="Q90" s="32" t="n">
        <x:v>23.818035507202147</x:v>
      </x:c>
      <x:c r="R90" s="32" t="n">
        <x:v>2.7931727592677253</x:v>
      </x:c>
      <x:c r="S90" s="32" t="n">
        <x:v>7.297810237549134</x:v>
      </x:c>
      <x:c r="T90" s="32" t="n">
        <x:v>89.9</x:v>
      </x:c>
      <x:c r="U90" s="32" t="n">
        <x:v>245.07712999476223</x:v>
      </x:c>
      <x:c r="V90" s="32" t="n">
        <x:v>244.75798925963002</x:v>
      </x:c>
      <x:c r="W90" s="33" t="n">
        <x:f>IF(ISNUMBER(E90),100*MAX(0,MIN(1,('Anchors'!$H$6-E90)/('Anchors'!$H$6-'Anchors'!$G$6))),"")</x:f>
        <x:v>93.28571428571429</x:v>
      </x:c>
      <x:c r="X90" s="33" t="n">
        <x:f>IF(ISNUMBER(F90),100*MAX(0,MIN(1,('Anchors'!$H$7-F90)/('Anchors'!$H$7-'Anchors'!$G$7))),"")</x:f>
        <x:v>49.17786421499286</x:v>
      </x:c>
      <x:c r="Y90" s="33" t="n">
        <x:f>IF(ISNUMBER(G90),100*MAX(0,MIN(1,('Anchors'!$H$8-G90)/('Anchors'!$H$8-'Anchors'!$G$8))),"")</x:f>
        <x:v>22.142745534079985</x:v>
      </x:c>
      <x:c r="Z90" s="33" t="n">
        <x:f>IF(ISNUMBER(H90),100*MAX(0,MIN(1,('Anchors'!$H$9-H90)/('Anchors'!$H$9-'Anchors'!$G$9))),"")</x:f>
        <x:v>9.490912433123661</x:v>
      </x:c>
      <x:c r="AA90" s="33" t="n">
        <x:f>IF(ISNUMBER(I90),100*MAX(0,MIN(1,(I90-'Anchors'!$H$10)/('Anchors'!$G$10-'Anchors'!$H$10))),"")</x:f>
        <x:v>76.77814315817768</x:v>
      </x:c>
      <x:c r="AB90" s="33" t="n">
        <x:f>IF(ISNUMBER(J90),100*MAX(0,MIN(1,('Anchors'!$H$11-J90)/('Anchors'!$H$11-'Anchors'!$G$11))),"")</x:f>
        <x:v>85.67651838444755</x:v>
      </x:c>
      <x:c r="AC90" s="33" t="n">
        <x:f>IF(ISNUMBER(K90),100*MAX(0,MIN(1,('Anchors'!$H$12-K90)/('Anchors'!$H$12-'Anchors'!$G$12))),"")</x:f>
        <x:v>79.53354348372623</x:v>
      </x:c>
      <x:c r="AD90" s="33" t="n">
        <x:f>IF(ISNUMBER(L90),100*MAX(0,MIN(1,(L90-'Anchors'!$H$13)/('Anchors'!$G$13-'Anchors'!$H$13))),"")</x:f>
        <x:v>74.5893247142857</x:v>
      </x:c>
      <x:c r="AE90" s="33" t="n">
        <x:f>IF(ISNUMBER(M90),100*MAX(0,MIN(1,(M90-'Anchors'!$H$14)/('Anchors'!$G$14-'Anchors'!$H$14))),"")</x:f>
        <x:v>43.814911124999995</x:v>
      </x:c>
      <x:c r="AF90" s="33" t="n">
        <x:f>IF(ISNUMBER(N90),100*MAX(0,MIN(1,(LN(1+N90)-LN(1+'Anchors'!$H$15))/(LN(1+'Anchors'!$G$15)-LN(1+'Anchors'!$H$15)))),"")</x:f>
        <x:v>86.94190039886526</x:v>
      </x:c>
      <x:c r="AG90" s="33" t="n">
        <x:f>IF(ISNUMBER(O90),100*MAX(0,MIN(1,('Anchors'!$H$16-O90)/('Anchors'!$H$16-'Anchors'!$G$16))),"")</x:f>
        <x:v>78.57777777777778</x:v>
      </x:c>
      <x:c r="AH90" s="33" t="n">
        <x:f>IF(ISNUMBER(P90),100*MAX(0,MIN(1,('Anchors'!$H$17-P90)/('Anchors'!$H$17-'Anchors'!$G$17))),"")</x:f>
        <x:v>72.97197753906252</x:v>
      </x:c>
      <x:c r="AI90" s="33" t="n">
        <x:f>IF(ISNUMBER(Q90),100*MAX(0,MIN(1,('Anchors'!$H$18-Q90)/('Anchors'!$H$18-'Anchors'!$G$18))),"")</x:f>
        <x:v>73.11709213256836</x:v>
      </x:c>
      <x:c r="AJ90" s="33" t="n">
        <x:f>IF(ISNUMBER(R90),100*MAX(0,MIN(1,('Anchors'!$H$19-R90)/('Anchors'!$H$19-'Anchors'!$G$19))),"")</x:f>
        <x:v>100</x:v>
      </x:c>
      <x:c r="AK90" s="33" t="n">
        <x:f>IF(ISNUMBER(S90),100*MAX(0,MIN(1,('Anchors'!$H$20-S90)/('Anchors'!$H$20-'Anchors'!$G$20))),"")</x:f>
        <x:v>66.85363032868877</x:v>
      </x:c>
      <x:c r="AL90" s="33" t="n">
        <x:f>IF(ISNUMBER(T90),100*MAX(0,MIN(1,('Anchors'!$H$21-T90)/('Anchors'!$H$21-'Anchors'!$G$21))),"")</x:f>
        <x:v>54.72727272727271</x:v>
      </x:c>
      <x:c r="AM90" s="33" t="n">
        <x:f>IF(ISNUMBER(U90),100*MAX(0,MIN(1,('Anchors'!$H$22-U90)/('Anchors'!$H$22-'Anchors'!$G$22))),"")</x:f>
        <x:v>27.461435002618884</x:v>
      </x:c>
      <x:c r="AN90" s="33" t="n">
        <x:f>IF(ISNUMBER(V90),100*MAX(0,MIN(1,('Anchors'!$H$23-V90)/('Anchors'!$H$23-'Anchors'!$G$23))),"")</x:f>
        <x:v>88.8105026850925</x:v>
      </x:c>
      <x:c r="AO90" s="27" t="n">
        <x:f>IF(ISNUMBER(W90),IF('Scoring Setup'!$L$9=1,1-'Scoring Setup'!$B$5*(1-MAX(0,MIN(1,(W90-'Scoring Setup'!$K$9)/(100-'Scoring Setup'!$K$9)))),1),"")</x:f>
        <x:v>0.9865714285714285</x:v>
      </x:c>
      <x:c r="AP90" s="27" t="n">
        <x:f>IF(ISNUMBER(X90),IF('Scoring Setup'!$L$10=1,1-'Scoring Setup'!$B$5*(1-MAX(0,MIN(1,(X90-'Scoring Setup'!$K$10)/(100-'Scoring Setup'!$K$10)))),1),"")</x:f>
        <x:v>0.8983557284299857</x:v>
      </x:c>
      <x:c r="AQ90" s="27" t="n">
        <x:f>IF(ISNUMBER(Y90),IF('Scoring Setup'!$L$11=1,1-'Scoring Setup'!$B$5*(1-MAX(0,MIN(1,(Y90-'Scoring Setup'!$K$11)/(100-'Scoring Setup'!$K$11)))),1),"")</x:f>
        <x:v>0.84428549106816</x:v>
      </x:c>
      <x:c r="AR90" s="27" t="n">
        <x:f>IF(ISNUMBER(Z90),IF('Scoring Setup'!$L$12=1,1-'Scoring Setup'!$B$5*(1-MAX(0,MIN(1,(Z90-'Scoring Setup'!$K$12)/(100-'Scoring Setup'!$K$12)))),1),"")</x:f>
        <x:v>0.8189818248662473</x:v>
      </x:c>
      <x:c r="AS90" s="27" t="n">
        <x:f>IF(ISNUMBER(AA90),IF('Scoring Setup'!$L$13=1,1-'Scoring Setup'!$B$5*(1-MAX(0,MIN(1,(AA90-'Scoring Setup'!$K$13)/(100-'Scoring Setup'!$K$13)))),1),"")</x:f>
        <x:v>0.9535562863163554</x:v>
      </x:c>
      <x:c r="AT90" s="27" t="n">
        <x:f>IF(ISNUMBER(AB90),IF('Scoring Setup'!$L$14=1,1-'Scoring Setup'!$B$5*(1-MAX(0,MIN(1,(AB90-'Scoring Setup'!$K$14)/(100-'Scoring Setup'!$K$14)))),1),"")</x:f>
        <x:v>0.9713530367688951</x:v>
      </x:c>
      <x:c r="AU90" s="27" t="n">
        <x:f>IF(ISNUMBER(AC90),IF('Scoring Setup'!$L$15=1,1-'Scoring Setup'!$B$5*(1-MAX(0,MIN(1,(AC90-'Scoring Setup'!$K$15)/(100-'Scoring Setup'!$K$15)))),1),"")</x:f>
        <x:v>0.9590670869674525</x:v>
      </x:c>
      <x:c r="AV90" s="27" t="n">
        <x:f>IF(ISNUMBER(AD90),IF('Scoring Setup'!$L$16=1,1-'Scoring Setup'!$B$5*(1-MAX(0,MIN(1,(AD90-'Scoring Setup'!$K$16)/(100-'Scoring Setup'!$K$16)))),1),"")</x:f>
        <x:v>0.9491786494285714</x:v>
      </x:c>
      <x:c r="AW90" s="27" t="n">
        <x:f>IF(ISNUMBER(AE90),IF('Scoring Setup'!$L$17=1,1-'Scoring Setup'!$B$5*(1-MAX(0,MIN(1,(AE90-'Scoring Setup'!$K$17)/(100-'Scoring Setup'!$K$17)))),1),"")</x:f>
        <x:v>0.88762982225</x:v>
      </x:c>
      <x:c r="AX90" s="27" t="n">
        <x:f>IF(ISNUMBER(AF90),IF('Scoring Setup'!$L$18=1,1-'Scoring Setup'!$B$5*(1-MAX(0,MIN(1,(AF90-'Scoring Setup'!$K$18)/(100-'Scoring Setup'!$K$18)))),1),"")</x:f>
        <x:v>0.9738838007977305</x:v>
      </x:c>
      <x:c r="AY90" s="27" t="n">
        <x:f>IF(ISNUMBER(AG90),IF('Scoring Setup'!$L$19=1,1-'Scoring Setup'!$B$5*(1-MAX(0,MIN(1,(AG90-'Scoring Setup'!$K$19)/(100-'Scoring Setup'!$K$19)))),1),"")</x:f>
        <x:v>0.9571555555555555</x:v>
      </x:c>
      <x:c r="AZ90" s="27" t="n">
        <x:f>IF(ISNUMBER(AH90),IF('Scoring Setup'!$L$20=1,1-'Scoring Setup'!$B$5*(1-MAX(0,MIN(1,(AH90-'Scoring Setup'!$K$20)/(100-'Scoring Setup'!$K$20)))),1),"")</x:f>
        <x:v>0.945943955078125</x:v>
      </x:c>
      <x:c r="BA90" s="27" t="n">
        <x:f>IF(ISNUMBER(AI90),IF('Scoring Setup'!$L$21=1,1-'Scoring Setup'!$B$5*(1-MAX(0,MIN(1,(AI90-'Scoring Setup'!$K$21)/(100-'Scoring Setup'!$K$21)))),1),"")</x:f>
        <x:v>0.9462341842651367</x:v>
      </x:c>
      <x:c r="BB90" s="27" t="n">
        <x:f>IF(ISNUMBER(AJ90),IF('Scoring Setup'!$L$22=1,1-'Scoring Setup'!$B$5*(1-MAX(0,MIN(1,(AJ90-'Scoring Setup'!$K$22)/(100-'Scoring Setup'!$K$22)))),1),"")</x:f>
        <x:v>1</x:v>
      </x:c>
      <x:c r="BC90" s="27" t="n">
        <x:f>IF(ISNUMBER(AK90),IF('Scoring Setup'!$L$23=1,1-'Scoring Setup'!$B$5*(1-MAX(0,MIN(1,(AK90-'Scoring Setup'!$K$23)/(100-'Scoring Setup'!$K$23)))),1),"")</x:f>
        <x:v>0.9337072606573775</x:v>
      </x:c>
      <x:c r="BD90" s="27" t="n">
        <x:f>IF(ISNUMBER(AL90),IF('Scoring Setup'!$L$24=1,1-'Scoring Setup'!$B$5*(1-MAX(0,MIN(1,(AL90-'Scoring Setup'!$K$24)/(100-'Scoring Setup'!$K$24)))),1),"")</x:f>
        <x:v>0.9094545454545454</x:v>
      </x:c>
      <x:c r="BE90" s="27" t="n">
        <x:f>IF(ISNUMBER(AM90),IF('Scoring Setup'!$L$25=1,1-'Scoring Setup'!$B$5*(1-MAX(0,MIN(1,(AM90-'Scoring Setup'!$K$25)/(100-'Scoring Setup'!$K$25)))),1),"")</x:f>
        <x:v>0.8549228700052378</x:v>
      </x:c>
      <x:c r="BF90" s="27" t="n">
        <x:f>IF(ISNUMBER(AN90),IF('Scoring Setup'!$L$26=1,1-'Scoring Setup'!$B$5*(1-MAX(0,MIN(1,(AN90-'Scoring Setup'!$K$26)/(100-'Scoring Setup'!$K$26)))),1),"")</x:f>
        <x:v>0.977621005370185</x:v>
      </x:c>
      <x:c r="BG90" s="34" t="n">
        <x:f>IF(COUNT(W90,X90)=2,AVERAGE(W90,X90),"")</x:f>
        <x:v>71.23178925035357</x:v>
      </x:c>
      <x:c r="BH90" s="34" t="n">
        <x:f>IF(COUNT(Y90,Z90)=2,AVERAGE(Y90,Z90),"")</x:f>
        <x:v>15.816828983601823</x:v>
      </x:c>
      <x:c r="BI90" s="34" t="n">
        <x:f>IF(COUNT(AA90,AB90,AC90)=3,AVERAGE(AA90,AB90,AC90),"")</x:f>
        <x:v>80.66273500878383</x:v>
      </x:c>
      <x:c r="BJ90" s="34" t="n">
        <x:f>IF(COUNT(AD90,AE90)=2,AVERAGE(AD90,AE90),"")</x:f>
        <x:v>59.202117919642845</x:v>
      </x:c>
      <x:c r="BK90" s="34" t="n">
        <x:f>IF(COUNT(AF90,AG90)=2,AVERAGE(AF90,AG90),"")</x:f>
        <x:v>82.75983908832151</x:v>
      </x:c>
      <x:c r="BL90" s="34" t="n">
        <x:f>IF(COUNT(AH90,AI90)=2,AVERAGE(AH90,AI90),"")</x:f>
        <x:v>73.04453483581544</x:v>
      </x:c>
      <x:c r="BM90" s="34" t="n">
        <x:f>IF(COUNT(AJ90,AK90)=2,AVERAGE(AJ90,AK90),"")</x:f>
        <x:v>83.42681516434439</x:v>
      </x:c>
      <x:c r="BN90" s="34" t="n">
        <x:f>IF(COUNT(AL90,AM90,AN90)=3,AVERAGE(AL90,AM90,AN90),"")</x:f>
        <x:v>56.999736804994704</x:v>
      </x:c>
      <x:c r="BO90" s="35" t="n">
        <x:f>IF(AND(COUNT(BG90:BN90)=8,ABS('Scoring Setup'!$C$17-1)&lt;0.000001),BG90*'Scoring Setup'!$C$9+BH90*'Scoring Setup'!$C$10+BI90*'Scoring Setup'!$C$11+BJ90*'Scoring Setup'!$C$12+BK90*'Scoring Setup'!$C$13+BL90*'Scoring Setup'!$C$14+BM90*'Scoring Setup'!$C$15+BN90*'Scoring Setup'!$C$16,"")</x:f>
        <x:v>57.472502464936944</x:v>
      </x:c>
      <x:c r="BP90" s="36" t="n">
        <x:f>IF(COUNT(AO90:BF90)=18,MIN(AO90:BF90),"")</x:f>
        <x:v>0.8189818248662473</x:v>
      </x:c>
      <x:c r="BQ90" s="35" t="n">
        <x:f>IF(AND(ISNUMBER(BO90),ISNUMBER(BP90)),BO90*BP90,"")</x:f>
        <x:v>47.06893494836395</x:v>
      </x:c>
      <x:c r="BR90" s="17" t="str">
        <x:f>IF(COUNT(AO90:BF90)=18,INDEX('Scoring Setup'!$F$9:$F$26,MATCH(MIN(AO90:BF90),AO90:BF90,0),1),"")</x:f>
        <x:v>2050 BAU水压力</x:v>
      </x:c>
    </x:row>
    <x:row r="91">
      <x:c r="A91" s="28" t="str">
        <x:v>51181</x:v>
      </x:c>
      <x:c r="B91" s="28" t="str">
        <x:v>Surry County</x:v>
      </x:c>
      <x:c r="C91" s="28" t="str">
        <x:v>VA</x:v>
      </x:c>
      <x:c r="D91" s="31" t="n">
        <x:v>722.475751</x:v>
      </x:c>
      <x:c r="E91" s="32" t="n">
        <x:v>0.354</x:v>
      </x:c>
      <x:c r="F91" s="32" t="n">
        <x:v>0.10891089108910901</x:v>
      </x:c>
      <x:c r="G91" s="32" t="n">
        <x:v>2.632381780741022</x:v>
      </x:c>
      <x:c r="H91" s="32" t="n">
        <x:v>2.962917810516236</x:v>
      </x:c>
      <x:c r="I91" s="32" t="n">
        <x:v>0.9598857508716292</x:v>
      </x:c>
      <x:c r="J91" s="32" t="n">
        <x:v>0.015859127043461187</x:v>
      </x:c>
      <x:c r="K91" s="32" t="n">
        <x:v>0.18884115360229795</x:v>
      </x:c>
      <x:c r="L91" s="32" t="n">
        <x:v>0.942802211</x:v>
      </x:c>
      <x:c r="M91" s="32" t="n">
        <x:v>0.942802211</x:v>
      </x:c>
      <x:c r="N91" s="32" t="n">
        <x:v>3339</x:v>
      </x:c>
      <x:c r="O91" s="32" t="n">
        <x:v>0.448</x:v>
      </x:c>
      <x:c r="P91" s="32" t="n">
        <x:v>1406.3053792317708</x:v>
      </x:c>
      <x:c r="Q91" s="32" t="n">
        <x:v>30.18382390340169</x:v>
      </x:c>
      <x:c r="R91" s="32" t="n">
        <x:v>25.657707731672495</x:v>
      </x:c>
      <x:c r="S91" s="32" t="n">
        <x:v>19.202101100992564</x:v>
      </x:c>
      <x:c r="T91" s="32" t="n">
        <x:v>89.9</x:v>
      </x:c>
      <x:c r="U91" s="32" t="n">
        <x:v>245.07712999476223</x:v>
      </x:c>
      <x:c r="V91" s="32" t="n">
        <x:v>244.75798925963002</x:v>
      </x:c>
      <x:c r="W91" s="33" t="n">
        <x:f>IF(ISNUMBER(E91),100*MAX(0,MIN(1,('Anchors'!$H$6-E91)/('Anchors'!$H$6-'Anchors'!$G$6))),"")</x:f>
        <x:v>78.00000000000001</x:v>
      </x:c>
      <x:c r="X91" s="33" t="n">
        <x:f>IF(ISNUMBER(F91),100*MAX(0,MIN(1,('Anchors'!$H$7-F91)/('Anchors'!$H$7-'Anchors'!$G$7))),"")</x:f>
        <x:v>98.72701555869871</x:v>
      </x:c>
      <x:c r="Y91" s="33" t="n">
        <x:f>IF(ISNUMBER(G91),100*MAX(0,MIN(1,('Anchors'!$H$8-G91)/('Anchors'!$H$8-'Anchors'!$G$8))),"")</x:f>
        <x:v>45.58727397529926</x:v>
      </x:c>
      <x:c r="Z91" s="33" t="n">
        <x:f>IF(ISNUMBER(H91),100*MAX(0,MIN(1,('Anchors'!$H$9-H91)/('Anchors'!$H$9-'Anchors'!$G$9))),"")</x:f>
        <x:v>34.569406316125466</x:v>
      </x:c>
      <x:c r="AA91" s="33" t="n">
        <x:f>IF(ISNUMBER(I91),100*MAX(0,MIN(1,(I91-'Anchors'!$H$10)/('Anchors'!$G$10-'Anchors'!$H$10))),"")</x:f>
        <x:v>97.2446234070725</x:v>
      </x:c>
      <x:c r="AB91" s="33" t="n">
        <x:f>IF(ISNUMBER(J91),100*MAX(0,MIN(1,('Anchors'!$H$11-J91)/('Anchors'!$H$11-'Anchors'!$G$11))),"")</x:f>
        <x:v>93.65634918261553</x:v>
      </x:c>
      <x:c r="AC91" s="33" t="n">
        <x:f>IF(ISNUMBER(K91),100*MAX(0,MIN(1,('Anchors'!$H$12-K91)/('Anchors'!$H$12-'Anchors'!$G$12))),"")</x:f>
        <x:v>52.789711599425516</x:v>
      </x:c>
      <x:c r="AD91" s="33" t="n">
        <x:f>IF(ISNUMBER(L91),100*MAX(0,MIN(1,(L91-'Anchors'!$H$13)/('Anchors'!$G$13-'Anchors'!$H$13))),"")</x:f>
        <x:v>100</x:v>
      </x:c>
      <x:c r="AE91" s="33" t="n">
        <x:f>IF(ISNUMBER(M91),100*MAX(0,MIN(1,(M91-'Anchors'!$H$14)/('Anchors'!$G$14-'Anchors'!$H$14))),"")</x:f>
        <x:v>100</x:v>
      </x:c>
      <x:c r="AF91" s="33" t="n">
        <x:f>IF(ISNUMBER(N91),100*MAX(0,MIN(1,(LN(1+N91)-LN(1+'Anchors'!$H$15))/(LN(1+'Anchors'!$G$15)-LN(1+'Anchors'!$H$15)))),"")</x:f>
        <x:v>11.86760148308549</x:v>
      </x:c>
      <x:c r="AG91" s="33" t="n">
        <x:f>IF(ISNUMBER(O91),100*MAX(0,MIN(1,('Anchors'!$H$16-O91)/('Anchors'!$H$16-'Anchors'!$G$16))),"")</x:f>
        <x:v>55.77777777777778</x:v>
      </x:c>
      <x:c r="AH91" s="33" t="n">
        <x:f>IF(ISNUMBER(P91),100*MAX(0,MIN(1,('Anchors'!$H$17-P91)/('Anchors'!$H$17-'Anchors'!$G$17))),"")</x:f>
        <x:v>52.912974717881944</x:v>
      </x:c>
      <x:c r="AI91" s="33" t="n">
        <x:f>IF(ISNUMBER(Q91),100*MAX(0,MIN(1,('Anchors'!$H$18-Q91)/('Anchors'!$H$18-'Anchors'!$G$18))),"")</x:f>
        <x:v>64.02310870942615</x:v>
      </x:c>
      <x:c r="AJ91" s="33" t="n">
        <x:f>IF(ISNUMBER(R91),100*MAX(0,MIN(1,('Anchors'!$H$19-R91)/('Anchors'!$H$19-'Anchors'!$G$19))),"")</x:f>
        <x:v>54.09398281850557</x:v>
      </x:c>
      <x:c r="AK91" s="33" t="n">
        <x:f>IF(ISNUMBER(S91),100*MAX(0,MIN(1,('Anchors'!$H$20-S91)/('Anchors'!$H$20-'Anchors'!$G$20))),"")</x:f>
        <x:v>4.199467889512818</x:v>
      </x:c>
      <x:c r="AL91" s="33" t="n">
        <x:f>IF(ISNUMBER(T91),100*MAX(0,MIN(1,('Anchors'!$H$21-T91)/('Anchors'!$H$21-'Anchors'!$G$21))),"")</x:f>
        <x:v>54.72727272727271</x:v>
      </x:c>
      <x:c r="AM91" s="33" t="n">
        <x:f>IF(ISNUMBER(U91),100*MAX(0,MIN(1,('Anchors'!$H$22-U91)/('Anchors'!$H$22-'Anchors'!$G$22))),"")</x:f>
        <x:v>27.461435002618884</x:v>
      </x:c>
      <x:c r="AN91" s="33" t="n">
        <x:f>IF(ISNUMBER(V91),100*MAX(0,MIN(1,('Anchors'!$H$23-V91)/('Anchors'!$H$23-'Anchors'!$G$23))),"")</x:f>
        <x:v>88.8105026850925</x:v>
      </x:c>
      <x:c r="AO91" s="27" t="n">
        <x:f>IF(ISNUMBER(W91),IF('Scoring Setup'!$L$9=1,1-'Scoring Setup'!$B$5*(1-MAX(0,MIN(1,(W91-'Scoring Setup'!$K$9)/(100-'Scoring Setup'!$K$9)))),1),"")</x:f>
        <x:v>0.9560000000000001</x:v>
      </x:c>
      <x:c r="AP91" s="27" t="n">
        <x:f>IF(ISNUMBER(X91),IF('Scoring Setup'!$L$10=1,1-'Scoring Setup'!$B$5*(1-MAX(0,MIN(1,(X91-'Scoring Setup'!$K$10)/(100-'Scoring Setup'!$K$10)))),1),"")</x:f>
        <x:v>0.9974540311173974</x:v>
      </x:c>
      <x:c r="AQ91" s="27" t="n">
        <x:f>IF(ISNUMBER(Y91),IF('Scoring Setup'!$L$11=1,1-'Scoring Setup'!$B$5*(1-MAX(0,MIN(1,(Y91-'Scoring Setup'!$K$11)/(100-'Scoring Setup'!$K$11)))),1),"")</x:f>
        <x:v>0.8911745479505986</x:v>
      </x:c>
      <x:c r="AR91" s="27" t="n">
        <x:f>IF(ISNUMBER(Z91),IF('Scoring Setup'!$L$12=1,1-'Scoring Setup'!$B$5*(1-MAX(0,MIN(1,(Z91-'Scoring Setup'!$K$12)/(100-'Scoring Setup'!$K$12)))),1),"")</x:f>
        <x:v>0.8691388126322509</x:v>
      </x:c>
      <x:c r="AS91" s="27" t="n">
        <x:f>IF(ISNUMBER(AA91),IF('Scoring Setup'!$L$13=1,1-'Scoring Setup'!$B$5*(1-MAX(0,MIN(1,(AA91-'Scoring Setup'!$K$13)/(100-'Scoring Setup'!$K$13)))),1),"")</x:f>
        <x:v>0.994489246814145</x:v>
      </x:c>
      <x:c r="AT91" s="27" t="n">
        <x:f>IF(ISNUMBER(AB91),IF('Scoring Setup'!$L$14=1,1-'Scoring Setup'!$B$5*(1-MAX(0,MIN(1,(AB91-'Scoring Setup'!$K$14)/(100-'Scoring Setup'!$K$14)))),1),"")</x:f>
        <x:v>0.9873126983652311</x:v>
      </x:c>
      <x:c r="AU91" s="27" t="n">
        <x:f>IF(ISNUMBER(AC91),IF('Scoring Setup'!$L$15=1,1-'Scoring Setup'!$B$5*(1-MAX(0,MIN(1,(AC91-'Scoring Setup'!$K$15)/(100-'Scoring Setup'!$K$15)))),1),"")</x:f>
        <x:v>0.905579423198851</x:v>
      </x:c>
      <x:c r="AV91" s="27" t="n">
        <x:f>IF(ISNUMBER(AD91),IF('Scoring Setup'!$L$16=1,1-'Scoring Setup'!$B$5*(1-MAX(0,MIN(1,(AD91-'Scoring Setup'!$K$16)/(100-'Scoring Setup'!$K$16)))),1),"")</x:f>
        <x:v>1</x:v>
      </x:c>
      <x:c r="AW91" s="27" t="n">
        <x:f>IF(ISNUMBER(AE91),IF('Scoring Setup'!$L$17=1,1-'Scoring Setup'!$B$5*(1-MAX(0,MIN(1,(AE91-'Scoring Setup'!$K$17)/(100-'Scoring Setup'!$K$17)))),1),"")</x:f>
        <x:v>1</x:v>
      </x:c>
      <x:c r="AX91" s="27" t="n">
        <x:f>IF(ISNUMBER(AF91),IF('Scoring Setup'!$L$18=1,1-'Scoring Setup'!$B$5*(1-MAX(0,MIN(1,(AF91-'Scoring Setup'!$K$18)/(100-'Scoring Setup'!$K$18)))),1),"")</x:f>
        <x:v>0.823735202966171</x:v>
      </x:c>
      <x:c r="AY91" s="27" t="n">
        <x:f>IF(ISNUMBER(AG91),IF('Scoring Setup'!$L$19=1,1-'Scoring Setup'!$B$5*(1-MAX(0,MIN(1,(AG91-'Scoring Setup'!$K$19)/(100-'Scoring Setup'!$K$19)))),1),"")</x:f>
        <x:v>0.9115555555555556</x:v>
      </x:c>
      <x:c r="AZ91" s="27" t="n">
        <x:f>IF(ISNUMBER(AH91),IF('Scoring Setup'!$L$20=1,1-'Scoring Setup'!$B$5*(1-MAX(0,MIN(1,(AH91-'Scoring Setup'!$K$20)/(100-'Scoring Setup'!$K$20)))),1),"")</x:f>
        <x:v>0.9058259494357639</x:v>
      </x:c>
      <x:c r="BA91" s="27" t="n">
        <x:f>IF(ISNUMBER(AI91),IF('Scoring Setup'!$L$21=1,1-'Scoring Setup'!$B$5*(1-MAX(0,MIN(1,(AI91-'Scoring Setup'!$K$21)/(100-'Scoring Setup'!$K$21)))),1),"")</x:f>
        <x:v>0.9280462174188523</x:v>
      </x:c>
      <x:c r="BB91" s="27" t="n">
        <x:f>IF(ISNUMBER(AJ91),IF('Scoring Setup'!$L$22=1,1-'Scoring Setup'!$B$5*(1-MAX(0,MIN(1,(AJ91-'Scoring Setup'!$K$22)/(100-'Scoring Setup'!$K$22)))),1),"")</x:f>
        <x:v>0.9081879656370111</x:v>
      </x:c>
      <x:c r="BC91" s="27" t="n">
        <x:f>IF(ISNUMBER(AK91),IF('Scoring Setup'!$L$23=1,1-'Scoring Setup'!$B$5*(1-MAX(0,MIN(1,(AK91-'Scoring Setup'!$K$23)/(100-'Scoring Setup'!$K$23)))),1),"")</x:f>
        <x:v>0.8083989357790257</x:v>
      </x:c>
      <x:c r="BD91" s="27" t="n">
        <x:f>IF(ISNUMBER(AL91),IF('Scoring Setup'!$L$24=1,1-'Scoring Setup'!$B$5*(1-MAX(0,MIN(1,(AL91-'Scoring Setup'!$K$24)/(100-'Scoring Setup'!$K$24)))),1),"")</x:f>
        <x:v>0.9094545454545454</x:v>
      </x:c>
      <x:c r="BE91" s="27" t="n">
        <x:f>IF(ISNUMBER(AM91),IF('Scoring Setup'!$L$25=1,1-'Scoring Setup'!$B$5*(1-MAX(0,MIN(1,(AM91-'Scoring Setup'!$K$25)/(100-'Scoring Setup'!$K$25)))),1),"")</x:f>
        <x:v>0.8549228700052378</x:v>
      </x:c>
      <x:c r="BF91" s="27" t="n">
        <x:f>IF(ISNUMBER(AN91),IF('Scoring Setup'!$L$26=1,1-'Scoring Setup'!$B$5*(1-MAX(0,MIN(1,(AN91-'Scoring Setup'!$K$26)/(100-'Scoring Setup'!$K$26)))),1),"")</x:f>
        <x:v>0.977621005370185</x:v>
      </x:c>
      <x:c r="BG91" s="34" t="n">
        <x:f>IF(COUNT(W91,X91)=2,AVERAGE(W91,X91),"")</x:f>
        <x:v>88.36350777934936</x:v>
      </x:c>
      <x:c r="BH91" s="34" t="n">
        <x:f>IF(COUNT(Y91,Z91)=2,AVERAGE(Y91,Z91),"")</x:f>
        <x:v>40.07834014571236</x:v>
      </x:c>
      <x:c r="BI91" s="34" t="n">
        <x:f>IF(COUNT(AA91,AB91,AC91)=3,AVERAGE(AA91,AB91,AC91),"")</x:f>
        <x:v>81.23022806303784</x:v>
      </x:c>
      <x:c r="BJ91" s="34" t="n">
        <x:f>IF(COUNT(AD91,AE91)=2,AVERAGE(AD91,AE91),"")</x:f>
        <x:v>100</x:v>
      </x:c>
      <x:c r="BK91" s="34" t="n">
        <x:f>IF(COUNT(AF91,AG91)=2,AVERAGE(AF91,AG91),"")</x:f>
        <x:v>33.82268963043163</x:v>
      </x:c>
      <x:c r="BL91" s="34" t="n">
        <x:f>IF(COUNT(AH91,AI91)=2,AVERAGE(AH91,AI91),"")</x:f>
        <x:v>58.468041713654046</x:v>
      </x:c>
      <x:c r="BM91" s="34" t="n">
        <x:f>IF(COUNT(AJ91,AK91)=2,AVERAGE(AJ91,AK91),"")</x:f>
        <x:v>29.146725354009195</x:v>
      </x:c>
      <x:c r="BN91" s="34" t="n">
        <x:f>IF(COUNT(AL91,AM91,AN91)=3,AVERAGE(AL91,AM91,AN91),"")</x:f>
        <x:v>56.999736804994704</x:v>
      </x:c>
      <x:c r="BO91" s="35" t="n">
        <x:f>IF(AND(COUNT(BG91:BN91)=8,ABS('Scoring Setup'!$C$17-1)&lt;0.000001),BG91*'Scoring Setup'!$C$9+BH91*'Scoring Setup'!$C$10+BI91*'Scoring Setup'!$C$11+BJ91*'Scoring Setup'!$C$12+BK91*'Scoring Setup'!$C$13+BL91*'Scoring Setup'!$C$14+BM91*'Scoring Setup'!$C$15+BN91*'Scoring Setup'!$C$16,"")</x:f>
        <x:v>59.83796997130593</x:v>
      </x:c>
      <x:c r="BP91" s="36" t="n">
        <x:f>IF(COUNT(AO91:BF91)=18,MIN(AO91:BF91),"")</x:f>
        <x:v>0.8083989357790257</x:v>
      </x:c>
      <x:c r="BQ91" s="35" t="n">
        <x:f>IF(AND(ISNUMBER(BO91),ISNUMBER(BP91)),BO91*BP91,"")</x:f>
        <x:v>48.37295124398101</x:v>
      </x:c>
      <x:c r="BR91" s="17" t="str">
        <x:f>IF(COUNT(AO91:BF91)=18,INDEX('Scoring Setup'!$F$9:$F$26,MATCH(MIN(AO91:BF91),AO91:BF91,0),1),"")</x:f>
        <x:v>到铁路距离</x:v>
      </x:c>
    </x:row>
    <x:row r="92">
      <x:c r="A92" s="28" t="str">
        <x:v>51183</x:v>
      </x:c>
      <x:c r="B92" s="28" t="str">
        <x:v>Sussex County</x:v>
      </x:c>
      <x:c r="C92" s="28" t="str">
        <x:v>VA</x:v>
      </x:c>
      <x:c r="D92" s="31" t="n">
        <x:v>1269.725163</x:v>
      </x:c>
      <x:c r="E92" s="32" t="n">
        <x:v>0.364</x:v>
      </x:c>
      <x:c r="F92" s="32" t="n">
        <x:v>0.274443069306931</x:v>
      </x:c>
      <x:c r="G92" s="32" t="n">
        <x:v>3.7205495379841897</x:v>
      </x:c>
      <x:c r="H92" s="32" t="n">
        <x:v>4.058068907</x:v>
      </x:c>
      <x:c r="I92" s="32" t="n">
        <x:v>0.9610552300685696</x:v>
      </x:c>
      <x:c r="J92" s="32" t="n">
        <x:v>0.05436010606632029</x:v>
      </x:c>
      <x:c r="K92" s="32" t="n">
        <x:v>0.17726665607967468</x:v>
      </x:c>
      <x:c r="L92" s="32" t="n">
        <x:v>0.691725352</x:v>
      </x:c>
      <x:c r="M92" s="32" t="n">
        <x:v>0.691725352</x:v>
      </x:c>
      <x:c r="N92" s="32" t="n">
        <x:v>4551</x:v>
      </x:c>
      <x:c r="O92" s="32" t="n">
        <x:v>0.7385</x:v>
      </x:c>
      <x:c r="P92" s="32" t="n">
        <x:v>1373.221105957031</x:v>
      </x:c>
      <x:c r="Q92" s="32" t="n">
        <x:v>35.69814491271973</x:v>
      </x:c>
      <x:c r="R92" s="32" t="n">
        <x:v>11.939307539796488</x:v>
      </x:c>
      <x:c r="S92" s="32" t="n">
        <x:v>12.678011771479687</x:v>
      </x:c>
      <x:c r="T92" s="32" t="n">
        <x:v>89.9</x:v>
      </x:c>
      <x:c r="U92" s="32" t="n">
        <x:v>245.07712999476223</x:v>
      </x:c>
      <x:c r="V92" s="32" t="n">
        <x:v>244.75798925963002</x:v>
      </x:c>
      <x:c r="W92" s="33" t="n">
        <x:f>IF(ISNUMBER(E92),100*MAX(0,MIN(1,('Anchors'!$H$6-E92)/('Anchors'!$H$6-'Anchors'!$G$6))),"")</x:f>
        <x:v>76.57142857142858</x:v>
      </x:c>
      <x:c r="X92" s="33" t="n">
        <x:f>IF(ISNUMBER(F92),100*MAX(0,MIN(1,('Anchors'!$H$7-F92)/('Anchors'!$H$7-'Anchors'!$G$7))),"")</x:f>
        <x:v>75.07956152758128</x:v>
      </x:c>
      <x:c r="Y92" s="33" t="n">
        <x:f>IF(ISNUMBER(G92),100*MAX(0,MIN(1,('Anchors'!$H$8-G92)/('Anchors'!$H$8-'Anchors'!$G$8))),"")</x:f>
        <x:v>9.31501540052701</x:v>
      </x:c>
      <x:c r="Z92" s="33" t="n">
        <x:f>IF(ISNUMBER(H92),100*MAX(0,MIN(1,('Anchors'!$H$9-H92)/('Anchors'!$H$9-'Anchors'!$G$9))),"")</x:f>
        <x:v>0</x:v>
      </x:c>
      <x:c r="AA92" s="33" t="n">
        <x:f>IF(ISNUMBER(I92),100*MAX(0,MIN(1,(I92-'Anchors'!$H$10)/('Anchors'!$G$10-'Anchors'!$H$10))),"")</x:f>
        <x:v>97.40482603679035</x:v>
      </x:c>
      <x:c r="AB92" s="33" t="n">
        <x:f>IF(ISNUMBER(J92),100*MAX(0,MIN(1,('Anchors'!$H$11-J92)/('Anchors'!$H$11-'Anchors'!$G$11))),"")</x:f>
        <x:v>78.25595757347187</x:v>
      </x:c>
      <x:c r="AC92" s="33" t="n">
        <x:f>IF(ISNUMBER(K92),100*MAX(0,MIN(1,('Anchors'!$H$12-K92)/('Anchors'!$H$12-'Anchors'!$G$12))),"")</x:f>
        <x:v>55.683335980081324</x:v>
      </x:c>
      <x:c r="AD92" s="33" t="n">
        <x:f>IF(ISNUMBER(L92),100*MAX(0,MIN(1,(L92-'Anchors'!$H$13)/('Anchors'!$G$13-'Anchors'!$H$13))),"")</x:f>
        <x:v>70.24647885714286</x:v>
      </x:c>
      <x:c r="AE92" s="33" t="n">
        <x:f>IF(ISNUMBER(M92),100*MAX(0,MIN(1,(M92-'Anchors'!$H$14)/('Anchors'!$G$14-'Anchors'!$H$14))),"")</x:f>
        <x:v>73.96566899999999</x:v>
      </x:c>
      <x:c r="AF92" s="33" t="n">
        <x:f>IF(ISNUMBER(N92),100*MAX(0,MIN(1,(LN(1+N92)-LN(1+'Anchors'!$H$15))/(LN(1+'Anchors'!$G$15)-LN(1+'Anchors'!$H$15)))),"")</x:f>
        <x:v>19.03916171510859</x:v>
      </x:c>
      <x:c r="AG92" s="33" t="n">
        <x:f>IF(ISNUMBER(O92),100*MAX(0,MIN(1,('Anchors'!$H$16-O92)/('Anchors'!$H$16-'Anchors'!$G$16))),"")</x:f>
        <x:v>23.499999999999993</x:v>
      </x:c>
      <x:c r="AH92" s="33" t="n">
        <x:f>IF(ISNUMBER(P92),100*MAX(0,MIN(1,('Anchors'!$H$17-P92)/('Anchors'!$H$17-'Anchors'!$G$17))),"")</x:f>
        <x:v>55.11859293619793</x:v>
      </x:c>
      <x:c r="AI92" s="33" t="n">
        <x:f>IF(ISNUMBER(Q92),100*MAX(0,MIN(1,('Anchors'!$H$18-Q92)/('Anchors'!$H$18-'Anchors'!$G$18))),"")</x:f>
        <x:v>56.14550726754325</x:v>
      </x:c>
      <x:c r="AJ92" s="33" t="n">
        <x:f>IF(ISNUMBER(R92),100*MAX(0,MIN(1,('Anchors'!$H$19-R92)/('Anchors'!$H$19-'Anchors'!$G$19))),"")</x:f>
        <x:v>84.57931657823002</x:v>
      </x:c>
      <x:c r="AK92" s="33" t="n">
        <x:f>IF(ISNUMBER(S92),100*MAX(0,MIN(1,('Anchors'!$H$20-S92)/('Anchors'!$H$20-'Anchors'!$G$20))),"")</x:f>
        <x:v>38.53678015010691</x:v>
      </x:c>
      <x:c r="AL92" s="33" t="n">
        <x:f>IF(ISNUMBER(T92),100*MAX(0,MIN(1,('Anchors'!$H$21-T92)/('Anchors'!$H$21-'Anchors'!$G$21))),"")</x:f>
        <x:v>54.72727272727271</x:v>
      </x:c>
      <x:c r="AM92" s="33" t="n">
        <x:f>IF(ISNUMBER(U92),100*MAX(0,MIN(1,('Anchors'!$H$22-U92)/('Anchors'!$H$22-'Anchors'!$G$22))),"")</x:f>
        <x:v>27.461435002618884</x:v>
      </x:c>
      <x:c r="AN92" s="33" t="n">
        <x:f>IF(ISNUMBER(V92),100*MAX(0,MIN(1,('Anchors'!$H$23-V92)/('Anchors'!$H$23-'Anchors'!$G$23))),"")</x:f>
        <x:v>88.8105026850925</x:v>
      </x:c>
      <x:c r="AO92" s="27" t="n">
        <x:f>IF(ISNUMBER(W92),IF('Scoring Setup'!$L$9=1,1-'Scoring Setup'!$B$5*(1-MAX(0,MIN(1,(W92-'Scoring Setup'!$K$9)/(100-'Scoring Setup'!$K$9)))),1),"")</x:f>
        <x:v>0.9531428571428572</x:v>
      </x:c>
      <x:c r="AP92" s="27" t="n">
        <x:f>IF(ISNUMBER(X92),IF('Scoring Setup'!$L$10=1,1-'Scoring Setup'!$B$5*(1-MAX(0,MIN(1,(X92-'Scoring Setup'!$K$10)/(100-'Scoring Setup'!$K$10)))),1),"")</x:f>
        <x:v>0.9501591230551626</x:v>
      </x:c>
      <x:c r="AQ92" s="27" t="n">
        <x:f>IF(ISNUMBER(Y92),IF('Scoring Setup'!$L$11=1,1-'Scoring Setup'!$B$5*(1-MAX(0,MIN(1,(Y92-'Scoring Setup'!$K$11)/(100-'Scoring Setup'!$K$11)))),1),"")</x:f>
        <x:v>0.818630030801054</x:v>
      </x:c>
      <x:c r="AR92" s="27" t="n">
        <x:f>IF(ISNUMBER(Z92),IF('Scoring Setup'!$L$12=1,1-'Scoring Setup'!$B$5*(1-MAX(0,MIN(1,(Z92-'Scoring Setup'!$K$12)/(100-'Scoring Setup'!$K$12)))),1),"")</x:f>
        <x:v>0.8</x:v>
      </x:c>
      <x:c r="AS92" s="27" t="n">
        <x:f>IF(ISNUMBER(AA92),IF('Scoring Setup'!$L$13=1,1-'Scoring Setup'!$B$5*(1-MAX(0,MIN(1,(AA92-'Scoring Setup'!$K$13)/(100-'Scoring Setup'!$K$13)))),1),"")</x:f>
        <x:v>0.9948096520735807</x:v>
      </x:c>
      <x:c r="AT92" s="27" t="n">
        <x:f>IF(ISNUMBER(AB92),IF('Scoring Setup'!$L$14=1,1-'Scoring Setup'!$B$5*(1-MAX(0,MIN(1,(AB92-'Scoring Setup'!$K$14)/(100-'Scoring Setup'!$K$14)))),1),"")</x:f>
        <x:v>0.9565119151469438</x:v>
      </x:c>
      <x:c r="AU92" s="27" t="n">
        <x:f>IF(ISNUMBER(AC92),IF('Scoring Setup'!$L$15=1,1-'Scoring Setup'!$B$5*(1-MAX(0,MIN(1,(AC92-'Scoring Setup'!$K$15)/(100-'Scoring Setup'!$K$15)))),1),"")</x:f>
        <x:v>0.9113666719601626</x:v>
      </x:c>
      <x:c r="AV92" s="27" t="n">
        <x:f>IF(ISNUMBER(AD92),IF('Scoring Setup'!$L$16=1,1-'Scoring Setup'!$B$5*(1-MAX(0,MIN(1,(AD92-'Scoring Setup'!$K$16)/(100-'Scoring Setup'!$K$16)))),1),"")</x:f>
        <x:v>0.9404929577142858</x:v>
      </x:c>
      <x:c r="AW92" s="27" t="n">
        <x:f>IF(ISNUMBER(AE92),IF('Scoring Setup'!$L$17=1,1-'Scoring Setup'!$B$5*(1-MAX(0,MIN(1,(AE92-'Scoring Setup'!$K$17)/(100-'Scoring Setup'!$K$17)))),1),"")</x:f>
        <x:v>0.947931338</x:v>
      </x:c>
      <x:c r="AX92" s="27" t="n">
        <x:f>IF(ISNUMBER(AF92),IF('Scoring Setup'!$L$18=1,1-'Scoring Setup'!$B$5*(1-MAX(0,MIN(1,(AF92-'Scoring Setup'!$K$18)/(100-'Scoring Setup'!$K$18)))),1),"")</x:f>
        <x:v>0.8380783234302172</x:v>
      </x:c>
      <x:c r="AY92" s="27" t="n">
        <x:f>IF(ISNUMBER(AG92),IF('Scoring Setup'!$L$19=1,1-'Scoring Setup'!$B$5*(1-MAX(0,MIN(1,(AG92-'Scoring Setup'!$K$19)/(100-'Scoring Setup'!$K$19)))),1),"")</x:f>
        <x:v>0.847</x:v>
      </x:c>
      <x:c r="AZ92" s="27" t="n">
        <x:f>IF(ISNUMBER(AH92),IF('Scoring Setup'!$L$20=1,1-'Scoring Setup'!$B$5*(1-MAX(0,MIN(1,(AH92-'Scoring Setup'!$K$20)/(100-'Scoring Setup'!$K$20)))),1),"")</x:f>
        <x:v>0.9102371858723959</x:v>
      </x:c>
      <x:c r="BA92" s="27" t="n">
        <x:f>IF(ISNUMBER(AI92),IF('Scoring Setup'!$L$21=1,1-'Scoring Setup'!$B$5*(1-MAX(0,MIN(1,(AI92-'Scoring Setup'!$K$21)/(100-'Scoring Setup'!$K$21)))),1),"")</x:f>
        <x:v>0.9122910145350864</x:v>
      </x:c>
      <x:c r="BB92" s="27" t="n">
        <x:f>IF(ISNUMBER(AJ92),IF('Scoring Setup'!$L$22=1,1-'Scoring Setup'!$B$5*(1-MAX(0,MIN(1,(AJ92-'Scoring Setup'!$K$22)/(100-'Scoring Setup'!$K$22)))),1),"")</x:f>
        <x:v>0.96915863315646</x:v>
      </x:c>
      <x:c r="BC92" s="27" t="n">
        <x:f>IF(ISNUMBER(AK92),IF('Scoring Setup'!$L$23=1,1-'Scoring Setup'!$B$5*(1-MAX(0,MIN(1,(AK92-'Scoring Setup'!$K$23)/(100-'Scoring Setup'!$K$23)))),1),"")</x:f>
        <x:v>0.8770735603002138</x:v>
      </x:c>
      <x:c r="BD92" s="27" t="n">
        <x:f>IF(ISNUMBER(AL92),IF('Scoring Setup'!$L$24=1,1-'Scoring Setup'!$B$5*(1-MAX(0,MIN(1,(AL92-'Scoring Setup'!$K$24)/(100-'Scoring Setup'!$K$24)))),1),"")</x:f>
        <x:v>0.9094545454545454</x:v>
      </x:c>
      <x:c r="BE92" s="27" t="n">
        <x:f>IF(ISNUMBER(AM92),IF('Scoring Setup'!$L$25=1,1-'Scoring Setup'!$B$5*(1-MAX(0,MIN(1,(AM92-'Scoring Setup'!$K$25)/(100-'Scoring Setup'!$K$25)))),1),"")</x:f>
        <x:v>0.8549228700052378</x:v>
      </x:c>
      <x:c r="BF92" s="27" t="n">
        <x:f>IF(ISNUMBER(AN92),IF('Scoring Setup'!$L$26=1,1-'Scoring Setup'!$B$5*(1-MAX(0,MIN(1,(AN92-'Scoring Setup'!$K$26)/(100-'Scoring Setup'!$K$26)))),1),"")</x:f>
        <x:v>0.977621005370185</x:v>
      </x:c>
      <x:c r="BG92" s="34" t="n">
        <x:f>IF(COUNT(W92,X92)=2,AVERAGE(W92,X92),"")</x:f>
        <x:v>75.82549504950492</x:v>
      </x:c>
      <x:c r="BH92" s="34" t="n">
        <x:f>IF(COUNT(Y92,Z92)=2,AVERAGE(Y92,Z92),"")</x:f>
        <x:v>4.657507700263505</x:v>
      </x:c>
      <x:c r="BI92" s="34" t="n">
        <x:f>IF(COUNT(AA92,AB92,AC92)=3,AVERAGE(AA92,AB92,AC92),"")</x:f>
        <x:v>77.11470653011452</x:v>
      </x:c>
      <x:c r="BJ92" s="34" t="n">
        <x:f>IF(COUNT(AD92,AE92)=2,AVERAGE(AD92,AE92),"")</x:f>
        <x:v>72.10607392857142</x:v>
      </x:c>
      <x:c r="BK92" s="34" t="n">
        <x:f>IF(COUNT(AF92,AG92)=2,AVERAGE(AF92,AG92),"")</x:f>
        <x:v>21.269580857554292</x:v>
      </x:c>
      <x:c r="BL92" s="34" t="n">
        <x:f>IF(COUNT(AH92,AI92)=2,AVERAGE(AH92,AI92),"")</x:f>
        <x:v>55.63205010187059</x:v>
      </x:c>
      <x:c r="BM92" s="34" t="n">
        <x:f>IF(COUNT(AJ92,AK92)=2,AVERAGE(AJ92,AK92),"")</x:f>
        <x:v>61.558048364168464</x:v>
      </x:c>
      <x:c r="BN92" s="34" t="n">
        <x:f>IF(COUNT(AL92,AM92,AN92)=3,AVERAGE(AL92,AM92,AN92),"")</x:f>
        <x:v>56.999736804994704</x:v>
      </x:c>
      <x:c r="BO92" s="35" t="n">
        <x:f>IF(AND(COUNT(BG92:BN92)=8,ABS('Scoring Setup'!$C$17-1)&lt;0.000001),BG92*'Scoring Setup'!$C$9+BH92*'Scoring Setup'!$C$10+BI92*'Scoring Setup'!$C$11+BJ92*'Scoring Setup'!$C$12+BK92*'Scoring Setup'!$C$13+BL92*'Scoring Setup'!$C$14+BM92*'Scoring Setup'!$C$15+BN92*'Scoring Setup'!$C$16,"")</x:f>
        <x:v>48.52251314142758</x:v>
      </x:c>
      <x:c r="BP92" s="36" t="n">
        <x:f>IF(COUNT(AO92:BF92)=18,MIN(AO92:BF92),"")</x:f>
        <x:v>0.8</x:v>
      </x:c>
      <x:c r="BQ92" s="35" t="n">
        <x:f>IF(AND(ISNUMBER(BO92),ISNUMBER(BP92)),BO92*BP92,"")</x:f>
        <x:v>38.81801051314207</x:v>
      </x:c>
      <x:c r="BR92" s="17" t="str">
        <x:f>IF(COUNT(AO92:BF92)=18,INDEX('Scoring Setup'!$F$9:$F$26,MATCH(MIN(AO92:BF92),AO92:BF92,0),1),"")</x:f>
        <x:v>2050 BAU水压力</x:v>
      </x:c>
    </x:row>
    <x:row r="93">
      <x:c r="A93" s="28" t="str">
        <x:v>51185</x:v>
      </x:c>
      <x:c r="B93" s="28" t="str">
        <x:v>Tazewell County</x:v>
      </x:c>
      <x:c r="C93" s="28" t="str">
        <x:v>VA</x:v>
      </x:c>
      <x:c r="D93" s="31" t="n">
        <x:v>1343.663016</x:v>
      </x:c>
      <x:c r="E93" s="32" t="n">
        <x:v>0.81</x:v>
      </x:c>
      <x:c r="F93" s="32" t="n">
        <x:v>0.89325495049505</x:v>
      </x:c>
      <x:c r="G93" s="32" t="n">
        <x:v>1.9945151124785931</x:v>
      </x:c>
      <x:c r="H93" s="32" t="n">
        <x:v>2.2491774216054576</x:v>
      </x:c>
      <x:c r="I93" s="32" t="n">
        <x:v>0.9540289380552278</x:v>
      </x:c>
      <x:c r="J93" s="32" t="n">
        <x:v>0.062078930536553195</x:v>
      </x:c>
      <x:c r="K93" s="32" t="n">
        <x:v>0.001056621539564458</x:v>
      </x:c>
      <x:c r="L93" s="32" t="n">
        <x:v>0.477721883</x:v>
      </x:c>
      <x:c r="M93" s="32" t="n">
        <x:v>0.464876033</x:v>
      </x:c>
      <x:c r="N93" s="32" t="n">
        <x:v>14302</x:v>
      </x:c>
      <x:c r="O93" s="32" t="n">
        <x:v>0.5883</x:v>
      </x:c>
      <x:c r="P93" s="32" t="n">
        <x:v>327.52550048828124</x:v>
      </x:c>
      <x:c r="Q93" s="32" t="n">
        <x:v>0.5449943860371907</x:v>
      </x:c>
      <x:c r="R93" s="32" t="n">
        <x:v>31.110400532930363</x:v>
      </x:c>
      <x:c r="S93" s="32" t="n">
        <x:v>0.20533638922286612</x:v>
      </x:c>
      <x:c r="T93" s="32" t="n">
        <x:v>89.9</x:v>
      </x:c>
      <x:c r="U93" s="32" t="n">
        <x:v>245.07712999476223</x:v>
      </x:c>
      <x:c r="V93" s="32" t="n">
        <x:v>244.75798925963002</x:v>
      </x:c>
      <x:c r="W93" s="33" t="n">
        <x:f>IF(ISNUMBER(E93),100*MAX(0,MIN(1,('Anchors'!$H$6-E93)/('Anchors'!$H$6-'Anchors'!$G$6))),"")</x:f>
        <x:v>12.857142857142852</x:v>
      </x:c>
      <x:c r="X93" s="33" t="n">
        <x:f>IF(ISNUMBER(F93),100*MAX(0,MIN(1,('Anchors'!$H$7-F93)/('Anchors'!$H$7-'Anchors'!$G$7))),"")</x:f>
        <x:v>0</x:v>
      </x:c>
      <x:c r="Y93" s="33" t="n">
        <x:f>IF(ISNUMBER(G93),100*MAX(0,MIN(1,('Anchors'!$H$8-G93)/('Anchors'!$H$8-'Anchors'!$G$8))),"")</x:f>
        <x:v>66.84949625071356</x:v>
      </x:c>
      <x:c r="Z93" s="33" t="n">
        <x:f>IF(ISNUMBER(H93),100*MAX(0,MIN(1,('Anchors'!$H$9-H93)/('Anchors'!$H$9-'Anchors'!$G$9))),"")</x:f>
        <x:v>58.36075261315141</x:v>
      </x:c>
      <x:c r="AA93" s="33" t="n">
        <x:f>IF(ISNUMBER(I93),100*MAX(0,MIN(1,(I93-'Anchors'!$H$10)/('Anchors'!$G$10-'Anchors'!$H$10))),"")</x:f>
        <x:v>96.44232028153806</x:v>
      </x:c>
      <x:c r="AB93" s="33" t="n">
        <x:f>IF(ISNUMBER(J93),100*MAX(0,MIN(1,('Anchors'!$H$11-J93)/('Anchors'!$H$11-'Anchors'!$G$11))),"")</x:f>
        <x:v>75.16842778537873</x:v>
      </x:c>
      <x:c r="AC93" s="33" t="n">
        <x:f>IF(ISNUMBER(K93),100*MAX(0,MIN(1,('Anchors'!$H$12-K93)/('Anchors'!$H$12-'Anchors'!$G$12))),"")</x:f>
        <x:v>99.73584461510889</x:v>
      </x:c>
      <x:c r="AD93" s="33" t="n">
        <x:f>IF(ISNUMBER(L93),100*MAX(0,MIN(1,(L93-'Anchors'!$H$13)/('Anchors'!$G$13-'Anchors'!$H$13))),"")</x:f>
        <x:v>39.67455471428571</x:v>
      </x:c>
      <x:c r="AE93" s="33" t="n">
        <x:f>IF(ISNUMBER(M93),100*MAX(0,MIN(1,(M93-'Anchors'!$H$14)/('Anchors'!$G$14-'Anchors'!$H$14))),"")</x:f>
        <x:v>45.60950412500001</x:v>
      </x:c>
      <x:c r="AF93" s="33" t="n">
        <x:f>IF(ISNUMBER(N93),100*MAX(0,MIN(1,(LN(1+N93)-LN(1+'Anchors'!$H$15))/(LN(1+'Anchors'!$G$15)-LN(1+'Anchors'!$H$15)))),"")</x:f>
        <x:v>45.55998543175927</x:v>
      </x:c>
      <x:c r="AG93" s="33" t="n">
        <x:f>IF(ISNUMBER(O93),100*MAX(0,MIN(1,('Anchors'!$H$16-O93)/('Anchors'!$H$16-'Anchors'!$G$16))),"")</x:f>
        <x:v>40.18888888888888</x:v>
      </x:c>
      <x:c r="AH93" s="33" t="n">
        <x:f>IF(ISNUMBER(P93),100*MAX(0,MIN(1,('Anchors'!$H$17-P93)/('Anchors'!$H$17-'Anchors'!$G$17))),"")</x:f>
        <x:v>100</x:v>
      </x:c>
      <x:c r="AI93" s="33" t="n">
        <x:f>IF(ISNUMBER(Q93),100*MAX(0,MIN(1,('Anchors'!$H$18-Q93)/('Anchors'!$H$18-'Anchors'!$G$18))),"")</x:f>
        <x:v>100</x:v>
      </x:c>
      <x:c r="AJ93" s="33" t="n">
        <x:f>IF(ISNUMBER(R93),100*MAX(0,MIN(1,('Anchors'!$H$19-R93)/('Anchors'!$H$19-'Anchors'!$G$19))),"")</x:f>
        <x:v>41.97688770459919</x:v>
      </x:c>
      <x:c r="AK93" s="33" t="n">
        <x:f>IF(ISNUMBER(S93),100*MAX(0,MIN(1,('Anchors'!$H$20-S93)/('Anchors'!$H$20-'Anchors'!$G$20))),"")</x:f>
        <x:v>100</x:v>
      </x:c>
      <x:c r="AL93" s="33" t="n">
        <x:f>IF(ISNUMBER(T93),100*MAX(0,MIN(1,('Anchors'!$H$21-T93)/('Anchors'!$H$21-'Anchors'!$G$21))),"")</x:f>
        <x:v>54.72727272727271</x:v>
      </x:c>
      <x:c r="AM93" s="33" t="n">
        <x:f>IF(ISNUMBER(U93),100*MAX(0,MIN(1,('Anchors'!$H$22-U93)/('Anchors'!$H$22-'Anchors'!$G$22))),"")</x:f>
        <x:v>27.461435002618884</x:v>
      </x:c>
      <x:c r="AN93" s="33" t="n">
        <x:f>IF(ISNUMBER(V93),100*MAX(0,MIN(1,('Anchors'!$H$23-V93)/('Anchors'!$H$23-'Anchors'!$G$23))),"")</x:f>
        <x:v>88.8105026850925</x:v>
      </x:c>
      <x:c r="AO93" s="27" t="n">
        <x:f>IF(ISNUMBER(W93),IF('Scoring Setup'!$L$9=1,1-'Scoring Setup'!$B$5*(1-MAX(0,MIN(1,(W93-'Scoring Setup'!$K$9)/(100-'Scoring Setup'!$K$9)))),1),"")</x:f>
        <x:v>0.8257142857142857</x:v>
      </x:c>
      <x:c r="AP93" s="27" t="n">
        <x:f>IF(ISNUMBER(X93),IF('Scoring Setup'!$L$10=1,1-'Scoring Setup'!$B$5*(1-MAX(0,MIN(1,(X93-'Scoring Setup'!$K$10)/(100-'Scoring Setup'!$K$10)))),1),"")</x:f>
        <x:v>0.8</x:v>
      </x:c>
      <x:c r="AQ93" s="27" t="n">
        <x:f>IF(ISNUMBER(Y93),IF('Scoring Setup'!$L$11=1,1-'Scoring Setup'!$B$5*(1-MAX(0,MIN(1,(Y93-'Scoring Setup'!$K$11)/(100-'Scoring Setup'!$K$11)))),1),"")</x:f>
        <x:v>0.9336989925014271</x:v>
      </x:c>
      <x:c r="AR93" s="27" t="n">
        <x:f>IF(ISNUMBER(Z93),IF('Scoring Setup'!$L$12=1,1-'Scoring Setup'!$B$5*(1-MAX(0,MIN(1,(Z93-'Scoring Setup'!$K$12)/(100-'Scoring Setup'!$K$12)))),1),"")</x:f>
        <x:v>0.9167215052263028</x:v>
      </x:c>
      <x:c r="AS93" s="27" t="n">
        <x:f>IF(ISNUMBER(AA93),IF('Scoring Setup'!$L$13=1,1-'Scoring Setup'!$B$5*(1-MAX(0,MIN(1,(AA93-'Scoring Setup'!$K$13)/(100-'Scoring Setup'!$K$13)))),1),"")</x:f>
        <x:v>0.9928846405630761</x:v>
      </x:c>
      <x:c r="AT93" s="27" t="n">
        <x:f>IF(ISNUMBER(AB93),IF('Scoring Setup'!$L$14=1,1-'Scoring Setup'!$B$5*(1-MAX(0,MIN(1,(AB93-'Scoring Setup'!$K$14)/(100-'Scoring Setup'!$K$14)))),1),"")</x:f>
        <x:v>0.9503368555707574</x:v>
      </x:c>
      <x:c r="AU93" s="27" t="n">
        <x:f>IF(ISNUMBER(AC93),IF('Scoring Setup'!$L$15=1,1-'Scoring Setup'!$B$5*(1-MAX(0,MIN(1,(AC93-'Scoring Setup'!$K$15)/(100-'Scoring Setup'!$K$15)))),1),"")</x:f>
        <x:v>0.9994716892302178</x:v>
      </x:c>
      <x:c r="AV93" s="27" t="n">
        <x:f>IF(ISNUMBER(AD93),IF('Scoring Setup'!$L$16=1,1-'Scoring Setup'!$B$5*(1-MAX(0,MIN(1,(AD93-'Scoring Setup'!$K$16)/(100-'Scoring Setup'!$K$16)))),1),"")</x:f>
        <x:v>0.8793491094285715</x:v>
      </x:c>
      <x:c r="AW93" s="27" t="n">
        <x:f>IF(ISNUMBER(AE93),IF('Scoring Setup'!$L$17=1,1-'Scoring Setup'!$B$5*(1-MAX(0,MIN(1,(AE93-'Scoring Setup'!$K$17)/(100-'Scoring Setup'!$K$17)))),1),"")</x:f>
        <x:v>0.89121900825</x:v>
      </x:c>
      <x:c r="AX93" s="27" t="n">
        <x:f>IF(ISNUMBER(AF93),IF('Scoring Setup'!$L$18=1,1-'Scoring Setup'!$B$5*(1-MAX(0,MIN(1,(AF93-'Scoring Setup'!$K$18)/(100-'Scoring Setup'!$K$18)))),1),"")</x:f>
        <x:v>0.8911199708635186</x:v>
      </x:c>
      <x:c r="AY93" s="27" t="n">
        <x:f>IF(ISNUMBER(AG93),IF('Scoring Setup'!$L$19=1,1-'Scoring Setup'!$B$5*(1-MAX(0,MIN(1,(AG93-'Scoring Setup'!$K$19)/(100-'Scoring Setup'!$K$19)))),1),"")</x:f>
        <x:v>0.8803777777777777</x:v>
      </x:c>
      <x:c r="AZ93" s="27" t="n">
        <x:f>IF(ISNUMBER(AH93),IF('Scoring Setup'!$L$20=1,1-'Scoring Setup'!$B$5*(1-MAX(0,MIN(1,(AH93-'Scoring Setup'!$K$20)/(100-'Scoring Setup'!$K$20)))),1),"")</x:f>
        <x:v>1</x:v>
      </x:c>
      <x:c r="BA93" s="27" t="n">
        <x:f>IF(ISNUMBER(AI93),IF('Scoring Setup'!$L$21=1,1-'Scoring Setup'!$B$5*(1-MAX(0,MIN(1,(AI93-'Scoring Setup'!$K$21)/(100-'Scoring Setup'!$K$21)))),1),"")</x:f>
        <x:v>1</x:v>
      </x:c>
      <x:c r="BB93" s="27" t="n">
        <x:f>IF(ISNUMBER(AJ93),IF('Scoring Setup'!$L$22=1,1-'Scoring Setup'!$B$5*(1-MAX(0,MIN(1,(AJ93-'Scoring Setup'!$K$22)/(100-'Scoring Setup'!$K$22)))),1),"")</x:f>
        <x:v>0.8839537754091984</x:v>
      </x:c>
      <x:c r="BC93" s="27" t="n">
        <x:f>IF(ISNUMBER(AK93),IF('Scoring Setup'!$L$23=1,1-'Scoring Setup'!$B$5*(1-MAX(0,MIN(1,(AK93-'Scoring Setup'!$K$23)/(100-'Scoring Setup'!$K$23)))),1),"")</x:f>
        <x:v>1</x:v>
      </x:c>
      <x:c r="BD93" s="27" t="n">
        <x:f>IF(ISNUMBER(AL93),IF('Scoring Setup'!$L$24=1,1-'Scoring Setup'!$B$5*(1-MAX(0,MIN(1,(AL93-'Scoring Setup'!$K$24)/(100-'Scoring Setup'!$K$24)))),1),"")</x:f>
        <x:v>0.9094545454545454</x:v>
      </x:c>
      <x:c r="BE93" s="27" t="n">
        <x:f>IF(ISNUMBER(AM93),IF('Scoring Setup'!$L$25=1,1-'Scoring Setup'!$B$5*(1-MAX(0,MIN(1,(AM93-'Scoring Setup'!$K$25)/(100-'Scoring Setup'!$K$25)))),1),"")</x:f>
        <x:v>0.8549228700052378</x:v>
      </x:c>
      <x:c r="BF93" s="27" t="n">
        <x:f>IF(ISNUMBER(AN93),IF('Scoring Setup'!$L$26=1,1-'Scoring Setup'!$B$5*(1-MAX(0,MIN(1,(AN93-'Scoring Setup'!$K$26)/(100-'Scoring Setup'!$K$26)))),1),"")</x:f>
        <x:v>0.977621005370185</x:v>
      </x:c>
      <x:c r="BG93" s="34" t="n">
        <x:f>IF(COUNT(W93,X93)=2,AVERAGE(W93,X93),"")</x:f>
        <x:v>6.428571428571426</x:v>
      </x:c>
      <x:c r="BH93" s="34" t="n">
        <x:f>IF(COUNT(Y93,Z93)=2,AVERAGE(Y93,Z93),"")</x:f>
        <x:v>62.60512443193248</x:v>
      </x:c>
      <x:c r="BI93" s="34" t="n">
        <x:f>IF(COUNT(AA93,AB93,AC93)=3,AVERAGE(AA93,AB93,AC93),"")</x:f>
        <x:v>90.4488642273419</x:v>
      </x:c>
      <x:c r="BJ93" s="34" t="n">
        <x:f>IF(COUNT(AD93,AE93)=2,AVERAGE(AD93,AE93),"")</x:f>
        <x:v>42.64202941964286</x:v>
      </x:c>
      <x:c r="BK93" s="34" t="n">
        <x:f>IF(COUNT(AF93,AG93)=2,AVERAGE(AF93,AG93),"")</x:f>
        <x:v>42.87443716032408</x:v>
      </x:c>
      <x:c r="BL93" s="34" t="n">
        <x:f>IF(COUNT(AH93,AI93)=2,AVERAGE(AH93,AI93),"")</x:f>
        <x:v>100</x:v>
      </x:c>
      <x:c r="BM93" s="34" t="n">
        <x:f>IF(COUNT(AJ93,AK93)=2,AVERAGE(AJ93,AK93),"")</x:f>
        <x:v>70.9884438522996</x:v>
      </x:c>
      <x:c r="BN93" s="34" t="n">
        <x:f>IF(COUNT(AL93,AM93,AN93)=3,AVERAGE(AL93,AM93,AN93),"")</x:f>
        <x:v>56.999736804994704</x:v>
      </x:c>
      <x:c r="BO93" s="35" t="n">
        <x:f>IF(AND(COUNT(BG93:BN93)=8,ABS('Scoring Setup'!$C$17-1)&lt;0.000001),BG93*'Scoring Setup'!$C$9+BH93*'Scoring Setup'!$C$10+BI93*'Scoring Setup'!$C$11+BJ93*'Scoring Setup'!$C$12+BK93*'Scoring Setup'!$C$13+BL93*'Scoring Setup'!$C$14+BM93*'Scoring Setup'!$C$15+BN93*'Scoring Setup'!$C$16,"")</x:f>
        <x:v>56.40975834408791</x:v>
      </x:c>
      <x:c r="BP93" s="36" t="n">
        <x:f>IF(COUNT(AO93:BF93)=18,MIN(AO93:BF93),"")</x:f>
        <x:v>0.8</x:v>
      </x:c>
      <x:c r="BQ93" s="35" t="n">
        <x:f>IF(AND(ISNUMBER(BO93),ISNUMBER(BP93)),BO93*BP93,"")</x:f>
        <x:v>45.127806675270335</x:v>
      </x:c>
      <x:c r="BR93" s="17" t="str">
        <x:f>IF(COUNT(AO93:BF93)=18,INDEX('Scoring Setup'!$F$9:$F$26,MATCH(MIN(AO93:BF93),AO93:BF93,0),1),"")</x:f>
        <x:v>洪水损失率全国百分位</x:v>
      </x:c>
    </x:row>
    <x:row r="94">
      <x:c r="A94" s="28" t="str">
        <x:v>51187</x:v>
      </x:c>
      <x:c r="B94" s="28" t="str">
        <x:v>Warren County</x:v>
      </x:c>
      <x:c r="C94" s="28" t="str">
        <x:v>VA</x:v>
      </x:c>
      <x:c r="D94" s="31" t="n">
        <x:v>555.738446</x:v>
      </x:c>
      <x:c r="E94" s="32" t="n">
        <x:v>0.492</x:v>
      </x:c>
      <x:c r="F94" s="32" t="n">
        <x:v>0.7800123762376241</x:v>
      </x:c>
      <x:c r="G94" s="32" t="n">
        <x:v>2.8164460897765258</x:v>
      </x:c>
      <x:c r="H94" s="32" t="n">
        <x:v>3.0655209624689435</x:v>
      </x:c>
      <x:c r="I94" s="32" t="n">
        <x:v>0.9041378575373079</x:v>
      </x:c>
      <x:c r="J94" s="32" t="n">
        <x:v>0.11566254957648577</x:v>
      </x:c>
      <x:c r="K94" s="32" t="n">
        <x:v>0.0012578596041375345</x:v>
      </x:c>
      <x:c r="L94" s="32" t="n">
        <x:v>0.420593829</x:v>
      </x:c>
      <x:c r="M94" s="32" t="n">
        <x:v>0.400517751</x:v>
      </x:c>
      <x:c r="N94" s="32" t="n">
        <x:v>21532</x:v>
      </x:c>
      <x:c r="O94" s="32" t="n">
        <x:v>0.496</x:v>
      </x:c>
      <x:c r="P94" s="32" t="n">
        <x:v>771.3235270182291</x:v>
      </x:c>
      <x:c r="Q94" s="32" t="n">
        <x:v>13.58764435450236</x:v>
      </x:c>
      <x:c r="R94" s="32" t="n">
        <x:v>5.472136990876614</x:v>
      </x:c>
      <x:c r="S94" s="32" t="n">
        <x:v>0.1846056468630296</x:v>
      </x:c>
      <x:c r="T94" s="32" t="n">
        <x:v>89.9</x:v>
      </x:c>
      <x:c r="U94" s="32" t="n">
        <x:v>245.07712999476223</x:v>
      </x:c>
      <x:c r="V94" s="32" t="n">
        <x:v>244.75798925963002</x:v>
      </x:c>
      <x:c r="W94" s="33" t="n">
        <x:f>IF(ISNUMBER(E94),100*MAX(0,MIN(1,('Anchors'!$H$6-E94)/('Anchors'!$H$6-'Anchors'!$G$6))),"")</x:f>
        <x:v>58.2857142857143</x:v>
      </x:c>
      <x:c r="X94" s="33" t="n">
        <x:f>IF(ISNUMBER(F94),100*MAX(0,MIN(1,('Anchors'!$H$7-F94)/('Anchors'!$H$7-'Anchors'!$G$7))),"")</x:f>
        <x:v>2.855374823196564</x:v>
      </x:c>
      <x:c r="Y94" s="33" t="n">
        <x:f>IF(ISNUMBER(G94),100*MAX(0,MIN(1,('Anchors'!$H$8-G94)/('Anchors'!$H$8-'Anchors'!$G$8))),"")</x:f>
        <x:v>39.451797007449144</x:v>
      </x:c>
      <x:c r="Z94" s="33" t="n">
        <x:f>IF(ISNUMBER(H94),100*MAX(0,MIN(1,('Anchors'!$H$9-H94)/('Anchors'!$H$9-'Anchors'!$G$9))),"")</x:f>
        <x:v>31.149301251035215</x:v>
      </x:c>
      <x:c r="AA94" s="33" t="n">
        <x:f>IF(ISNUMBER(I94),100*MAX(0,MIN(1,(I94-'Anchors'!$H$10)/('Anchors'!$G$10-'Anchors'!$H$10))),"")</x:f>
        <x:v>89.60792569004218</x:v>
      </x:c>
      <x:c r="AB94" s="33" t="n">
        <x:f>IF(ISNUMBER(J94),100*MAX(0,MIN(1,('Anchors'!$H$11-J94)/('Anchors'!$H$11-'Anchors'!$G$11))),"")</x:f>
        <x:v>53.7349801694057</x:v>
      </x:c>
      <x:c r="AC94" s="33" t="n">
        <x:f>IF(ISNUMBER(K94),100*MAX(0,MIN(1,('Anchors'!$H$12-K94)/('Anchors'!$H$12-'Anchors'!$G$12))),"")</x:f>
        <x:v>99.68553509896562</x:v>
      </x:c>
      <x:c r="AD94" s="33" t="n">
        <x:f>IF(ISNUMBER(L94),100*MAX(0,MIN(1,(L94-'Anchors'!$H$13)/('Anchors'!$G$13-'Anchors'!$H$13))),"")</x:f>
        <x:v>31.513404142857137</x:v>
      </x:c>
      <x:c r="AE94" s="33" t="n">
        <x:f>IF(ISNUMBER(M94),100*MAX(0,MIN(1,(M94-'Anchors'!$H$14)/('Anchors'!$G$14-'Anchors'!$H$14))),"")</x:f>
        <x:v>37.564718875</x:v>
      </x:c>
      <x:c r="AF94" s="33" t="n">
        <x:f>IF(ISNUMBER(N94),100*MAX(0,MIN(1,(LN(1+N94)-LN(1+'Anchors'!$H$15))/(LN(1+'Anchors'!$G$15)-LN(1+'Anchors'!$H$15)))),"")</x:f>
        <x:v>55.03688650858661</x:v>
      </x:c>
      <x:c r="AG94" s="33" t="n">
        <x:f>IF(ISNUMBER(O94),100*MAX(0,MIN(1,('Anchors'!$H$16-O94)/('Anchors'!$H$16-'Anchors'!$G$16))),"")</x:f>
        <x:v>50.44444444444445</x:v>
      </x:c>
      <x:c r="AH94" s="33" t="n">
        <x:f>IF(ISNUMBER(P94),100*MAX(0,MIN(1,('Anchors'!$H$17-P94)/('Anchors'!$H$17-'Anchors'!$G$17))),"")</x:f>
        <x:v>95.24509819878473</x:v>
      </x:c>
      <x:c r="AI94" s="33" t="n">
        <x:f>IF(ISNUMBER(Q94),100*MAX(0,MIN(1,('Anchors'!$H$18-Q94)/('Anchors'!$H$18-'Anchors'!$G$18))),"")</x:f>
        <x:v>87.7319366364252</x:v>
      </x:c>
      <x:c r="AJ94" s="33" t="n">
        <x:f>IF(ISNUMBER(R94),100*MAX(0,MIN(1,('Anchors'!$H$19-R94)/('Anchors'!$H$19-'Anchors'!$G$19))),"")</x:f>
        <x:v>98.95080668694087</x:v>
      </x:c>
      <x:c r="AK94" s="33" t="n">
        <x:f>IF(ISNUMBER(S94),100*MAX(0,MIN(1,('Anchors'!$H$20-S94)/('Anchors'!$H$20-'Anchors'!$G$20))),"")</x:f>
        <x:v>100</x:v>
      </x:c>
      <x:c r="AL94" s="33" t="n">
        <x:f>IF(ISNUMBER(T94),100*MAX(0,MIN(1,('Anchors'!$H$21-T94)/('Anchors'!$H$21-'Anchors'!$G$21))),"")</x:f>
        <x:v>54.72727272727271</x:v>
      </x:c>
      <x:c r="AM94" s="33" t="n">
        <x:f>IF(ISNUMBER(U94),100*MAX(0,MIN(1,('Anchors'!$H$22-U94)/('Anchors'!$H$22-'Anchors'!$G$22))),"")</x:f>
        <x:v>27.461435002618884</x:v>
      </x:c>
      <x:c r="AN94" s="33" t="n">
        <x:f>IF(ISNUMBER(V94),100*MAX(0,MIN(1,('Anchors'!$H$23-V94)/('Anchors'!$H$23-'Anchors'!$G$23))),"")</x:f>
        <x:v>88.8105026850925</x:v>
      </x:c>
      <x:c r="AO94" s="27" t="n">
        <x:f>IF(ISNUMBER(W94),IF('Scoring Setup'!$L$9=1,1-'Scoring Setup'!$B$5*(1-MAX(0,MIN(1,(W94-'Scoring Setup'!$K$9)/(100-'Scoring Setup'!$K$9)))),1),"")</x:f>
        <x:v>0.9165714285714286</x:v>
      </x:c>
      <x:c r="AP94" s="27" t="n">
        <x:f>IF(ISNUMBER(X94),IF('Scoring Setup'!$L$10=1,1-'Scoring Setup'!$B$5*(1-MAX(0,MIN(1,(X94-'Scoring Setup'!$K$10)/(100-'Scoring Setup'!$K$10)))),1),"")</x:f>
        <x:v>0.8057107496463931</x:v>
      </x:c>
      <x:c r="AQ94" s="27" t="n">
        <x:f>IF(ISNUMBER(Y94),IF('Scoring Setup'!$L$11=1,1-'Scoring Setup'!$B$5*(1-MAX(0,MIN(1,(Y94-'Scoring Setup'!$K$11)/(100-'Scoring Setup'!$K$11)))),1),"")</x:f>
        <x:v>0.8789035940148983</x:v>
      </x:c>
      <x:c r="AR94" s="27" t="n">
        <x:f>IF(ISNUMBER(Z94),IF('Scoring Setup'!$L$12=1,1-'Scoring Setup'!$B$5*(1-MAX(0,MIN(1,(Z94-'Scoring Setup'!$K$12)/(100-'Scoring Setup'!$K$12)))),1),"")</x:f>
        <x:v>0.8622986025020705</x:v>
      </x:c>
      <x:c r="AS94" s="27" t="n">
        <x:f>IF(ISNUMBER(AA94),IF('Scoring Setup'!$L$13=1,1-'Scoring Setup'!$B$5*(1-MAX(0,MIN(1,(AA94-'Scoring Setup'!$K$13)/(100-'Scoring Setup'!$K$13)))),1),"")</x:f>
        <x:v>0.9792158513800844</x:v>
      </x:c>
      <x:c r="AT94" s="27" t="n">
        <x:f>IF(ISNUMBER(AB94),IF('Scoring Setup'!$L$14=1,1-'Scoring Setup'!$B$5*(1-MAX(0,MIN(1,(AB94-'Scoring Setup'!$K$14)/(100-'Scoring Setup'!$K$14)))),1),"")</x:f>
        <x:v>0.9074699603388114</x:v>
      </x:c>
      <x:c r="AU94" s="27" t="n">
        <x:f>IF(ISNUMBER(AC94),IF('Scoring Setup'!$L$15=1,1-'Scoring Setup'!$B$5*(1-MAX(0,MIN(1,(AC94-'Scoring Setup'!$K$15)/(100-'Scoring Setup'!$K$15)))),1),"")</x:f>
        <x:v>0.9993710701979313</x:v>
      </x:c>
      <x:c r="AV94" s="27" t="n">
        <x:f>IF(ISNUMBER(AD94),IF('Scoring Setup'!$L$16=1,1-'Scoring Setup'!$B$5*(1-MAX(0,MIN(1,(AD94-'Scoring Setup'!$K$16)/(100-'Scoring Setup'!$K$16)))),1),"")</x:f>
        <x:v>0.8630268082857142</x:v>
      </x:c>
      <x:c r="AW94" s="27" t="n">
        <x:f>IF(ISNUMBER(AE94),IF('Scoring Setup'!$L$17=1,1-'Scoring Setup'!$B$5*(1-MAX(0,MIN(1,(AE94-'Scoring Setup'!$K$17)/(100-'Scoring Setup'!$K$17)))),1),"")</x:f>
        <x:v>0.87512943775</x:v>
      </x:c>
      <x:c r="AX94" s="27" t="n">
        <x:f>IF(ISNUMBER(AF94),IF('Scoring Setup'!$L$18=1,1-'Scoring Setup'!$B$5*(1-MAX(0,MIN(1,(AF94-'Scoring Setup'!$K$18)/(100-'Scoring Setup'!$K$18)))),1),"")</x:f>
        <x:v>0.9100737730171732</x:v>
      </x:c>
      <x:c r="AY94" s="27" t="n">
        <x:f>IF(ISNUMBER(AG94),IF('Scoring Setup'!$L$19=1,1-'Scoring Setup'!$B$5*(1-MAX(0,MIN(1,(AG94-'Scoring Setup'!$K$19)/(100-'Scoring Setup'!$K$19)))),1),"")</x:f>
        <x:v>0.9008888888888889</x:v>
      </x:c>
      <x:c r="AZ94" s="27" t="n">
        <x:f>IF(ISNUMBER(AH94),IF('Scoring Setup'!$L$20=1,1-'Scoring Setup'!$B$5*(1-MAX(0,MIN(1,(AH94-'Scoring Setup'!$K$20)/(100-'Scoring Setup'!$K$20)))),1),"")</x:f>
        <x:v>0.9904901963975694</x:v>
      </x:c>
      <x:c r="BA94" s="27" t="n">
        <x:f>IF(ISNUMBER(AI94),IF('Scoring Setup'!$L$21=1,1-'Scoring Setup'!$B$5*(1-MAX(0,MIN(1,(AI94-'Scoring Setup'!$K$21)/(100-'Scoring Setup'!$K$21)))),1),"")</x:f>
        <x:v>0.9754638732728504</x:v>
      </x:c>
      <x:c r="BB94" s="27" t="n">
        <x:f>IF(ISNUMBER(AJ94),IF('Scoring Setup'!$L$22=1,1-'Scoring Setup'!$B$5*(1-MAX(0,MIN(1,(AJ94-'Scoring Setup'!$K$22)/(100-'Scoring Setup'!$K$22)))),1),"")</x:f>
        <x:v>0.9979016133738817</x:v>
      </x:c>
      <x:c r="BC94" s="27" t="n">
        <x:f>IF(ISNUMBER(AK94),IF('Scoring Setup'!$L$23=1,1-'Scoring Setup'!$B$5*(1-MAX(0,MIN(1,(AK94-'Scoring Setup'!$K$23)/(100-'Scoring Setup'!$K$23)))),1),"")</x:f>
        <x:v>1</x:v>
      </x:c>
      <x:c r="BD94" s="27" t="n">
        <x:f>IF(ISNUMBER(AL94),IF('Scoring Setup'!$L$24=1,1-'Scoring Setup'!$B$5*(1-MAX(0,MIN(1,(AL94-'Scoring Setup'!$K$24)/(100-'Scoring Setup'!$K$24)))),1),"")</x:f>
        <x:v>0.9094545454545454</x:v>
      </x:c>
      <x:c r="BE94" s="27" t="n">
        <x:f>IF(ISNUMBER(AM94),IF('Scoring Setup'!$L$25=1,1-'Scoring Setup'!$B$5*(1-MAX(0,MIN(1,(AM94-'Scoring Setup'!$K$25)/(100-'Scoring Setup'!$K$25)))),1),"")</x:f>
        <x:v>0.8549228700052378</x:v>
      </x:c>
      <x:c r="BF94" s="27" t="n">
        <x:f>IF(ISNUMBER(AN94),IF('Scoring Setup'!$L$26=1,1-'Scoring Setup'!$B$5*(1-MAX(0,MIN(1,(AN94-'Scoring Setup'!$K$26)/(100-'Scoring Setup'!$K$26)))),1),"")</x:f>
        <x:v>0.977621005370185</x:v>
      </x:c>
      <x:c r="BG94" s="34" t="n">
        <x:f>IF(COUNT(W94,X94)=2,AVERAGE(W94,X94),"")</x:f>
        <x:v>30.57054455445543</x:v>
      </x:c>
      <x:c r="BH94" s="34" t="n">
        <x:f>IF(COUNT(Y94,Z94)=2,AVERAGE(Y94,Z94),"")</x:f>
        <x:v>35.30054912924218</x:v>
      </x:c>
      <x:c r="BI94" s="34" t="n">
        <x:f>IF(COUNT(AA94,AB94,AC94)=3,AVERAGE(AA94,AB94,AC94),"")</x:f>
        <x:v>81.00948031947117</x:v>
      </x:c>
      <x:c r="BJ94" s="34" t="n">
        <x:f>IF(COUNT(AD94,AE94)=2,AVERAGE(AD94,AE94),"")</x:f>
        <x:v>34.53906150892857</x:v>
      </x:c>
      <x:c r="BK94" s="34" t="n">
        <x:f>IF(COUNT(AF94,AG94)=2,AVERAGE(AF94,AG94),"")</x:f>
        <x:v>52.74066547651553</x:v>
      </x:c>
      <x:c r="BL94" s="34" t="n">
        <x:f>IF(COUNT(AH94,AI94)=2,AVERAGE(AH94,AI94),"")</x:f>
        <x:v>91.48851741760497</x:v>
      </x:c>
      <x:c r="BM94" s="34" t="n">
        <x:f>IF(COUNT(AJ94,AK94)=2,AVERAGE(AJ94,AK94),"")</x:f>
        <x:v>99.47540334347043</x:v>
      </x:c>
      <x:c r="BN94" s="34" t="n">
        <x:f>IF(COUNT(AL94,AM94,AN94)=3,AVERAGE(AL94,AM94,AN94),"")</x:f>
        <x:v>56.999736804994704</x:v>
      </x:c>
      <x:c r="BO94" s="35" t="n">
        <x:f>IF(AND(COUNT(BG94:BN94)=8,ABS('Scoring Setup'!$C$17-1)&lt;0.000001),BG94*'Scoring Setup'!$C$9+BH94*'Scoring Setup'!$C$10+BI94*'Scoring Setup'!$C$11+BJ94*'Scoring Setup'!$C$12+BK94*'Scoring Setup'!$C$13+BL94*'Scoring Setup'!$C$14+BM94*'Scoring Setup'!$C$15+BN94*'Scoring Setup'!$C$16,"")</x:f>
        <x:v>53.59420209133769</x:v>
      </x:c>
      <x:c r="BP94" s="36" t="n">
        <x:f>IF(COUNT(AO94:BF94)=18,MIN(AO94:BF94),"")</x:f>
        <x:v>0.8057107496463931</x:v>
      </x:c>
      <x:c r="BQ94" s="35" t="n">
        <x:f>IF(AND(ISNUMBER(BO94),ISNUMBER(BP94)),BO94*BP94,"")</x:f>
        <x:v>43.18142474371198</x:v>
      </x:c>
      <x:c r="BR94" s="17" t="str">
        <x:f>IF(COUNT(AO94:BF94)=18,INDEX('Scoring Setup'!$F$9:$F$26,MATCH(MIN(AO94:BF94),AO94:BF94,0),1),"")</x:f>
        <x:v>洪水损失率全国百分位</x:v>
      </x:c>
    </x:row>
    <x:row r="95">
      <x:c r="A95" s="28" t="str">
        <x:v>51191</x:v>
      </x:c>
      <x:c r="B95" s="28" t="str">
        <x:v>Washington County</x:v>
      </x:c>
      <x:c r="C95" s="28" t="str">
        <x:v>VA</x:v>
      </x:c>
      <x:c r="D95" s="31" t="n">
        <x:v>1453.483675</x:v>
      </x:c>
      <x:c r="E95" s="32" t="n">
        <x:v>0.634</x:v>
      </x:c>
      <x:c r="F95" s="32" t="n">
        <x:v>0.49443069306930704</x:v>
      </x:c>
      <x:c r="G95" s="32" t="n">
        <x:v>1.2704328864684595</x:v>
      </x:c>
      <x:c r="H95" s="32" t="n">
        <x:v>1.5234178332938337</x:v>
      </x:c>
      <x:c r="I95" s="32" t="n">
        <x:v>0.939163162565212</x:v>
      </x:c>
      <x:c r="J95" s="32" t="n">
        <x:v>0.03740478783975602</x:v>
      </x:c>
      <x:c r="K95" s="32" t="n">
        <x:v>0.000856535277775378</x:v>
      </x:c>
      <x:c r="L95" s="32" t="n">
        <x:v>0.914181185</x:v>
      </x:c>
      <x:c r="M95" s="32" t="n">
        <x:v>0.913937282</x:v>
      </x:c>
      <x:c r="N95" s="32" t="n">
        <x:v>24783</x:v>
      </x:c>
      <x:c r="O95" s="32" t="n">
        <x:v>0.2549</x:v>
      </x:c>
      <x:c r="P95" s="32" t="n">
        <x:v>574.6161356608073</x:v>
      </x:c>
      <x:c r="Q95" s="32" t="n">
        <x:v>3.481581513086955</x:v>
      </x:c>
      <x:c r="R95" s="32" t="n">
        <x:v>4.060807988060125</x:v>
      </x:c>
      <x:c r="S95" s="32" t="n">
        <x:v>2.9172764318029056</x:v>
      </x:c>
      <x:c r="T95" s="32" t="n">
        <x:v>89.9</x:v>
      </x:c>
      <x:c r="U95" s="32" t="n">
        <x:v>245.07712999476223</x:v>
      </x:c>
      <x:c r="V95" s="32" t="n">
        <x:v>244.75798925963002</x:v>
      </x:c>
      <x:c r="W95" s="33" t="n">
        <x:f>IF(ISNUMBER(E95),100*MAX(0,MIN(1,('Anchors'!$H$6-E95)/('Anchors'!$H$6-'Anchors'!$G$6))),"")</x:f>
        <x:v>38.00000000000001</x:v>
      </x:c>
      <x:c r="X95" s="33" t="n">
        <x:f>IF(ISNUMBER(F95),100*MAX(0,MIN(1,('Anchors'!$H$7-F95)/('Anchors'!$H$7-'Anchors'!$G$7))),"")</x:f>
        <x:v>43.65275813295614</x:v>
      </x:c>
      <x:c r="Y95" s="33" t="n">
        <x:f>IF(ISNUMBER(G95),100*MAX(0,MIN(1,('Anchors'!$H$8-G95)/('Anchors'!$H$8-'Anchors'!$G$8))),"")</x:f>
        <x:v>90.98557045105134</x:v>
      </x:c>
      <x:c r="Z95" s="33" t="n">
        <x:f>IF(ISNUMBER(H95),100*MAX(0,MIN(1,('Anchors'!$H$9-H95)/('Anchors'!$H$9-'Anchors'!$G$9))),"")</x:f>
        <x:v>82.55273889020555</x:v>
      </x:c>
      <x:c r="AA95" s="33" t="n">
        <x:f>IF(ISNUMBER(I95),100*MAX(0,MIN(1,(I95-'Anchors'!$H$10)/('Anchors'!$G$10-'Anchors'!$H$10))),"")</x:f>
        <x:v>94.40591268016604</x:v>
      </x:c>
      <x:c r="AB95" s="33" t="n">
        <x:f>IF(ISNUMBER(J95),100*MAX(0,MIN(1,('Anchors'!$H$11-J95)/('Anchors'!$H$11-'Anchors'!$G$11))),"")</x:f>
        <x:v>85.0380848640976</x:v>
      </x:c>
      <x:c r="AC95" s="33" t="n">
        <x:f>IF(ISNUMBER(K95),100*MAX(0,MIN(1,('Anchors'!$H$12-K95)/('Anchors'!$H$12-'Anchors'!$G$12))),"")</x:f>
        <x:v>99.78586618055616</x:v>
      </x:c>
      <x:c r="AD95" s="33" t="n">
        <x:f>IF(ISNUMBER(L95),100*MAX(0,MIN(1,(L95-'Anchors'!$H$13)/('Anchors'!$G$13-'Anchors'!$H$13))),"")</x:f>
        <x:v>100</x:v>
      </x:c>
      <x:c r="AE95" s="33" t="n">
        <x:f>IF(ISNUMBER(M95),100*MAX(0,MIN(1,(M95-'Anchors'!$H$14)/('Anchors'!$G$14-'Anchors'!$H$14))),"")</x:f>
        <x:v>100</x:v>
      </x:c>
      <x:c r="AF95" s="33" t="n">
        <x:f>IF(ISNUMBER(N95),100*MAX(0,MIN(1,(LN(1+N95)-LN(1+'Anchors'!$H$15))/(LN(1+'Anchors'!$G$15)-LN(1+'Anchors'!$H$15)))),"")</x:f>
        <x:v>58.294051379980196</x:v>
      </x:c>
      <x:c r="AG95" s="33" t="n">
        <x:f>IF(ISNUMBER(O95),100*MAX(0,MIN(1,('Anchors'!$H$16-O95)/('Anchors'!$H$16-'Anchors'!$G$16))),"")</x:f>
        <x:v>77.23333333333333</x:v>
      </x:c>
      <x:c r="AH95" s="33" t="n">
        <x:f>IF(ISNUMBER(P95),100*MAX(0,MIN(1,('Anchors'!$H$17-P95)/('Anchors'!$H$17-'Anchors'!$G$17))),"")</x:f>
        <x:v>100</x:v>
      </x:c>
      <x:c r="AI95" s="33" t="n">
        <x:f>IF(ISNUMBER(Q95),100*MAX(0,MIN(1,('Anchors'!$H$18-Q95)/('Anchors'!$H$18-'Anchors'!$G$18))),"")</x:f>
        <x:v>100</x:v>
      </x:c>
      <x:c r="AJ95" s="33" t="n">
        <x:f>IF(ISNUMBER(R95),100*MAX(0,MIN(1,('Anchors'!$H$19-R95)/('Anchors'!$H$19-'Anchors'!$G$19))),"")</x:f>
        <x:v>100</x:v>
      </x:c>
      <x:c r="AK95" s="33" t="n">
        <x:f>IF(ISNUMBER(S95),100*MAX(0,MIN(1,('Anchors'!$H$20-S95)/('Anchors'!$H$20-'Anchors'!$G$20))),"")</x:f>
        <x:v>89.90907141156367</x:v>
      </x:c>
      <x:c r="AL95" s="33" t="n">
        <x:f>IF(ISNUMBER(T95),100*MAX(0,MIN(1,('Anchors'!$H$21-T95)/('Anchors'!$H$21-'Anchors'!$G$21))),"")</x:f>
        <x:v>54.72727272727271</x:v>
      </x:c>
      <x:c r="AM95" s="33" t="n">
        <x:f>IF(ISNUMBER(U95),100*MAX(0,MIN(1,('Anchors'!$H$22-U95)/('Anchors'!$H$22-'Anchors'!$G$22))),"")</x:f>
        <x:v>27.461435002618884</x:v>
      </x:c>
      <x:c r="AN95" s="33" t="n">
        <x:f>IF(ISNUMBER(V95),100*MAX(0,MIN(1,('Anchors'!$H$23-V95)/('Anchors'!$H$23-'Anchors'!$G$23))),"")</x:f>
        <x:v>88.8105026850925</x:v>
      </x:c>
      <x:c r="AO95" s="27" t="n">
        <x:f>IF(ISNUMBER(W95),IF('Scoring Setup'!$L$9=1,1-'Scoring Setup'!$B$5*(1-MAX(0,MIN(1,(W95-'Scoring Setup'!$K$9)/(100-'Scoring Setup'!$K$9)))),1),"")</x:f>
        <x:v>0.876</x:v>
      </x:c>
      <x:c r="AP95" s="27" t="n">
        <x:f>IF(ISNUMBER(X95),IF('Scoring Setup'!$L$10=1,1-'Scoring Setup'!$B$5*(1-MAX(0,MIN(1,(X95-'Scoring Setup'!$K$10)/(100-'Scoring Setup'!$K$10)))),1),"")</x:f>
        <x:v>0.8873055162659123</x:v>
      </x:c>
      <x:c r="AQ95" s="27" t="n">
        <x:f>IF(ISNUMBER(Y95),IF('Scoring Setup'!$L$11=1,1-'Scoring Setup'!$B$5*(1-MAX(0,MIN(1,(Y95-'Scoring Setup'!$K$11)/(100-'Scoring Setup'!$K$11)))),1),"")</x:f>
        <x:v>0.9819711409021027</x:v>
      </x:c>
      <x:c r="AR95" s="27" t="n">
        <x:f>IF(ISNUMBER(Z95),IF('Scoring Setup'!$L$12=1,1-'Scoring Setup'!$B$5*(1-MAX(0,MIN(1,(Z95-'Scoring Setup'!$K$12)/(100-'Scoring Setup'!$K$12)))),1),"")</x:f>
        <x:v>0.9651054777804111</x:v>
      </x:c>
      <x:c r="AS95" s="27" t="n">
        <x:f>IF(ISNUMBER(AA95),IF('Scoring Setup'!$L$13=1,1-'Scoring Setup'!$B$5*(1-MAX(0,MIN(1,(AA95-'Scoring Setup'!$K$13)/(100-'Scoring Setup'!$K$13)))),1),"")</x:f>
        <x:v>0.9888118253603321</x:v>
      </x:c>
      <x:c r="AT95" s="27" t="n">
        <x:f>IF(ISNUMBER(AB95),IF('Scoring Setup'!$L$14=1,1-'Scoring Setup'!$B$5*(1-MAX(0,MIN(1,(AB95-'Scoring Setup'!$K$14)/(100-'Scoring Setup'!$K$14)))),1),"")</x:f>
        <x:v>0.9700761697281952</x:v>
      </x:c>
      <x:c r="AU95" s="27" t="n">
        <x:f>IF(ISNUMBER(AC95),IF('Scoring Setup'!$L$15=1,1-'Scoring Setup'!$B$5*(1-MAX(0,MIN(1,(AC95-'Scoring Setup'!$K$15)/(100-'Scoring Setup'!$K$15)))),1),"")</x:f>
        <x:v>0.9995717323611123</x:v>
      </x:c>
      <x:c r="AV95" s="27" t="n">
        <x:f>IF(ISNUMBER(AD95),IF('Scoring Setup'!$L$16=1,1-'Scoring Setup'!$B$5*(1-MAX(0,MIN(1,(AD95-'Scoring Setup'!$K$16)/(100-'Scoring Setup'!$K$16)))),1),"")</x:f>
        <x:v>1</x:v>
      </x:c>
      <x:c r="AW95" s="27" t="n">
        <x:f>IF(ISNUMBER(AE95),IF('Scoring Setup'!$L$17=1,1-'Scoring Setup'!$B$5*(1-MAX(0,MIN(1,(AE95-'Scoring Setup'!$K$17)/(100-'Scoring Setup'!$K$17)))),1),"")</x:f>
        <x:v>1</x:v>
      </x:c>
      <x:c r="AX95" s="27" t="n">
        <x:f>IF(ISNUMBER(AF95),IF('Scoring Setup'!$L$18=1,1-'Scoring Setup'!$B$5*(1-MAX(0,MIN(1,(AF95-'Scoring Setup'!$K$18)/(100-'Scoring Setup'!$K$18)))),1),"")</x:f>
        <x:v>0.9165881027599604</x:v>
      </x:c>
      <x:c r="AY95" s="27" t="n">
        <x:f>IF(ISNUMBER(AG95),IF('Scoring Setup'!$L$19=1,1-'Scoring Setup'!$B$5*(1-MAX(0,MIN(1,(AG95-'Scoring Setup'!$K$19)/(100-'Scoring Setup'!$K$19)))),1),"")</x:f>
        <x:v>0.9544666666666667</x:v>
      </x:c>
      <x:c r="AZ95" s="27" t="n">
        <x:f>IF(ISNUMBER(AH95),IF('Scoring Setup'!$L$20=1,1-'Scoring Setup'!$B$5*(1-MAX(0,MIN(1,(AH95-'Scoring Setup'!$K$20)/(100-'Scoring Setup'!$K$20)))),1),"")</x:f>
        <x:v>1</x:v>
      </x:c>
      <x:c r="BA95" s="27" t="n">
        <x:f>IF(ISNUMBER(AI95),IF('Scoring Setup'!$L$21=1,1-'Scoring Setup'!$B$5*(1-MAX(0,MIN(1,(AI95-'Scoring Setup'!$K$21)/(100-'Scoring Setup'!$K$21)))),1),"")</x:f>
        <x:v>1</x:v>
      </x:c>
      <x:c r="BB95" s="27" t="n">
        <x:f>IF(ISNUMBER(AJ95),IF('Scoring Setup'!$L$22=1,1-'Scoring Setup'!$B$5*(1-MAX(0,MIN(1,(AJ95-'Scoring Setup'!$K$22)/(100-'Scoring Setup'!$K$22)))),1),"")</x:f>
        <x:v>1</x:v>
      </x:c>
      <x:c r="BC95" s="27" t="n">
        <x:f>IF(ISNUMBER(AK95),IF('Scoring Setup'!$L$23=1,1-'Scoring Setup'!$B$5*(1-MAX(0,MIN(1,(AK95-'Scoring Setup'!$K$23)/(100-'Scoring Setup'!$K$23)))),1),"")</x:f>
        <x:v>0.9798181428231273</x:v>
      </x:c>
      <x:c r="BD95" s="27" t="n">
        <x:f>IF(ISNUMBER(AL95),IF('Scoring Setup'!$L$24=1,1-'Scoring Setup'!$B$5*(1-MAX(0,MIN(1,(AL95-'Scoring Setup'!$K$24)/(100-'Scoring Setup'!$K$24)))),1),"")</x:f>
        <x:v>0.9094545454545454</x:v>
      </x:c>
      <x:c r="BE95" s="27" t="n">
        <x:f>IF(ISNUMBER(AM95),IF('Scoring Setup'!$L$25=1,1-'Scoring Setup'!$B$5*(1-MAX(0,MIN(1,(AM95-'Scoring Setup'!$K$25)/(100-'Scoring Setup'!$K$25)))),1),"")</x:f>
        <x:v>0.8549228700052378</x:v>
      </x:c>
      <x:c r="BF95" s="27" t="n">
        <x:f>IF(ISNUMBER(AN95),IF('Scoring Setup'!$L$26=1,1-'Scoring Setup'!$B$5*(1-MAX(0,MIN(1,(AN95-'Scoring Setup'!$K$26)/(100-'Scoring Setup'!$K$26)))),1),"")</x:f>
        <x:v>0.977621005370185</x:v>
      </x:c>
      <x:c r="BG95" s="34" t="n">
        <x:f>IF(COUNT(W95,X95)=2,AVERAGE(W95,X95),"")</x:f>
        <x:v>40.82637906647807</x:v>
      </x:c>
      <x:c r="BH95" s="34" t="n">
        <x:f>IF(COUNT(Y95,Z95)=2,AVERAGE(Y95,Z95),"")</x:f>
        <x:v>86.76915467062844</x:v>
      </x:c>
      <x:c r="BI95" s="34" t="n">
        <x:f>IF(COUNT(AA95,AB95,AC95)=3,AVERAGE(AA95,AB95,AC95),"")</x:f>
        <x:v>93.07662124160659</x:v>
      </x:c>
      <x:c r="BJ95" s="34" t="n">
        <x:f>IF(COUNT(AD95,AE95)=2,AVERAGE(AD95,AE95),"")</x:f>
        <x:v>100</x:v>
      </x:c>
      <x:c r="BK95" s="34" t="n">
        <x:f>IF(COUNT(AF95,AG95)=2,AVERAGE(AF95,AG95),"")</x:f>
        <x:v>67.76369235665676</x:v>
      </x:c>
      <x:c r="BL95" s="34" t="n">
        <x:f>IF(COUNT(AH95,AI95)=2,AVERAGE(AH95,AI95),"")</x:f>
        <x:v>100</x:v>
      </x:c>
      <x:c r="BM95" s="34" t="n">
        <x:f>IF(COUNT(AJ95,AK95)=2,AVERAGE(AJ95,AK95),"")</x:f>
        <x:v>94.95453570578184</x:v>
      </x:c>
      <x:c r="BN95" s="34" t="n">
        <x:f>IF(COUNT(AL95,AM95,AN95)=3,AVERAGE(AL95,AM95,AN95),"")</x:f>
        <x:v>56.999736804994704</x:v>
      </x:c>
      <x:c r="BO95" s="35" t="n">
        <x:f>IF(AND(COUNT(BG95:BN95)=8,ABS('Scoring Setup'!$C$17-1)&lt;0.000001),BG95*'Scoring Setup'!$C$9+BH95*'Scoring Setup'!$C$10+BI95*'Scoring Setup'!$C$11+BJ95*'Scoring Setup'!$C$12+BK95*'Scoring Setup'!$C$13+BL95*'Scoring Setup'!$C$14+BM95*'Scoring Setup'!$C$15+BN95*'Scoring Setup'!$C$16,"")</x:f>
        <x:v>74.36814802738733</x:v>
      </x:c>
      <x:c r="BP95" s="36" t="n">
        <x:f>IF(COUNT(AO95:BF95)=18,MIN(AO95:BF95),"")</x:f>
        <x:v>0.8549228700052378</x:v>
      </x:c>
      <x:c r="BQ95" s="35" t="n">
        <x:f>IF(AND(ISNUMBER(BO95),ISNUMBER(BP95)),BO95*BP95,"")</x:f>
        <x:v>63.579030548548346</x:v>
      </x:c>
      <x:c r="BR95" s="17" t="str">
        <x:f>IF(COUNT(AO95:BF95)=18,INDEX('Scoring Setup'!$F$9:$F$26,MATCH(MIN(AO95:BF95),AO95:BF95,0),1),"")</x:f>
        <x:v>州SAIDI不含重大事件日</x:v>
      </x:c>
    </x:row>
    <x:row r="96">
      <x:c r="A96" s="28" t="str">
        <x:v>51193</x:v>
      </x:c>
      <x:c r="B96" s="28" t="str">
        <x:v>Westmoreland County</x:v>
      </x:c>
      <x:c r="C96" s="28" t="str">
        <x:v>VA</x:v>
      </x:c>
      <x:c r="D96" s="31" t="n">
        <x:v>593.954116</x:v>
      </x:c>
      <x:c r="E96" s="32" t="n">
        <x:v>0.272</x:v>
      </x:c>
      <x:c r="F96" s="32" t="n">
        <x:v>0.100247524752475</x:v>
      </x:c>
      <x:c r="G96" s="32" t="n">
        <x:v>3.52704940404964</x:v>
      </x:c>
      <x:c r="H96" s="32" t="n">
        <x:v>3.915208982048576</x:v>
      </x:c>
      <x:c r="I96" s="32" t="n">
        <x:v>0.9254925396738503</x:v>
      </x:c>
      <x:c r="J96" s="32" t="n">
        <x:v>0.01935223570381714</x:v>
      </x:c>
      <x:c r="K96" s="32" t="n">
        <x:v>0.14546115338527885</x:v>
      </x:c>
      <x:c r="L96" s="32" t="n">
        <x:v>0.218648019</x:v>
      </x:c>
      <x:c r="M96" s="32" t="n">
        <x:v>0.218648019</x:v>
      </x:c>
      <x:c r="N96" s="32" t="n">
        <x:v>7543</x:v>
      </x:c>
      <x:c r="O96" s="32" t="n">
        <x:v>0.8193</x:v>
      </x:c>
      <x:c r="P96" s="32" t="n">
        <x:v>1332.081681315104</x:v>
      </x:c>
      <x:c r="Q96" s="32" t="n">
        <x:v>30.141931597391764</x:v>
      </x:c>
      <x:c r="R96" s="32" t="n">
        <x:v>61.26913971740921</x:v>
      </x:c>
      <x:c r="S96" s="32" t="n">
        <x:v>31.177988678979453</x:v>
      </x:c>
      <x:c r="T96" s="32" t="n">
        <x:v>89.9</x:v>
      </x:c>
      <x:c r="U96" s="32" t="n">
        <x:v>245.07712999476223</x:v>
      </x:c>
      <x:c r="V96" s="32" t="n">
        <x:v>244.75798925963002</x:v>
      </x:c>
      <x:c r="W96" s="33" t="n">
        <x:f>IF(ISNUMBER(E96),100*MAX(0,MIN(1,('Anchors'!$H$6-E96)/('Anchors'!$H$6-'Anchors'!$G$6))),"")</x:f>
        <x:v>89.71428571428572</x:v>
      </x:c>
      <x:c r="X96" s="33" t="n">
        <x:f>IF(ISNUMBER(F96),100*MAX(0,MIN(1,('Anchors'!$H$7-F96)/('Anchors'!$H$7-'Anchors'!$G$7))),"")</x:f>
        <x:v>99.964639321075</x:v>
      </x:c>
      <x:c r="Y96" s="33" t="n">
        <x:f>IF(ISNUMBER(G96),100*MAX(0,MIN(1,('Anchors'!$H$8-G96)/('Anchors'!$H$8-'Anchors'!$G$8))),"")</x:f>
        <x:v>15.765019865012006</x:v>
      </x:c>
      <x:c r="Z96" s="33" t="n">
        <x:f>IF(ISNUMBER(H96),100*MAX(0,MIN(1,('Anchors'!$H$9-H96)/('Anchors'!$H$9-'Anchors'!$G$9))),"")</x:f>
        <x:v>2.826367265047465</x:v>
      </x:c>
      <x:c r="AA96" s="33" t="n">
        <x:f>IF(ISNUMBER(I96),100*MAX(0,MIN(1,(I96-'Anchors'!$H$10)/('Anchors'!$G$10-'Anchors'!$H$10))),"")</x:f>
        <x:v>92.5332246128562</x:v>
      </x:c>
      <x:c r="AB96" s="33" t="n">
        <x:f>IF(ISNUMBER(J96),100*MAX(0,MIN(1,('Anchors'!$H$11-J96)/('Anchors'!$H$11-'Anchors'!$G$11))),"")</x:f>
        <x:v>92.25910571847315</x:v>
      </x:c>
      <x:c r="AC96" s="33" t="n">
        <x:f>IF(ISNUMBER(K96),100*MAX(0,MIN(1,('Anchors'!$H$12-K96)/('Anchors'!$H$12-'Anchors'!$G$12))),"")</x:f>
        <x:v>63.634711653680284</x:v>
      </x:c>
      <x:c r="AD96" s="33" t="n">
        <x:f>IF(ISNUMBER(L96),100*MAX(0,MIN(1,(L96-'Anchors'!$H$13)/('Anchors'!$G$13-'Anchors'!$H$13))),"")</x:f>
        <x:v>2.6640027142857123</x:v>
      </x:c>
      <x:c r="AE96" s="33" t="n">
        <x:f>IF(ISNUMBER(M96),100*MAX(0,MIN(1,(M96-'Anchors'!$H$14)/('Anchors'!$G$14-'Anchors'!$H$14))),"")</x:f>
        <x:v>14.831002374999999</x:v>
      </x:c>
      <x:c r="AF96" s="33" t="n">
        <x:f>IF(ISNUMBER(N96),100*MAX(0,MIN(1,(LN(1+N96)-LN(1+'Anchors'!$H$15))/(LN(1+'Anchors'!$G$15)-LN(1+'Anchors'!$H$15)))),"")</x:f>
        <x:v>30.741418947465654</x:v>
      </x:c>
      <x:c r="AG96" s="33" t="n">
        <x:f>IF(ISNUMBER(O96),100*MAX(0,MIN(1,('Anchors'!$H$16-O96)/('Anchors'!$H$16-'Anchors'!$G$16))),"")</x:f>
        <x:v>14.522222222222217</x:v>
      </x:c>
      <x:c r="AH96" s="33" t="n">
        <x:f>IF(ISNUMBER(P96),100*MAX(0,MIN(1,('Anchors'!$H$17-P96)/('Anchors'!$H$17-'Anchors'!$G$17))),"")</x:f>
        <x:v>57.86122124565972</x:v>
      </x:c>
      <x:c r="AI96" s="33" t="n">
        <x:f>IF(ISNUMBER(Q96),100*MAX(0,MIN(1,('Anchors'!$H$18-Q96)/('Anchors'!$H$18-'Anchors'!$G$18))),"")</x:f>
        <x:v>64.08295486086891</x:v>
      </x:c>
      <x:c r="AJ96" s="33" t="n">
        <x:f>IF(ISNUMBER(R96),100*MAX(0,MIN(1,('Anchors'!$H$19-R96)/('Anchors'!$H$19-'Anchors'!$G$19))),"")</x:f>
        <x:v>0</x:v>
      </x:c>
      <x:c r="AK96" s="33" t="n">
        <x:f>IF(ISNUMBER(S96),100*MAX(0,MIN(1,('Anchors'!$H$20-S96)/('Anchors'!$H$20-'Anchors'!$G$20))),"")</x:f>
        <x:v>0</x:v>
      </x:c>
      <x:c r="AL96" s="33" t="n">
        <x:f>IF(ISNUMBER(T96),100*MAX(0,MIN(1,('Anchors'!$H$21-T96)/('Anchors'!$H$21-'Anchors'!$G$21))),"")</x:f>
        <x:v>54.72727272727271</x:v>
      </x:c>
      <x:c r="AM96" s="33" t="n">
        <x:f>IF(ISNUMBER(U96),100*MAX(0,MIN(1,('Anchors'!$H$22-U96)/('Anchors'!$H$22-'Anchors'!$G$22))),"")</x:f>
        <x:v>27.461435002618884</x:v>
      </x:c>
      <x:c r="AN96" s="33" t="n">
        <x:f>IF(ISNUMBER(V96),100*MAX(0,MIN(1,('Anchors'!$H$23-V96)/('Anchors'!$H$23-'Anchors'!$G$23))),"")</x:f>
        <x:v>88.8105026850925</x:v>
      </x:c>
      <x:c r="AO96" s="27" t="n">
        <x:f>IF(ISNUMBER(W96),IF('Scoring Setup'!$L$9=1,1-'Scoring Setup'!$B$5*(1-MAX(0,MIN(1,(W96-'Scoring Setup'!$K$9)/(100-'Scoring Setup'!$K$9)))),1),"")</x:f>
        <x:v>0.9794285714285714</x:v>
      </x:c>
      <x:c r="AP96" s="27" t="n">
        <x:f>IF(ISNUMBER(X96),IF('Scoring Setup'!$L$10=1,1-'Scoring Setup'!$B$5*(1-MAX(0,MIN(1,(X96-'Scoring Setup'!$K$10)/(100-'Scoring Setup'!$K$10)))),1),"")</x:f>
        <x:v>0.99992927864215</x:v>
      </x:c>
      <x:c r="AQ96" s="27" t="n">
        <x:f>IF(ISNUMBER(Y96),IF('Scoring Setup'!$L$11=1,1-'Scoring Setup'!$B$5*(1-MAX(0,MIN(1,(Y96-'Scoring Setup'!$K$11)/(100-'Scoring Setup'!$K$11)))),1),"")</x:f>
        <x:v>0.831530039730024</x:v>
      </x:c>
      <x:c r="AR96" s="27" t="n">
        <x:f>IF(ISNUMBER(Z96),IF('Scoring Setup'!$L$12=1,1-'Scoring Setup'!$B$5*(1-MAX(0,MIN(1,(Z96-'Scoring Setup'!$K$12)/(100-'Scoring Setup'!$K$12)))),1),"")</x:f>
        <x:v>0.8056527345300949</x:v>
      </x:c>
      <x:c r="AS96" s="27" t="n">
        <x:f>IF(ISNUMBER(AA96),IF('Scoring Setup'!$L$13=1,1-'Scoring Setup'!$B$5*(1-MAX(0,MIN(1,(AA96-'Scoring Setup'!$K$13)/(100-'Scoring Setup'!$K$13)))),1),"")</x:f>
        <x:v>0.9850664492257124</x:v>
      </x:c>
      <x:c r="AT96" s="27" t="n">
        <x:f>IF(ISNUMBER(AB96),IF('Scoring Setup'!$L$14=1,1-'Scoring Setup'!$B$5*(1-MAX(0,MIN(1,(AB96-'Scoring Setup'!$K$14)/(100-'Scoring Setup'!$K$14)))),1),"")</x:f>
        <x:v>0.9845182114369463</x:v>
      </x:c>
      <x:c r="AU96" s="27" t="n">
        <x:f>IF(ISNUMBER(AC96),IF('Scoring Setup'!$L$15=1,1-'Scoring Setup'!$B$5*(1-MAX(0,MIN(1,(AC96-'Scoring Setup'!$K$15)/(100-'Scoring Setup'!$K$15)))),1),"")</x:f>
        <x:v>0.9272694233073606</x:v>
      </x:c>
      <x:c r="AV96" s="27" t="n">
        <x:f>IF(ISNUMBER(AD96),IF('Scoring Setup'!$L$16=1,1-'Scoring Setup'!$B$5*(1-MAX(0,MIN(1,(AD96-'Scoring Setup'!$K$16)/(100-'Scoring Setup'!$K$16)))),1),"")</x:f>
        <x:v>0.8053280054285714</x:v>
      </x:c>
      <x:c r="AW96" s="27" t="n">
        <x:f>IF(ISNUMBER(AE96),IF('Scoring Setup'!$L$17=1,1-'Scoring Setup'!$B$5*(1-MAX(0,MIN(1,(AE96-'Scoring Setup'!$K$17)/(100-'Scoring Setup'!$K$17)))),1),"")</x:f>
        <x:v>0.82966200475</x:v>
      </x:c>
      <x:c r="AX96" s="27" t="n">
        <x:f>IF(ISNUMBER(AF96),IF('Scoring Setup'!$L$18=1,1-'Scoring Setup'!$B$5*(1-MAX(0,MIN(1,(AF96-'Scoring Setup'!$K$18)/(100-'Scoring Setup'!$K$18)))),1),"")</x:f>
        <x:v>0.8614828378949313</x:v>
      </x:c>
      <x:c r="AY96" s="27" t="n">
        <x:f>IF(ISNUMBER(AG96),IF('Scoring Setup'!$L$19=1,1-'Scoring Setup'!$B$5*(1-MAX(0,MIN(1,(AG96-'Scoring Setup'!$K$19)/(100-'Scoring Setup'!$K$19)))),1),"")</x:f>
        <x:v>0.8290444444444445</x:v>
      </x:c>
      <x:c r="AZ96" s="27" t="n">
        <x:f>IF(ISNUMBER(AH96),IF('Scoring Setup'!$L$20=1,1-'Scoring Setup'!$B$5*(1-MAX(0,MIN(1,(AH96-'Scoring Setup'!$K$20)/(100-'Scoring Setup'!$K$20)))),1),"")</x:f>
        <x:v>0.9157224424913194</x:v>
      </x:c>
      <x:c r="BA96" s="27" t="n">
        <x:f>IF(ISNUMBER(AI96),IF('Scoring Setup'!$L$21=1,1-'Scoring Setup'!$B$5*(1-MAX(0,MIN(1,(AI96-'Scoring Setup'!$K$21)/(100-'Scoring Setup'!$K$21)))),1),"")</x:f>
        <x:v>0.9281659097217378</x:v>
      </x:c>
      <x:c r="BB96" s="27" t="n">
        <x:f>IF(ISNUMBER(AJ96),IF('Scoring Setup'!$L$22=1,1-'Scoring Setup'!$B$5*(1-MAX(0,MIN(1,(AJ96-'Scoring Setup'!$K$22)/(100-'Scoring Setup'!$K$22)))),1),"")</x:f>
        <x:v>0.8</x:v>
      </x:c>
      <x:c r="BC96" s="27" t="n">
        <x:f>IF(ISNUMBER(AK96),IF('Scoring Setup'!$L$23=1,1-'Scoring Setup'!$B$5*(1-MAX(0,MIN(1,(AK96-'Scoring Setup'!$K$23)/(100-'Scoring Setup'!$K$23)))),1),"")</x:f>
        <x:v>0.8</x:v>
      </x:c>
      <x:c r="BD96" s="27" t="n">
        <x:f>IF(ISNUMBER(AL96),IF('Scoring Setup'!$L$24=1,1-'Scoring Setup'!$B$5*(1-MAX(0,MIN(1,(AL96-'Scoring Setup'!$K$24)/(100-'Scoring Setup'!$K$24)))),1),"")</x:f>
        <x:v>0.9094545454545454</x:v>
      </x:c>
      <x:c r="BE96" s="27" t="n">
        <x:f>IF(ISNUMBER(AM96),IF('Scoring Setup'!$L$25=1,1-'Scoring Setup'!$B$5*(1-MAX(0,MIN(1,(AM96-'Scoring Setup'!$K$25)/(100-'Scoring Setup'!$K$25)))),1),"")</x:f>
        <x:v>0.8549228700052378</x:v>
      </x:c>
      <x:c r="BF96" s="27" t="n">
        <x:f>IF(ISNUMBER(AN96),IF('Scoring Setup'!$L$26=1,1-'Scoring Setup'!$B$5*(1-MAX(0,MIN(1,(AN96-'Scoring Setup'!$K$26)/(100-'Scoring Setup'!$K$26)))),1),"")</x:f>
        <x:v>0.977621005370185</x:v>
      </x:c>
      <x:c r="BG96" s="34" t="n">
        <x:f>IF(COUNT(W96,X96)=2,AVERAGE(W96,X96),"")</x:f>
        <x:v>94.83946251768036</x:v>
      </x:c>
      <x:c r="BH96" s="34" t="n">
        <x:f>IF(COUNT(Y96,Z96)=2,AVERAGE(Y96,Z96),"")</x:f>
        <x:v>9.295693565029735</x:v>
      </x:c>
      <x:c r="BI96" s="34" t="n">
        <x:f>IF(COUNT(AA96,AB96,AC96)=3,AVERAGE(AA96,AB96,AC96),"")</x:f>
        <x:v>82.80901399500321</x:v>
      </x:c>
      <x:c r="BJ96" s="34" t="n">
        <x:f>IF(COUNT(AD96,AE96)=2,AVERAGE(AD96,AE96),"")</x:f>
        <x:v>8.747502544642856</x:v>
      </x:c>
      <x:c r="BK96" s="34" t="n">
        <x:f>IF(COUNT(AF96,AG96)=2,AVERAGE(AF96,AG96),"")</x:f>
        <x:v>22.631820584843936</x:v>
      </x:c>
      <x:c r="BL96" s="34" t="n">
        <x:f>IF(COUNT(AH96,AI96)=2,AVERAGE(AH96,AI96),"")</x:f>
        <x:v>60.972088053264315</x:v>
      </x:c>
      <x:c r="BM96" s="34" t="n">
        <x:f>IF(COUNT(AJ96,AK96)=2,AVERAGE(AJ96,AK96),"")</x:f>
        <x:v>0</x:v>
      </x:c>
      <x:c r="BN96" s="34" t="n">
        <x:f>IF(COUNT(AL96,AM96,AN96)=3,AVERAGE(AL96,AM96,AN96),"")</x:f>
        <x:v>56.999736804994704</x:v>
      </x:c>
      <x:c r="BO96" s="35" t="n">
        <x:f>IF(AND(COUNT(BG96:BN96)=8,ABS('Scoring Setup'!$C$17-1)&lt;0.000001),BG96*'Scoring Setup'!$C$9+BH96*'Scoring Setup'!$C$10+BI96*'Scoring Setup'!$C$11+BJ96*'Scoring Setup'!$C$12+BK96*'Scoring Setup'!$C$13+BL96*'Scoring Setup'!$C$14+BM96*'Scoring Setup'!$C$15+BN96*'Scoring Setup'!$C$16,"")</x:f>
        <x:v>42.910444121384614</x:v>
      </x:c>
      <x:c r="BP96" s="36" t="n">
        <x:f>IF(COUNT(AO96:BF96)=18,MIN(AO96:BF96),"")</x:f>
        <x:v>0.8</x:v>
      </x:c>
      <x:c r="BQ96" s="35" t="n">
        <x:f>IF(AND(ISNUMBER(BO96),ISNUMBER(BP96)),BO96*BP96,"")</x:f>
        <x:v>34.32835529710769</x:v>
      </x:c>
      <x:c r="BR96" s="17" t="str">
        <x:f>IF(COUNT(AO96:BF96)=18,INDEX('Scoring Setup'!$F$9:$F$26,MATCH(MIN(AO96:BF96),AO96:BF96,0),1),"")</x:f>
        <x:v>到Interstate距离</x:v>
      </x:c>
    </x:row>
    <x:row r="97">
      <x:c r="A97" s="28" t="str">
        <x:v>51195</x:v>
      </x:c>
      <x:c r="B97" s="28" t="str">
        <x:v>Wise County</x:v>
      </x:c>
      <x:c r="C97" s="28" t="str">
        <x:v>VA</x:v>
      </x:c>
      <x:c r="D97" s="31" t="n">
        <x:v>1044.913732</x:v>
      </x:c>
      <x:c r="E97" s="32" t="n">
        <x:v>0.889</x:v>
      </x:c>
      <x:c r="F97" s="32" t="n">
        <x:v>0.8681930693069311</x:v>
      </x:c>
      <x:c r="G97" s="32" t="n">
        <x:v>2.2565989282164933</x:v>
      </x:c>
      <x:c r="H97" s="32" t="n">
        <x:v>2.4397404885662697</x:v>
      </x:c>
      <x:c r="I97" s="32" t="n">
        <x:v>0.9432334054462416</x:v>
      </x:c>
      <x:c r="J97" s="32" t="n">
        <x:v>0.0025194974299200023</x:v>
      </x:c>
      <x:c r="K97" s="32" t="n">
        <x:v>0.0009469111637649806</x:v>
      </x:c>
      <x:c r="L97" s="32" t="n">
        <x:v>0.671839671</x:v>
      </x:c>
      <x:c r="M97" s="32" t="n">
        <x:v>0.671839671</x:v>
      </x:c>
      <x:c r="N97" s="32" t="n">
        <x:v>13012</x:v>
      </x:c>
      <x:c r="O97" s="32" t="n">
        <x:v>0.8046</x:v>
      </x:c>
      <x:c r="P97" s="32" t="n">
        <x:v>527.4104838053386</x:v>
      </x:c>
      <x:c r="Q97" s="32" t="n">
        <x:v>1.1103869169950484</x:v>
      </x:c>
      <x:c r="R97" s="32" t="n">
        <x:v>42.61872921279796</x:v>
      </x:c>
      <x:c r="S97" s="32" t="n">
        <x:v>0.31037749409107274</x:v>
      </x:c>
      <x:c r="T97" s="32" t="n">
        <x:v>89.9</x:v>
      </x:c>
      <x:c r="U97" s="32" t="n">
        <x:v>245.07712999476223</x:v>
      </x:c>
      <x:c r="V97" s="32" t="n">
        <x:v>244.75798925963002</x:v>
      </x:c>
      <x:c r="W97" s="33" t="n">
        <x:f>IF(ISNUMBER(E97),100*MAX(0,MIN(1,('Anchors'!$H$6-E97)/('Anchors'!$H$6-'Anchors'!$G$6))),"")</x:f>
        <x:v>1.571428571428573</x:v>
      </x:c>
      <x:c r="X97" s="33" t="n">
        <x:f>IF(ISNUMBER(F97),100*MAX(0,MIN(1,('Anchors'!$H$7-F97)/('Anchors'!$H$7-'Anchors'!$G$7))),"")</x:f>
        <x:v>0</x:v>
      </x:c>
      <x:c r="Y97" s="33" t="n">
        <x:f>IF(ISNUMBER(G97),100*MAX(0,MIN(1,('Anchors'!$H$8-G97)/('Anchors'!$H$8-'Anchors'!$G$8))),"")</x:f>
        <x:v>58.11336905945023</x:v>
      </x:c>
      <x:c r="Z97" s="33" t="n">
        <x:f>IF(ISNUMBER(H97),100*MAX(0,MIN(1,('Anchors'!$H$9-H97)/('Anchors'!$H$9-'Anchors'!$G$9))),"")</x:f>
        <x:v>52.00865038112434</x:v>
      </x:c>
      <x:c r="AA97" s="33" t="n">
        <x:f>IF(ISNUMBER(I97),100*MAX(0,MIN(1,(I97-'Anchors'!$H$10)/('Anchors'!$G$10-'Anchors'!$H$10))),"")</x:f>
        <x:v>94.96348019811529</x:v>
      </x:c>
      <x:c r="AB97" s="33" t="n">
        <x:f>IF(ISNUMBER(J97),100*MAX(0,MIN(1,('Anchors'!$H$11-J97)/('Anchors'!$H$11-'Anchors'!$G$11))),"")</x:f>
        <x:v>98.992201028032</x:v>
      </x:c>
      <x:c r="AC97" s="33" t="n">
        <x:f>IF(ISNUMBER(K97),100*MAX(0,MIN(1,('Anchors'!$H$12-K97)/('Anchors'!$H$12-'Anchors'!$G$12))),"")</x:f>
        <x:v>99.76327220905875</x:v>
      </x:c>
      <x:c r="AD97" s="33" t="n">
        <x:f>IF(ISNUMBER(L97),100*MAX(0,MIN(1,(L97-'Anchors'!$H$13)/('Anchors'!$G$13-'Anchors'!$H$13))),"")</x:f>
        <x:v>67.40566728571429</x:v>
      </x:c>
      <x:c r="AE97" s="33" t="n">
        <x:f>IF(ISNUMBER(M97),100*MAX(0,MIN(1,(M97-'Anchors'!$H$14)/('Anchors'!$G$14-'Anchors'!$H$14))),"")</x:f>
        <x:v>71.479958875</x:v>
      </x:c>
      <x:c r="AF97" s="33" t="n">
        <x:f>IF(ISNUMBER(N97),100*MAX(0,MIN(1,(LN(1+N97)-LN(1+'Anchors'!$H$15))/(LN(1+'Anchors'!$G$15)-LN(1+'Anchors'!$H$15)))),"")</x:f>
        <x:v>43.3704890400535</x:v>
      </x:c>
      <x:c r="AG97" s="33" t="n">
        <x:f>IF(ISNUMBER(O97),100*MAX(0,MIN(1,('Anchors'!$H$16-O97)/('Anchors'!$H$16-'Anchors'!$G$16))),"")</x:f>
        <x:v>16.155555555555555</x:v>
      </x:c>
      <x:c r="AH97" s="33" t="n">
        <x:f>IF(ISNUMBER(P97),100*MAX(0,MIN(1,('Anchors'!$H$17-P97)/('Anchors'!$H$17-'Anchors'!$G$17))),"")</x:f>
        <x:v>100</x:v>
      </x:c>
      <x:c r="AI97" s="33" t="n">
        <x:f>IF(ISNUMBER(Q97),100*MAX(0,MIN(1,('Anchors'!$H$18-Q97)/('Anchors'!$H$18-'Anchors'!$G$18))),"")</x:f>
        <x:v>100</x:v>
      </x:c>
      <x:c r="AJ97" s="33" t="n">
        <x:f>IF(ISNUMBER(R97),100*MAX(0,MIN(1,('Anchors'!$H$19-R97)/('Anchors'!$H$19-'Anchors'!$G$19))),"")</x:f>
        <x:v>16.40282397156009</x:v>
      </x:c>
      <x:c r="AK97" s="33" t="n">
        <x:f>IF(ISNUMBER(S97),100*MAX(0,MIN(1,('Anchors'!$H$20-S97)/('Anchors'!$H$20-'Anchors'!$G$20))),"")</x:f>
        <x:v>100</x:v>
      </x:c>
      <x:c r="AL97" s="33" t="n">
        <x:f>IF(ISNUMBER(T97),100*MAX(0,MIN(1,('Anchors'!$H$21-T97)/('Anchors'!$H$21-'Anchors'!$G$21))),"")</x:f>
        <x:v>54.72727272727271</x:v>
      </x:c>
      <x:c r="AM97" s="33" t="n">
        <x:f>IF(ISNUMBER(U97),100*MAX(0,MIN(1,('Anchors'!$H$22-U97)/('Anchors'!$H$22-'Anchors'!$G$22))),"")</x:f>
        <x:v>27.461435002618884</x:v>
      </x:c>
      <x:c r="AN97" s="33" t="n">
        <x:f>IF(ISNUMBER(V97),100*MAX(0,MIN(1,('Anchors'!$H$23-V97)/('Anchors'!$H$23-'Anchors'!$G$23))),"")</x:f>
        <x:v>88.8105026850925</x:v>
      </x:c>
      <x:c r="AO97" s="27" t="n">
        <x:f>IF(ISNUMBER(W97),IF('Scoring Setup'!$L$9=1,1-'Scoring Setup'!$B$5*(1-MAX(0,MIN(1,(W97-'Scoring Setup'!$K$9)/(100-'Scoring Setup'!$K$9)))),1),"")</x:f>
        <x:v>0.8031428571428572</x:v>
      </x:c>
      <x:c r="AP97" s="27" t="n">
        <x:f>IF(ISNUMBER(X97),IF('Scoring Setup'!$L$10=1,1-'Scoring Setup'!$B$5*(1-MAX(0,MIN(1,(X97-'Scoring Setup'!$K$10)/(100-'Scoring Setup'!$K$10)))),1),"")</x:f>
        <x:v>0.8</x:v>
      </x:c>
      <x:c r="AQ97" s="27" t="n">
        <x:f>IF(ISNUMBER(Y97),IF('Scoring Setup'!$L$11=1,1-'Scoring Setup'!$B$5*(1-MAX(0,MIN(1,(Y97-'Scoring Setup'!$K$11)/(100-'Scoring Setup'!$K$11)))),1),"")</x:f>
        <x:v>0.9162267381189004</x:v>
      </x:c>
      <x:c r="AR97" s="27" t="n">
        <x:f>IF(ISNUMBER(Z97),IF('Scoring Setup'!$L$12=1,1-'Scoring Setup'!$B$5*(1-MAX(0,MIN(1,(Z97-'Scoring Setup'!$K$12)/(100-'Scoring Setup'!$K$12)))),1),"")</x:f>
        <x:v>0.9040173007622487</x:v>
      </x:c>
      <x:c r="AS97" s="27" t="n">
        <x:f>IF(ISNUMBER(AA97),IF('Scoring Setup'!$L$13=1,1-'Scoring Setup'!$B$5*(1-MAX(0,MIN(1,(AA97-'Scoring Setup'!$K$13)/(100-'Scoring Setup'!$K$13)))),1),"")</x:f>
        <x:v>0.9899269603962306</x:v>
      </x:c>
      <x:c r="AT97" s="27" t="n">
        <x:f>IF(ISNUMBER(AB97),IF('Scoring Setup'!$L$14=1,1-'Scoring Setup'!$B$5*(1-MAX(0,MIN(1,(AB97-'Scoring Setup'!$K$14)/(100-'Scoring Setup'!$K$14)))),1),"")</x:f>
        <x:v>0.997984402056064</x:v>
      </x:c>
      <x:c r="AU97" s="27" t="n">
        <x:f>IF(ISNUMBER(AC97),IF('Scoring Setup'!$L$15=1,1-'Scoring Setup'!$B$5*(1-MAX(0,MIN(1,(AC97-'Scoring Setup'!$K$15)/(100-'Scoring Setup'!$K$15)))),1),"")</x:f>
        <x:v>0.9995265444181175</x:v>
      </x:c>
      <x:c r="AV97" s="27" t="n">
        <x:f>IF(ISNUMBER(AD97),IF('Scoring Setup'!$L$16=1,1-'Scoring Setup'!$B$5*(1-MAX(0,MIN(1,(AD97-'Scoring Setup'!$K$16)/(100-'Scoring Setup'!$K$16)))),1),"")</x:f>
        <x:v>0.9348113345714286</x:v>
      </x:c>
      <x:c r="AW97" s="27" t="n">
        <x:f>IF(ISNUMBER(AE97),IF('Scoring Setup'!$L$17=1,1-'Scoring Setup'!$B$5*(1-MAX(0,MIN(1,(AE97-'Scoring Setup'!$K$17)/(100-'Scoring Setup'!$K$17)))),1),"")</x:f>
        <x:v>0.94295991775</x:v>
      </x:c>
      <x:c r="AX97" s="27" t="n">
        <x:f>IF(ISNUMBER(AF97),IF('Scoring Setup'!$L$18=1,1-'Scoring Setup'!$B$5*(1-MAX(0,MIN(1,(AF97-'Scoring Setup'!$K$18)/(100-'Scoring Setup'!$K$18)))),1),"")</x:f>
        <x:v>0.886740978080107</x:v>
      </x:c>
      <x:c r="AY97" s="27" t="n">
        <x:f>IF(ISNUMBER(AG97),IF('Scoring Setup'!$L$19=1,1-'Scoring Setup'!$B$5*(1-MAX(0,MIN(1,(AG97-'Scoring Setup'!$K$19)/(100-'Scoring Setup'!$K$19)))),1),"")</x:f>
        <x:v>0.8323111111111111</x:v>
      </x:c>
      <x:c r="AZ97" s="27" t="n">
        <x:f>IF(ISNUMBER(AH97),IF('Scoring Setup'!$L$20=1,1-'Scoring Setup'!$B$5*(1-MAX(0,MIN(1,(AH97-'Scoring Setup'!$K$20)/(100-'Scoring Setup'!$K$20)))),1),"")</x:f>
        <x:v>1</x:v>
      </x:c>
      <x:c r="BA97" s="27" t="n">
        <x:f>IF(ISNUMBER(AI97),IF('Scoring Setup'!$L$21=1,1-'Scoring Setup'!$B$5*(1-MAX(0,MIN(1,(AI97-'Scoring Setup'!$K$21)/(100-'Scoring Setup'!$K$21)))),1),"")</x:f>
        <x:v>1</x:v>
      </x:c>
      <x:c r="BB97" s="27" t="n">
        <x:f>IF(ISNUMBER(AJ97),IF('Scoring Setup'!$L$22=1,1-'Scoring Setup'!$B$5*(1-MAX(0,MIN(1,(AJ97-'Scoring Setup'!$K$22)/(100-'Scoring Setup'!$K$22)))),1),"")</x:f>
        <x:v>0.8328056479431202</x:v>
      </x:c>
      <x:c r="BC97" s="27" t="n">
        <x:f>IF(ISNUMBER(AK97),IF('Scoring Setup'!$L$23=1,1-'Scoring Setup'!$B$5*(1-MAX(0,MIN(1,(AK97-'Scoring Setup'!$K$23)/(100-'Scoring Setup'!$K$23)))),1),"")</x:f>
        <x:v>1</x:v>
      </x:c>
      <x:c r="BD97" s="27" t="n">
        <x:f>IF(ISNUMBER(AL97),IF('Scoring Setup'!$L$24=1,1-'Scoring Setup'!$B$5*(1-MAX(0,MIN(1,(AL97-'Scoring Setup'!$K$24)/(100-'Scoring Setup'!$K$24)))),1),"")</x:f>
        <x:v>0.9094545454545454</x:v>
      </x:c>
      <x:c r="BE97" s="27" t="n">
        <x:f>IF(ISNUMBER(AM97),IF('Scoring Setup'!$L$25=1,1-'Scoring Setup'!$B$5*(1-MAX(0,MIN(1,(AM97-'Scoring Setup'!$K$25)/(100-'Scoring Setup'!$K$25)))),1),"")</x:f>
        <x:v>0.8549228700052378</x:v>
      </x:c>
      <x:c r="BF97" s="27" t="n">
        <x:f>IF(ISNUMBER(AN97),IF('Scoring Setup'!$L$26=1,1-'Scoring Setup'!$B$5*(1-MAX(0,MIN(1,(AN97-'Scoring Setup'!$K$26)/(100-'Scoring Setup'!$K$26)))),1),"")</x:f>
        <x:v>0.977621005370185</x:v>
      </x:c>
      <x:c r="BG97" s="34" t="n">
        <x:f>IF(COUNT(W97,X97)=2,AVERAGE(W97,X97),"")</x:f>
        <x:v>0.7857142857142865</x:v>
      </x:c>
      <x:c r="BH97" s="34" t="n">
        <x:f>IF(COUNT(Y97,Z97)=2,AVERAGE(Y97,Z97),"")</x:f>
        <x:v>55.06100972028729</x:v>
      </x:c>
      <x:c r="BI97" s="34" t="n">
        <x:f>IF(COUNT(AA97,AB97,AC97)=3,AVERAGE(AA97,AB97,AC97),"")</x:f>
        <x:v>97.90631781173535</x:v>
      </x:c>
      <x:c r="BJ97" s="34" t="n">
        <x:f>IF(COUNT(AD97,AE97)=2,AVERAGE(AD97,AE97),"")</x:f>
        <x:v>69.44281308035714</x:v>
      </x:c>
      <x:c r="BK97" s="34" t="n">
        <x:f>IF(COUNT(AF97,AG97)=2,AVERAGE(AF97,AG97),"")</x:f>
        <x:v>29.763022297804525</x:v>
      </x:c>
      <x:c r="BL97" s="34" t="n">
        <x:f>IF(COUNT(AH97,AI97)=2,AVERAGE(AH97,AI97),"")</x:f>
        <x:v>100</x:v>
      </x:c>
      <x:c r="BM97" s="34" t="n">
        <x:f>IF(COUNT(AJ97,AK97)=2,AVERAGE(AJ97,AK97),"")</x:f>
        <x:v>58.20141198578004</x:v>
      </x:c>
      <x:c r="BN97" s="34" t="n">
        <x:f>IF(COUNT(AL97,AM97,AN97)=3,AVERAGE(AL97,AM97,AN97),"")</x:f>
        <x:v>56.999736804994704</x:v>
      </x:c>
      <x:c r="BO97" s="35" t="n">
        <x:f>IF(AND(COUNT(BG97:BN97)=8,ABS('Scoring Setup'!$C$17-1)&lt;0.000001),BG97*'Scoring Setup'!$C$9+BH97*'Scoring Setup'!$C$10+BI97*'Scoring Setup'!$C$11+BJ97*'Scoring Setup'!$C$12+BK97*'Scoring Setup'!$C$13+BL97*'Scoring Setup'!$C$14+BM97*'Scoring Setup'!$C$15+BN97*'Scoring Setup'!$C$16,"")</x:f>
        <x:v>55.811980332406</x:v>
      </x:c>
      <x:c r="BP97" s="36" t="n">
        <x:f>IF(COUNT(AO97:BF97)=18,MIN(AO97:BF97),"")</x:f>
        <x:v>0.8</x:v>
      </x:c>
      <x:c r="BQ97" s="35" t="n">
        <x:f>IF(AND(ISNUMBER(BO97),ISNUMBER(BP97)),BO97*BP97,"")</x:f>
        <x:v>44.6495842659248</x:v>
      </x:c>
      <x:c r="BR97" s="17" t="str">
        <x:f>IF(COUNT(AO97:BF97)=18,INDEX('Scoring Setup'!$F$9:$F$26,MATCH(MIN(AO97:BF97),AO97:BF97,0),1),"")</x:f>
        <x:v>洪水损失率全国百分位</x:v>
      </x:c>
    </x:row>
    <x:row r="98">
      <x:c r="A98" s="28" t="str">
        <x:v>51197</x:v>
      </x:c>
      <x:c r="B98" s="28" t="str">
        <x:v>Wythe County</x:v>
      </x:c>
      <x:c r="C98" s="28" t="str">
        <x:v>VA</x:v>
      </x:c>
      <x:c r="D98" s="31" t="n">
        <x:v>1196.450505</x:v>
      </x:c>
      <x:c r="E98" s="32" t="n">
        <x:v>0.577</x:v>
      </x:c>
      <x:c r="F98" s="32" t="n">
        <x:v>0.281559405940594</x:v>
      </x:c>
      <x:c r="G98" s="32" t="n">
        <x:v>1.8788529795532358</x:v>
      </x:c>
      <x:c r="H98" s="32" t="n">
        <x:v>2.2743194278019483</x:v>
      </x:c>
      <x:c r="I98" s="32" t="n">
        <x:v>0.9505617472081332</x:v>
      </x:c>
      <x:c r="J98" s="32" t="n">
        <x:v>0.03531438049381104</x:v>
      </x:c>
      <x:c r="K98" s="32" t="n">
        <x:v>0.00019868269623664984</x:v>
      </x:c>
      <x:c r="L98" s="32" t="n">
        <x:v>0.666853898</x:v>
      </x:c>
      <x:c r="M98" s="32" t="n">
        <x:v>0.582225551</x:v>
      </x:c>
      <x:c r="N98" s="32" t="n">
        <x:v>14236</x:v>
      </x:c>
      <x:c r="O98" s="32" t="n">
        <x:v>0.4139</x:v>
      </x:c>
      <x:c r="P98" s="32" t="n">
        <x:v>437.1864054361979</x:v>
      </x:c>
      <x:c r="Q98" s="32" t="n">
        <x:v>1.7643111725648244</x:v>
      </x:c>
      <x:c r="R98" s="32" t="n">
        <x:v>5.963911326063426</x:v>
      </x:c>
      <x:c r="S98" s="32" t="n">
        <x:v>4.2375644321096635</x:v>
      </x:c>
      <x:c r="T98" s="32" t="n">
        <x:v>89.9</x:v>
      </x:c>
      <x:c r="U98" s="32" t="n">
        <x:v>245.07712999476223</x:v>
      </x:c>
      <x:c r="V98" s="32" t="n">
        <x:v>244.75798925963002</x:v>
      </x:c>
      <x:c r="W98" s="33" t="n">
        <x:f>IF(ISNUMBER(E98),100*MAX(0,MIN(1,('Anchors'!$H$6-E98)/('Anchors'!$H$6-'Anchors'!$G$6))),"")</x:f>
        <x:v>46.14285714285716</x:v>
      </x:c>
      <x:c r="X98" s="33" t="n">
        <x:f>IF(ISNUMBER(F98),100*MAX(0,MIN(1,('Anchors'!$H$7-F98)/('Anchors'!$H$7-'Anchors'!$G$7))),"")</x:f>
        <x:v>74.06294200848659</x:v>
      </x:c>
      <x:c r="Y98" s="33" t="n">
        <x:f>IF(ISNUMBER(G98),100*MAX(0,MIN(1,('Anchors'!$H$8-G98)/('Anchors'!$H$8-'Anchors'!$G$8))),"")</x:f>
        <x:v>70.7049006815588</x:v>
      </x:c>
      <x:c r="Z98" s="33" t="n">
        <x:f>IF(ISNUMBER(H98),100*MAX(0,MIN(1,('Anchors'!$H$9-H98)/('Anchors'!$H$9-'Anchors'!$G$9))),"")</x:f>
        <x:v>57.522685739935056</x:v>
      </x:c>
      <x:c r="AA98" s="33" t="n">
        <x:f>IF(ISNUMBER(I98),100*MAX(0,MIN(1,(I98-'Anchors'!$H$10)/('Anchors'!$G$10-'Anchors'!$H$10))),"")</x:f>
        <x:v>95.96736263125113</x:v>
      </x:c>
      <x:c r="AB98" s="33" t="n">
        <x:f>IF(ISNUMBER(J98),100*MAX(0,MIN(1,('Anchors'!$H$11-J98)/('Anchors'!$H$11-'Anchors'!$G$11))),"")</x:f>
        <x:v>85.8742478024756</x:v>
      </x:c>
      <x:c r="AC98" s="33" t="n">
        <x:f>IF(ISNUMBER(K98),100*MAX(0,MIN(1,('Anchors'!$H$12-K98)/('Anchors'!$H$12-'Anchors'!$G$12))),"")</x:f>
        <x:v>99.95032932594084</x:v>
      </x:c>
      <x:c r="AD98" s="33" t="n">
        <x:f>IF(ISNUMBER(L98),100*MAX(0,MIN(1,(L98-'Anchors'!$H$13)/('Anchors'!$G$13-'Anchors'!$H$13))),"")</x:f>
        <x:v>66.69341399999999</x:v>
      </x:c>
      <x:c r="AE98" s="33" t="n">
        <x:f>IF(ISNUMBER(M98),100*MAX(0,MIN(1,(M98-'Anchors'!$H$14)/('Anchors'!$G$14-'Anchors'!$H$14))),"")</x:f>
        <x:v>60.278193875</x:v>
      </x:c>
      <x:c r="AF98" s="33" t="n">
        <x:f>IF(ISNUMBER(N98),100*MAX(0,MIN(1,(LN(1+N98)-LN(1+'Anchors'!$H$15))/(LN(1+'Anchors'!$G$15)-LN(1+'Anchors'!$H$15)))),"")</x:f>
        <x:v>45.45284850102886</x:v>
      </x:c>
      <x:c r="AG98" s="33" t="n">
        <x:f>IF(ISNUMBER(O98),100*MAX(0,MIN(1,('Anchors'!$H$16-O98)/('Anchors'!$H$16-'Anchors'!$G$16))),"")</x:f>
        <x:v>59.56666666666668</x:v>
      </x:c>
      <x:c r="AH98" s="33" t="n">
        <x:f>IF(ISNUMBER(P98),100*MAX(0,MIN(1,('Anchors'!$H$17-P98)/('Anchors'!$H$17-'Anchors'!$G$17))),"")</x:f>
        <x:v>100</x:v>
      </x:c>
      <x:c r="AI98" s="33" t="n">
        <x:f>IF(ISNUMBER(Q98),100*MAX(0,MIN(1,('Anchors'!$H$18-Q98)/('Anchors'!$H$18-'Anchors'!$G$18))),"")</x:f>
        <x:v>100</x:v>
      </x:c>
      <x:c r="AJ98" s="33" t="n">
        <x:f>IF(ISNUMBER(R98),100*MAX(0,MIN(1,('Anchors'!$H$19-R98)/('Anchors'!$H$19-'Anchors'!$G$19))),"")</x:f>
        <x:v>97.85797483097016</x:v>
      </x:c>
      <x:c r="AK98" s="33" t="n">
        <x:f>IF(ISNUMBER(S98),100*MAX(0,MIN(1,('Anchors'!$H$20-S98)/('Anchors'!$H$20-'Anchors'!$G$20))),"")</x:f>
        <x:v>82.96018719942282</x:v>
      </x:c>
      <x:c r="AL98" s="33" t="n">
        <x:f>IF(ISNUMBER(T98),100*MAX(0,MIN(1,('Anchors'!$H$21-T98)/('Anchors'!$H$21-'Anchors'!$G$21))),"")</x:f>
        <x:v>54.72727272727271</x:v>
      </x:c>
      <x:c r="AM98" s="33" t="n">
        <x:f>IF(ISNUMBER(U98),100*MAX(0,MIN(1,('Anchors'!$H$22-U98)/('Anchors'!$H$22-'Anchors'!$G$22))),"")</x:f>
        <x:v>27.461435002618884</x:v>
      </x:c>
      <x:c r="AN98" s="33" t="n">
        <x:f>IF(ISNUMBER(V98),100*MAX(0,MIN(1,('Anchors'!$H$23-V98)/('Anchors'!$H$23-'Anchors'!$G$23))),"")</x:f>
        <x:v>88.8105026850925</x:v>
      </x:c>
      <x:c r="AO98" s="27" t="n">
        <x:f>IF(ISNUMBER(W98),IF('Scoring Setup'!$L$9=1,1-'Scoring Setup'!$B$5*(1-MAX(0,MIN(1,(W98-'Scoring Setup'!$K$9)/(100-'Scoring Setup'!$K$9)))),1),"")</x:f>
        <x:v>0.8922857142857143</x:v>
      </x:c>
      <x:c r="AP98" s="27" t="n">
        <x:f>IF(ISNUMBER(X98),IF('Scoring Setup'!$L$10=1,1-'Scoring Setup'!$B$5*(1-MAX(0,MIN(1,(X98-'Scoring Setup'!$K$10)/(100-'Scoring Setup'!$K$10)))),1),"")</x:f>
        <x:v>0.9481258840169732</x:v>
      </x:c>
      <x:c r="AQ98" s="27" t="n">
        <x:f>IF(ISNUMBER(Y98),IF('Scoring Setup'!$L$11=1,1-'Scoring Setup'!$B$5*(1-MAX(0,MIN(1,(Y98-'Scoring Setup'!$K$11)/(100-'Scoring Setup'!$K$11)))),1),"")</x:f>
        <x:v>0.9414098013631176</x:v>
      </x:c>
      <x:c r="AR98" s="27" t="n">
        <x:f>IF(ISNUMBER(Z98),IF('Scoring Setup'!$L$12=1,1-'Scoring Setup'!$B$5*(1-MAX(0,MIN(1,(Z98-'Scoring Setup'!$K$12)/(100-'Scoring Setup'!$K$12)))),1),"")</x:f>
        <x:v>0.9150453714798701</x:v>
      </x:c>
      <x:c r="AS98" s="27" t="n">
        <x:f>IF(ISNUMBER(AA98),IF('Scoring Setup'!$L$13=1,1-'Scoring Setup'!$B$5*(1-MAX(0,MIN(1,(AA98-'Scoring Setup'!$K$13)/(100-'Scoring Setup'!$K$13)))),1),"")</x:f>
        <x:v>0.9919347252625023</x:v>
      </x:c>
      <x:c r="AT98" s="27" t="n">
        <x:f>IF(ISNUMBER(AB98),IF('Scoring Setup'!$L$14=1,1-'Scoring Setup'!$B$5*(1-MAX(0,MIN(1,(AB98-'Scoring Setup'!$K$14)/(100-'Scoring Setup'!$K$14)))),1),"")</x:f>
        <x:v>0.9717484956049511</x:v>
      </x:c>
      <x:c r="AU98" s="27" t="n">
        <x:f>IF(ISNUMBER(AC98),IF('Scoring Setup'!$L$15=1,1-'Scoring Setup'!$B$5*(1-MAX(0,MIN(1,(AC98-'Scoring Setup'!$K$15)/(100-'Scoring Setup'!$K$15)))),1),"")</x:f>
        <x:v>0.9999006586518817</x:v>
      </x:c>
      <x:c r="AV98" s="27" t="n">
        <x:f>IF(ISNUMBER(AD98),IF('Scoring Setup'!$L$16=1,1-'Scoring Setup'!$B$5*(1-MAX(0,MIN(1,(AD98-'Scoring Setup'!$K$16)/(100-'Scoring Setup'!$K$16)))),1),"")</x:f>
        <x:v>0.933386828</x:v>
      </x:c>
      <x:c r="AW98" s="27" t="n">
        <x:f>IF(ISNUMBER(AE98),IF('Scoring Setup'!$L$17=1,1-'Scoring Setup'!$B$5*(1-MAX(0,MIN(1,(AE98-'Scoring Setup'!$K$17)/(100-'Scoring Setup'!$K$17)))),1),"")</x:f>
        <x:v>0.92055638775</x:v>
      </x:c>
      <x:c r="AX98" s="27" t="n">
        <x:f>IF(ISNUMBER(AF98),IF('Scoring Setup'!$L$18=1,1-'Scoring Setup'!$B$5*(1-MAX(0,MIN(1,(AF98-'Scoring Setup'!$K$18)/(100-'Scoring Setup'!$K$18)))),1),"")</x:f>
        <x:v>0.8909056970020577</x:v>
      </x:c>
      <x:c r="AY98" s="27" t="n">
        <x:f>IF(ISNUMBER(AG98),IF('Scoring Setup'!$L$19=1,1-'Scoring Setup'!$B$5*(1-MAX(0,MIN(1,(AG98-'Scoring Setup'!$K$19)/(100-'Scoring Setup'!$K$19)))),1),"")</x:f>
        <x:v>0.9191333333333334</x:v>
      </x:c>
      <x:c r="AZ98" s="27" t="n">
        <x:f>IF(ISNUMBER(AH98),IF('Scoring Setup'!$L$20=1,1-'Scoring Setup'!$B$5*(1-MAX(0,MIN(1,(AH98-'Scoring Setup'!$K$20)/(100-'Scoring Setup'!$K$20)))),1),"")</x:f>
        <x:v>1</x:v>
      </x:c>
      <x:c r="BA98" s="27" t="n">
        <x:f>IF(ISNUMBER(AI98),IF('Scoring Setup'!$L$21=1,1-'Scoring Setup'!$B$5*(1-MAX(0,MIN(1,(AI98-'Scoring Setup'!$K$21)/(100-'Scoring Setup'!$K$21)))),1),"")</x:f>
        <x:v>1</x:v>
      </x:c>
      <x:c r="BB98" s="27" t="n">
        <x:f>IF(ISNUMBER(AJ98),IF('Scoring Setup'!$L$22=1,1-'Scoring Setup'!$B$5*(1-MAX(0,MIN(1,(AJ98-'Scoring Setup'!$K$22)/(100-'Scoring Setup'!$K$22)))),1),"")</x:f>
        <x:v>0.9957159496619403</x:v>
      </x:c>
      <x:c r="BC98" s="27" t="n">
        <x:f>IF(ISNUMBER(AK98),IF('Scoring Setup'!$L$23=1,1-'Scoring Setup'!$B$5*(1-MAX(0,MIN(1,(AK98-'Scoring Setup'!$K$23)/(100-'Scoring Setup'!$K$23)))),1),"")</x:f>
        <x:v>0.9659203743988456</x:v>
      </x:c>
      <x:c r="BD98" s="27" t="n">
        <x:f>IF(ISNUMBER(AL98),IF('Scoring Setup'!$L$24=1,1-'Scoring Setup'!$B$5*(1-MAX(0,MIN(1,(AL98-'Scoring Setup'!$K$24)/(100-'Scoring Setup'!$K$24)))),1),"")</x:f>
        <x:v>0.9094545454545454</x:v>
      </x:c>
      <x:c r="BE98" s="27" t="n">
        <x:f>IF(ISNUMBER(AM98),IF('Scoring Setup'!$L$25=1,1-'Scoring Setup'!$B$5*(1-MAX(0,MIN(1,(AM98-'Scoring Setup'!$K$25)/(100-'Scoring Setup'!$K$25)))),1),"")</x:f>
        <x:v>0.8549228700052378</x:v>
      </x:c>
      <x:c r="BF98" s="27" t="n">
        <x:f>IF(ISNUMBER(AN98),IF('Scoring Setup'!$L$26=1,1-'Scoring Setup'!$B$5*(1-MAX(0,MIN(1,(AN98-'Scoring Setup'!$K$26)/(100-'Scoring Setup'!$K$26)))),1),"")</x:f>
        <x:v>0.977621005370185</x:v>
      </x:c>
      <x:c r="BG98" s="34" t="n">
        <x:f>IF(COUNT(W98,X98)=2,AVERAGE(W98,X98),"")</x:f>
        <x:v>60.10289957567187</x:v>
      </x:c>
      <x:c r="BH98" s="34" t="n">
        <x:f>IF(COUNT(Y98,Z98)=2,AVERAGE(Y98,Z98),"")</x:f>
        <x:v>64.11379321074693</x:v>
      </x:c>
      <x:c r="BI98" s="34" t="n">
        <x:f>IF(COUNT(AA98,AB98,AC98)=3,AVERAGE(AA98,AB98,AC98),"")</x:f>
        <x:v>93.93064658655585</x:v>
      </x:c>
      <x:c r="BJ98" s="34" t="n">
        <x:f>IF(COUNT(AD98,AE98)=2,AVERAGE(AD98,AE98),"")</x:f>
        <x:v>63.485803937499995</x:v>
      </x:c>
      <x:c r="BK98" s="34" t="n">
        <x:f>IF(COUNT(AF98,AG98)=2,AVERAGE(AF98,AG98),"")</x:f>
        <x:v>52.50975758384777</x:v>
      </x:c>
      <x:c r="BL98" s="34" t="n">
        <x:f>IF(COUNT(AH98,AI98)=2,AVERAGE(AH98,AI98),"")</x:f>
        <x:v>100</x:v>
      </x:c>
      <x:c r="BM98" s="34" t="n">
        <x:f>IF(COUNT(AJ98,AK98)=2,AVERAGE(AJ98,AK98),"")</x:f>
        <x:v>90.40908101519649</x:v>
      </x:c>
      <x:c r="BN98" s="34" t="n">
        <x:f>IF(COUNT(AL98,AM98,AN98)=3,AVERAGE(AL98,AM98,AN98),"")</x:f>
        <x:v>56.999736804994704</x:v>
      </x:c>
      <x:c r="BO98" s="35" t="n">
        <x:f>IF(AND(COUNT(BG98:BN98)=8,ABS('Scoring Setup'!$C$17-1)&lt;0.000001),BG98*'Scoring Setup'!$C$9+BH98*'Scoring Setup'!$C$10+BI98*'Scoring Setup'!$C$11+BJ98*'Scoring Setup'!$C$12+BK98*'Scoring Setup'!$C$13+BL98*'Scoring Setup'!$C$14+BM98*'Scoring Setup'!$C$15+BN98*'Scoring Setup'!$C$16,"")</x:f>
        <x:v>66.44604450276518</x:v>
      </x:c>
      <x:c r="BP98" s="36" t="n">
        <x:f>IF(COUNT(AO98:BF98)=18,MIN(AO98:BF98),"")</x:f>
        <x:v>0.8549228700052378</x:v>
      </x:c>
      <x:c r="BQ98" s="35" t="n">
        <x:f>IF(AND(ISNUMBER(BO98),ISNUMBER(BP98)),BO98*BP98,"")</x:f>
        <x:v>56.80624306679976</x:v>
      </x:c>
      <x:c r="BR98" s="17" t="str">
        <x:f>IF(COUNT(AO98:BF98)=18,INDEX('Scoring Setup'!$F$9:$F$26,MATCH(MIN(AO98:BF98),AO98:BF98,0),1),"")</x:f>
        <x:v>州SAIDI不含重大事件日</x:v>
      </x:c>
    </x:row>
    <x:row r="99">
      <x:c r="A99" s="28" t="str">
        <x:v>51199</x:v>
      </x:c>
      <x:c r="B99" s="28" t="str">
        <x:v>York County</x:v>
      </x:c>
      <x:c r="C99" s="28" t="str">
        <x:v>VA</x:v>
      </x:c>
      <x:c r="D99" s="31" t="n">
        <x:v>271.175182</x:v>
      </x:c>
      <x:c r="E99" s="32" t="n">
        <x:v>0.352</x:v>
      </x:c>
      <x:c r="F99" s="32" t="n">
        <x:v>0.26423267326732697</x:v>
      </x:c>
      <x:c r="G99" s="32" t="n">
        <x:v>3.8028479710721674</x:v>
      </x:c>
      <x:c r="H99" s="32" t="n">
        <x:v>4.054554194</x:v>
      </x:c>
      <x:c r="I99" s="32" t="n">
        <x:v>0.7009940542549238</x:v>
      </x:c>
      <x:c r="J99" s="32" t="n">
        <x:v>0.05955935529653725</x:v>
      </x:c>
      <x:c r="K99" s="32" t="n">
        <x:v>0.1668458353240962</x:v>
      </x:c>
      <x:c r="L99" s="32" t="n">
        <x:v>0.691769572</x:v>
      </x:c>
      <x:c r="M99" s="32" t="n">
        <x:v>0.084250867</x:v>
      </x:c>
      <x:c r="N99" s="32" t="n">
        <x:v>33724</x:v>
      </x:c>
      <x:c r="O99" s="32" t="n">
        <x:v>0.1543</x:v>
      </x:c>
      <x:c r="P99" s="32" t="n">
        <x:v>1417.782763671875</x:v>
      </x:c>
      <x:c r="Q99" s="32" t="n">
        <x:v>25.06913369496663</x:v>
      </x:c>
      <x:c r="R99" s="32" t="n">
        <x:v>14.3115584213981</x:v>
      </x:c>
      <x:c r="S99" s="32" t="n">
        <x:v>4.058816745943998</x:v>
      </x:c>
      <x:c r="T99" s="32" t="n">
        <x:v>89.9</x:v>
      </x:c>
      <x:c r="U99" s="32" t="n">
        <x:v>245.07712999476223</x:v>
      </x:c>
      <x:c r="V99" s="32" t="n">
        <x:v>244.75798925963002</x:v>
      </x:c>
      <x:c r="W99" s="33" t="n">
        <x:f>IF(ISNUMBER(E99),100*MAX(0,MIN(1,('Anchors'!$H$6-E99)/('Anchors'!$H$6-'Anchors'!$G$6))),"")</x:f>
        <x:v>78.28571428571429</x:v>
      </x:c>
      <x:c r="X99" s="33" t="n">
        <x:f>IF(ISNUMBER(F99),100*MAX(0,MIN(1,('Anchors'!$H$7-F99)/('Anchors'!$H$7-'Anchors'!$G$7))),"")</x:f>
        <x:v>76.53818953323899</x:v>
      </x:c>
      <x:c r="Y99" s="33" t="n">
        <x:f>IF(ISNUMBER(G99),100*MAX(0,MIN(1,('Anchors'!$H$8-G99)/('Anchors'!$H$8-'Anchors'!$G$8))),"")</x:f>
        <x:v>6.571734297594419</x:v>
      </x:c>
      <x:c r="Z99" s="33" t="n">
        <x:f>IF(ISNUMBER(H99),100*MAX(0,MIN(1,('Anchors'!$H$9-H99)/('Anchors'!$H$9-'Anchors'!$G$9))),"")</x:f>
        <x:v>0</x:v>
      </x:c>
      <x:c r="AA99" s="33" t="n">
        <x:f>IF(ISNUMBER(I99),100*MAX(0,MIN(1,(I99-'Anchors'!$H$10)/('Anchors'!$G$10-'Anchors'!$H$10))),"")</x:f>
        <x:v>61.780007432181336</x:v>
      </x:c>
      <x:c r="AB99" s="33" t="n">
        <x:f>IF(ISNUMBER(J99),100*MAX(0,MIN(1,('Anchors'!$H$11-J99)/('Anchors'!$H$11-'Anchors'!$G$11))),"")</x:f>
        <x:v>76.1762578813851</x:v>
      </x:c>
      <x:c r="AC99" s="33" t="n">
        <x:f>IF(ISNUMBER(K99),100*MAX(0,MIN(1,('Anchors'!$H$12-K99)/('Anchors'!$H$12-'Anchors'!$G$12))),"")</x:f>
        <x:v>58.28854116897595</x:v>
      </x:c>
      <x:c r="AD99" s="33" t="n">
        <x:f>IF(ISNUMBER(L99),100*MAX(0,MIN(1,(L99-'Anchors'!$H$13)/('Anchors'!$G$13-'Anchors'!$H$13))),"")</x:f>
        <x:v>70.252796</x:v>
      </x:c>
      <x:c r="AE99" s="33" t="n">
        <x:f>IF(ISNUMBER(M99),100*MAX(0,MIN(1,(M99-'Anchors'!$H$14)/('Anchors'!$G$14-'Anchors'!$H$14))),"")</x:f>
        <x:v>0</x:v>
      </x:c>
      <x:c r="AF99" s="33" t="n">
        <x:f>IF(ISNUMBER(N99),100*MAX(0,MIN(1,(LN(1+N99)-LN(1+'Anchors'!$H$15))/(LN(1+'Anchors'!$G$15)-LN(1+'Anchors'!$H$15)))),"")</x:f>
        <x:v>65.4295964799432</x:v>
      </x:c>
      <x:c r="AG99" s="33" t="n">
        <x:f>IF(ISNUMBER(O99),100*MAX(0,MIN(1,('Anchors'!$H$16-O99)/('Anchors'!$H$16-'Anchors'!$G$16))),"")</x:f>
        <x:v>88.41111111111111</x:v>
      </x:c>
      <x:c r="AH99" s="33" t="n">
        <x:f>IF(ISNUMBER(P99),100*MAX(0,MIN(1,('Anchors'!$H$17-P99)/('Anchors'!$H$17-'Anchors'!$G$17))),"")</x:f>
        <x:v>52.14781575520833</x:v>
      </x:c>
      <x:c r="AI99" s="33" t="n">
        <x:f>IF(ISNUMBER(Q99),100*MAX(0,MIN(1,('Anchors'!$H$18-Q99)/('Anchors'!$H$18-'Anchors'!$G$18))),"")</x:f>
        <x:v>71.32980900719052</x:v>
      </x:c>
      <x:c r="AJ99" s="33" t="n">
        <x:f>IF(ISNUMBER(R99),100*MAX(0,MIN(1,('Anchors'!$H$19-R99)/('Anchors'!$H$19-'Anchors'!$G$19))),"")</x:f>
        <x:v>79.30764795244866</x:v>
      </x:c>
      <x:c r="AK99" s="33" t="n">
        <x:f>IF(ISNUMBER(S99),100*MAX(0,MIN(1,('Anchors'!$H$20-S99)/('Anchors'!$H$20-'Anchors'!$G$20))),"")</x:f>
        <x:v>83.90096449503159</x:v>
      </x:c>
      <x:c r="AL99" s="33" t="n">
        <x:f>IF(ISNUMBER(T99),100*MAX(0,MIN(1,('Anchors'!$H$21-T99)/('Anchors'!$H$21-'Anchors'!$G$21))),"")</x:f>
        <x:v>54.72727272727271</x:v>
      </x:c>
      <x:c r="AM99" s="33" t="n">
        <x:f>IF(ISNUMBER(U99),100*MAX(0,MIN(1,('Anchors'!$H$22-U99)/('Anchors'!$H$22-'Anchors'!$G$22))),"")</x:f>
        <x:v>27.461435002618884</x:v>
      </x:c>
      <x:c r="AN99" s="33" t="n">
        <x:f>IF(ISNUMBER(V99),100*MAX(0,MIN(1,('Anchors'!$H$23-V99)/('Anchors'!$H$23-'Anchors'!$G$23))),"")</x:f>
        <x:v>88.8105026850925</x:v>
      </x:c>
      <x:c r="AO99" s="27" t="n">
        <x:f>IF(ISNUMBER(W99),IF('Scoring Setup'!$L$9=1,1-'Scoring Setup'!$B$5*(1-MAX(0,MIN(1,(W99-'Scoring Setup'!$K$9)/(100-'Scoring Setup'!$K$9)))),1),"")</x:f>
        <x:v>0.9565714285714286</x:v>
      </x:c>
      <x:c r="AP99" s="27" t="n">
        <x:f>IF(ISNUMBER(X99),IF('Scoring Setup'!$L$10=1,1-'Scoring Setup'!$B$5*(1-MAX(0,MIN(1,(X99-'Scoring Setup'!$K$10)/(100-'Scoring Setup'!$K$10)))),1),"")</x:f>
        <x:v>0.953076379066478</x:v>
      </x:c>
      <x:c r="AQ99" s="27" t="n">
        <x:f>IF(ISNUMBER(Y99),IF('Scoring Setup'!$L$11=1,1-'Scoring Setup'!$B$5*(1-MAX(0,MIN(1,(Y99-'Scoring Setup'!$K$11)/(100-'Scoring Setup'!$K$11)))),1),"")</x:f>
        <x:v>0.8131434685951888</x:v>
      </x:c>
      <x:c r="AR99" s="27" t="n">
        <x:f>IF(ISNUMBER(Z99),IF('Scoring Setup'!$L$12=1,1-'Scoring Setup'!$B$5*(1-MAX(0,MIN(1,(Z99-'Scoring Setup'!$K$12)/(100-'Scoring Setup'!$K$12)))),1),"")</x:f>
        <x:v>0.8</x:v>
      </x:c>
      <x:c r="AS99" s="27" t="n">
        <x:f>IF(ISNUMBER(AA99),IF('Scoring Setup'!$L$13=1,1-'Scoring Setup'!$B$5*(1-MAX(0,MIN(1,(AA99-'Scoring Setup'!$K$13)/(100-'Scoring Setup'!$K$13)))),1),"")</x:f>
        <x:v>0.9235600148643627</x:v>
      </x:c>
      <x:c r="AT99" s="27" t="n">
        <x:f>IF(ISNUMBER(AB99),IF('Scoring Setup'!$L$14=1,1-'Scoring Setup'!$B$5*(1-MAX(0,MIN(1,(AB99-'Scoring Setup'!$K$14)/(100-'Scoring Setup'!$K$14)))),1),"")</x:f>
        <x:v>0.9523525157627702</x:v>
      </x:c>
      <x:c r="AU99" s="27" t="n">
        <x:f>IF(ISNUMBER(AC99),IF('Scoring Setup'!$L$15=1,1-'Scoring Setup'!$B$5*(1-MAX(0,MIN(1,(AC99-'Scoring Setup'!$K$15)/(100-'Scoring Setup'!$K$15)))),1),"")</x:f>
        <x:v>0.9165770823379519</x:v>
      </x:c>
      <x:c r="AV99" s="27" t="n">
        <x:f>IF(ISNUMBER(AD99),IF('Scoring Setup'!$L$16=1,1-'Scoring Setup'!$B$5*(1-MAX(0,MIN(1,(AD99-'Scoring Setup'!$K$16)/(100-'Scoring Setup'!$K$16)))),1),"")</x:f>
        <x:v>0.9405055920000001</x:v>
      </x:c>
      <x:c r="AW99" s="27" t="n">
        <x:f>IF(ISNUMBER(AE99),IF('Scoring Setup'!$L$17=1,1-'Scoring Setup'!$B$5*(1-MAX(0,MIN(1,(AE99-'Scoring Setup'!$K$17)/(100-'Scoring Setup'!$K$17)))),1),"")</x:f>
        <x:v>0.8</x:v>
      </x:c>
      <x:c r="AX99" s="27" t="n">
        <x:f>IF(ISNUMBER(AF99),IF('Scoring Setup'!$L$18=1,1-'Scoring Setup'!$B$5*(1-MAX(0,MIN(1,(AF99-'Scoring Setup'!$K$18)/(100-'Scoring Setup'!$K$18)))),1),"")</x:f>
        <x:v>0.9308591929598864</x:v>
      </x:c>
      <x:c r="AY99" s="27" t="n">
        <x:f>IF(ISNUMBER(AG99),IF('Scoring Setup'!$L$19=1,1-'Scoring Setup'!$B$5*(1-MAX(0,MIN(1,(AG99-'Scoring Setup'!$K$19)/(100-'Scoring Setup'!$K$19)))),1),"")</x:f>
        <x:v>0.9768222222222223</x:v>
      </x:c>
      <x:c r="AZ99" s="27" t="n">
        <x:f>IF(ISNUMBER(AH99),IF('Scoring Setup'!$L$20=1,1-'Scoring Setup'!$B$5*(1-MAX(0,MIN(1,(AH99-'Scoring Setup'!$K$20)/(100-'Scoring Setup'!$K$20)))),1),"")</x:f>
        <x:v>0.9042956315104167</x:v>
      </x:c>
      <x:c r="BA99" s="27" t="n">
        <x:f>IF(ISNUMBER(AI99),IF('Scoring Setup'!$L$21=1,1-'Scoring Setup'!$B$5*(1-MAX(0,MIN(1,(AI99-'Scoring Setup'!$K$21)/(100-'Scoring Setup'!$K$21)))),1),"")</x:f>
        <x:v>0.942659618014381</x:v>
      </x:c>
      <x:c r="BB99" s="27" t="n">
        <x:f>IF(ISNUMBER(AJ99),IF('Scoring Setup'!$L$22=1,1-'Scoring Setup'!$B$5*(1-MAX(0,MIN(1,(AJ99-'Scoring Setup'!$K$22)/(100-'Scoring Setup'!$K$22)))),1),"")</x:f>
        <x:v>0.9586152959048974</x:v>
      </x:c>
      <x:c r="BC99" s="27" t="n">
        <x:f>IF(ISNUMBER(AK99),IF('Scoring Setup'!$L$23=1,1-'Scoring Setup'!$B$5*(1-MAX(0,MIN(1,(AK99-'Scoring Setup'!$K$23)/(100-'Scoring Setup'!$K$23)))),1),"")</x:f>
        <x:v>0.9678019289900631</x:v>
      </x:c>
      <x:c r="BD99" s="27" t="n">
        <x:f>IF(ISNUMBER(AL99),IF('Scoring Setup'!$L$24=1,1-'Scoring Setup'!$B$5*(1-MAX(0,MIN(1,(AL99-'Scoring Setup'!$K$24)/(100-'Scoring Setup'!$K$24)))),1),"")</x:f>
        <x:v>0.9094545454545454</x:v>
      </x:c>
      <x:c r="BE99" s="27" t="n">
        <x:f>IF(ISNUMBER(AM99),IF('Scoring Setup'!$L$25=1,1-'Scoring Setup'!$B$5*(1-MAX(0,MIN(1,(AM99-'Scoring Setup'!$K$25)/(100-'Scoring Setup'!$K$25)))),1),"")</x:f>
        <x:v>0.8549228700052378</x:v>
      </x:c>
      <x:c r="BF99" s="27" t="n">
        <x:f>IF(ISNUMBER(AN99),IF('Scoring Setup'!$L$26=1,1-'Scoring Setup'!$B$5*(1-MAX(0,MIN(1,(AN99-'Scoring Setup'!$K$26)/(100-'Scoring Setup'!$K$26)))),1),"")</x:f>
        <x:v>0.977621005370185</x:v>
      </x:c>
      <x:c r="BG99" s="34" t="n">
        <x:f>IF(COUNT(W99,X99)=2,AVERAGE(W99,X99),"")</x:f>
        <x:v>77.41195190947664</x:v>
      </x:c>
      <x:c r="BH99" s="34" t="n">
        <x:f>IF(COUNT(Y99,Z99)=2,AVERAGE(Y99,Z99),"")</x:f>
        <x:v>3.2858671487972093</x:v>
      </x:c>
      <x:c r="BI99" s="34" t="n">
        <x:f>IF(COUNT(AA99,AB99,AC99)=3,AVERAGE(AA99,AB99,AC99),"")</x:f>
        <x:v>65.4149354941808</x:v>
      </x:c>
      <x:c r="BJ99" s="34" t="n">
        <x:f>IF(COUNT(AD99,AE99)=2,AVERAGE(AD99,AE99),"")</x:f>
        <x:v>35.126398</x:v>
      </x:c>
      <x:c r="BK99" s="34" t="n">
        <x:f>IF(COUNT(AF99,AG99)=2,AVERAGE(AF99,AG99),"")</x:f>
        <x:v>76.92035379552715</x:v>
      </x:c>
      <x:c r="BL99" s="34" t="n">
        <x:f>IF(COUNT(AH99,AI99)=2,AVERAGE(AH99,AI99),"")</x:f>
        <x:v>61.73881238119942</x:v>
      </x:c>
      <x:c r="BM99" s="34" t="n">
        <x:f>IF(COUNT(AJ99,AK99)=2,AVERAGE(AJ99,AK99),"")</x:f>
        <x:v>81.60430622374012</x:v>
      </x:c>
      <x:c r="BN99" s="34" t="n">
        <x:f>IF(COUNT(AL99,AM99,AN99)=3,AVERAGE(AL99,AM99,AN99),"")</x:f>
        <x:v>56.999736804994704</x:v>
      </x:c>
      <x:c r="BO99" s="35" t="n">
        <x:f>IF(AND(COUNT(BG99:BN99)=8,ABS('Scoring Setup'!$C$17-1)&lt;0.000001),BG99*'Scoring Setup'!$C$9+BH99*'Scoring Setup'!$C$10+BI99*'Scoring Setup'!$C$11+BJ99*'Scoring Setup'!$C$12+BK99*'Scoring Setup'!$C$13+BL99*'Scoring Setup'!$C$14+BM99*'Scoring Setup'!$C$15+BN99*'Scoring Setup'!$C$16,"")</x:f>
        <x:v>50.41161432142329</x:v>
      </x:c>
      <x:c r="BP99" s="36" t="n">
        <x:f>IF(COUNT(AO99:BF99)=18,MIN(AO99:BF99),"")</x:f>
        <x:v>0.8</x:v>
      </x:c>
      <x:c r="BQ99" s="35" t="n">
        <x:f>IF(AND(ISNUMBER(BO99),ISNUMBER(BP99)),BO99*BP99,"")</x:f>
        <x:v>40.32929145713864</x:v>
      </x:c>
      <x:c r="BR99" s="17" t="str">
        <x:f>IF(COUNT(AO99:BF99)=18,INDEX('Scoring Setup'!$F$9:$F$26,MATCH(MIN(AO99:BF99),AO99:BF99,0),1),"")</x:f>
        <x:v>2050 BAU水压力</x:v>
      </x:c>
    </x:row>
    <x:row r="100">
      <x:c r="A100" s="28" t="str">
        <x:v>51510</x:v>
      </x:c>
      <x:c r="B100" s="28" t="str">
        <x:v>Alexandria city</x:v>
      </x:c>
      <x:c r="C100" s="28" t="str">
        <x:v>VA</x:v>
      </x:c>
      <x:c r="D100" s="31" t="n">
        <x:v>38.682331</x:v>
      </x:c>
      <x:c r="E100" s="32" t="n">
        <x:v>0.13</x:v>
      </x:c>
      <x:c r="F100" s="32" t="n">
        <x:v>0.601175742574257</x:v>
      </x:c>
      <x:c r="G100" s="32" t="n">
        <x:v>3.5886680608434567</x:v>
      </x:c>
      <x:c r="H100" s="32" t="n">
        <x:v>3.980139822</x:v>
      </x:c>
      <x:c r="I100" s="32" t="n">
        <x:v>0.08812110909466817</x:v>
      </x:c>
      <x:c r="J100" s="32" t="n">
        <x:v>0.0005303380594322433</x:v>
      </x:c>
      <x:c r="K100" s="32" t="n">
        <x:v>0.00891318830258896</x:v>
      </x:c>
      <x:c r="L100" s="32" t="n">
        <x:v>0.443478953</x:v>
      </x:c>
      <x:c r="M100" s="32" t="n">
        <x:v>0.240187437</x:v>
      </x:c>
      <x:c r="N100" s="32" t="n">
        <x:v>101035</x:v>
      </x:c>
      <x:c r="O100" s="32" t="n">
        <x:v>0.3178</x:v>
      </x:c>
      <x:c r="P100" s="32" t="n">
        <x:v>1289.9500447591147</x:v>
      </x:c>
      <x:c r="Q100" s="32" t="n">
        <x:v>23.291953341166177</x:v>
      </x:c>
      <x:c r="R100" s="32" t="n">
        <x:v>1.9627408278880174</x:v>
      </x:c>
      <x:c r="S100" s="32" t="n">
        <x:v>1.5184158620791457</x:v>
      </x:c>
      <x:c r="T100" s="32" t="n">
        <x:v>89.9</x:v>
      </x:c>
      <x:c r="U100" s="32" t="n">
        <x:v>245.07712999476223</x:v>
      </x:c>
      <x:c r="V100" s="32" t="n">
        <x:v>244.75798925963002</x:v>
      </x:c>
      <x:c r="W100" s="33" t="n">
        <x:f>IF(ISNUMBER(E100),100*MAX(0,MIN(1,('Anchors'!$H$6-E100)/('Anchors'!$H$6-'Anchors'!$G$6))),"")</x:f>
        <x:v>100</x:v>
      </x:c>
      <x:c r="X100" s="33" t="n">
        <x:f>IF(ISNUMBER(F100),100*MAX(0,MIN(1,('Anchors'!$H$7-F100)/('Anchors'!$H$7-'Anchors'!$G$7))),"")</x:f>
        <x:v>28.403465346534716</x:v>
      </x:c>
      <x:c r="Y100" s="33" t="n">
        <x:f>IF(ISNUMBER(G100),100*MAX(0,MIN(1,('Anchors'!$H$8-G100)/('Anchors'!$H$8-'Anchors'!$G$8))),"")</x:f>
        <x:v>13.711064638551443</x:v>
      </x:c>
      <x:c r="Z100" s="33" t="n">
        <x:f>IF(ISNUMBER(H100),100*MAX(0,MIN(1,('Anchors'!$H$9-H100)/('Anchors'!$H$9-'Anchors'!$G$9))),"")</x:f>
        <x:v>0.6620059333333355</x:v>
      </x:c>
      <x:c r="AA100" s="33" t="n">
        <x:f>IF(ISNUMBER(I100),100*MAX(0,MIN(1,(I100-'Anchors'!$H$10)/('Anchors'!$G$10-'Anchors'!$H$10))),"")</x:f>
        <x:v>0</x:v>
      </x:c>
      <x:c r="AB100" s="33" t="n">
        <x:f>IF(ISNUMBER(J100),100*MAX(0,MIN(1,('Anchors'!$H$11-J100)/('Anchors'!$H$11-'Anchors'!$G$11))),"")</x:f>
        <x:v>99.7878647762271</x:v>
      </x:c>
      <x:c r="AC100" s="33" t="n">
        <x:f>IF(ISNUMBER(K100),100*MAX(0,MIN(1,('Anchors'!$H$12-K100)/('Anchors'!$H$12-'Anchors'!$G$12))),"")</x:f>
        <x:v>97.77170292435275</x:v>
      </x:c>
      <x:c r="AD100" s="33" t="n">
        <x:f>IF(ISNUMBER(L100),100*MAX(0,MIN(1,(L100-'Anchors'!$H$13)/('Anchors'!$G$13-'Anchors'!$H$13))),"")</x:f>
        <x:v>34.782707571428574</x:v>
      </x:c>
      <x:c r="AE100" s="33" t="n">
        <x:f>IF(ISNUMBER(M100),100*MAX(0,MIN(1,(M100-'Anchors'!$H$14)/('Anchors'!$G$14-'Anchors'!$H$14))),"")</x:f>
        <x:v>17.523429625</x:v>
      </x:c>
      <x:c r="AF100" s="33" t="n">
        <x:f>IF(ISNUMBER(N100),100*MAX(0,MIN(1,(LN(1+N100)-LN(1+'Anchors'!$H$15))/(LN(1+'Anchors'!$G$15)-LN(1+'Anchors'!$H$15)))),"")</x:f>
        <x:v>90.84629283917961</x:v>
      </x:c>
      <x:c r="AG100" s="33" t="n">
        <x:f>IF(ISNUMBER(O100),100*MAX(0,MIN(1,('Anchors'!$H$16-O100)/('Anchors'!$H$16-'Anchors'!$G$16))),"")</x:f>
        <x:v>70.24444444444444</x:v>
      </x:c>
      <x:c r="AH100" s="33" t="n">
        <x:f>IF(ISNUMBER(P100),100*MAX(0,MIN(1,('Anchors'!$H$17-P100)/('Anchors'!$H$17-'Anchors'!$G$17))),"")</x:f>
        <x:v>60.66999701605902</x:v>
      </x:c>
      <x:c r="AI100" s="33" t="n">
        <x:f>IF(ISNUMBER(Q100),100*MAX(0,MIN(1,('Anchors'!$H$18-Q100)/('Anchors'!$H$18-'Anchors'!$G$18))),"")</x:f>
        <x:v>73.86863808404833</x:v>
      </x:c>
      <x:c r="AJ100" s="33" t="n">
        <x:f>IF(ISNUMBER(R100),100*MAX(0,MIN(1,('Anchors'!$H$19-R100)/('Anchors'!$H$19-'Anchors'!$G$19))),"")</x:f>
        <x:v>100</x:v>
      </x:c>
      <x:c r="AK100" s="33" t="n">
        <x:f>IF(ISNUMBER(S100),100*MAX(0,MIN(1,('Anchors'!$H$20-S100)/('Anchors'!$H$20-'Anchors'!$G$20))),"")</x:f>
        <x:v>97.27149546274134</x:v>
      </x:c>
      <x:c r="AL100" s="33" t="n">
        <x:f>IF(ISNUMBER(T100),100*MAX(0,MIN(1,('Anchors'!$H$21-T100)/('Anchors'!$H$21-'Anchors'!$G$21))),"")</x:f>
        <x:v>54.72727272727271</x:v>
      </x:c>
      <x:c r="AM100" s="33" t="n">
        <x:f>IF(ISNUMBER(U100),100*MAX(0,MIN(1,('Anchors'!$H$22-U100)/('Anchors'!$H$22-'Anchors'!$G$22))),"")</x:f>
        <x:v>27.461435002618884</x:v>
      </x:c>
      <x:c r="AN100" s="33" t="n">
        <x:f>IF(ISNUMBER(V100),100*MAX(0,MIN(1,('Anchors'!$H$23-V100)/('Anchors'!$H$23-'Anchors'!$G$23))),"")</x:f>
        <x:v>88.8105026850925</x:v>
      </x:c>
      <x:c r="AO100" s="27" t="n">
        <x:f>IF(ISNUMBER(W100),IF('Scoring Setup'!$L$9=1,1-'Scoring Setup'!$B$5*(1-MAX(0,MIN(1,(W100-'Scoring Setup'!$K$9)/(100-'Scoring Setup'!$K$9)))),1),"")</x:f>
        <x:v>1</x:v>
      </x:c>
      <x:c r="AP100" s="27" t="n">
        <x:f>IF(ISNUMBER(X100),IF('Scoring Setup'!$L$10=1,1-'Scoring Setup'!$B$5*(1-MAX(0,MIN(1,(X100-'Scoring Setup'!$K$10)/(100-'Scoring Setup'!$K$10)))),1),"")</x:f>
        <x:v>0.8568069306930695</x:v>
      </x:c>
      <x:c r="AQ100" s="27" t="n">
        <x:f>IF(ISNUMBER(Y100),IF('Scoring Setup'!$L$11=1,1-'Scoring Setup'!$B$5*(1-MAX(0,MIN(1,(Y100-'Scoring Setup'!$K$11)/(100-'Scoring Setup'!$K$11)))),1),"")</x:f>
        <x:v>0.8274221292771029</x:v>
      </x:c>
      <x:c r="AR100" s="27" t="n">
        <x:f>IF(ISNUMBER(Z100),IF('Scoring Setup'!$L$12=1,1-'Scoring Setup'!$B$5*(1-MAX(0,MIN(1,(Z100-'Scoring Setup'!$K$12)/(100-'Scoring Setup'!$K$12)))),1),"")</x:f>
        <x:v>0.8013240118666667</x:v>
      </x:c>
      <x:c r="AS100" s="27" t="n">
        <x:f>IF(ISNUMBER(AA100),IF('Scoring Setup'!$L$13=1,1-'Scoring Setup'!$B$5*(1-MAX(0,MIN(1,(AA100-'Scoring Setup'!$K$13)/(100-'Scoring Setup'!$K$13)))),1),"")</x:f>
        <x:v>0.8</x:v>
      </x:c>
      <x:c r="AT100" s="27" t="n">
        <x:f>IF(ISNUMBER(AB100),IF('Scoring Setup'!$L$14=1,1-'Scoring Setup'!$B$5*(1-MAX(0,MIN(1,(AB100-'Scoring Setup'!$K$14)/(100-'Scoring Setup'!$K$14)))),1),"")</x:f>
        <x:v>0.9995757295524542</x:v>
      </x:c>
      <x:c r="AU100" s="27" t="n">
        <x:f>IF(ISNUMBER(AC100),IF('Scoring Setup'!$L$15=1,1-'Scoring Setup'!$B$5*(1-MAX(0,MIN(1,(AC100-'Scoring Setup'!$K$15)/(100-'Scoring Setup'!$K$15)))),1),"")</x:f>
        <x:v>0.9955434058487055</x:v>
      </x:c>
      <x:c r="AV100" s="27" t="n">
        <x:f>IF(ISNUMBER(AD100),IF('Scoring Setup'!$L$16=1,1-'Scoring Setup'!$B$5*(1-MAX(0,MIN(1,(AD100-'Scoring Setup'!$K$16)/(100-'Scoring Setup'!$K$16)))),1),"")</x:f>
        <x:v>0.8695654151428571</x:v>
      </x:c>
      <x:c r="AW100" s="27" t="n">
        <x:f>IF(ISNUMBER(AE100),IF('Scoring Setup'!$L$17=1,1-'Scoring Setup'!$B$5*(1-MAX(0,MIN(1,(AE100-'Scoring Setup'!$K$17)/(100-'Scoring Setup'!$K$17)))),1),"")</x:f>
        <x:v>0.83504685925</x:v>
      </x:c>
      <x:c r="AX100" s="27" t="n">
        <x:f>IF(ISNUMBER(AF100),IF('Scoring Setup'!$L$18=1,1-'Scoring Setup'!$B$5*(1-MAX(0,MIN(1,(AF100-'Scoring Setup'!$K$18)/(100-'Scoring Setup'!$K$18)))),1),"")</x:f>
        <x:v>0.9816925856783593</x:v>
      </x:c>
      <x:c r="AY100" s="27" t="n">
        <x:f>IF(ISNUMBER(AG100),IF('Scoring Setup'!$L$19=1,1-'Scoring Setup'!$B$5*(1-MAX(0,MIN(1,(AG100-'Scoring Setup'!$K$19)/(100-'Scoring Setup'!$K$19)))),1),"")</x:f>
        <x:v>0.9404888888888889</x:v>
      </x:c>
      <x:c r="AZ100" s="27" t="n">
        <x:f>IF(ISNUMBER(AH100),IF('Scoring Setup'!$L$20=1,1-'Scoring Setup'!$B$5*(1-MAX(0,MIN(1,(AH100-'Scoring Setup'!$K$20)/(100-'Scoring Setup'!$K$20)))),1),"")</x:f>
        <x:v>0.9213399940321181</x:v>
      </x:c>
      <x:c r="BA100" s="27" t="n">
        <x:f>IF(ISNUMBER(AI100),IF('Scoring Setup'!$L$21=1,1-'Scoring Setup'!$B$5*(1-MAX(0,MIN(1,(AI100-'Scoring Setup'!$K$21)/(100-'Scoring Setup'!$K$21)))),1),"")</x:f>
        <x:v>0.9477372761680967</x:v>
      </x:c>
      <x:c r="BB100" s="27" t="n">
        <x:f>IF(ISNUMBER(AJ100),IF('Scoring Setup'!$L$22=1,1-'Scoring Setup'!$B$5*(1-MAX(0,MIN(1,(AJ100-'Scoring Setup'!$K$22)/(100-'Scoring Setup'!$K$22)))),1),"")</x:f>
        <x:v>1</x:v>
      </x:c>
      <x:c r="BC100" s="27" t="n">
        <x:f>IF(ISNUMBER(AK100),IF('Scoring Setup'!$L$23=1,1-'Scoring Setup'!$B$5*(1-MAX(0,MIN(1,(AK100-'Scoring Setup'!$K$23)/(100-'Scoring Setup'!$K$23)))),1),"")</x:f>
        <x:v>0.9945429909254827</x:v>
      </x:c>
      <x:c r="BD100" s="27" t="n">
        <x:f>IF(ISNUMBER(AL100),IF('Scoring Setup'!$L$24=1,1-'Scoring Setup'!$B$5*(1-MAX(0,MIN(1,(AL100-'Scoring Setup'!$K$24)/(100-'Scoring Setup'!$K$24)))),1),"")</x:f>
        <x:v>0.9094545454545454</x:v>
      </x:c>
      <x:c r="BE100" s="27" t="n">
        <x:f>IF(ISNUMBER(AM100),IF('Scoring Setup'!$L$25=1,1-'Scoring Setup'!$B$5*(1-MAX(0,MIN(1,(AM100-'Scoring Setup'!$K$25)/(100-'Scoring Setup'!$K$25)))),1),"")</x:f>
        <x:v>0.8549228700052378</x:v>
      </x:c>
      <x:c r="BF100" s="27" t="n">
        <x:f>IF(ISNUMBER(AN100),IF('Scoring Setup'!$L$26=1,1-'Scoring Setup'!$B$5*(1-MAX(0,MIN(1,(AN100-'Scoring Setup'!$K$26)/(100-'Scoring Setup'!$K$26)))),1),"")</x:f>
        <x:v>0.977621005370185</x:v>
      </x:c>
      <x:c r="BG100" s="34" t="n">
        <x:f>IF(COUNT(W100,X100)=2,AVERAGE(W100,X100),"")</x:f>
        <x:v>64.20173267326736</x:v>
      </x:c>
      <x:c r="BH100" s="34" t="n">
        <x:f>IF(COUNT(Y100,Z100)=2,AVERAGE(Y100,Z100),"")</x:f>
        <x:v>7.186535285942389</x:v>
      </x:c>
      <x:c r="BI100" s="34" t="n">
        <x:f>IF(COUNT(AA100,AB100,AC100)=3,AVERAGE(AA100,AB100,AC100),"")</x:f>
        <x:v>65.85318923352662</x:v>
      </x:c>
      <x:c r="BJ100" s="34" t="n">
        <x:f>IF(COUNT(AD100,AE100)=2,AVERAGE(AD100,AE100),"")</x:f>
        <x:v>26.153068598214286</x:v>
      </x:c>
      <x:c r="BK100" s="34" t="n">
        <x:f>IF(COUNT(AF100,AG100)=2,AVERAGE(AF100,AG100),"")</x:f>
        <x:v>80.54536864181202</x:v>
      </x:c>
      <x:c r="BL100" s="34" t="n">
        <x:f>IF(COUNT(AH100,AI100)=2,AVERAGE(AH100,AI100),"")</x:f>
        <x:v>67.26931755005367</x:v>
      </x:c>
      <x:c r="BM100" s="34" t="n">
        <x:f>IF(COUNT(AJ100,AK100)=2,AVERAGE(AJ100,AK100),"")</x:f>
        <x:v>98.63574773137067</x:v>
      </x:c>
      <x:c r="BN100" s="34" t="n">
        <x:f>IF(COUNT(AL100,AM100,AN100)=3,AVERAGE(AL100,AM100,AN100),"")</x:f>
        <x:v>56.999736804994704</x:v>
      </x:c>
      <x:c r="BO100" s="35" t="n">
        <x:f>IF(AND(COUNT(BG100:BN100)=8,ABS('Scoring Setup'!$C$17-1)&lt;0.000001),BG100*'Scoring Setup'!$C$9+BH100*'Scoring Setup'!$C$10+BI100*'Scoring Setup'!$C$11+BJ100*'Scoring Setup'!$C$12+BK100*'Scoring Setup'!$C$13+BL100*'Scoring Setup'!$C$14+BM100*'Scoring Setup'!$C$15+BN100*'Scoring Setup'!$C$16,"")</x:f>
        <x:v>50.50781727744013</x:v>
      </x:c>
      <x:c r="BP100" s="36" t="n">
        <x:f>IF(COUNT(AO100:BF100)=18,MIN(AO100:BF100),"")</x:f>
        <x:v>0.8</x:v>
      </x:c>
      <x:c r="BQ100" s="35" t="n">
        <x:f>IF(AND(ISNUMBER(BO100),ISNUMBER(BP100)),BO100*BP100,"")</x:f>
        <x:v>40.406253821952106</x:v>
      </x:c>
      <x:c r="BR100" s="17" t="str">
        <x:f>IF(COUNT(AO100:BF100)=18,INDEX('Scoring Setup'!$F$9:$F$26,MATCH(MIN(AO100:BF100),AO100:BF100,0),1),"")</x:f>
        <x:v>低不透水土地比例</x:v>
      </x:c>
    </x:row>
    <x:row r="101">
      <x:c r="A101" s="28" t="str">
        <x:v>51520</x:v>
      </x:c>
      <x:c r="B101" s="28" t="str">
        <x:v>Bristol city</x:v>
      </x:c>
      <x:c r="C101" s="28" t="str">
        <x:v>VA</x:v>
      </x:c>
      <x:c r="D101" s="31" t="n">
        <x:v>33.336228</x:v>
      </x:c>
      <x:c r="E101" s="32" t="n">
        <x:v>0.534</x:v>
      </x:c>
      <x:c r="F101" s="32" t="n">
        <x:v>0.165532178217822</x:v>
      </x:c>
      <x:c r="G101" s="32" t="n">
        <x:v>1.267946005310194</x:v>
      </x:c>
      <x:c r="H101" s="32" t="n">
        <x:v>1.521024453</x:v>
      </x:c>
      <x:c r="I101" s="32" t="n">
        <x:v>0.33634360049454387</x:v>
      </x:c>
      <x:c r="J101" s="32" t="n">
        <x:v>0</x:v>
      </x:c>
      <x:c r="K101" s="32" t="n">
        <x:v>0.0020426812879643067</x:v>
      </x:c>
      <x:c r="L101" s="32" t="n">
        <x:v>0.994153846</x:v>
      </x:c>
      <x:c r="M101" s="32" t="n">
        <x:v>0.994153846</x:v>
      </x:c>
      <x:c r="N101" s="32" t="n">
        <x:v>7383</x:v>
      </x:c>
      <x:c r="O101" s="32" t="n">
        <x:v>0.7696</x:v>
      </x:c>
      <x:c r="P101" s="32" t="n">
        <x:v>744.0539876302083</x:v>
      </x:c>
      <x:c r="Q101" s="32" t="n">
        <x:v>4.746685004234314</x:v>
      </x:c>
      <x:c r="R101" s="32" t="n">
        <x:v>1.0368021838334667</x:v>
      </x:c>
      <x:c r="S101" s="32" t="n">
        <x:v>0.4668815490406068</x:v>
      </x:c>
      <x:c r="T101" s="32" t="n">
        <x:v>89.9</x:v>
      </x:c>
      <x:c r="U101" s="32" t="n">
        <x:v>245.07712999476223</x:v>
      </x:c>
      <x:c r="V101" s="32" t="n">
        <x:v>244.75798925963002</x:v>
      </x:c>
      <x:c r="W101" s="33" t="n">
        <x:f>IF(ISNUMBER(E101),100*MAX(0,MIN(1,('Anchors'!$H$6-E101)/('Anchors'!$H$6-'Anchors'!$G$6))),"")</x:f>
        <x:v>52.28571428571429</x:v>
      </x:c>
      <x:c r="X101" s="33" t="n">
        <x:f>IF(ISNUMBER(F101),100*MAX(0,MIN(1,('Anchors'!$H$7-F101)/('Anchors'!$H$7-'Anchors'!$G$7))),"")</x:f>
        <x:v>90.63826025459684</x:v>
      </x:c>
      <x:c r="Y101" s="33" t="n">
        <x:f>IF(ISNUMBER(G101),100*MAX(0,MIN(1,('Anchors'!$H$8-G101)/('Anchors'!$H$8-'Anchors'!$G$8))),"")</x:f>
        <x:v>91.0684664896602</x:v>
      </x:c>
      <x:c r="Z101" s="33" t="n">
        <x:f>IF(ISNUMBER(H101),100*MAX(0,MIN(1,('Anchors'!$H$9-H101)/('Anchors'!$H$9-'Anchors'!$G$9))),"")</x:f>
        <x:v>82.63251823333334</x:v>
      </x:c>
      <x:c r="AA101" s="33" t="n">
        <x:f>IF(ISNUMBER(I101),100*MAX(0,MIN(1,(I101-'Anchors'!$H$10)/('Anchors'!$G$10-'Anchors'!$H$10))),"")</x:f>
        <x:v>11.82789047870464</x:v>
      </x:c>
      <x:c r="AB101" s="33" t="n">
        <x:f>IF(ISNUMBER(J101),100*MAX(0,MIN(1,('Anchors'!$H$11-J101)/('Anchors'!$H$11-'Anchors'!$G$11))),"")</x:f>
        <x:v>100</x:v>
      </x:c>
      <x:c r="AC101" s="33" t="n">
        <x:f>IF(ISNUMBER(K101),100*MAX(0,MIN(1,('Anchors'!$H$12-K101)/('Anchors'!$H$12-'Anchors'!$G$12))),"")</x:f>
        <x:v>99.48932967800891</x:v>
      </x:c>
      <x:c r="AD101" s="33" t="n">
        <x:f>IF(ISNUMBER(L101),100*MAX(0,MIN(1,(L101-'Anchors'!$H$13)/('Anchors'!$G$13-'Anchors'!$H$13))),"")</x:f>
        <x:v>100</x:v>
      </x:c>
      <x:c r="AE101" s="33" t="n">
        <x:f>IF(ISNUMBER(M101),100*MAX(0,MIN(1,(M101-'Anchors'!$H$14)/('Anchors'!$G$14-'Anchors'!$H$14))),"")</x:f>
        <x:v>100</x:v>
      </x:c>
      <x:c r="AF101" s="33" t="n">
        <x:f>IF(ISNUMBER(N101),100*MAX(0,MIN(1,(LN(1+N101)-LN(1+'Anchors'!$H$15))/(LN(1+'Anchors'!$G$15)-LN(1+'Anchors'!$H$15)))),"")</x:f>
        <x:v>30.244845553202794</x:v>
      </x:c>
      <x:c r="AG101" s="33" t="n">
        <x:f>IF(ISNUMBER(O101),100*MAX(0,MIN(1,('Anchors'!$H$16-O101)/('Anchors'!$H$16-'Anchors'!$G$16))),"")</x:f>
        <x:v>20.044444444444448</x:v>
      </x:c>
      <x:c r="AH101" s="33" t="n">
        <x:f>IF(ISNUMBER(P101),100*MAX(0,MIN(1,('Anchors'!$H$17-P101)/('Anchors'!$H$17-'Anchors'!$G$17))),"")</x:f>
        <x:v>97.06306749131946</x:v>
      </x:c>
      <x:c r="AI101" s="33" t="n">
        <x:f>IF(ISNUMBER(Q101),100*MAX(0,MIN(1,('Anchors'!$H$18-Q101)/('Anchors'!$H$18-'Anchors'!$G$18))),"")</x:f>
        <x:v>100</x:v>
      </x:c>
      <x:c r="AJ101" s="33" t="n">
        <x:f>IF(ISNUMBER(R101),100*MAX(0,MIN(1,('Anchors'!$H$19-R101)/('Anchors'!$H$19-'Anchors'!$G$19))),"")</x:f>
        <x:v>100</x:v>
      </x:c>
      <x:c r="AK101" s="33" t="n">
        <x:f>IF(ISNUMBER(S101),100*MAX(0,MIN(1,('Anchors'!$H$20-S101)/('Anchors'!$H$20-'Anchors'!$G$20))),"")</x:f>
        <x:v>100</x:v>
      </x:c>
      <x:c r="AL101" s="33" t="n">
        <x:f>IF(ISNUMBER(T101),100*MAX(0,MIN(1,('Anchors'!$H$21-T101)/('Anchors'!$H$21-'Anchors'!$G$21))),"")</x:f>
        <x:v>54.72727272727271</x:v>
      </x:c>
      <x:c r="AM101" s="33" t="n">
        <x:f>IF(ISNUMBER(U101),100*MAX(0,MIN(1,('Anchors'!$H$22-U101)/('Anchors'!$H$22-'Anchors'!$G$22))),"")</x:f>
        <x:v>27.461435002618884</x:v>
      </x:c>
      <x:c r="AN101" s="33" t="n">
        <x:f>IF(ISNUMBER(V101),100*MAX(0,MIN(1,('Anchors'!$H$23-V101)/('Anchors'!$H$23-'Anchors'!$G$23))),"")</x:f>
        <x:v>88.8105026850925</x:v>
      </x:c>
      <x:c r="AO101" s="27" t="n">
        <x:f>IF(ISNUMBER(W101),IF('Scoring Setup'!$L$9=1,1-'Scoring Setup'!$B$5*(1-MAX(0,MIN(1,(W101-'Scoring Setup'!$K$9)/(100-'Scoring Setup'!$K$9)))),1),"")</x:f>
        <x:v>0.9045714285714286</x:v>
      </x:c>
      <x:c r="AP101" s="27" t="n">
        <x:f>IF(ISNUMBER(X101),IF('Scoring Setup'!$L$10=1,1-'Scoring Setup'!$B$5*(1-MAX(0,MIN(1,(X101-'Scoring Setup'!$K$10)/(100-'Scoring Setup'!$K$10)))),1),"")</x:f>
        <x:v>0.9812765205091937</x:v>
      </x:c>
      <x:c r="AQ101" s="27" t="n">
        <x:f>IF(ISNUMBER(Y101),IF('Scoring Setup'!$L$11=1,1-'Scoring Setup'!$B$5*(1-MAX(0,MIN(1,(Y101-'Scoring Setup'!$K$11)/(100-'Scoring Setup'!$K$11)))),1),"")</x:f>
        <x:v>0.9821369329793204</x:v>
      </x:c>
      <x:c r="AR101" s="27" t="n">
        <x:f>IF(ISNUMBER(Z101),IF('Scoring Setup'!$L$12=1,1-'Scoring Setup'!$B$5*(1-MAX(0,MIN(1,(Z101-'Scoring Setup'!$K$12)/(100-'Scoring Setup'!$K$12)))),1),"")</x:f>
        <x:v>0.9652650364666667</x:v>
      </x:c>
      <x:c r="AS101" s="27" t="n">
        <x:f>IF(ISNUMBER(AA101),IF('Scoring Setup'!$L$13=1,1-'Scoring Setup'!$B$5*(1-MAX(0,MIN(1,(AA101-'Scoring Setup'!$K$13)/(100-'Scoring Setup'!$K$13)))),1),"")</x:f>
        <x:v>0.8236557809574092</x:v>
      </x:c>
      <x:c r="AT101" s="27" t="n">
        <x:f>IF(ISNUMBER(AB101),IF('Scoring Setup'!$L$14=1,1-'Scoring Setup'!$B$5*(1-MAX(0,MIN(1,(AB101-'Scoring Setup'!$K$14)/(100-'Scoring Setup'!$K$14)))),1),"")</x:f>
        <x:v>1</x:v>
      </x:c>
      <x:c r="AU101" s="27" t="n">
        <x:f>IF(ISNUMBER(AC101),IF('Scoring Setup'!$L$15=1,1-'Scoring Setup'!$B$5*(1-MAX(0,MIN(1,(AC101-'Scoring Setup'!$K$15)/(100-'Scoring Setup'!$K$15)))),1),"")</x:f>
        <x:v>0.9989786593560178</x:v>
      </x:c>
      <x:c r="AV101" s="27" t="n">
        <x:f>IF(ISNUMBER(AD101),IF('Scoring Setup'!$L$16=1,1-'Scoring Setup'!$B$5*(1-MAX(0,MIN(1,(AD101-'Scoring Setup'!$K$16)/(100-'Scoring Setup'!$K$16)))),1),"")</x:f>
        <x:v>1</x:v>
      </x:c>
      <x:c r="AW101" s="27" t="n">
        <x:f>IF(ISNUMBER(AE101),IF('Scoring Setup'!$L$17=1,1-'Scoring Setup'!$B$5*(1-MAX(0,MIN(1,(AE101-'Scoring Setup'!$K$17)/(100-'Scoring Setup'!$K$17)))),1),"")</x:f>
        <x:v>1</x:v>
      </x:c>
      <x:c r="AX101" s="27" t="n">
        <x:f>IF(ISNUMBER(AF101),IF('Scoring Setup'!$L$18=1,1-'Scoring Setup'!$B$5*(1-MAX(0,MIN(1,(AF101-'Scoring Setup'!$K$18)/(100-'Scoring Setup'!$K$18)))),1),"")</x:f>
        <x:v>0.8604896911064056</x:v>
      </x:c>
      <x:c r="AY101" s="27" t="n">
        <x:f>IF(ISNUMBER(AG101),IF('Scoring Setup'!$L$19=1,1-'Scoring Setup'!$B$5*(1-MAX(0,MIN(1,(AG101-'Scoring Setup'!$K$19)/(100-'Scoring Setup'!$K$19)))),1),"")</x:f>
        <x:v>0.8400888888888889</x:v>
      </x:c>
      <x:c r="AZ101" s="27" t="n">
        <x:f>IF(ISNUMBER(AH101),IF('Scoring Setup'!$L$20=1,1-'Scoring Setup'!$B$5*(1-MAX(0,MIN(1,(AH101-'Scoring Setup'!$K$20)/(100-'Scoring Setup'!$K$20)))),1),"")</x:f>
        <x:v>0.9941261349826389</x:v>
      </x:c>
      <x:c r="BA101" s="27" t="n">
        <x:f>IF(ISNUMBER(AI101),IF('Scoring Setup'!$L$21=1,1-'Scoring Setup'!$B$5*(1-MAX(0,MIN(1,(AI101-'Scoring Setup'!$K$21)/(100-'Scoring Setup'!$K$21)))),1),"")</x:f>
        <x:v>1</x:v>
      </x:c>
      <x:c r="BB101" s="27" t="n">
        <x:f>IF(ISNUMBER(AJ101),IF('Scoring Setup'!$L$22=1,1-'Scoring Setup'!$B$5*(1-MAX(0,MIN(1,(AJ101-'Scoring Setup'!$K$22)/(100-'Scoring Setup'!$K$22)))),1),"")</x:f>
        <x:v>1</x:v>
      </x:c>
      <x:c r="BC101" s="27" t="n">
        <x:f>IF(ISNUMBER(AK101),IF('Scoring Setup'!$L$23=1,1-'Scoring Setup'!$B$5*(1-MAX(0,MIN(1,(AK101-'Scoring Setup'!$K$23)/(100-'Scoring Setup'!$K$23)))),1),"")</x:f>
        <x:v>1</x:v>
      </x:c>
      <x:c r="BD101" s="27" t="n">
        <x:f>IF(ISNUMBER(AL101),IF('Scoring Setup'!$L$24=1,1-'Scoring Setup'!$B$5*(1-MAX(0,MIN(1,(AL101-'Scoring Setup'!$K$24)/(100-'Scoring Setup'!$K$24)))),1),"")</x:f>
        <x:v>0.9094545454545454</x:v>
      </x:c>
      <x:c r="BE101" s="27" t="n">
        <x:f>IF(ISNUMBER(AM101),IF('Scoring Setup'!$L$25=1,1-'Scoring Setup'!$B$5*(1-MAX(0,MIN(1,(AM101-'Scoring Setup'!$K$25)/(100-'Scoring Setup'!$K$25)))),1),"")</x:f>
        <x:v>0.8549228700052378</x:v>
      </x:c>
      <x:c r="BF101" s="27" t="n">
        <x:f>IF(ISNUMBER(AN101),IF('Scoring Setup'!$L$26=1,1-'Scoring Setup'!$B$5*(1-MAX(0,MIN(1,(AN101-'Scoring Setup'!$K$26)/(100-'Scoring Setup'!$K$26)))),1),"")</x:f>
        <x:v>0.977621005370185</x:v>
      </x:c>
      <x:c r="BG101" s="34" t="n">
        <x:f>IF(COUNT(W101,X101)=2,AVERAGE(W101,X101),"")</x:f>
        <x:v>71.46198727015556</x:v>
      </x:c>
      <x:c r="BH101" s="34" t="n">
        <x:f>IF(COUNT(Y101,Z101)=2,AVERAGE(Y101,Z101),"")</x:f>
        <x:v>86.85049236149678</x:v>
      </x:c>
      <x:c r="BI101" s="34" t="n">
        <x:f>IF(COUNT(AA101,AB101,AC101)=3,AVERAGE(AA101,AB101,AC101),"")</x:f>
        <x:v>70.43907338557119</x:v>
      </x:c>
      <x:c r="BJ101" s="34" t="n">
        <x:f>IF(COUNT(AD101,AE101)=2,AVERAGE(AD101,AE101),"")</x:f>
        <x:v>100</x:v>
      </x:c>
      <x:c r="BK101" s="34" t="n">
        <x:f>IF(COUNT(AF101,AG101)=2,AVERAGE(AF101,AG101),"")</x:f>
        <x:v>25.144644998823622</x:v>
      </x:c>
      <x:c r="BL101" s="34" t="n">
        <x:f>IF(COUNT(AH101,AI101)=2,AVERAGE(AH101,AI101),"")</x:f>
        <x:v>98.53153374565973</x:v>
      </x:c>
      <x:c r="BM101" s="34" t="n">
        <x:f>IF(COUNT(AJ101,AK101)=2,AVERAGE(AJ101,AK101),"")</x:f>
        <x:v>100</x:v>
      </x:c>
      <x:c r="BN101" s="34" t="n">
        <x:f>IF(COUNT(AL101,AM101,AN101)=3,AVERAGE(AL101,AM101,AN101),"")</x:f>
        <x:v>56.999736804994704</x:v>
      </x:c>
      <x:c r="BO101" s="35" t="n">
        <x:f>IF(AND(COUNT(BG101:BN101)=8,ABS('Scoring Setup'!$C$17-1)&lt;0.000001),BG101*'Scoring Setup'!$C$9+BH101*'Scoring Setup'!$C$10+BI101*'Scoring Setup'!$C$11+BJ101*'Scoring Setup'!$C$12+BK101*'Scoring Setup'!$C$13+BL101*'Scoring Setup'!$C$14+BM101*'Scoring Setup'!$C$15+BN101*'Scoring Setup'!$C$16,"")</x:f>
        <x:v>71.1011667665358</x:v>
      </x:c>
      <x:c r="BP101" s="36" t="n">
        <x:f>IF(COUNT(AO101:BF101)=18,MIN(AO101:BF101),"")</x:f>
        <x:v>0.8236557809574092</x:v>
      </x:c>
      <x:c r="BQ101" s="35" t="n">
        <x:f>IF(AND(ISNUMBER(BO101),ISNUMBER(BP101)),BO101*BP101,"")</x:f>
        <x:v>58.56288704007403</x:v>
      </x:c>
      <x:c r="BR101" s="17" t="str">
        <x:f>IF(COUNT(AO101:BF101)=18,INDEX('Scoring Setup'!$F$9:$F$26,MATCH(MIN(AO101:BF101),AO101:BF101,0),1),"")</x:f>
        <x:v>低不透水土地比例</x:v>
      </x:c>
    </x:row>
    <x:row r="102">
      <x:c r="A102" s="28" t="str">
        <x:v>51530</x:v>
      </x:c>
      <x:c r="B102" s="28" t="str">
        <x:v>Buena Vista city</x:v>
      </x:c>
      <x:c r="C102" s="28" t="str">
        <x:v>VA</x:v>
      </x:c>
      <x:c r="D102" s="31" t="n">
        <x:v>16.674753</x:v>
      </x:c>
      <x:c r="E102" s="32" t="n">
        <x:v>0.658</x:v>
      </x:c>
      <x:c r="F102" s="32" t="n">
        <x:v>0.9600866336633661</x:v>
      </x:c>
      <x:c r="G102" s="32" t="n">
        <x:v>2.347786261981338</x:v>
      </x:c>
      <x:c r="H102" s="32" t="n">
        <x:v>2.645844728</x:v>
      </x:c>
      <x:c r="I102" s="32" t="n">
        <x:v>0.565081923180231</x:v>
      </x:c>
      <x:c r="J102" s="32" t="n">
        <x:v>0</x:v>
      </x:c>
      <x:c r="K102" s="32" t="n">
        <x:v>0.00005372011818426001</x:v>
      </x:c>
      <x:c r="L102" s="32" t="n">
        <x:v>0.86969112</x:v>
      </x:c>
      <x:c r="M102" s="32" t="n">
        <x:v>0.865830116</x:v>
      </x:c>
      <x:c r="N102" s="32" t="n">
        <x:v>3006</x:v>
      </x:c>
      <x:c r="O102" s="32" t="n">
        <x:v>0.4983</x:v>
      </x:c>
      <x:c r="P102" s="32" t="n">
        <x:v>756.1387369791667</x:v>
      </x:c>
      <x:c r="Q102" s="32" t="n">
        <x:v>11.392056719462078</x:v>
      </x:c>
      <x:c r="R102" s="32" t="n">
        <x:v>5.443738046333541</x:v>
      </x:c>
      <x:c r="S102" s="32" t="n">
        <x:v>0.038950087631070524</x:v>
      </x:c>
      <x:c r="T102" s="32" t="n">
        <x:v>89.9</x:v>
      </x:c>
      <x:c r="U102" s="32" t="n">
        <x:v>245.07712999476223</x:v>
      </x:c>
      <x:c r="V102" s="32" t="n">
        <x:v>244.75798925963002</x:v>
      </x:c>
      <x:c r="W102" s="33" t="n">
        <x:f>IF(ISNUMBER(E102),100*MAX(0,MIN(1,('Anchors'!$H$6-E102)/('Anchors'!$H$6-'Anchors'!$G$6))),"")</x:f>
        <x:v>34.57142857142858</x:v>
      </x:c>
      <x:c r="X102" s="33" t="n">
        <x:f>IF(ISNUMBER(F102),100*MAX(0,MIN(1,('Anchors'!$H$7-F102)/('Anchors'!$H$7-'Anchors'!$G$7))),"")</x:f>
        <x:v>0</x:v>
      </x:c>
      <x:c r="Y102" s="33" t="n">
        <x:f>IF(ISNUMBER(G102),100*MAX(0,MIN(1,('Anchors'!$H$8-G102)/('Anchors'!$H$8-'Anchors'!$G$8))),"")</x:f>
        <x:v>55.073791267288726</x:v>
      </x:c>
      <x:c r="Z102" s="33" t="n">
        <x:f>IF(ISNUMBER(H102),100*MAX(0,MIN(1,('Anchors'!$H$9-H102)/('Anchors'!$H$9-'Anchors'!$G$9))),"")</x:f>
        <x:v>45.13850906666666</x:v>
      </x:c>
      <x:c r="AA102" s="33" t="n">
        <x:f>IF(ISNUMBER(I102),100*MAX(0,MIN(1,(I102-'Anchors'!$H$10)/('Anchors'!$G$10-'Anchors'!$H$10))),"")</x:f>
        <x:v>43.16190728496315</x:v>
      </x:c>
      <x:c r="AB102" s="33" t="n">
        <x:f>IF(ISNUMBER(J102),100*MAX(0,MIN(1,('Anchors'!$H$11-J102)/('Anchors'!$H$11-'Anchors'!$G$11))),"")</x:f>
        <x:v>100</x:v>
      </x:c>
      <x:c r="AC102" s="33" t="n">
        <x:f>IF(ISNUMBER(K102),100*MAX(0,MIN(1,('Anchors'!$H$12-K102)/('Anchors'!$H$12-'Anchors'!$G$12))),"")</x:f>
        <x:v>99.98656997045393</x:v>
      </x:c>
      <x:c r="AD102" s="33" t="n">
        <x:f>IF(ISNUMBER(L102),100*MAX(0,MIN(1,(L102-'Anchors'!$H$13)/('Anchors'!$G$13-'Anchors'!$H$13))),"")</x:f>
        <x:v>95.67016000000001</x:v>
      </x:c>
      <x:c r="AE102" s="33" t="n">
        <x:f>IF(ISNUMBER(M102),100*MAX(0,MIN(1,(M102-'Anchors'!$H$14)/('Anchors'!$G$14-'Anchors'!$H$14))),"")</x:f>
        <x:v>95.72876450000001</x:v>
      </x:c>
      <x:c r="AF102" s="33" t="n">
        <x:f>IF(ISNUMBER(N102),100*MAX(0,MIN(1,(LN(1+N102)-LN(1+'Anchors'!$H$15))/(LN(1+'Anchors'!$G$15)-LN(1+'Anchors'!$H$15)))),"")</x:f>
        <x:v>9.434707646282726</x:v>
      </x:c>
      <x:c r="AG102" s="33" t="n">
        <x:f>IF(ISNUMBER(O102),100*MAX(0,MIN(1,('Anchors'!$H$16-O102)/('Anchors'!$H$16-'Anchors'!$G$16))),"")</x:f>
        <x:v>50.18888888888888</x:v>
      </x:c>
      <x:c r="AH102" s="33" t="n">
        <x:f>IF(ISNUMBER(P102),100*MAX(0,MIN(1,('Anchors'!$H$17-P102)/('Anchors'!$H$17-'Anchors'!$G$17))),"")</x:f>
        <x:v>96.25741753472222</x:v>
      </x:c>
      <x:c r="AI102" s="33" t="n">
        <x:f>IF(ISNUMBER(Q102),100*MAX(0,MIN(1,('Anchors'!$H$18-Q102)/('Anchors'!$H$18-'Anchors'!$G$18))),"")</x:f>
        <x:v>90.86849040076847</x:v>
      </x:c>
      <x:c r="AJ102" s="33" t="n">
        <x:f>IF(ISNUMBER(R102),100*MAX(0,MIN(1,('Anchors'!$H$19-R102)/('Anchors'!$H$19-'Anchors'!$G$19))),"")</x:f>
        <x:v>99.01391545259213</x:v>
      </x:c>
      <x:c r="AK102" s="33" t="n">
        <x:f>IF(ISNUMBER(S102),100*MAX(0,MIN(1,('Anchors'!$H$20-S102)/('Anchors'!$H$20-'Anchors'!$G$20))),"")</x:f>
        <x:v>100</x:v>
      </x:c>
      <x:c r="AL102" s="33" t="n">
        <x:f>IF(ISNUMBER(T102),100*MAX(0,MIN(1,('Anchors'!$H$21-T102)/('Anchors'!$H$21-'Anchors'!$G$21))),"")</x:f>
        <x:v>54.72727272727271</x:v>
      </x:c>
      <x:c r="AM102" s="33" t="n">
        <x:f>IF(ISNUMBER(U102),100*MAX(0,MIN(1,('Anchors'!$H$22-U102)/('Anchors'!$H$22-'Anchors'!$G$22))),"")</x:f>
        <x:v>27.461435002618884</x:v>
      </x:c>
      <x:c r="AN102" s="33" t="n">
        <x:f>IF(ISNUMBER(V102),100*MAX(0,MIN(1,('Anchors'!$H$23-V102)/('Anchors'!$H$23-'Anchors'!$G$23))),"")</x:f>
        <x:v>88.8105026850925</x:v>
      </x:c>
      <x:c r="AO102" s="27" t="n">
        <x:f>IF(ISNUMBER(W102),IF('Scoring Setup'!$L$9=1,1-'Scoring Setup'!$B$5*(1-MAX(0,MIN(1,(W102-'Scoring Setup'!$K$9)/(100-'Scoring Setup'!$K$9)))),1),"")</x:f>
        <x:v>0.8691428571428571</x:v>
      </x:c>
      <x:c r="AP102" s="27" t="n">
        <x:f>IF(ISNUMBER(X102),IF('Scoring Setup'!$L$10=1,1-'Scoring Setup'!$B$5*(1-MAX(0,MIN(1,(X102-'Scoring Setup'!$K$10)/(100-'Scoring Setup'!$K$10)))),1),"")</x:f>
        <x:v>0.8</x:v>
      </x:c>
      <x:c r="AQ102" s="27" t="n">
        <x:f>IF(ISNUMBER(Y102),IF('Scoring Setup'!$L$11=1,1-'Scoring Setup'!$B$5*(1-MAX(0,MIN(1,(Y102-'Scoring Setup'!$K$11)/(100-'Scoring Setup'!$K$11)))),1),"")</x:f>
        <x:v>0.9101475825345775</x:v>
      </x:c>
      <x:c r="AR102" s="27" t="n">
        <x:f>IF(ISNUMBER(Z102),IF('Scoring Setup'!$L$12=1,1-'Scoring Setup'!$B$5*(1-MAX(0,MIN(1,(Z102-'Scoring Setup'!$K$12)/(100-'Scoring Setup'!$K$12)))),1),"")</x:f>
        <x:v>0.8902770181333333</x:v>
      </x:c>
      <x:c r="AS102" s="27" t="n">
        <x:f>IF(ISNUMBER(AA102),IF('Scoring Setup'!$L$13=1,1-'Scoring Setup'!$B$5*(1-MAX(0,MIN(1,(AA102-'Scoring Setup'!$K$13)/(100-'Scoring Setup'!$K$13)))),1),"")</x:f>
        <x:v>0.8863238145699263</x:v>
      </x:c>
      <x:c r="AT102" s="27" t="n">
        <x:f>IF(ISNUMBER(AB102),IF('Scoring Setup'!$L$14=1,1-'Scoring Setup'!$B$5*(1-MAX(0,MIN(1,(AB102-'Scoring Setup'!$K$14)/(100-'Scoring Setup'!$K$14)))),1),"")</x:f>
        <x:v>1</x:v>
      </x:c>
      <x:c r="AU102" s="27" t="n">
        <x:f>IF(ISNUMBER(AC102),IF('Scoring Setup'!$L$15=1,1-'Scoring Setup'!$B$5*(1-MAX(0,MIN(1,(AC102-'Scoring Setup'!$K$15)/(100-'Scoring Setup'!$K$15)))),1),"")</x:f>
        <x:v>0.9999731399409079</x:v>
      </x:c>
      <x:c r="AV102" s="27" t="n">
        <x:f>IF(ISNUMBER(AD102),IF('Scoring Setup'!$L$16=1,1-'Scoring Setup'!$B$5*(1-MAX(0,MIN(1,(AD102-'Scoring Setup'!$K$16)/(100-'Scoring Setup'!$K$16)))),1),"")</x:f>
        <x:v>0.99134032</x:v>
      </x:c>
      <x:c r="AW102" s="27" t="n">
        <x:f>IF(ISNUMBER(AE102),IF('Scoring Setup'!$L$17=1,1-'Scoring Setup'!$B$5*(1-MAX(0,MIN(1,(AE102-'Scoring Setup'!$K$17)/(100-'Scoring Setup'!$K$17)))),1),"")</x:f>
        <x:v>0.9914575290000001</x:v>
      </x:c>
      <x:c r="AX102" s="27" t="n">
        <x:f>IF(ISNUMBER(AF102),IF('Scoring Setup'!$L$18=1,1-'Scoring Setup'!$B$5*(1-MAX(0,MIN(1,(AF102-'Scoring Setup'!$K$18)/(100-'Scoring Setup'!$K$18)))),1),"")</x:f>
        <x:v>0.8188694152925654</x:v>
      </x:c>
      <x:c r="AY102" s="27" t="n">
        <x:f>IF(ISNUMBER(AG102),IF('Scoring Setup'!$L$19=1,1-'Scoring Setup'!$B$5*(1-MAX(0,MIN(1,(AG102-'Scoring Setup'!$K$19)/(100-'Scoring Setup'!$K$19)))),1),"")</x:f>
        <x:v>0.9003777777777777</x:v>
      </x:c>
      <x:c r="AZ102" s="27" t="n">
        <x:f>IF(ISNUMBER(AH102),IF('Scoring Setup'!$L$20=1,1-'Scoring Setup'!$B$5*(1-MAX(0,MIN(1,(AH102-'Scoring Setup'!$K$20)/(100-'Scoring Setup'!$K$20)))),1),"")</x:f>
        <x:v>0.9925148350694445</x:v>
      </x:c>
      <x:c r="BA102" s="27" t="n">
        <x:f>IF(ISNUMBER(AI102),IF('Scoring Setup'!$L$21=1,1-'Scoring Setup'!$B$5*(1-MAX(0,MIN(1,(AI102-'Scoring Setup'!$K$21)/(100-'Scoring Setup'!$K$21)))),1),"")</x:f>
        <x:v>0.9817369808015369</x:v>
      </x:c>
      <x:c r="BB102" s="27" t="n">
        <x:f>IF(ISNUMBER(AJ102),IF('Scoring Setup'!$L$22=1,1-'Scoring Setup'!$B$5*(1-MAX(0,MIN(1,(AJ102-'Scoring Setup'!$K$22)/(100-'Scoring Setup'!$K$22)))),1),"")</x:f>
        <x:v>0.9980278309051842</x:v>
      </x:c>
      <x:c r="BC102" s="27" t="n">
        <x:f>IF(ISNUMBER(AK102),IF('Scoring Setup'!$L$23=1,1-'Scoring Setup'!$B$5*(1-MAX(0,MIN(1,(AK102-'Scoring Setup'!$K$23)/(100-'Scoring Setup'!$K$23)))),1),"")</x:f>
        <x:v>1</x:v>
      </x:c>
      <x:c r="BD102" s="27" t="n">
        <x:f>IF(ISNUMBER(AL102),IF('Scoring Setup'!$L$24=1,1-'Scoring Setup'!$B$5*(1-MAX(0,MIN(1,(AL102-'Scoring Setup'!$K$24)/(100-'Scoring Setup'!$K$24)))),1),"")</x:f>
        <x:v>0.9094545454545454</x:v>
      </x:c>
      <x:c r="BE102" s="27" t="n">
        <x:f>IF(ISNUMBER(AM102),IF('Scoring Setup'!$L$25=1,1-'Scoring Setup'!$B$5*(1-MAX(0,MIN(1,(AM102-'Scoring Setup'!$K$25)/(100-'Scoring Setup'!$K$25)))),1),"")</x:f>
        <x:v>0.8549228700052378</x:v>
      </x:c>
      <x:c r="BF102" s="27" t="n">
        <x:f>IF(ISNUMBER(AN102),IF('Scoring Setup'!$L$26=1,1-'Scoring Setup'!$B$5*(1-MAX(0,MIN(1,(AN102-'Scoring Setup'!$K$26)/(100-'Scoring Setup'!$K$26)))),1),"")</x:f>
        <x:v>0.977621005370185</x:v>
      </x:c>
      <x:c r="BG102" s="34" t="n">
        <x:f>IF(COUNT(W102,X102)=2,AVERAGE(W102,X102),"")</x:f>
        <x:v>17.28571428571429</x:v>
      </x:c>
      <x:c r="BH102" s="34" t="n">
        <x:f>IF(COUNT(Y102,Z102)=2,AVERAGE(Y102,Z102),"")</x:f>
        <x:v>50.10615016697769</x:v>
      </x:c>
      <x:c r="BI102" s="34" t="n">
        <x:f>IF(COUNT(AA102,AB102,AC102)=3,AVERAGE(AA102,AB102,AC102),"")</x:f>
        <x:v>81.04949241847235</x:v>
      </x:c>
      <x:c r="BJ102" s="34" t="n">
        <x:f>IF(COUNT(AD102,AE102)=2,AVERAGE(AD102,AE102),"")</x:f>
        <x:v>95.69946225000001</x:v>
      </x:c>
      <x:c r="BK102" s="34" t="n">
        <x:f>IF(COUNT(AF102,AG102)=2,AVERAGE(AF102,AG102),"")</x:f>
        <x:v>29.811798267585804</x:v>
      </x:c>
      <x:c r="BL102" s="34" t="n">
        <x:f>IF(COUNT(AH102,AI102)=2,AVERAGE(AH102,AI102),"")</x:f>
        <x:v>93.56295396774534</x:v>
      </x:c>
      <x:c r="BM102" s="34" t="n">
        <x:f>IF(COUNT(AJ102,AK102)=2,AVERAGE(AJ102,AK102),"")</x:f>
        <x:v>99.50695772629606</x:v>
      </x:c>
      <x:c r="BN102" s="34" t="n">
        <x:f>IF(COUNT(AL102,AM102,AN102)=3,AVERAGE(AL102,AM102,AN102),"")</x:f>
        <x:v>56.999736804994704</x:v>
      </x:c>
      <x:c r="BO102" s="35" t="n">
        <x:f>IF(AND(COUNT(BG102:BN102)=8,ABS('Scoring Setup'!$C$17-1)&lt;0.000001),BG102*'Scoring Setup'!$C$9+BH102*'Scoring Setup'!$C$10+BI102*'Scoring Setup'!$C$11+BJ102*'Scoring Setup'!$C$12+BK102*'Scoring Setup'!$C$13+BL102*'Scoring Setup'!$C$14+BM102*'Scoring Setup'!$C$15+BN102*'Scoring Setup'!$C$16,"")</x:f>
        <x:v>59.159293381773274</x:v>
      </x:c>
      <x:c r="BP102" s="36" t="n">
        <x:f>IF(COUNT(AO102:BF102)=18,MIN(AO102:BF102),"")</x:f>
        <x:v>0.8</x:v>
      </x:c>
      <x:c r="BQ102" s="35" t="n">
        <x:f>IF(AND(ISNUMBER(BO102),ISNUMBER(BP102)),BO102*BP102,"")</x:f>
        <x:v>47.327434705418625</x:v>
      </x:c>
      <x:c r="BR102" s="17" t="str">
        <x:f>IF(COUNT(AO102:BF102)=18,INDEX('Scoring Setup'!$F$9:$F$26,MATCH(MIN(AO102:BF102),AO102:BF102,0),1),"")</x:f>
        <x:v>洪水损失率全国百分位</x:v>
      </x:c>
    </x:row>
    <x:row r="103">
      <x:c r="A103" s="28" t="str">
        <x:v>51540</x:v>
      </x:c>
      <x:c r="B103" s="28" t="str">
        <x:v>Charlottesville city</x:v>
      </x:c>
      <x:c r="C103" s="28" t="str">
        <x:v>VA</x:v>
      </x:c>
      <x:c r="D103" s="31" t="n">
        <x:v>26.535237</x:v>
      </x:c>
      <x:c r="E103" s="32" t="n">
        <x:v>0.226</x:v>
      </x:c>
      <x:c r="F103" s="32" t="n">
        <x:v>0.169863861386139</x:v>
      </x:c>
      <x:c r="G103" s="32" t="n">
        <x:v>2.347786261981338</x:v>
      </x:c>
      <x:c r="H103" s="32" t="n">
        <x:v>2.645844728</x:v>
      </x:c>
      <x:c r="I103" s="32" t="n">
        <x:v>0.2468575300694562</x:v>
      </x:c>
      <x:c r="J103" s="32" t="n">
        <x:v>0.01098011118508701</x:v>
      </x:c>
      <x:c r="K103" s="32" t="n">
        <x:v>0.004844994070811452</x:v>
      </x:c>
      <x:c r="L103" s="32" t="n">
        <x:v>0.684759748</x:v>
      </x:c>
      <x:c r="M103" s="32" t="n">
        <x:v>0.669147387</x:v>
      </x:c>
      <x:c r="N103" s="32" t="n">
        <x:v>24583</x:v>
      </x:c>
      <x:c r="O103" s="32" t="n">
        <x:v>0.5727</x:v>
      </x:c>
      <x:c r="P103" s="32" t="n">
        <x:v>1302.3140869140625</x:v>
      </x:c>
      <x:c r="Q103" s="32" t="n">
        <x:v>26.29709663391113</x:v>
      </x:c>
      <x:c r="R103" s="32" t="n">
        <x:v>3.02469644759001</x:v>
      </x:c>
      <x:c r="S103" s="32" t="n">
        <x:v>0.08300308859523581</x:v>
      </x:c>
      <x:c r="T103" s="32" t="n">
        <x:v>89.9</x:v>
      </x:c>
      <x:c r="U103" s="32" t="n">
        <x:v>245.07712999476223</x:v>
      </x:c>
      <x:c r="V103" s="32" t="n">
        <x:v>244.75798925963002</x:v>
      </x:c>
      <x:c r="W103" s="33" t="n">
        <x:f>IF(ISNUMBER(E103),100*MAX(0,MIN(1,('Anchors'!$H$6-E103)/('Anchors'!$H$6-'Anchors'!$G$6))),"")</x:f>
        <x:v>96.28571428571429</x:v>
      </x:c>
      <x:c r="X103" s="33" t="n">
        <x:f>IF(ISNUMBER(F103),100*MAX(0,MIN(1,('Anchors'!$H$7-F103)/('Anchors'!$H$7-'Anchors'!$G$7))),"")</x:f>
        <x:v>90.01944837340872</x:v>
      </x:c>
      <x:c r="Y103" s="33" t="n">
        <x:f>IF(ISNUMBER(G103),100*MAX(0,MIN(1,('Anchors'!$H$8-G103)/('Anchors'!$H$8-'Anchors'!$G$8))),"")</x:f>
        <x:v>55.073791267288726</x:v>
      </x:c>
      <x:c r="Z103" s="33" t="n">
        <x:f>IF(ISNUMBER(H103),100*MAX(0,MIN(1,('Anchors'!$H$9-H103)/('Anchors'!$H$9-'Anchors'!$G$9))),"")</x:f>
        <x:v>45.13850906666666</x:v>
      </x:c>
      <x:c r="AA103" s="33" t="n">
        <x:f>IF(ISNUMBER(I103),100*MAX(0,MIN(1,(I103-'Anchors'!$H$10)/('Anchors'!$G$10-'Anchors'!$H$10))),"")</x:f>
        <x:v>0</x:v>
      </x:c>
      <x:c r="AB103" s="33" t="n">
        <x:f>IF(ISNUMBER(J103),100*MAX(0,MIN(1,('Anchors'!$H$11-J103)/('Anchors'!$H$11-'Anchors'!$G$11))),"")</x:f>
        <x:v>95.6079555259652</x:v>
      </x:c>
      <x:c r="AC103" s="33" t="n">
        <x:f>IF(ISNUMBER(K103),100*MAX(0,MIN(1,('Anchors'!$H$12-K103)/('Anchors'!$H$12-'Anchors'!$G$12))),"")</x:f>
        <x:v>98.78875148229713</x:v>
      </x:c>
      <x:c r="AD103" s="33" t="n">
        <x:f>IF(ISNUMBER(L103),100*MAX(0,MIN(1,(L103-'Anchors'!$H$13)/('Anchors'!$G$13-'Anchors'!$H$13))),"")</x:f>
        <x:v>69.25139257142857</x:v>
      </x:c>
      <x:c r="AE103" s="33" t="n">
        <x:f>IF(ISNUMBER(M103),100*MAX(0,MIN(1,(M103-'Anchors'!$H$14)/('Anchors'!$G$14-'Anchors'!$H$14))),"")</x:f>
        <x:v>71.143423375</x:v>
      </x:c>
      <x:c r="AF103" s="33" t="n">
        <x:f>IF(ISNUMBER(N103),100*MAX(0,MIN(1,(LN(1+N103)-LN(1+'Anchors'!$H$15))/(LN(1+'Anchors'!$G$15)-LN(1+'Anchors'!$H$15)))),"")</x:f>
        <x:v>58.10636390236276</x:v>
      </x:c>
      <x:c r="AG103" s="33" t="n">
        <x:f>IF(ISNUMBER(O103),100*MAX(0,MIN(1,('Anchors'!$H$16-O103)/('Anchors'!$H$16-'Anchors'!$G$16))),"")</x:f>
        <x:v>41.922222222222224</x:v>
      </x:c>
      <x:c r="AH103" s="33" t="n">
        <x:f>IF(ISNUMBER(P103),100*MAX(0,MIN(1,('Anchors'!$H$17-P103)/('Anchors'!$H$17-'Anchors'!$G$17))),"")</x:f>
        <x:v>59.8457275390625</x:v>
      </x:c>
      <x:c r="AI103" s="33" t="n">
        <x:f>IF(ISNUMBER(Q103),100*MAX(0,MIN(1,('Anchors'!$H$18-Q103)/('Anchors'!$H$18-'Anchors'!$G$18))),"")</x:f>
        <x:v>69.57557623726981</x:v>
      </x:c>
      <x:c r="AJ103" s="33" t="n">
        <x:f>IF(ISNUMBER(R103),100*MAX(0,MIN(1,('Anchors'!$H$19-R103)/('Anchors'!$H$19-'Anchors'!$G$19))),"")</x:f>
        <x:v>100</x:v>
      </x:c>
      <x:c r="AK103" s="33" t="n">
        <x:f>IF(ISNUMBER(S103),100*MAX(0,MIN(1,('Anchors'!$H$20-S103)/('Anchors'!$H$20-'Anchors'!$G$20))),"")</x:f>
        <x:v>100</x:v>
      </x:c>
      <x:c r="AL103" s="33" t="n">
        <x:f>IF(ISNUMBER(T103),100*MAX(0,MIN(1,('Anchors'!$H$21-T103)/('Anchors'!$H$21-'Anchors'!$G$21))),"")</x:f>
        <x:v>54.72727272727271</x:v>
      </x:c>
      <x:c r="AM103" s="33" t="n">
        <x:f>IF(ISNUMBER(U103),100*MAX(0,MIN(1,('Anchors'!$H$22-U103)/('Anchors'!$H$22-'Anchors'!$G$22))),"")</x:f>
        <x:v>27.461435002618884</x:v>
      </x:c>
      <x:c r="AN103" s="33" t="n">
        <x:f>IF(ISNUMBER(V103),100*MAX(0,MIN(1,('Anchors'!$H$23-V103)/('Anchors'!$H$23-'Anchors'!$G$23))),"")</x:f>
        <x:v>88.8105026850925</x:v>
      </x:c>
      <x:c r="AO103" s="27" t="n">
        <x:f>IF(ISNUMBER(W103),IF('Scoring Setup'!$L$9=1,1-'Scoring Setup'!$B$5*(1-MAX(0,MIN(1,(W103-'Scoring Setup'!$K$9)/(100-'Scoring Setup'!$K$9)))),1),"")</x:f>
        <x:v>0.9925714285714285</x:v>
      </x:c>
      <x:c r="AP103" s="27" t="n">
        <x:f>IF(ISNUMBER(X103),IF('Scoring Setup'!$L$10=1,1-'Scoring Setup'!$B$5*(1-MAX(0,MIN(1,(X103-'Scoring Setup'!$K$10)/(100-'Scoring Setup'!$K$10)))),1),"")</x:f>
        <x:v>0.9800388967468174</x:v>
      </x:c>
      <x:c r="AQ103" s="27" t="n">
        <x:f>IF(ISNUMBER(Y103),IF('Scoring Setup'!$L$11=1,1-'Scoring Setup'!$B$5*(1-MAX(0,MIN(1,(Y103-'Scoring Setup'!$K$11)/(100-'Scoring Setup'!$K$11)))),1),"")</x:f>
        <x:v>0.9101475825345775</x:v>
      </x:c>
      <x:c r="AR103" s="27" t="n">
        <x:f>IF(ISNUMBER(Z103),IF('Scoring Setup'!$L$12=1,1-'Scoring Setup'!$B$5*(1-MAX(0,MIN(1,(Z103-'Scoring Setup'!$K$12)/(100-'Scoring Setup'!$K$12)))),1),"")</x:f>
        <x:v>0.8902770181333333</x:v>
      </x:c>
      <x:c r="AS103" s="27" t="n">
        <x:f>IF(ISNUMBER(AA103),IF('Scoring Setup'!$L$13=1,1-'Scoring Setup'!$B$5*(1-MAX(0,MIN(1,(AA103-'Scoring Setup'!$K$13)/(100-'Scoring Setup'!$K$13)))),1),"")</x:f>
        <x:v>0.8</x:v>
      </x:c>
      <x:c r="AT103" s="27" t="n">
        <x:f>IF(ISNUMBER(AB103),IF('Scoring Setup'!$L$14=1,1-'Scoring Setup'!$B$5*(1-MAX(0,MIN(1,(AB103-'Scoring Setup'!$K$14)/(100-'Scoring Setup'!$K$14)))),1),"")</x:f>
        <x:v>0.9912159110519304</x:v>
      </x:c>
      <x:c r="AU103" s="27" t="n">
        <x:f>IF(ISNUMBER(AC103),IF('Scoring Setup'!$L$15=1,1-'Scoring Setup'!$B$5*(1-MAX(0,MIN(1,(AC103-'Scoring Setup'!$K$15)/(100-'Scoring Setup'!$K$15)))),1),"")</x:f>
        <x:v>0.9975775029645942</x:v>
      </x:c>
      <x:c r="AV103" s="27" t="n">
        <x:f>IF(ISNUMBER(AD103),IF('Scoring Setup'!$L$16=1,1-'Scoring Setup'!$B$5*(1-MAX(0,MIN(1,(AD103-'Scoring Setup'!$K$16)/(100-'Scoring Setup'!$K$16)))),1),"")</x:f>
        <x:v>0.9385027851428571</x:v>
      </x:c>
      <x:c r="AW103" s="27" t="n">
        <x:f>IF(ISNUMBER(AE103),IF('Scoring Setup'!$L$17=1,1-'Scoring Setup'!$B$5*(1-MAX(0,MIN(1,(AE103-'Scoring Setup'!$K$17)/(100-'Scoring Setup'!$K$17)))),1),"")</x:f>
        <x:v>0.94228684675</x:v>
      </x:c>
      <x:c r="AX103" s="27" t="n">
        <x:f>IF(ISNUMBER(AF103),IF('Scoring Setup'!$L$18=1,1-'Scoring Setup'!$B$5*(1-MAX(0,MIN(1,(AF103-'Scoring Setup'!$K$18)/(100-'Scoring Setup'!$K$18)))),1),"")</x:f>
        <x:v>0.9162127278047255</x:v>
      </x:c>
      <x:c r="AY103" s="27" t="n">
        <x:f>IF(ISNUMBER(AG103),IF('Scoring Setup'!$L$19=1,1-'Scoring Setup'!$B$5*(1-MAX(0,MIN(1,(AG103-'Scoring Setup'!$K$19)/(100-'Scoring Setup'!$K$19)))),1),"")</x:f>
        <x:v>0.8838444444444444</x:v>
      </x:c>
      <x:c r="AZ103" s="27" t="n">
        <x:f>IF(ISNUMBER(AH103),IF('Scoring Setup'!$L$20=1,1-'Scoring Setup'!$B$5*(1-MAX(0,MIN(1,(AH103-'Scoring Setup'!$K$20)/(100-'Scoring Setup'!$K$20)))),1),"")</x:f>
        <x:v>0.919691455078125</x:v>
      </x:c>
      <x:c r="BA103" s="27" t="n">
        <x:f>IF(ISNUMBER(AI103),IF('Scoring Setup'!$L$21=1,1-'Scoring Setup'!$B$5*(1-MAX(0,MIN(1,(AI103-'Scoring Setup'!$K$21)/(100-'Scoring Setup'!$K$21)))),1),"")</x:f>
        <x:v>0.9391511524745396</x:v>
      </x:c>
      <x:c r="BB103" s="27" t="n">
        <x:f>IF(ISNUMBER(AJ103),IF('Scoring Setup'!$L$22=1,1-'Scoring Setup'!$B$5*(1-MAX(0,MIN(1,(AJ103-'Scoring Setup'!$K$22)/(100-'Scoring Setup'!$K$22)))),1),"")</x:f>
        <x:v>1</x:v>
      </x:c>
      <x:c r="BC103" s="27" t="n">
        <x:f>IF(ISNUMBER(AK103),IF('Scoring Setup'!$L$23=1,1-'Scoring Setup'!$B$5*(1-MAX(0,MIN(1,(AK103-'Scoring Setup'!$K$23)/(100-'Scoring Setup'!$K$23)))),1),"")</x:f>
        <x:v>1</x:v>
      </x:c>
      <x:c r="BD103" s="27" t="n">
        <x:f>IF(ISNUMBER(AL103),IF('Scoring Setup'!$L$24=1,1-'Scoring Setup'!$B$5*(1-MAX(0,MIN(1,(AL103-'Scoring Setup'!$K$24)/(100-'Scoring Setup'!$K$24)))),1),"")</x:f>
        <x:v>0.9094545454545454</x:v>
      </x:c>
      <x:c r="BE103" s="27" t="n">
        <x:f>IF(ISNUMBER(AM103),IF('Scoring Setup'!$L$25=1,1-'Scoring Setup'!$B$5*(1-MAX(0,MIN(1,(AM103-'Scoring Setup'!$K$25)/(100-'Scoring Setup'!$K$25)))),1),"")</x:f>
        <x:v>0.8549228700052378</x:v>
      </x:c>
      <x:c r="BF103" s="27" t="n">
        <x:f>IF(ISNUMBER(AN103),IF('Scoring Setup'!$L$26=1,1-'Scoring Setup'!$B$5*(1-MAX(0,MIN(1,(AN103-'Scoring Setup'!$K$26)/(100-'Scoring Setup'!$K$26)))),1),"")</x:f>
        <x:v>0.977621005370185</x:v>
      </x:c>
      <x:c r="BG103" s="34" t="n">
        <x:f>IF(COUNT(W103,X103)=2,AVERAGE(W103,X103),"")</x:f>
        <x:v>93.15258132956151</x:v>
      </x:c>
      <x:c r="BH103" s="34" t="n">
        <x:f>IF(COUNT(Y103,Z103)=2,AVERAGE(Y103,Z103),"")</x:f>
        <x:v>50.10615016697769</x:v>
      </x:c>
      <x:c r="BI103" s="34" t="n">
        <x:f>IF(COUNT(AA103,AB103,AC103)=3,AVERAGE(AA103,AB103,AC103),"")</x:f>
        <x:v>64.79890233608744</x:v>
      </x:c>
      <x:c r="BJ103" s="34" t="n">
        <x:f>IF(COUNT(AD103,AE103)=2,AVERAGE(AD103,AE103),"")</x:f>
        <x:v>70.19740797321428</x:v>
      </x:c>
      <x:c r="BK103" s="34" t="n">
        <x:f>IF(COUNT(AF103,AG103)=2,AVERAGE(AF103,AG103),"")</x:f>
        <x:v>50.014293062292495</x:v>
      </x:c>
      <x:c r="BL103" s="34" t="n">
        <x:f>IF(COUNT(AH103,AI103)=2,AVERAGE(AH103,AI103),"")</x:f>
        <x:v>64.71065188816615</x:v>
      </x:c>
      <x:c r="BM103" s="34" t="n">
        <x:f>IF(COUNT(AJ103,AK103)=2,AVERAGE(AJ103,AK103),"")</x:f>
        <x:v>100</x:v>
      </x:c>
      <x:c r="BN103" s="34" t="n">
        <x:f>IF(COUNT(AL103,AM103,AN103)=3,AVERAGE(AL103,AM103,AN103),"")</x:f>
        <x:v>56.999736804994704</x:v>
      </x:c>
      <x:c r="BO103" s="35" t="n">
        <x:f>IF(AND(COUNT(BG103:BN103)=8,ABS('Scoring Setup'!$C$17-1)&lt;0.000001),BG103*'Scoring Setup'!$C$9+BH103*'Scoring Setup'!$C$10+BI103*'Scoring Setup'!$C$11+BJ103*'Scoring Setup'!$C$12+BK103*'Scoring Setup'!$C$13+BL103*'Scoring Setup'!$C$14+BM103*'Scoring Setup'!$C$15+BN103*'Scoring Setup'!$C$16,"")</x:f>
        <x:v>63.173002139417825</x:v>
      </x:c>
      <x:c r="BP103" s="36" t="n">
        <x:f>IF(COUNT(AO103:BF103)=18,MIN(AO103:BF103),"")</x:f>
        <x:v>0.8</x:v>
      </x:c>
      <x:c r="BQ103" s="35" t="n">
        <x:f>IF(AND(ISNUMBER(BO103),ISNUMBER(BP103)),BO103*BP103,"")</x:f>
        <x:v>50.53840171153426</x:v>
      </x:c>
      <x:c r="BR103" s="17" t="str">
        <x:f>IF(COUNT(AO103:BF103)=18,INDEX('Scoring Setup'!$F$9:$F$26,MATCH(MIN(AO103:BF103),AO103:BF103,0),1),"")</x:f>
        <x:v>低不透水土地比例</x:v>
      </x:c>
    </x:row>
    <x:row r="104">
      <x:c r="A104" s="28" t="str">
        <x:v>51550</x:v>
      </x:c>
      <x:c r="B104" s="28" t="str">
        <x:v>Chesapeake city</x:v>
      </x:c>
      <x:c r="C104" s="28" t="str">
        <x:v>VA</x:v>
      </x:c>
      <x:c r="D104" s="31" t="n">
        <x:v>876.598055</x:v>
      </x:c>
      <x:c r="E104" s="32" t="n">
        <x:v>0.508</x:v>
      </x:c>
      <x:c r="F104" s="32" t="n">
        <x:v>0.257735148514851</x:v>
      </x:c>
      <x:c r="G104" s="32" t="n">
        <x:v>2.0417220226104598</x:v>
      </x:c>
      <x:c r="H104" s="32" t="n">
        <x:v>2.4889174125780373</x:v>
      </x:c>
      <x:c r="I104" s="32" t="n">
        <x:v>0.7503967365924491</x:v>
      </x:c>
      <x:c r="J104" s="32" t="n">
        <x:v>0.29060780155319277</x:v>
      </x:c>
      <x:c r="K104" s="32" t="n">
        <x:v>0.483318669662756</x:v>
      </x:c>
      <x:c r="L104" s="32" t="n">
        <x:v>0.673717595</x:v>
      </x:c>
      <x:c r="M104" s="32" t="n">
        <x:v>0.008476352</x:v>
      </x:c>
      <x:c r="N104" s="32" t="n">
        <x:v>125831</x:v>
      </x:c>
      <x:c r="O104" s="32" t="n">
        <x:v>0.4149</x:v>
      </x:c>
      <x:c r="P104" s="32" t="n">
        <x:v>1466.6316935221355</x:v>
      </x:c>
      <x:c r="Q104" s="32" t="n">
        <x:v>22.337963485717772</x:v>
      </x:c>
      <x:c r="R104" s="32" t="n">
        <x:v>8.726630226868197</x:v>
      </x:c>
      <x:c r="S104" s="32" t="n">
        <x:v>7.21964506003419</x:v>
      </x:c>
      <x:c r="T104" s="32" t="n">
        <x:v>89.9</x:v>
      </x:c>
      <x:c r="U104" s="32" t="n">
        <x:v>245.07712999476223</x:v>
      </x:c>
      <x:c r="V104" s="32" t="n">
        <x:v>244.75798925963002</x:v>
      </x:c>
      <x:c r="W104" s="33" t="n">
        <x:f>IF(ISNUMBER(E104),100*MAX(0,MIN(1,('Anchors'!$H$6-E104)/('Anchors'!$H$6-'Anchors'!$G$6))),"")</x:f>
        <x:v>56.00000000000001</x:v>
      </x:c>
      <x:c r="X104" s="33" t="n">
        <x:f>IF(ISNUMBER(F104),100*MAX(0,MIN(1,('Anchors'!$H$7-F104)/('Anchors'!$H$7-'Anchors'!$G$7))),"")</x:f>
        <x:v>77.46640735502129</x:v>
      </x:c>
      <x:c r="Y104" s="33" t="n">
        <x:f>IF(ISNUMBER(G104),100*MAX(0,MIN(1,('Anchors'!$H$8-G104)/('Anchors'!$H$8-'Anchors'!$G$8))),"")</x:f>
        <x:v>65.27593257965134</x:v>
      </x:c>
      <x:c r="Z104" s="33" t="n">
        <x:f>IF(ISNUMBER(H104),100*MAX(0,MIN(1,('Anchors'!$H$9-H104)/('Anchors'!$H$9-'Anchors'!$G$9))),"")</x:f>
        <x:v>50.369419580732085</x:v>
      </x:c>
      <x:c r="AA104" s="33" t="n">
        <x:f>IF(ISNUMBER(I104),100*MAX(0,MIN(1,(I104-'Anchors'!$H$10)/('Anchors'!$G$10-'Anchors'!$H$10))),"")</x:f>
        <x:v>68.54749816334919</x:v>
      </x:c>
      <x:c r="AB104" s="33" t="n">
        <x:f>IF(ISNUMBER(J104),100*MAX(0,MIN(1,('Anchors'!$H$11-J104)/('Anchors'!$H$11-'Anchors'!$G$11))),"")</x:f>
        <x:v>0</x:v>
      </x:c>
      <x:c r="AC104" s="33" t="n">
        <x:f>IF(ISNUMBER(K104),100*MAX(0,MIN(1,('Anchors'!$H$12-K104)/('Anchors'!$H$12-'Anchors'!$G$12))),"")</x:f>
        <x:v>0</x:v>
      </x:c>
      <x:c r="AD104" s="33" t="n">
        <x:f>IF(ISNUMBER(L104),100*MAX(0,MIN(1,(L104-'Anchors'!$H$13)/('Anchors'!$G$13-'Anchors'!$H$13))),"")</x:f>
        <x:v>67.67394214285713</x:v>
      </x:c>
      <x:c r="AE104" s="33" t="n">
        <x:f>IF(ISNUMBER(M104),100*MAX(0,MIN(1,(M104-'Anchors'!$H$14)/('Anchors'!$G$14-'Anchors'!$H$14))),"")</x:f>
        <x:v>0</x:v>
      </x:c>
      <x:c r="AF104" s="33" t="n">
        <x:f>IF(ISNUMBER(N104),100*MAX(0,MIN(1,(LN(1+N104)-LN(1+'Anchors'!$H$15))/(LN(1+'Anchors'!$G$15)-LN(1+'Anchors'!$H$15)))),"")</x:f>
        <x:v>95.93017178238486</x:v>
      </x:c>
      <x:c r="AG104" s="33" t="n">
        <x:f>IF(ISNUMBER(O104),100*MAX(0,MIN(1,('Anchors'!$H$16-O104)/('Anchors'!$H$16-'Anchors'!$G$16))),"")</x:f>
        <x:v>59.45555555555555</x:v>
      </x:c>
      <x:c r="AH104" s="33" t="n">
        <x:f>IF(ISNUMBER(P104),100*MAX(0,MIN(1,('Anchors'!$H$17-P104)/('Anchors'!$H$17-'Anchors'!$G$17))),"")</x:f>
        <x:v>48.89122043185763</x:v>
      </x:c>
      <x:c r="AI104" s="33" t="n">
        <x:f>IF(ISNUMBER(Q104),100*MAX(0,MIN(1,('Anchors'!$H$18-Q104)/('Anchors'!$H$18-'Anchors'!$G$18))),"")</x:f>
        <x:v>75.23148073468889</x:v>
      </x:c>
      <x:c r="AJ104" s="33" t="n">
        <x:f>IF(ISNUMBER(R104),100*MAX(0,MIN(1,('Anchors'!$H$19-R104)/('Anchors'!$H$19-'Anchors'!$G$19))),"")</x:f>
        <x:v>91.71859949584845</x:v>
      </x:c>
      <x:c r="AK104" s="33" t="n">
        <x:f>IF(ISNUMBER(S104),100*MAX(0,MIN(1,('Anchors'!$H$20-S104)/('Anchors'!$H$20-'Anchors'!$G$20))),"")</x:f>
        <x:v>67.26502599982005</x:v>
      </x:c>
      <x:c r="AL104" s="33" t="n">
        <x:f>IF(ISNUMBER(T104),100*MAX(0,MIN(1,('Anchors'!$H$21-T104)/('Anchors'!$H$21-'Anchors'!$G$21))),"")</x:f>
        <x:v>54.72727272727271</x:v>
      </x:c>
      <x:c r="AM104" s="33" t="n">
        <x:f>IF(ISNUMBER(U104),100*MAX(0,MIN(1,('Anchors'!$H$22-U104)/('Anchors'!$H$22-'Anchors'!$G$22))),"")</x:f>
        <x:v>27.461435002618884</x:v>
      </x:c>
      <x:c r="AN104" s="33" t="n">
        <x:f>IF(ISNUMBER(V104),100*MAX(0,MIN(1,('Anchors'!$H$23-V104)/('Anchors'!$H$23-'Anchors'!$G$23))),"")</x:f>
        <x:v>88.8105026850925</x:v>
      </x:c>
      <x:c r="AO104" s="27" t="n">
        <x:f>IF(ISNUMBER(W104),IF('Scoring Setup'!$L$9=1,1-'Scoring Setup'!$B$5*(1-MAX(0,MIN(1,(W104-'Scoring Setup'!$K$9)/(100-'Scoring Setup'!$K$9)))),1),"")</x:f>
        <x:v>0.912</x:v>
      </x:c>
      <x:c r="AP104" s="27" t="n">
        <x:f>IF(ISNUMBER(X104),IF('Scoring Setup'!$L$10=1,1-'Scoring Setup'!$B$5*(1-MAX(0,MIN(1,(X104-'Scoring Setup'!$K$10)/(100-'Scoring Setup'!$K$10)))),1),"")</x:f>
        <x:v>0.9549328147100425</x:v>
      </x:c>
      <x:c r="AQ104" s="27" t="n">
        <x:f>IF(ISNUMBER(Y104),IF('Scoring Setup'!$L$11=1,1-'Scoring Setup'!$B$5*(1-MAX(0,MIN(1,(Y104-'Scoring Setup'!$K$11)/(100-'Scoring Setup'!$K$11)))),1),"")</x:f>
        <x:v>0.9305518651593027</x:v>
      </x:c>
      <x:c r="AR104" s="27" t="n">
        <x:f>IF(ISNUMBER(Z104),IF('Scoring Setup'!$L$12=1,1-'Scoring Setup'!$B$5*(1-MAX(0,MIN(1,(Z104-'Scoring Setup'!$K$12)/(100-'Scoring Setup'!$K$12)))),1),"")</x:f>
        <x:v>0.9007388391614641</x:v>
      </x:c>
      <x:c r="AS104" s="27" t="n">
        <x:f>IF(ISNUMBER(AA104),IF('Scoring Setup'!$L$13=1,1-'Scoring Setup'!$B$5*(1-MAX(0,MIN(1,(AA104-'Scoring Setup'!$K$13)/(100-'Scoring Setup'!$K$13)))),1),"")</x:f>
        <x:v>0.9370949963266983</x:v>
      </x:c>
      <x:c r="AT104" s="27" t="n">
        <x:f>IF(ISNUMBER(AB104),IF('Scoring Setup'!$L$14=1,1-'Scoring Setup'!$B$5*(1-MAX(0,MIN(1,(AB104-'Scoring Setup'!$K$14)/(100-'Scoring Setup'!$K$14)))),1),"")</x:f>
        <x:v>0.8</x:v>
      </x:c>
      <x:c r="AU104" s="27" t="n">
        <x:f>IF(ISNUMBER(AC104),IF('Scoring Setup'!$L$15=1,1-'Scoring Setup'!$B$5*(1-MAX(0,MIN(1,(AC104-'Scoring Setup'!$K$15)/(100-'Scoring Setup'!$K$15)))),1),"")</x:f>
        <x:v>0.8</x:v>
      </x:c>
      <x:c r="AV104" s="27" t="n">
        <x:f>IF(ISNUMBER(AD104),IF('Scoring Setup'!$L$16=1,1-'Scoring Setup'!$B$5*(1-MAX(0,MIN(1,(AD104-'Scoring Setup'!$K$16)/(100-'Scoring Setup'!$K$16)))),1),"")</x:f>
        <x:v>0.9353478842857142</x:v>
      </x:c>
      <x:c r="AW104" s="27" t="n">
        <x:f>IF(ISNUMBER(AE104),IF('Scoring Setup'!$L$17=1,1-'Scoring Setup'!$B$5*(1-MAX(0,MIN(1,(AE104-'Scoring Setup'!$K$17)/(100-'Scoring Setup'!$K$17)))),1),"")</x:f>
        <x:v>0.8</x:v>
      </x:c>
      <x:c r="AX104" s="27" t="n">
        <x:f>IF(ISNUMBER(AF104),IF('Scoring Setup'!$L$18=1,1-'Scoring Setup'!$B$5*(1-MAX(0,MIN(1,(AF104-'Scoring Setup'!$K$18)/(100-'Scoring Setup'!$K$18)))),1),"")</x:f>
        <x:v>0.9918603435647697</x:v>
      </x:c>
      <x:c r="AY104" s="27" t="n">
        <x:f>IF(ISNUMBER(AG104),IF('Scoring Setup'!$L$19=1,1-'Scoring Setup'!$B$5*(1-MAX(0,MIN(1,(AG104-'Scoring Setup'!$K$19)/(100-'Scoring Setup'!$K$19)))),1),"")</x:f>
        <x:v>0.9189111111111111</x:v>
      </x:c>
      <x:c r="AZ104" s="27" t="n">
        <x:f>IF(ISNUMBER(AH104),IF('Scoring Setup'!$L$20=1,1-'Scoring Setup'!$B$5*(1-MAX(0,MIN(1,(AH104-'Scoring Setup'!$K$20)/(100-'Scoring Setup'!$K$20)))),1),"")</x:f>
        <x:v>0.8977824408637153</x:v>
      </x:c>
      <x:c r="BA104" s="27" t="n">
        <x:f>IF(ISNUMBER(AI104),IF('Scoring Setup'!$L$21=1,1-'Scoring Setup'!$B$5*(1-MAX(0,MIN(1,(AI104-'Scoring Setup'!$K$21)/(100-'Scoring Setup'!$K$21)))),1),"")</x:f>
        <x:v>0.9504629614693778</x:v>
      </x:c>
      <x:c r="BB104" s="27" t="n">
        <x:f>IF(ISNUMBER(AJ104),IF('Scoring Setup'!$L$22=1,1-'Scoring Setup'!$B$5*(1-MAX(0,MIN(1,(AJ104-'Scoring Setup'!$K$22)/(100-'Scoring Setup'!$K$22)))),1),"")</x:f>
        <x:v>0.9834371989916969</x:v>
      </x:c>
      <x:c r="BC104" s="27" t="n">
        <x:f>IF(ISNUMBER(AK104),IF('Scoring Setup'!$L$23=1,1-'Scoring Setup'!$B$5*(1-MAX(0,MIN(1,(AK104-'Scoring Setup'!$K$23)/(100-'Scoring Setup'!$K$23)))),1),"")</x:f>
        <x:v>0.9345300519996401</x:v>
      </x:c>
      <x:c r="BD104" s="27" t="n">
        <x:f>IF(ISNUMBER(AL104),IF('Scoring Setup'!$L$24=1,1-'Scoring Setup'!$B$5*(1-MAX(0,MIN(1,(AL104-'Scoring Setup'!$K$24)/(100-'Scoring Setup'!$K$24)))),1),"")</x:f>
        <x:v>0.9094545454545454</x:v>
      </x:c>
      <x:c r="BE104" s="27" t="n">
        <x:f>IF(ISNUMBER(AM104),IF('Scoring Setup'!$L$25=1,1-'Scoring Setup'!$B$5*(1-MAX(0,MIN(1,(AM104-'Scoring Setup'!$K$25)/(100-'Scoring Setup'!$K$25)))),1),"")</x:f>
        <x:v>0.8549228700052378</x:v>
      </x:c>
      <x:c r="BF104" s="27" t="n">
        <x:f>IF(ISNUMBER(AN104),IF('Scoring Setup'!$L$26=1,1-'Scoring Setup'!$B$5*(1-MAX(0,MIN(1,(AN104-'Scoring Setup'!$K$26)/(100-'Scoring Setup'!$K$26)))),1),"")</x:f>
        <x:v>0.977621005370185</x:v>
      </x:c>
      <x:c r="BG104" s="34" t="n">
        <x:f>IF(COUNT(W104,X104)=2,AVERAGE(W104,X104),"")</x:f>
        <x:v>66.73320367751064</x:v>
      </x:c>
      <x:c r="BH104" s="34" t="n">
        <x:f>IF(COUNT(Y104,Z104)=2,AVERAGE(Y104,Z104),"")</x:f>
        <x:v>57.82267608019171</x:v>
      </x:c>
      <x:c r="BI104" s="34" t="n">
        <x:f>IF(COUNT(AA104,AB104,AC104)=3,AVERAGE(AA104,AB104,AC104),"")</x:f>
        <x:v>22.84916605444973</x:v>
      </x:c>
      <x:c r="BJ104" s="34" t="n">
        <x:f>IF(COUNT(AD104,AE104)=2,AVERAGE(AD104,AE104),"")</x:f>
        <x:v>33.836971071428565</x:v>
      </x:c>
      <x:c r="BK104" s="34" t="n">
        <x:f>IF(COUNT(AF104,AG104)=2,AVERAGE(AF104,AG104),"")</x:f>
        <x:v>77.6928636689702</x:v>
      </x:c>
      <x:c r="BL104" s="34" t="n">
        <x:f>IF(COUNT(AH104,AI104)=2,AVERAGE(AH104,AI104),"")</x:f>
        <x:v>62.06135058327326</x:v>
      </x:c>
      <x:c r="BM104" s="34" t="n">
        <x:f>IF(COUNT(AJ104,AK104)=2,AVERAGE(AJ104,AK104),"")</x:f>
        <x:v>79.49181274783425</x:v>
      </x:c>
      <x:c r="BN104" s="34" t="n">
        <x:f>IF(COUNT(AL104,AM104,AN104)=3,AVERAGE(AL104,AM104,AN104),"")</x:f>
        <x:v>56.999736804994704</x:v>
      </x:c>
      <x:c r="BO104" s="35" t="n">
        <x:f>IF(AND(COUNT(BG104:BN104)=8,ABS('Scoring Setup'!$C$17-1)&lt;0.000001),BG104*'Scoring Setup'!$C$9+BH104*'Scoring Setup'!$C$10+BI104*'Scoring Setup'!$C$11+BJ104*'Scoring Setup'!$C$12+BK104*'Scoring Setup'!$C$13+BL104*'Scoring Setup'!$C$14+BM104*'Scoring Setup'!$C$15+BN104*'Scoring Setup'!$C$16,"")</x:f>
        <x:v>55.85333487132805</x:v>
      </x:c>
      <x:c r="BP104" s="36" t="n">
        <x:f>IF(COUNT(AO104:BF104)=18,MIN(AO104:BF104),"")</x:f>
        <x:v>0.8</x:v>
      </x:c>
      <x:c r="BQ104" s="35" t="n">
        <x:f>IF(AND(ISNUMBER(BO104),ISNUMBER(BP104)),BO104*BP104,"")</x:f>
        <x:v>44.682667897062444</x:v>
      </x:c>
      <x:c r="BR104" s="17" t="str">
        <x:f>IF(COUNT(AO104:BF104)=18,INDEX('Scoring Setup'!$F$9:$F$26,MATCH(MIN(AO104:BF104),AO104:BF104,0),1),"")</x:f>
        <x:v>GAP1/2保护地比例</x:v>
      </x:c>
    </x:row>
    <x:row r="105">
      <x:c r="A105" s="28" t="str">
        <x:v>51570</x:v>
      </x:c>
      <x:c r="B105" s="28" t="str">
        <x:v>Colonial Heights city</x:v>
      </x:c>
      <x:c r="C105" s="28" t="str">
        <x:v>VA</x:v>
      </x:c>
      <x:c r="D105" s="31" t="n">
        <x:v>19.47536</x:v>
      </x:c>
      <x:c r="E105" s="32" t="n">
        <x:v>0.253</x:v>
      </x:c>
      <x:c r="F105" s="32" t="n">
        <x:v>0.563428217821782</x:v>
      </x:c>
      <x:c r="G105" s="32" t="n">
        <x:v>3.1367336770545875</x:v>
      </x:c>
      <x:c r="H105" s="32" t="n">
        <x:v>3.432467087</x:v>
      </x:c>
      <x:c r="I105" s="32" t="n">
        <x:v>0.24517578035476922</x:v>
      </x:c>
      <x:c r="J105" s="32" t="n">
        <x:v>0</x:v>
      </x:c>
      <x:c r="K105" s="32" t="n">
        <x:v>0.15194573039372966</x:v>
      </x:c>
      <x:c r="L105" s="32" t="n">
        <x:v>0.006714414</x:v>
      </x:c>
      <x:c r="M105" s="32" t="n">
        <x:v>0.000447628</x:v>
      </x:c>
      <x:c r="N105" s="32" t="n">
        <x:v>9357</x:v>
      </x:c>
      <x:c r="O105" s="32" t="n">
        <x:v>0.5651</x:v>
      </x:c>
      <x:c r="P105" s="32" t="n">
        <x:v>1487.2690185546876</x:v>
      </x:c>
      <x:c r="Q105" s="32" t="n">
        <x:v>38.645266723632815</x:v>
      </x:c>
      <x:c r="R105" s="32" t="n">
        <x:v>0.1599778196563176</x:v>
      </x:c>
      <x:c r="S105" s="32" t="n">
        <x:v>1.3449505415244056</x:v>
      </x:c>
      <x:c r="T105" s="32" t="n">
        <x:v>89.9</x:v>
      </x:c>
      <x:c r="U105" s="32" t="n">
        <x:v>245.07712999476223</x:v>
      </x:c>
      <x:c r="V105" s="32" t="n">
        <x:v>244.75798925963002</x:v>
      </x:c>
      <x:c r="W105" s="33" t="n">
        <x:f>IF(ISNUMBER(E105),100*MAX(0,MIN(1,('Anchors'!$H$6-E105)/('Anchors'!$H$6-'Anchors'!$G$6))),"")</x:f>
        <x:v>92.42857142857144</x:v>
      </x:c>
      <x:c r="X105" s="33" t="n">
        <x:f>IF(ISNUMBER(F105),100*MAX(0,MIN(1,('Anchors'!$H$7-F105)/('Anchors'!$H$7-'Anchors'!$G$7))),"")</x:f>
        <x:v>33.79596888260258</x:v>
      </x:c>
      <x:c r="Y105" s="33" t="n">
        <x:f>IF(ISNUMBER(G105),100*MAX(0,MIN(1,('Anchors'!$H$8-G105)/('Anchors'!$H$8-'Anchors'!$G$8))),"")</x:f>
        <x:v>28.77554409818042</x:v>
      </x:c>
      <x:c r="Z105" s="33" t="n">
        <x:f>IF(ISNUMBER(H105),100*MAX(0,MIN(1,('Anchors'!$H$9-H105)/('Anchors'!$H$9-'Anchors'!$G$9))),"")</x:f>
        <x:v>18.917763766666663</x:v>
      </x:c>
      <x:c r="AA105" s="33" t="n">
        <x:f>IF(ISNUMBER(I105),100*MAX(0,MIN(1,(I105-'Anchors'!$H$10)/('Anchors'!$G$10-'Anchors'!$H$10))),"")</x:f>
        <x:v>0</x:v>
      </x:c>
      <x:c r="AB105" s="33" t="n">
        <x:f>IF(ISNUMBER(J105),100*MAX(0,MIN(1,('Anchors'!$H$11-J105)/('Anchors'!$H$11-'Anchors'!$G$11))),"")</x:f>
        <x:v>100</x:v>
      </x:c>
      <x:c r="AC105" s="33" t="n">
        <x:f>IF(ISNUMBER(K105),100*MAX(0,MIN(1,('Anchors'!$H$12-K105)/('Anchors'!$H$12-'Anchors'!$G$12))),"")</x:f>
        <x:v>62.013567401567585</x:v>
      </x:c>
      <x:c r="AD105" s="33" t="n">
        <x:f>IF(ISNUMBER(L105),100*MAX(0,MIN(1,(L105-'Anchors'!$H$13)/('Anchors'!$G$13-'Anchors'!$H$13))),"")</x:f>
        <x:v>0</x:v>
      </x:c>
      <x:c r="AE105" s="33" t="n">
        <x:f>IF(ISNUMBER(M105),100*MAX(0,MIN(1,(M105-'Anchors'!$H$14)/('Anchors'!$G$14-'Anchors'!$H$14))),"")</x:f>
        <x:v>0</x:v>
      </x:c>
      <x:c r="AF105" s="33" t="n">
        <x:f>IF(ISNUMBER(N105),100*MAX(0,MIN(1,(LN(1+N105)-LN(1+'Anchors'!$H$15))/(LN(1+'Anchors'!$G$15)-LN(1+'Anchors'!$H$15)))),"")</x:f>
        <x:v>35.73283199862202</x:v>
      </x:c>
      <x:c r="AG105" s="33" t="n">
        <x:f>IF(ISNUMBER(O105),100*MAX(0,MIN(1,('Anchors'!$H$16-O105)/('Anchors'!$H$16-'Anchors'!$G$16))),"")</x:f>
        <x:v>42.76666666666666</x:v>
      </x:c>
      <x:c r="AH105" s="33" t="n">
        <x:f>IF(ISNUMBER(P105),100*MAX(0,MIN(1,('Anchors'!$H$17-P105)/('Anchors'!$H$17-'Anchors'!$G$17))),"")</x:f>
        <x:v>47.515398763020826</x:v>
      </x:c>
      <x:c r="AI105" s="33" t="n">
        <x:f>IF(ISNUMBER(Q105),100*MAX(0,MIN(1,('Anchors'!$H$18-Q105)/('Anchors'!$H$18-'Anchors'!$G$18))),"")</x:f>
        <x:v>51.93533325195312</x:v>
      </x:c>
      <x:c r="AJ105" s="33" t="n">
        <x:f>IF(ISNUMBER(R105),100*MAX(0,MIN(1,('Anchors'!$H$19-R105)/('Anchors'!$H$19-'Anchors'!$G$19))),"")</x:f>
        <x:v>100</x:v>
      </x:c>
      <x:c r="AK105" s="33" t="n">
        <x:f>IF(ISNUMBER(S105),100*MAX(0,MIN(1,('Anchors'!$H$20-S105)/('Anchors'!$H$20-'Anchors'!$G$20))),"")</x:f>
        <x:v>98.18447083408208</x:v>
      </x:c>
      <x:c r="AL105" s="33" t="n">
        <x:f>IF(ISNUMBER(T105),100*MAX(0,MIN(1,('Anchors'!$H$21-T105)/('Anchors'!$H$21-'Anchors'!$G$21))),"")</x:f>
        <x:v>54.72727272727271</x:v>
      </x:c>
      <x:c r="AM105" s="33" t="n">
        <x:f>IF(ISNUMBER(U105),100*MAX(0,MIN(1,('Anchors'!$H$22-U105)/('Anchors'!$H$22-'Anchors'!$G$22))),"")</x:f>
        <x:v>27.461435002618884</x:v>
      </x:c>
      <x:c r="AN105" s="33" t="n">
        <x:f>IF(ISNUMBER(V105),100*MAX(0,MIN(1,('Anchors'!$H$23-V105)/('Anchors'!$H$23-'Anchors'!$G$23))),"")</x:f>
        <x:v>88.8105026850925</x:v>
      </x:c>
      <x:c r="AO105" s="27" t="n">
        <x:f>IF(ISNUMBER(W105),IF('Scoring Setup'!$L$9=1,1-'Scoring Setup'!$B$5*(1-MAX(0,MIN(1,(W105-'Scoring Setup'!$K$9)/(100-'Scoring Setup'!$K$9)))),1),"")</x:f>
        <x:v>0.9848571428571429</x:v>
      </x:c>
      <x:c r="AP105" s="27" t="n">
        <x:f>IF(ISNUMBER(X105),IF('Scoring Setup'!$L$10=1,1-'Scoring Setup'!$B$5*(1-MAX(0,MIN(1,(X105-'Scoring Setup'!$K$10)/(100-'Scoring Setup'!$K$10)))),1),"")</x:f>
        <x:v>0.8675919377652052</x:v>
      </x:c>
      <x:c r="AQ105" s="27" t="n">
        <x:f>IF(ISNUMBER(Y105),IF('Scoring Setup'!$L$11=1,1-'Scoring Setup'!$B$5*(1-MAX(0,MIN(1,(Y105-'Scoring Setup'!$K$11)/(100-'Scoring Setup'!$K$11)))),1),"")</x:f>
        <x:v>0.8575510881963608</x:v>
      </x:c>
      <x:c r="AR105" s="27" t="n">
        <x:f>IF(ISNUMBER(Z105),IF('Scoring Setup'!$L$12=1,1-'Scoring Setup'!$B$5*(1-MAX(0,MIN(1,(Z105-'Scoring Setup'!$K$12)/(100-'Scoring Setup'!$K$12)))),1),"")</x:f>
        <x:v>0.8378355275333333</x:v>
      </x:c>
      <x:c r="AS105" s="27" t="n">
        <x:f>IF(ISNUMBER(AA105),IF('Scoring Setup'!$L$13=1,1-'Scoring Setup'!$B$5*(1-MAX(0,MIN(1,(AA105-'Scoring Setup'!$K$13)/(100-'Scoring Setup'!$K$13)))),1),"")</x:f>
        <x:v>0.8</x:v>
      </x:c>
      <x:c r="AT105" s="27" t="n">
        <x:f>IF(ISNUMBER(AB105),IF('Scoring Setup'!$L$14=1,1-'Scoring Setup'!$B$5*(1-MAX(0,MIN(1,(AB105-'Scoring Setup'!$K$14)/(100-'Scoring Setup'!$K$14)))),1),"")</x:f>
        <x:v>1</x:v>
      </x:c>
      <x:c r="AU105" s="27" t="n">
        <x:f>IF(ISNUMBER(AC105),IF('Scoring Setup'!$L$15=1,1-'Scoring Setup'!$B$5*(1-MAX(0,MIN(1,(AC105-'Scoring Setup'!$K$15)/(100-'Scoring Setup'!$K$15)))),1),"")</x:f>
        <x:v>0.9240271348031351</x:v>
      </x:c>
      <x:c r="AV105" s="27" t="n">
        <x:f>IF(ISNUMBER(AD105),IF('Scoring Setup'!$L$16=1,1-'Scoring Setup'!$B$5*(1-MAX(0,MIN(1,(AD105-'Scoring Setup'!$K$16)/(100-'Scoring Setup'!$K$16)))),1),"")</x:f>
        <x:v>0.8</x:v>
      </x:c>
      <x:c r="AW105" s="27" t="n">
        <x:f>IF(ISNUMBER(AE105),IF('Scoring Setup'!$L$17=1,1-'Scoring Setup'!$B$5*(1-MAX(0,MIN(1,(AE105-'Scoring Setup'!$K$17)/(100-'Scoring Setup'!$K$17)))),1),"")</x:f>
        <x:v>0.8</x:v>
      </x:c>
      <x:c r="AX105" s="27" t="n">
        <x:f>IF(ISNUMBER(AF105),IF('Scoring Setup'!$L$18=1,1-'Scoring Setup'!$B$5*(1-MAX(0,MIN(1,(AF105-'Scoring Setup'!$K$18)/(100-'Scoring Setup'!$K$18)))),1),"")</x:f>
        <x:v>0.871465663997244</x:v>
      </x:c>
      <x:c r="AY105" s="27" t="n">
        <x:f>IF(ISNUMBER(AG105),IF('Scoring Setup'!$L$19=1,1-'Scoring Setup'!$B$5*(1-MAX(0,MIN(1,(AG105-'Scoring Setup'!$K$19)/(100-'Scoring Setup'!$K$19)))),1),"")</x:f>
        <x:v>0.8855333333333333</x:v>
      </x:c>
      <x:c r="AZ105" s="27" t="n">
        <x:f>IF(ISNUMBER(AH105),IF('Scoring Setup'!$L$20=1,1-'Scoring Setup'!$B$5*(1-MAX(0,MIN(1,(AH105-'Scoring Setup'!$K$20)/(100-'Scoring Setup'!$K$20)))),1),"")</x:f>
        <x:v>0.8950307975260416</x:v>
      </x:c>
      <x:c r="BA105" s="27" t="n">
        <x:f>IF(ISNUMBER(AI105),IF('Scoring Setup'!$L$21=1,1-'Scoring Setup'!$B$5*(1-MAX(0,MIN(1,(AI105-'Scoring Setup'!$K$21)/(100-'Scoring Setup'!$K$21)))),1),"")</x:f>
        <x:v>0.9038706665039062</x:v>
      </x:c>
      <x:c r="BB105" s="27" t="n">
        <x:f>IF(ISNUMBER(AJ105),IF('Scoring Setup'!$L$22=1,1-'Scoring Setup'!$B$5*(1-MAX(0,MIN(1,(AJ105-'Scoring Setup'!$K$22)/(100-'Scoring Setup'!$K$22)))),1),"")</x:f>
        <x:v>1</x:v>
      </x:c>
      <x:c r="BC105" s="27" t="n">
        <x:f>IF(ISNUMBER(AK105),IF('Scoring Setup'!$L$23=1,1-'Scoring Setup'!$B$5*(1-MAX(0,MIN(1,(AK105-'Scoring Setup'!$K$23)/(100-'Scoring Setup'!$K$23)))),1),"")</x:f>
        <x:v>0.9963689416681641</x:v>
      </x:c>
      <x:c r="BD105" s="27" t="n">
        <x:f>IF(ISNUMBER(AL105),IF('Scoring Setup'!$L$24=1,1-'Scoring Setup'!$B$5*(1-MAX(0,MIN(1,(AL105-'Scoring Setup'!$K$24)/(100-'Scoring Setup'!$K$24)))),1),"")</x:f>
        <x:v>0.9094545454545454</x:v>
      </x:c>
      <x:c r="BE105" s="27" t="n">
        <x:f>IF(ISNUMBER(AM105),IF('Scoring Setup'!$L$25=1,1-'Scoring Setup'!$B$5*(1-MAX(0,MIN(1,(AM105-'Scoring Setup'!$K$25)/(100-'Scoring Setup'!$K$25)))),1),"")</x:f>
        <x:v>0.8549228700052378</x:v>
      </x:c>
      <x:c r="BF105" s="27" t="n">
        <x:f>IF(ISNUMBER(AN105),IF('Scoring Setup'!$L$26=1,1-'Scoring Setup'!$B$5*(1-MAX(0,MIN(1,(AN105-'Scoring Setup'!$K$26)/(100-'Scoring Setup'!$K$26)))),1),"")</x:f>
        <x:v>0.977621005370185</x:v>
      </x:c>
      <x:c r="BG105" s="34" t="n">
        <x:f>IF(COUNT(W105,X105)=2,AVERAGE(W105,X105),"")</x:f>
        <x:v>63.11227015558701</x:v>
      </x:c>
      <x:c r="BH105" s="34" t="n">
        <x:f>IF(COUNT(Y105,Z105)=2,AVERAGE(Y105,Z105),"")</x:f>
        <x:v>23.846653932423543</x:v>
      </x:c>
      <x:c r="BI105" s="34" t="n">
        <x:f>IF(COUNT(AA105,AB105,AC105)=3,AVERAGE(AA105,AB105,AC105),"")</x:f>
        <x:v>54.00452246718919</x:v>
      </x:c>
      <x:c r="BJ105" s="34" t="n">
        <x:f>IF(COUNT(AD105,AE105)=2,AVERAGE(AD105,AE105),"")</x:f>
        <x:v>0</x:v>
      </x:c>
      <x:c r="BK105" s="34" t="n">
        <x:f>IF(COUNT(AF105,AG105)=2,AVERAGE(AF105,AG105),"")</x:f>
        <x:v>39.24974933264434</x:v>
      </x:c>
      <x:c r="BL105" s="34" t="n">
        <x:f>IF(COUNT(AH105,AI105)=2,AVERAGE(AH105,AI105),"")</x:f>
        <x:v>49.72536600748697</x:v>
      </x:c>
      <x:c r="BM105" s="34" t="n">
        <x:f>IF(COUNT(AJ105,AK105)=2,AVERAGE(AJ105,AK105),"")</x:f>
        <x:v>99.09223541704104</x:v>
      </x:c>
      <x:c r="BN105" s="34" t="n">
        <x:f>IF(COUNT(AL105,AM105,AN105)=3,AVERAGE(AL105,AM105,AN105),"")</x:f>
        <x:v>56.999736804994704</x:v>
      </x:c>
      <x:c r="BO105" s="35" t="n">
        <x:f>IF(AND(COUNT(BG105:BN105)=8,ABS('Scoring Setup'!$C$17-1)&lt;0.000001),BG105*'Scoring Setup'!$C$9+BH105*'Scoring Setup'!$C$10+BI105*'Scoring Setup'!$C$11+BJ105*'Scoring Setup'!$C$12+BK105*'Scoring Setup'!$C$13+BL105*'Scoring Setup'!$C$14+BM105*'Scoring Setup'!$C$15+BN105*'Scoring Setup'!$C$16,"")</x:f>
        <x:v>44.94678609475157</x:v>
      </x:c>
      <x:c r="BP105" s="36" t="n">
        <x:f>IF(COUNT(AO105:BF105)=18,MIN(AO105:BF105),"")</x:f>
        <x:v>0.8</x:v>
      </x:c>
      <x:c r="BQ105" s="35" t="n">
        <x:f>IF(AND(ISNUMBER(BO105),ISNUMBER(BP105)),BO105*BP105,"")</x:f>
        <x:v>35.95742887580126</x:v>
      </x:c>
      <x:c r="BR105" s="17" t="str">
        <x:f>IF(COUNT(AO105:BF105)=18,INDEX('Scoring Setup'!$F$9:$F$26,MATCH(MIN(AO105:BF105),AO105:BF105,0),1),"")</x:f>
        <x:v>低不透水土地比例</x:v>
      </x:c>
    </x:row>
    <x:row r="106">
      <x:c r="A106" s="28" t="str">
        <x:v>51580</x:v>
      </x:c>
      <x:c r="B106" s="28" t="str">
        <x:v>Covington city</x:v>
      </x:c>
      <x:c r="C106" s="28" t="str">
        <x:v>VA</x:v>
      </x:c>
      <x:c r="D106" s="31" t="n">
        <x:v>14.16384</x:v>
      </x:c>
      <x:c r="E106" s="32" t="n">
        <x:v>0.582</x:v>
      </x:c>
      <x:c r="F106" s="32" t="n">
        <x:v>0.9619430693069311</x:v>
      </x:c>
      <x:c r="G106" s="32" t="n">
        <x:v>2.347786261981338</x:v>
      </x:c>
      <x:c r="H106" s="32" t="n">
        <x:v>2.645844728</x:v>
      </x:c>
      <x:c r="I106" s="32" t="n">
        <x:v>0.5038328387734916</x:v>
      </x:c>
      <x:c r="J106" s="32" t="n">
        <x:v>0</x:v>
      </x:c>
      <x:c r="K106" s="32" t="n">
        <x:v>0.00012363996043521266</x:v>
      </x:c>
      <x:c r="L106" s="32" t="n">
        <x:v>0.129692833</x:v>
      </x:c>
      <x:c r="M106" s="32" t="n">
        <x:v>0.129692833</x:v>
      </x:c>
      <x:c r="N106" s="32" t="n">
        <x:v>2142</x:v>
      </x:c>
      <x:c r="O106" s="32" t="n">
        <x:v>0.3128</x:v>
      </x:c>
      <x:c r="P106" s="32" t="n">
        <x:v>698.4631184895833</x:v>
      </x:c>
      <x:c r="Q106" s="32" t="n">
        <x:v>12.308213392893473</x:v>
      </x:c>
      <x:c r="R106" s="32" t="n">
        <x:v>0.8889451565262735</x:v>
      </x:c>
      <x:c r="S106" s="32" t="n">
        <x:v>0.24421245893356675</x:v>
      </x:c>
      <x:c r="T106" s="32" t="n">
        <x:v>89.9</x:v>
      </x:c>
      <x:c r="U106" s="32" t="n">
        <x:v>245.07712999476223</x:v>
      </x:c>
      <x:c r="V106" s="32" t="n">
        <x:v>244.75798925963002</x:v>
      </x:c>
      <x:c r="W106" s="33" t="n">
        <x:f>IF(ISNUMBER(E106),100*MAX(0,MIN(1,('Anchors'!$H$6-E106)/('Anchors'!$H$6-'Anchors'!$G$6))),"")</x:f>
        <x:v>45.42857142857144</x:v>
      </x:c>
      <x:c r="X106" s="33" t="n">
        <x:f>IF(ISNUMBER(F106),100*MAX(0,MIN(1,('Anchors'!$H$7-F106)/('Anchors'!$H$7-'Anchors'!$G$7))),"")</x:f>
        <x:v>0</x:v>
      </x:c>
      <x:c r="Y106" s="33" t="n">
        <x:f>IF(ISNUMBER(G106),100*MAX(0,MIN(1,('Anchors'!$H$8-G106)/('Anchors'!$H$8-'Anchors'!$G$8))),"")</x:f>
        <x:v>55.073791267288726</x:v>
      </x:c>
      <x:c r="Z106" s="33" t="n">
        <x:f>IF(ISNUMBER(H106),100*MAX(0,MIN(1,('Anchors'!$H$9-H106)/('Anchors'!$H$9-'Anchors'!$G$9))),"")</x:f>
        <x:v>45.13850906666666</x:v>
      </x:c>
      <x:c r="AA106" s="33" t="n">
        <x:f>IF(ISNUMBER(I106),100*MAX(0,MIN(1,(I106-'Anchors'!$H$10)/('Anchors'!$G$10-'Anchors'!$H$10))),"")</x:f>
        <x:v>34.771621749793375</x:v>
      </x:c>
      <x:c r="AB106" s="33" t="n">
        <x:f>IF(ISNUMBER(J106),100*MAX(0,MIN(1,('Anchors'!$H$11-J106)/('Anchors'!$H$11-'Anchors'!$G$11))),"")</x:f>
        <x:v>100</x:v>
      </x:c>
      <x:c r="AC106" s="33" t="n">
        <x:f>IF(ISNUMBER(K106),100*MAX(0,MIN(1,('Anchors'!$H$12-K106)/('Anchors'!$H$12-'Anchors'!$G$12))),"")</x:f>
        <x:v>99.96909000989119</x:v>
      </x:c>
      <x:c r="AD106" s="33" t="n">
        <x:f>IF(ISNUMBER(L106),100*MAX(0,MIN(1,(L106-'Anchors'!$H$13)/('Anchors'!$G$13-'Anchors'!$H$13))),"")</x:f>
        <x:v>0</x:v>
      </x:c>
      <x:c r="AE106" s="33" t="n">
        <x:f>IF(ISNUMBER(M106),100*MAX(0,MIN(1,(M106-'Anchors'!$H$14)/('Anchors'!$G$14-'Anchors'!$H$14))),"")</x:f>
        <x:v>3.711604125</x:v>
      </x:c>
      <x:c r="AF106" s="33" t="n">
        <x:f>IF(ISNUMBER(N106),100*MAX(0,MIN(1,(LN(1+N106)-LN(1+'Anchors'!$H$15))/(LN(1+'Anchors'!$G$15)-LN(1+'Anchors'!$H$15)))),"")</x:f>
        <x:v>1.5881339310414269</x:v>
      </x:c>
      <x:c r="AG106" s="33" t="n">
        <x:f>IF(ISNUMBER(O106),100*MAX(0,MIN(1,('Anchors'!$H$16-O106)/('Anchors'!$H$16-'Anchors'!$G$16))),"")</x:f>
        <x:v>70.80000000000001</x:v>
      </x:c>
      <x:c r="AH106" s="33" t="n">
        <x:f>IF(ISNUMBER(P106),100*MAX(0,MIN(1,('Anchors'!$H$17-P106)/('Anchors'!$H$17-'Anchors'!$G$17))),"")</x:f>
        <x:v>100</x:v>
      </x:c>
      <x:c r="AI106" s="33" t="n">
        <x:f>IF(ISNUMBER(Q106),100*MAX(0,MIN(1,('Anchors'!$H$18-Q106)/('Anchors'!$H$18-'Anchors'!$G$18))),"")</x:f>
        <x:v>89.55969515300933</x:v>
      </x:c>
      <x:c r="AJ106" s="33" t="n">
        <x:f>IF(ISNUMBER(R106),100*MAX(0,MIN(1,('Anchors'!$H$19-R106)/('Anchors'!$H$19-'Anchors'!$G$19))),"")</x:f>
        <x:v>100</x:v>
      </x:c>
      <x:c r="AK106" s="33" t="n">
        <x:f>IF(ISNUMBER(S106),100*MAX(0,MIN(1,('Anchors'!$H$20-S106)/('Anchors'!$H$20-'Anchors'!$G$20))),"")</x:f>
        <x:v>100</x:v>
      </x:c>
      <x:c r="AL106" s="33" t="n">
        <x:f>IF(ISNUMBER(T106),100*MAX(0,MIN(1,('Anchors'!$H$21-T106)/('Anchors'!$H$21-'Anchors'!$G$21))),"")</x:f>
        <x:v>54.72727272727271</x:v>
      </x:c>
      <x:c r="AM106" s="33" t="n">
        <x:f>IF(ISNUMBER(U106),100*MAX(0,MIN(1,('Anchors'!$H$22-U106)/('Anchors'!$H$22-'Anchors'!$G$22))),"")</x:f>
        <x:v>27.461435002618884</x:v>
      </x:c>
      <x:c r="AN106" s="33" t="n">
        <x:f>IF(ISNUMBER(V106),100*MAX(0,MIN(1,('Anchors'!$H$23-V106)/('Anchors'!$H$23-'Anchors'!$G$23))),"")</x:f>
        <x:v>88.8105026850925</x:v>
      </x:c>
      <x:c r="AO106" s="27" t="n">
        <x:f>IF(ISNUMBER(W106),IF('Scoring Setup'!$L$9=1,1-'Scoring Setup'!$B$5*(1-MAX(0,MIN(1,(W106-'Scoring Setup'!$K$9)/(100-'Scoring Setup'!$K$9)))),1),"")</x:f>
        <x:v>0.8908571428571429</x:v>
      </x:c>
      <x:c r="AP106" s="27" t="n">
        <x:f>IF(ISNUMBER(X106),IF('Scoring Setup'!$L$10=1,1-'Scoring Setup'!$B$5*(1-MAX(0,MIN(1,(X106-'Scoring Setup'!$K$10)/(100-'Scoring Setup'!$K$10)))),1),"")</x:f>
        <x:v>0.8</x:v>
      </x:c>
      <x:c r="AQ106" s="27" t="n">
        <x:f>IF(ISNUMBER(Y106),IF('Scoring Setup'!$L$11=1,1-'Scoring Setup'!$B$5*(1-MAX(0,MIN(1,(Y106-'Scoring Setup'!$K$11)/(100-'Scoring Setup'!$K$11)))),1),"")</x:f>
        <x:v>0.9101475825345775</x:v>
      </x:c>
      <x:c r="AR106" s="27" t="n">
        <x:f>IF(ISNUMBER(Z106),IF('Scoring Setup'!$L$12=1,1-'Scoring Setup'!$B$5*(1-MAX(0,MIN(1,(Z106-'Scoring Setup'!$K$12)/(100-'Scoring Setup'!$K$12)))),1),"")</x:f>
        <x:v>0.8902770181333333</x:v>
      </x:c>
      <x:c r="AS106" s="27" t="n">
        <x:f>IF(ISNUMBER(AA106),IF('Scoring Setup'!$L$13=1,1-'Scoring Setup'!$B$5*(1-MAX(0,MIN(1,(AA106-'Scoring Setup'!$K$13)/(100-'Scoring Setup'!$K$13)))),1),"")</x:f>
        <x:v>0.8695432434995868</x:v>
      </x:c>
      <x:c r="AT106" s="27" t="n">
        <x:f>IF(ISNUMBER(AB106),IF('Scoring Setup'!$L$14=1,1-'Scoring Setup'!$B$5*(1-MAX(0,MIN(1,(AB106-'Scoring Setup'!$K$14)/(100-'Scoring Setup'!$K$14)))),1),"")</x:f>
        <x:v>1</x:v>
      </x:c>
      <x:c r="AU106" s="27" t="n">
        <x:f>IF(ISNUMBER(AC106),IF('Scoring Setup'!$L$15=1,1-'Scoring Setup'!$B$5*(1-MAX(0,MIN(1,(AC106-'Scoring Setup'!$K$15)/(100-'Scoring Setup'!$K$15)))),1),"")</x:f>
        <x:v>0.9999381800197824</x:v>
      </x:c>
      <x:c r="AV106" s="27" t="n">
        <x:f>IF(ISNUMBER(AD106),IF('Scoring Setup'!$L$16=1,1-'Scoring Setup'!$B$5*(1-MAX(0,MIN(1,(AD106-'Scoring Setup'!$K$16)/(100-'Scoring Setup'!$K$16)))),1),"")</x:f>
        <x:v>0.8</x:v>
      </x:c>
      <x:c r="AW106" s="27" t="n">
        <x:f>IF(ISNUMBER(AE106),IF('Scoring Setup'!$L$17=1,1-'Scoring Setup'!$B$5*(1-MAX(0,MIN(1,(AE106-'Scoring Setup'!$K$17)/(100-'Scoring Setup'!$K$17)))),1),"")</x:f>
        <x:v>0.80742320825</x:v>
      </x:c>
      <x:c r="AX106" s="27" t="n">
        <x:f>IF(ISNUMBER(AF106),IF('Scoring Setup'!$L$18=1,1-'Scoring Setup'!$B$5*(1-MAX(0,MIN(1,(AF106-'Scoring Setup'!$K$18)/(100-'Scoring Setup'!$K$18)))),1),"")</x:f>
        <x:v>0.8031762678620828</x:v>
      </x:c>
      <x:c r="AY106" s="27" t="n">
        <x:f>IF(ISNUMBER(AG106),IF('Scoring Setup'!$L$19=1,1-'Scoring Setup'!$B$5*(1-MAX(0,MIN(1,(AG106-'Scoring Setup'!$K$19)/(100-'Scoring Setup'!$K$19)))),1),"")</x:f>
        <x:v>0.9416</x:v>
      </x:c>
      <x:c r="AZ106" s="27" t="n">
        <x:f>IF(ISNUMBER(AH106),IF('Scoring Setup'!$L$20=1,1-'Scoring Setup'!$B$5*(1-MAX(0,MIN(1,(AH106-'Scoring Setup'!$K$20)/(100-'Scoring Setup'!$K$20)))),1),"")</x:f>
        <x:v>1</x:v>
      </x:c>
      <x:c r="BA106" s="27" t="n">
        <x:f>IF(ISNUMBER(AI106),IF('Scoring Setup'!$L$21=1,1-'Scoring Setup'!$B$5*(1-MAX(0,MIN(1,(AI106-'Scoring Setup'!$K$21)/(100-'Scoring Setup'!$K$21)))),1),"")</x:f>
        <x:v>0.9791193903060187</x:v>
      </x:c>
      <x:c r="BB106" s="27" t="n">
        <x:f>IF(ISNUMBER(AJ106),IF('Scoring Setup'!$L$22=1,1-'Scoring Setup'!$B$5*(1-MAX(0,MIN(1,(AJ106-'Scoring Setup'!$K$22)/(100-'Scoring Setup'!$K$22)))),1),"")</x:f>
        <x:v>1</x:v>
      </x:c>
      <x:c r="BC106" s="27" t="n">
        <x:f>IF(ISNUMBER(AK106),IF('Scoring Setup'!$L$23=1,1-'Scoring Setup'!$B$5*(1-MAX(0,MIN(1,(AK106-'Scoring Setup'!$K$23)/(100-'Scoring Setup'!$K$23)))),1),"")</x:f>
        <x:v>1</x:v>
      </x:c>
      <x:c r="BD106" s="27" t="n">
        <x:f>IF(ISNUMBER(AL106),IF('Scoring Setup'!$L$24=1,1-'Scoring Setup'!$B$5*(1-MAX(0,MIN(1,(AL106-'Scoring Setup'!$K$24)/(100-'Scoring Setup'!$K$24)))),1),"")</x:f>
        <x:v>0.9094545454545454</x:v>
      </x:c>
      <x:c r="BE106" s="27" t="n">
        <x:f>IF(ISNUMBER(AM106),IF('Scoring Setup'!$L$25=1,1-'Scoring Setup'!$B$5*(1-MAX(0,MIN(1,(AM106-'Scoring Setup'!$K$25)/(100-'Scoring Setup'!$K$25)))),1),"")</x:f>
        <x:v>0.8549228700052378</x:v>
      </x:c>
      <x:c r="BF106" s="27" t="n">
        <x:f>IF(ISNUMBER(AN106),IF('Scoring Setup'!$L$26=1,1-'Scoring Setup'!$B$5*(1-MAX(0,MIN(1,(AN106-'Scoring Setup'!$K$26)/(100-'Scoring Setup'!$K$26)))),1),"")</x:f>
        <x:v>0.977621005370185</x:v>
      </x:c>
      <x:c r="BG106" s="34" t="n">
        <x:f>IF(COUNT(W106,X106)=2,AVERAGE(W106,X106),"")</x:f>
        <x:v>22.71428571428572</x:v>
      </x:c>
      <x:c r="BH106" s="34" t="n">
        <x:f>IF(COUNT(Y106,Z106)=2,AVERAGE(Y106,Z106),"")</x:f>
        <x:v>50.10615016697769</x:v>
      </x:c>
      <x:c r="BI106" s="34" t="n">
        <x:f>IF(COUNT(AA106,AB106,AC106)=3,AVERAGE(AA106,AB106,AC106),"")</x:f>
        <x:v>78.24690391989486</x:v>
      </x:c>
      <x:c r="BJ106" s="34" t="n">
        <x:f>IF(COUNT(AD106,AE106)=2,AVERAGE(AD106,AE106),"")</x:f>
        <x:v>1.8558020625</x:v>
      </x:c>
      <x:c r="BK106" s="34" t="n">
        <x:f>IF(COUNT(AF106,AG106)=2,AVERAGE(AF106,AG106),"")</x:f>
        <x:v>36.19406696552072</x:v>
      </x:c>
      <x:c r="BL106" s="34" t="n">
        <x:f>IF(COUNT(AH106,AI106)=2,AVERAGE(AH106,AI106),"")</x:f>
        <x:v>94.77984757650466</x:v>
      </x:c>
      <x:c r="BM106" s="34" t="n">
        <x:f>IF(COUNT(AJ106,AK106)=2,AVERAGE(AJ106,AK106),"")</x:f>
        <x:v>100</x:v>
      </x:c>
      <x:c r="BN106" s="34" t="n">
        <x:f>IF(COUNT(AL106,AM106,AN106)=3,AVERAGE(AL106,AM106,AN106),"")</x:f>
        <x:v>56.999736804994704</x:v>
      </x:c>
      <x:c r="BO106" s="35" t="n">
        <x:f>IF(AND(COUNT(BG106:BN106)=8,ABS('Scoring Setup'!$C$17-1)&lt;0.000001),BG106*'Scoring Setup'!$C$9+BH106*'Scoring Setup'!$C$10+BI106*'Scoring Setup'!$C$11+BJ106*'Scoring Setup'!$C$12+BK106*'Scoring Setup'!$C$13+BL106*'Scoring Setup'!$C$14+BM106*'Scoring Setup'!$C$15+BN106*'Scoring Setup'!$C$16,"")</x:f>
        <x:v>50.76124931993932</x:v>
      </x:c>
      <x:c r="BP106" s="36" t="n">
        <x:f>IF(COUNT(AO106:BF106)=18,MIN(AO106:BF106),"")</x:f>
        <x:v>0.8</x:v>
      </x:c>
      <x:c r="BQ106" s="35" t="n">
        <x:f>IF(AND(ISNUMBER(BO106),ISNUMBER(BP106)),BO106*BP106,"")</x:f>
        <x:v>40.608999455951455</x:v>
      </x:c>
      <x:c r="BR106" s="17" t="str">
        <x:f>IF(COUNT(AO106:BF106)=18,INDEX('Scoring Setup'!$F$9:$F$26,MATCH(MIN(AO106:BF106),AO106:BF106,0),1),"")</x:f>
        <x:v>洪水损失率全国百分位</x:v>
      </x:c>
    </x:row>
    <x:row r="107">
      <x:c r="A107" s="28" t="str">
        <x:v>51590</x:v>
      </x:c>
      <x:c r="B107" s="28" t="str">
        <x:v>Danville city</x:v>
      </x:c>
      <x:c r="C107" s="28" t="str">
        <x:v>VA</x:v>
      </x:c>
      <x:c r="D107" s="31" t="n">
        <x:v>110.858218</x:v>
      </x:c>
      <x:c r="E107" s="32" t="n">
        <x:v>0.201</x:v>
      </x:c>
      <x:c r="F107" s="32" t="n">
        <x:v>0.44399752475247506</x:v>
      </x:c>
      <x:c r="G107" s="32" t="n">
        <x:v>2.769729931985377</x:v>
      </x:c>
      <x:c r="H107" s="32" t="n">
        <x:v>3.155046543</x:v>
      </x:c>
      <x:c r="I107" s="32" t="n">
        <x:v>0.4796580259945368</x:v>
      </x:c>
      <x:c r="J107" s="32" t="n">
        <x:v>0</x:v>
      </x:c>
      <x:c r="K107" s="32" t="n">
        <x:v>0.002022513557287092</x:v>
      </x:c>
      <x:c r="L107" s="32" t="n">
        <x:v>0.492923077</x:v>
      </x:c>
      <x:c r="M107" s="32" t="n">
        <x:v>0.004576923</x:v>
      </x:c>
      <x:c r="N107" s="32" t="n">
        <x:v>17867</x:v>
      </x:c>
      <x:c r="O107" s="32" t="n">
        <x:v>0.9796</x:v>
      </x:c>
      <x:c r="P107" s="32" t="n">
        <x:v>1283.6861775716145</x:v>
      </x:c>
      <x:c r="Q107" s="32" t="n">
        <x:v>34.836238924662275</x:v>
      </x:c>
      <x:c r="R107" s="32" t="n">
        <x:v>56.976049637280305</x:v>
      </x:c>
      <x:c r="S107" s="32" t="n">
        <x:v>1.16513102450174</x:v>
      </x:c>
      <x:c r="T107" s="32" t="n">
        <x:v>89.9</x:v>
      </x:c>
      <x:c r="U107" s="32" t="n">
        <x:v>245.07712999476223</x:v>
      </x:c>
      <x:c r="V107" s="32" t="n">
        <x:v>244.75798925963002</x:v>
      </x:c>
      <x:c r="W107" s="33" t="n">
        <x:f>IF(ISNUMBER(E107),100*MAX(0,MIN(1,('Anchors'!$H$6-E107)/('Anchors'!$H$6-'Anchors'!$G$6))),"")</x:f>
        <x:v>99.85714285714288</x:v>
      </x:c>
      <x:c r="X107" s="33" t="n">
        <x:f>IF(ISNUMBER(F107),100*MAX(0,MIN(1,('Anchors'!$H$7-F107)/('Anchors'!$H$7-'Anchors'!$G$7))),"")</x:f>
        <x:v>50.85749646393214</x:v>
      </x:c>
      <x:c r="Y107" s="33" t="n">
        <x:f>IF(ISNUMBER(G107),100*MAX(0,MIN(1,('Anchors'!$H$8-G107)/('Anchors'!$H$8-'Anchors'!$G$8))),"")</x:f>
        <x:v>41.009002267154095</x:v>
      </x:c>
      <x:c r="Z107" s="33" t="n">
        <x:f>IF(ISNUMBER(H107),100*MAX(0,MIN(1,('Anchors'!$H$9-H107)/('Anchors'!$H$9-'Anchors'!$G$9))),"")</x:f>
        <x:v>28.16511523333333</x:v>
      </x:c>
      <x:c r="AA107" s="33" t="n">
        <x:f>IF(ISNUMBER(I107),100*MAX(0,MIN(1,(I107-'Anchors'!$H$10)/('Anchors'!$G$10-'Anchors'!$H$10))),"")</x:f>
        <x:v>31.46000356089545</x:v>
      </x:c>
      <x:c r="AB107" s="33" t="n">
        <x:f>IF(ISNUMBER(J107),100*MAX(0,MIN(1,('Anchors'!$H$11-J107)/('Anchors'!$H$11-'Anchors'!$G$11))),"")</x:f>
        <x:v>100</x:v>
      </x:c>
      <x:c r="AC107" s="33" t="n">
        <x:f>IF(ISNUMBER(K107),100*MAX(0,MIN(1,('Anchors'!$H$12-K107)/('Anchors'!$H$12-'Anchors'!$G$12))),"")</x:f>
        <x:v>99.49437161067823</x:v>
      </x:c>
      <x:c r="AD107" s="33" t="n">
        <x:f>IF(ISNUMBER(L107),100*MAX(0,MIN(1,(L107-'Anchors'!$H$13)/('Anchors'!$G$13-'Anchors'!$H$13))),"")</x:f>
        <x:v>41.84615385714285</x:v>
      </x:c>
      <x:c r="AE107" s="33" t="n">
        <x:f>IF(ISNUMBER(M107),100*MAX(0,MIN(1,(M107-'Anchors'!$H$14)/('Anchors'!$G$14-'Anchors'!$H$14))),"")</x:f>
        <x:v>0</x:v>
      </x:c>
      <x:c r="AF107" s="33" t="n">
        <x:f>IF(ISNUMBER(N107),100*MAX(0,MIN(1,(LN(1+N107)-LN(1+'Anchors'!$H$15))/(LN(1+'Anchors'!$G$15)-LN(1+'Anchors'!$H$15)))),"")</x:f>
        <x:v>50.715008842886945</x:v>
      </x:c>
      <x:c r="AG107" s="33" t="n">
        <x:f>IF(ISNUMBER(O107),100*MAX(0,MIN(1,('Anchors'!$H$16-O107)/('Anchors'!$H$16-'Anchors'!$G$16))),"")</x:f>
        <x:v>0</x:v>
      </x:c>
      <x:c r="AH107" s="33" t="n">
        <x:f>IF(ISNUMBER(P107),100*MAX(0,MIN(1,('Anchors'!$H$17-P107)/('Anchors'!$H$17-'Anchors'!$G$17))),"")</x:f>
        <x:v>61.08758816189237</x:v>
      </x:c>
      <x:c r="AI107" s="33" t="n">
        <x:f>IF(ISNUMBER(Q107),100*MAX(0,MIN(1,('Anchors'!$H$18-Q107)/('Anchors'!$H$18-'Anchors'!$G$18))),"")</x:f>
        <x:v>57.37680153619675</x:v>
      </x:c>
      <x:c r="AJ107" s="33" t="n">
        <x:f>IF(ISNUMBER(R107),100*MAX(0,MIN(1,('Anchors'!$H$19-R107)/('Anchors'!$H$19-'Anchors'!$G$19))),"")</x:f>
        <x:v>0</x:v>
      </x:c>
      <x:c r="AK107" s="33" t="n">
        <x:f>IF(ISNUMBER(S107),100*MAX(0,MIN(1,('Anchors'!$H$20-S107)/('Anchors'!$H$20-'Anchors'!$G$20))),"")</x:f>
        <x:v>99.13088934472768</x:v>
      </x:c>
      <x:c r="AL107" s="33" t="n">
        <x:f>IF(ISNUMBER(T107),100*MAX(0,MIN(1,('Anchors'!$H$21-T107)/('Anchors'!$H$21-'Anchors'!$G$21))),"")</x:f>
        <x:v>54.72727272727271</x:v>
      </x:c>
      <x:c r="AM107" s="33" t="n">
        <x:f>IF(ISNUMBER(U107),100*MAX(0,MIN(1,('Anchors'!$H$22-U107)/('Anchors'!$H$22-'Anchors'!$G$22))),"")</x:f>
        <x:v>27.461435002618884</x:v>
      </x:c>
      <x:c r="AN107" s="33" t="n">
        <x:f>IF(ISNUMBER(V107),100*MAX(0,MIN(1,('Anchors'!$H$23-V107)/('Anchors'!$H$23-'Anchors'!$G$23))),"")</x:f>
        <x:v>88.8105026850925</x:v>
      </x:c>
      <x:c r="AO107" s="27" t="n">
        <x:f>IF(ISNUMBER(W107),IF('Scoring Setup'!$L$9=1,1-'Scoring Setup'!$B$5*(1-MAX(0,MIN(1,(W107-'Scoring Setup'!$K$9)/(100-'Scoring Setup'!$K$9)))),1),"")</x:f>
        <x:v>0.9997142857142858</x:v>
      </x:c>
      <x:c r="AP107" s="27" t="n">
        <x:f>IF(ISNUMBER(X107),IF('Scoring Setup'!$L$10=1,1-'Scoring Setup'!$B$5*(1-MAX(0,MIN(1,(X107-'Scoring Setup'!$K$10)/(100-'Scoring Setup'!$K$10)))),1),"")</x:f>
        <x:v>0.9017149929278643</x:v>
      </x:c>
      <x:c r="AQ107" s="27" t="n">
        <x:f>IF(ISNUMBER(Y107),IF('Scoring Setup'!$L$11=1,1-'Scoring Setup'!$B$5*(1-MAX(0,MIN(1,(Y107-'Scoring Setup'!$K$11)/(100-'Scoring Setup'!$K$11)))),1),"")</x:f>
        <x:v>0.8820180045343082</x:v>
      </x:c>
      <x:c r="AR107" s="27" t="n">
        <x:f>IF(ISNUMBER(Z107),IF('Scoring Setup'!$L$12=1,1-'Scoring Setup'!$B$5*(1-MAX(0,MIN(1,(Z107-'Scoring Setup'!$K$12)/(100-'Scoring Setup'!$K$12)))),1),"")</x:f>
        <x:v>0.8563302304666667</x:v>
      </x:c>
      <x:c r="AS107" s="27" t="n">
        <x:f>IF(ISNUMBER(AA107),IF('Scoring Setup'!$L$13=1,1-'Scoring Setup'!$B$5*(1-MAX(0,MIN(1,(AA107-'Scoring Setup'!$K$13)/(100-'Scoring Setup'!$K$13)))),1),"")</x:f>
        <x:v>0.8629200071217908</x:v>
      </x:c>
      <x:c r="AT107" s="27" t="n">
        <x:f>IF(ISNUMBER(AB107),IF('Scoring Setup'!$L$14=1,1-'Scoring Setup'!$B$5*(1-MAX(0,MIN(1,(AB107-'Scoring Setup'!$K$14)/(100-'Scoring Setup'!$K$14)))),1),"")</x:f>
        <x:v>1</x:v>
      </x:c>
      <x:c r="AU107" s="27" t="n">
        <x:f>IF(ISNUMBER(AC107),IF('Scoring Setup'!$L$15=1,1-'Scoring Setup'!$B$5*(1-MAX(0,MIN(1,(AC107-'Scoring Setup'!$K$15)/(100-'Scoring Setup'!$K$15)))),1),"")</x:f>
        <x:v>0.9989887432213564</x:v>
      </x:c>
      <x:c r="AV107" s="27" t="n">
        <x:f>IF(ISNUMBER(AD107),IF('Scoring Setup'!$L$16=1,1-'Scoring Setup'!$B$5*(1-MAX(0,MIN(1,(AD107-'Scoring Setup'!$K$16)/(100-'Scoring Setup'!$K$16)))),1),"")</x:f>
        <x:v>0.8836923077142858</x:v>
      </x:c>
      <x:c r="AW107" s="27" t="n">
        <x:f>IF(ISNUMBER(AE107),IF('Scoring Setup'!$L$17=1,1-'Scoring Setup'!$B$5*(1-MAX(0,MIN(1,(AE107-'Scoring Setup'!$K$17)/(100-'Scoring Setup'!$K$17)))),1),"")</x:f>
        <x:v>0.8</x:v>
      </x:c>
      <x:c r="AX107" s="27" t="n">
        <x:f>IF(ISNUMBER(AF107),IF('Scoring Setup'!$L$18=1,1-'Scoring Setup'!$B$5*(1-MAX(0,MIN(1,(AF107-'Scoring Setup'!$K$18)/(100-'Scoring Setup'!$K$18)))),1),"")</x:f>
        <x:v>0.9014300176857739</x:v>
      </x:c>
      <x:c r="AY107" s="27" t="n">
        <x:f>IF(ISNUMBER(AG107),IF('Scoring Setup'!$L$19=1,1-'Scoring Setup'!$B$5*(1-MAX(0,MIN(1,(AG107-'Scoring Setup'!$K$19)/(100-'Scoring Setup'!$K$19)))),1),"")</x:f>
        <x:v>0.8</x:v>
      </x:c>
      <x:c r="AZ107" s="27" t="n">
        <x:f>IF(ISNUMBER(AH107),IF('Scoring Setup'!$L$20=1,1-'Scoring Setup'!$B$5*(1-MAX(0,MIN(1,(AH107-'Scoring Setup'!$K$20)/(100-'Scoring Setup'!$K$20)))),1),"")</x:f>
        <x:v>0.9221751763237848</x:v>
      </x:c>
      <x:c r="BA107" s="27" t="n">
        <x:f>IF(ISNUMBER(AI107),IF('Scoring Setup'!$L$21=1,1-'Scoring Setup'!$B$5*(1-MAX(0,MIN(1,(AI107-'Scoring Setup'!$K$21)/(100-'Scoring Setup'!$K$21)))),1),"")</x:f>
        <x:v>0.9147536030723935</x:v>
      </x:c>
      <x:c r="BB107" s="27" t="n">
        <x:f>IF(ISNUMBER(AJ107),IF('Scoring Setup'!$L$22=1,1-'Scoring Setup'!$B$5*(1-MAX(0,MIN(1,(AJ107-'Scoring Setup'!$K$22)/(100-'Scoring Setup'!$K$22)))),1),"")</x:f>
        <x:v>0.8</x:v>
      </x:c>
      <x:c r="BC107" s="27" t="n">
        <x:f>IF(ISNUMBER(AK107),IF('Scoring Setup'!$L$23=1,1-'Scoring Setup'!$B$5*(1-MAX(0,MIN(1,(AK107-'Scoring Setup'!$K$23)/(100-'Scoring Setup'!$K$23)))),1),"")</x:f>
        <x:v>0.9982617786894553</x:v>
      </x:c>
      <x:c r="BD107" s="27" t="n">
        <x:f>IF(ISNUMBER(AL107),IF('Scoring Setup'!$L$24=1,1-'Scoring Setup'!$B$5*(1-MAX(0,MIN(1,(AL107-'Scoring Setup'!$K$24)/(100-'Scoring Setup'!$K$24)))),1),"")</x:f>
        <x:v>0.9094545454545454</x:v>
      </x:c>
      <x:c r="BE107" s="27" t="n">
        <x:f>IF(ISNUMBER(AM107),IF('Scoring Setup'!$L$25=1,1-'Scoring Setup'!$B$5*(1-MAX(0,MIN(1,(AM107-'Scoring Setup'!$K$25)/(100-'Scoring Setup'!$K$25)))),1),"")</x:f>
        <x:v>0.8549228700052378</x:v>
      </x:c>
      <x:c r="BF107" s="27" t="n">
        <x:f>IF(ISNUMBER(AN107),IF('Scoring Setup'!$L$26=1,1-'Scoring Setup'!$B$5*(1-MAX(0,MIN(1,(AN107-'Scoring Setup'!$K$26)/(100-'Scoring Setup'!$K$26)))),1),"")</x:f>
        <x:v>0.977621005370185</x:v>
      </x:c>
      <x:c r="BG107" s="34" t="n">
        <x:f>IF(COUNT(W107,X107)=2,AVERAGE(W107,X107),"")</x:f>
        <x:v>75.35731966053751</x:v>
      </x:c>
      <x:c r="BH107" s="34" t="n">
        <x:f>IF(COUNT(Y107,Z107)=2,AVERAGE(Y107,Z107),"")</x:f>
        <x:v>34.58705875024371</x:v>
      </x:c>
      <x:c r="BI107" s="34" t="n">
        <x:f>IF(COUNT(AA107,AB107,AC107)=3,AVERAGE(AA107,AB107,AC107),"")</x:f>
        <x:v>76.9847917238579</x:v>
      </x:c>
      <x:c r="BJ107" s="34" t="n">
        <x:f>IF(COUNT(AD107,AE107)=2,AVERAGE(AD107,AE107),"")</x:f>
        <x:v>20.923076928571426</x:v>
      </x:c>
      <x:c r="BK107" s="34" t="n">
        <x:f>IF(COUNT(AF107,AG107)=2,AVERAGE(AF107,AG107),"")</x:f>
        <x:v>25.357504421443473</x:v>
      </x:c>
      <x:c r="BL107" s="34" t="n">
        <x:f>IF(COUNT(AH107,AI107)=2,AVERAGE(AH107,AI107),"")</x:f>
        <x:v>59.23219484904456</x:v>
      </x:c>
      <x:c r="BM107" s="34" t="n">
        <x:f>IF(COUNT(AJ107,AK107)=2,AVERAGE(AJ107,AK107),"")</x:f>
        <x:v>49.56544467236384</x:v>
      </x:c>
      <x:c r="BN107" s="34" t="n">
        <x:f>IF(COUNT(AL107,AM107,AN107)=3,AVERAGE(AL107,AM107,AN107),"")</x:f>
        <x:v>56.999736804994704</x:v>
      </x:c>
      <x:c r="BO107" s="35" t="n">
        <x:f>IF(AND(COUNT(BG107:BN107)=8,ABS('Scoring Setup'!$C$17-1)&lt;0.000001),BG107*'Scoring Setup'!$C$9+BH107*'Scoring Setup'!$C$10+BI107*'Scoring Setup'!$C$11+BJ107*'Scoring Setup'!$C$12+BK107*'Scoring Setup'!$C$13+BL107*'Scoring Setup'!$C$14+BM107*'Scoring Setup'!$C$15+BN107*'Scoring Setup'!$C$16,"")</x:f>
        <x:v>49.31948404105861</x:v>
      </x:c>
      <x:c r="BP107" s="36" t="n">
        <x:f>IF(COUNT(AO107:BF107)=18,MIN(AO107:BF107),"")</x:f>
        <x:v>0.8</x:v>
      </x:c>
      <x:c r="BQ107" s="35" t="n">
        <x:f>IF(AND(ISNUMBER(BO107),ISNUMBER(BP107)),BO107*BP107,"")</x:f>
        <x:v>39.45558723284689</x:v>
      </x:c>
      <x:c r="BR107" s="17" t="str">
        <x:f>IF(COUNT(AO107:BF107)=18,INDEX('Scoring Setup'!$F$9:$F$26,MATCH(MIN(AO107:BF107),AO107:BF107,0),1),"")</x:f>
        <x:v>商业光纤1000/100覆盖率</x:v>
      </x:c>
    </x:row>
    <x:row r="108">
      <x:c r="A108" s="28" t="str">
        <x:v>51595</x:v>
      </x:c>
      <x:c r="B108" s="28" t="str">
        <x:v>Emporia city</x:v>
      </x:c>
      <x:c r="C108" s="28" t="str">
        <x:v>VA</x:v>
      </x:c>
      <x:c r="D108" s="31" t="n">
        <x:v>17.168108</x:v>
      </x:c>
      <x:c r="E108" s="32" t="n">
        <x:v>0.318</x:v>
      </x:c>
      <x:c r="F108" s="32" t="n">
        <x:v>0.576423267326733</x:v>
      </x:c>
      <x:c r="G108" s="32" t="n">
        <x:v>3.7205495379841897</x:v>
      </x:c>
      <x:c r="H108" s="32" t="n">
        <x:v>4.058068907</x:v>
      </x:c>
      <x:c r="I108" s="32" t="n">
        <x:v>0.46970411102382825</x:v>
      </x:c>
      <x:c r="J108" s="32" t="n">
        <x:v>0</x:v>
      </x:c>
      <x:c r="K108" s="32" t="n">
        <x:v>0.13134328358208955</x:v>
      </x:c>
      <x:c r="L108" s="32" t="n">
        <x:v>0.213726105</x:v>
      </x:c>
      <x:c r="M108" s="32" t="n">
        <x:v>0.213412723</x:v>
      </x:c>
      <x:c r="N108" s="32" t="n">
        <x:v>2195</x:v>
      </x:c>
      <x:c r="O108" s="32" t="n">
        <x:v>0.9233</x:v>
      </x:c>
      <x:c r="P108" s="32" t="n">
        <x:v>1354.9717447916669</x:v>
      </x:c>
      <x:c r="Q108" s="32" t="n">
        <x:v>35.86071675618489</x:v>
      </x:c>
      <x:c r="R108" s="32" t="n">
        <x:v>1.3833375675165136</x:v>
      </x:c>
      <x:c r="S108" s="32" t="n">
        <x:v>0.1197545419323539</x:v>
      </x:c>
      <x:c r="T108" s="32" t="n">
        <x:v>89.9</x:v>
      </x:c>
      <x:c r="U108" s="32" t="n">
        <x:v>245.07712999476223</x:v>
      </x:c>
      <x:c r="V108" s="32" t="n">
        <x:v>244.75798925963002</x:v>
      </x:c>
      <x:c r="W108" s="33" t="n">
        <x:f>IF(ISNUMBER(E108),100*MAX(0,MIN(1,('Anchors'!$H$6-E108)/('Anchors'!$H$6-'Anchors'!$G$6))),"")</x:f>
        <x:v>83.14285714285717</x:v>
      </x:c>
      <x:c r="X108" s="33" t="n">
        <x:f>IF(ISNUMBER(F108),100*MAX(0,MIN(1,('Anchors'!$H$7-F108)/('Anchors'!$H$7-'Anchors'!$G$7))),"")</x:f>
        <x:v>31.93953323903815</x:v>
      </x:c>
      <x:c r="Y108" s="33" t="n">
        <x:f>IF(ISNUMBER(G108),100*MAX(0,MIN(1,('Anchors'!$H$8-G108)/('Anchors'!$H$8-'Anchors'!$G$8))),"")</x:f>
        <x:v>9.31501540052701</x:v>
      </x:c>
      <x:c r="Z108" s="33" t="n">
        <x:f>IF(ISNUMBER(H108),100*MAX(0,MIN(1,('Anchors'!$H$9-H108)/('Anchors'!$H$9-'Anchors'!$G$9))),"")</x:f>
        <x:v>0</x:v>
      </x:c>
      <x:c r="AA108" s="33" t="n">
        <x:f>IF(ISNUMBER(I108),100*MAX(0,MIN(1,(I108-'Anchors'!$H$10)/('Anchors'!$G$10-'Anchors'!$H$10))),"")</x:f>
        <x:v>30.096453564907982</x:v>
      </x:c>
      <x:c r="AB108" s="33" t="n">
        <x:f>IF(ISNUMBER(J108),100*MAX(0,MIN(1,('Anchors'!$H$11-J108)/('Anchors'!$H$11-'Anchors'!$G$11))),"")</x:f>
        <x:v>100</x:v>
      </x:c>
      <x:c r="AC108" s="33" t="n">
        <x:f>IF(ISNUMBER(K108),100*MAX(0,MIN(1,('Anchors'!$H$12-K108)/('Anchors'!$H$12-'Anchors'!$G$12))),"")</x:f>
        <x:v>67.16417910447761</x:v>
      </x:c>
      <x:c r="AD108" s="33" t="n">
        <x:f>IF(ISNUMBER(L108),100*MAX(0,MIN(1,(L108-'Anchors'!$H$13)/('Anchors'!$G$13-'Anchors'!$H$13))),"")</x:f>
        <x:v>1.9608721428571414</x:v>
      </x:c>
      <x:c r="AE108" s="33" t="n">
        <x:f>IF(ISNUMBER(M108),100*MAX(0,MIN(1,(M108-'Anchors'!$H$14)/('Anchors'!$G$14-'Anchors'!$H$14))),"")</x:f>
        <x:v>14.176590374999998</x:v>
      </x:c>
      <x:c r="AF108" s="33" t="n">
        <x:f>IF(ISNUMBER(N108),100*MAX(0,MIN(1,(LN(1+N108)-LN(1+'Anchors'!$H$15))/(LN(1+'Anchors'!$G$15)-LN(1+'Anchors'!$H$15)))),"")</x:f>
        <x:v>2.1540555430118467</x:v>
      </x:c>
      <x:c r="AG108" s="33" t="n">
        <x:f>IF(ISNUMBER(O108),100*MAX(0,MIN(1,('Anchors'!$H$16-O108)/('Anchors'!$H$16-'Anchors'!$G$16))),"")</x:f>
        <x:v>2.966666666666661</x:v>
      </x:c>
      <x:c r="AH108" s="33" t="n">
        <x:f>IF(ISNUMBER(P108),100*MAX(0,MIN(1,('Anchors'!$H$17-P108)/('Anchors'!$H$17-'Anchors'!$G$17))),"")</x:f>
        <x:v>56.33521701388887</x:v>
      </x:c>
      <x:c r="AI108" s="33" t="n">
        <x:f>IF(ISNUMBER(Q108),100*MAX(0,MIN(1,('Anchors'!$H$18-Q108)/('Anchors'!$H$18-'Anchors'!$G$18))),"")</x:f>
        <x:v>55.91326177687872</x:v>
      </x:c>
      <x:c r="AJ108" s="33" t="n">
        <x:f>IF(ISNUMBER(R108),100*MAX(0,MIN(1,('Anchors'!$H$19-R108)/('Anchors'!$H$19-'Anchors'!$G$19))),"")</x:f>
        <x:v>100</x:v>
      </x:c>
      <x:c r="AK108" s="33" t="n">
        <x:f>IF(ISNUMBER(S108),100*MAX(0,MIN(1,('Anchors'!$H$20-S108)/('Anchors'!$H$20-'Anchors'!$G$20))),"")</x:f>
        <x:v>100</x:v>
      </x:c>
      <x:c r="AL108" s="33" t="n">
        <x:f>IF(ISNUMBER(T108),100*MAX(0,MIN(1,('Anchors'!$H$21-T108)/('Anchors'!$H$21-'Anchors'!$G$21))),"")</x:f>
        <x:v>54.72727272727271</x:v>
      </x:c>
      <x:c r="AM108" s="33" t="n">
        <x:f>IF(ISNUMBER(U108),100*MAX(0,MIN(1,('Anchors'!$H$22-U108)/('Anchors'!$H$22-'Anchors'!$G$22))),"")</x:f>
        <x:v>27.461435002618884</x:v>
      </x:c>
      <x:c r="AN108" s="33" t="n">
        <x:f>IF(ISNUMBER(V108),100*MAX(0,MIN(1,('Anchors'!$H$23-V108)/('Anchors'!$H$23-'Anchors'!$G$23))),"")</x:f>
        <x:v>88.8105026850925</x:v>
      </x:c>
      <x:c r="AO108" s="27" t="n">
        <x:f>IF(ISNUMBER(W108),IF('Scoring Setup'!$L$9=1,1-'Scoring Setup'!$B$5*(1-MAX(0,MIN(1,(W108-'Scoring Setup'!$K$9)/(100-'Scoring Setup'!$K$9)))),1),"")</x:f>
        <x:v>0.9662857142857143</x:v>
      </x:c>
      <x:c r="AP108" s="27" t="n">
        <x:f>IF(ISNUMBER(X108),IF('Scoring Setup'!$L$10=1,1-'Scoring Setup'!$B$5*(1-MAX(0,MIN(1,(X108-'Scoring Setup'!$K$10)/(100-'Scoring Setup'!$K$10)))),1),"")</x:f>
        <x:v>0.8638790664780763</x:v>
      </x:c>
      <x:c r="AQ108" s="27" t="n">
        <x:f>IF(ISNUMBER(Y108),IF('Scoring Setup'!$L$11=1,1-'Scoring Setup'!$B$5*(1-MAX(0,MIN(1,(Y108-'Scoring Setup'!$K$11)/(100-'Scoring Setup'!$K$11)))),1),"")</x:f>
        <x:v>0.818630030801054</x:v>
      </x:c>
      <x:c r="AR108" s="27" t="n">
        <x:f>IF(ISNUMBER(Z108),IF('Scoring Setup'!$L$12=1,1-'Scoring Setup'!$B$5*(1-MAX(0,MIN(1,(Z108-'Scoring Setup'!$K$12)/(100-'Scoring Setup'!$K$12)))),1),"")</x:f>
        <x:v>0.8</x:v>
      </x:c>
      <x:c r="AS108" s="27" t="n">
        <x:f>IF(ISNUMBER(AA108),IF('Scoring Setup'!$L$13=1,1-'Scoring Setup'!$B$5*(1-MAX(0,MIN(1,(AA108-'Scoring Setup'!$K$13)/(100-'Scoring Setup'!$K$13)))),1),"")</x:f>
        <x:v>0.860192907129816</x:v>
      </x:c>
      <x:c r="AT108" s="27" t="n">
        <x:f>IF(ISNUMBER(AB108),IF('Scoring Setup'!$L$14=1,1-'Scoring Setup'!$B$5*(1-MAX(0,MIN(1,(AB108-'Scoring Setup'!$K$14)/(100-'Scoring Setup'!$K$14)))),1),"")</x:f>
        <x:v>1</x:v>
      </x:c>
      <x:c r="AU108" s="27" t="n">
        <x:f>IF(ISNUMBER(AC108),IF('Scoring Setup'!$L$15=1,1-'Scoring Setup'!$B$5*(1-MAX(0,MIN(1,(AC108-'Scoring Setup'!$K$15)/(100-'Scoring Setup'!$K$15)))),1),"")</x:f>
        <x:v>0.9343283582089552</x:v>
      </x:c>
      <x:c r="AV108" s="27" t="n">
        <x:f>IF(ISNUMBER(AD108),IF('Scoring Setup'!$L$16=1,1-'Scoring Setup'!$B$5*(1-MAX(0,MIN(1,(AD108-'Scoring Setup'!$K$16)/(100-'Scoring Setup'!$K$16)))),1),"")</x:f>
        <x:v>0.8039217442857143</x:v>
      </x:c>
      <x:c r="AW108" s="27" t="n">
        <x:f>IF(ISNUMBER(AE108),IF('Scoring Setup'!$L$17=1,1-'Scoring Setup'!$B$5*(1-MAX(0,MIN(1,(AE108-'Scoring Setup'!$K$17)/(100-'Scoring Setup'!$K$17)))),1),"")</x:f>
        <x:v>0.82835318075</x:v>
      </x:c>
      <x:c r="AX108" s="27" t="n">
        <x:f>IF(ISNUMBER(AF108),IF('Scoring Setup'!$L$18=1,1-'Scoring Setup'!$B$5*(1-MAX(0,MIN(1,(AF108-'Scoring Setup'!$K$18)/(100-'Scoring Setup'!$K$18)))),1),"")</x:f>
        <x:v>0.8043081110860237</x:v>
      </x:c>
      <x:c r="AY108" s="27" t="n">
        <x:f>IF(ISNUMBER(AG108),IF('Scoring Setup'!$L$19=1,1-'Scoring Setup'!$B$5*(1-MAX(0,MIN(1,(AG108-'Scoring Setup'!$K$19)/(100-'Scoring Setup'!$K$19)))),1),"")</x:f>
        <x:v>0.8059333333333333</x:v>
      </x:c>
      <x:c r="AZ108" s="27" t="n">
        <x:f>IF(ISNUMBER(AH108),IF('Scoring Setup'!$L$20=1,1-'Scoring Setup'!$B$5*(1-MAX(0,MIN(1,(AH108-'Scoring Setup'!$K$20)/(100-'Scoring Setup'!$K$20)))),1),"")</x:f>
        <x:v>0.9126704340277777</x:v>
      </x:c>
      <x:c r="BA108" s="27" t="n">
        <x:f>IF(ISNUMBER(AI108),IF('Scoring Setup'!$L$21=1,1-'Scoring Setup'!$B$5*(1-MAX(0,MIN(1,(AI108-'Scoring Setup'!$K$21)/(100-'Scoring Setup'!$K$21)))),1),"")</x:f>
        <x:v>0.9118265235537575</x:v>
      </x:c>
      <x:c r="BB108" s="27" t="n">
        <x:f>IF(ISNUMBER(AJ108),IF('Scoring Setup'!$L$22=1,1-'Scoring Setup'!$B$5*(1-MAX(0,MIN(1,(AJ108-'Scoring Setup'!$K$22)/(100-'Scoring Setup'!$K$22)))),1),"")</x:f>
        <x:v>1</x:v>
      </x:c>
      <x:c r="BC108" s="27" t="n">
        <x:f>IF(ISNUMBER(AK108),IF('Scoring Setup'!$L$23=1,1-'Scoring Setup'!$B$5*(1-MAX(0,MIN(1,(AK108-'Scoring Setup'!$K$23)/(100-'Scoring Setup'!$K$23)))),1),"")</x:f>
        <x:v>1</x:v>
      </x:c>
      <x:c r="BD108" s="27" t="n">
        <x:f>IF(ISNUMBER(AL108),IF('Scoring Setup'!$L$24=1,1-'Scoring Setup'!$B$5*(1-MAX(0,MIN(1,(AL108-'Scoring Setup'!$K$24)/(100-'Scoring Setup'!$K$24)))),1),"")</x:f>
        <x:v>0.9094545454545454</x:v>
      </x:c>
      <x:c r="BE108" s="27" t="n">
        <x:f>IF(ISNUMBER(AM108),IF('Scoring Setup'!$L$25=1,1-'Scoring Setup'!$B$5*(1-MAX(0,MIN(1,(AM108-'Scoring Setup'!$K$25)/(100-'Scoring Setup'!$K$25)))),1),"")</x:f>
        <x:v>0.8549228700052378</x:v>
      </x:c>
      <x:c r="BF108" s="27" t="n">
        <x:f>IF(ISNUMBER(AN108),IF('Scoring Setup'!$L$26=1,1-'Scoring Setup'!$B$5*(1-MAX(0,MIN(1,(AN108-'Scoring Setup'!$K$26)/(100-'Scoring Setup'!$K$26)))),1),"")</x:f>
        <x:v>0.977621005370185</x:v>
      </x:c>
      <x:c r="BG108" s="34" t="n">
        <x:f>IF(COUNT(W108,X108)=2,AVERAGE(W108,X108),"")</x:f>
        <x:v>57.54119519094766</x:v>
      </x:c>
      <x:c r="BH108" s="34" t="n">
        <x:f>IF(COUNT(Y108,Z108)=2,AVERAGE(Y108,Z108),"")</x:f>
        <x:v>4.657507700263505</x:v>
      </x:c>
      <x:c r="BI108" s="34" t="n">
        <x:f>IF(COUNT(AA108,AB108,AC108)=3,AVERAGE(AA108,AB108,AC108),"")</x:f>
        <x:v>65.75354422312853</x:v>
      </x:c>
      <x:c r="BJ108" s="34" t="n">
        <x:f>IF(COUNT(AD108,AE108)=2,AVERAGE(AD108,AE108),"")</x:f>
        <x:v>8.068731258928569</x:v>
      </x:c>
      <x:c r="BK108" s="34" t="n">
        <x:f>IF(COUNT(AF108,AG108)=2,AVERAGE(AF108,AG108),"")</x:f>
        <x:v>2.560361104839254</x:v>
      </x:c>
      <x:c r="BL108" s="34" t="n">
        <x:f>IF(COUNT(AH108,AI108)=2,AVERAGE(AH108,AI108),"")</x:f>
        <x:v>56.124239395383796</x:v>
      </x:c>
      <x:c r="BM108" s="34" t="n">
        <x:f>IF(COUNT(AJ108,AK108)=2,AVERAGE(AJ108,AK108),"")</x:f>
        <x:v>100</x:v>
      </x:c>
      <x:c r="BN108" s="34" t="n">
        <x:f>IF(COUNT(AL108,AM108,AN108)=3,AVERAGE(AL108,AM108,AN108),"")</x:f>
        <x:v>56.999736804994704</x:v>
      </x:c>
      <x:c r="BO108" s="35" t="n">
        <x:f>IF(AND(COUNT(BG108:BN108)=8,ABS('Scoring Setup'!$C$17-1)&lt;0.000001),BG108*'Scoring Setup'!$C$9+BH108*'Scoring Setup'!$C$10+BI108*'Scoring Setup'!$C$11+BJ108*'Scoring Setup'!$C$12+BK108*'Scoring Setup'!$C$13+BL108*'Scoring Setup'!$C$14+BM108*'Scoring Setup'!$C$15+BN108*'Scoring Setup'!$C$16,"")</x:f>
        <x:v>39.2300177291047</x:v>
      </x:c>
      <x:c r="BP108" s="36" t="n">
        <x:f>IF(COUNT(AO108:BF108)=18,MIN(AO108:BF108),"")</x:f>
        <x:v>0.8</x:v>
      </x:c>
      <x:c r="BQ108" s="35" t="n">
        <x:f>IF(AND(ISNUMBER(BO108),ISNUMBER(BP108)),BO108*BP108,"")</x:f>
        <x:v>31.384014183283764</x:v>
      </x:c>
      <x:c r="BR108" s="17" t="str">
        <x:f>IF(COUNT(AO108:BF108)=18,INDEX('Scoring Setup'!$F$9:$F$26,MATCH(MIN(AO108:BF108),AO108:BF108,0),1),"")</x:f>
        <x:v>2050 BAU水压力</x:v>
      </x:c>
    </x:row>
    <x:row r="109">
      <x:c r="A109" s="28" t="str">
        <x:v>51600</x:v>
      </x:c>
      <x:c r="B109" s="28" t="str">
        <x:v>Fairfax city</x:v>
      </x:c>
      <x:c r="C109" s="28" t="str">
        <x:v>VA</x:v>
      </x:c>
      <x:c r="D109" s="31" t="n">
        <x:v>16.163924</x:v>
      </x:c>
      <x:c r="E109" s="32" t="n">
        <x:v>0.115</x:v>
      </x:c>
      <x:c r="F109" s="32" t="n">
        <x:v>0.0816831683168317</x:v>
      </x:c>
      <x:c r="G109" s="32" t="n">
        <x:v>3.443791740044756</x:v>
      </x:c>
      <x:c r="H109" s="32" t="n">
        <x:v>3.832787907925718</x:v>
      </x:c>
      <x:c r="I109" s="32" t="n">
        <x:v>0.1790243092087048</x:v>
      </x:c>
      <x:c r="J109" s="32" t="n">
        <x:v>0</x:v>
      </x:c>
      <x:c r="K109" s="32" t="n">
        <x:v>0.0010521069826679218</x:v>
      </x:c>
      <x:c r="L109" s="32" t="n">
        <x:v>0.863356887</x:v>
      </x:c>
      <x:c r="M109" s="32" t="n">
        <x:v>0.663301826</x:v>
      </x:c>
      <x:c r="N109" s="32" t="n">
        <x:v>14612</x:v>
      </x:c>
      <x:c r="O109" s="32" t="n">
        <x:v>0.3551</x:v>
      </x:c>
      <x:c r="P109" s="32" t="n">
        <x:v>1069.620202636719</x:v>
      </x:c>
      <x:c r="Q109" s="32" t="n">
        <x:v>20.86354007720947</x:v>
      </x:c>
      <x:c r="R109" s="32" t="n">
        <x:v>1.8676066167643381</x:v>
      </x:c>
      <x:c r="S109" s="32" t="n">
        <x:v>5.951152315097236</x:v>
      </x:c>
      <x:c r="T109" s="32" t="n">
        <x:v>89.9</x:v>
      </x:c>
      <x:c r="U109" s="32" t="n">
        <x:v>245.07712999476223</x:v>
      </x:c>
      <x:c r="V109" s="32" t="n">
        <x:v>244.75798925963002</x:v>
      </x:c>
      <x:c r="W109" s="33" t="n">
        <x:f>IF(ISNUMBER(E109),100*MAX(0,MIN(1,('Anchors'!$H$6-E109)/('Anchors'!$H$6-'Anchors'!$G$6))),"")</x:f>
        <x:v>100</x:v>
      </x:c>
      <x:c r="X109" s="33" t="n">
        <x:f>IF(ISNUMBER(F109),100*MAX(0,MIN(1,('Anchors'!$H$7-F109)/('Anchors'!$H$7-'Anchors'!$G$7))),"")</x:f>
        <x:v>100</x:v>
      </x:c>
      <x:c r="Y109" s="33" t="n">
        <x:f>IF(ISNUMBER(G109),100*MAX(0,MIN(1,('Anchors'!$H$8-G109)/('Anchors'!$H$8-'Anchors'!$G$8))),"")</x:f>
        <x:v>18.54027533184146</x:v>
      </x:c>
      <x:c r="Z109" s="33" t="n">
        <x:f>IF(ISNUMBER(H109),100*MAX(0,MIN(1,('Anchors'!$H$9-H109)/('Anchors'!$H$9-'Anchors'!$G$9))),"")</x:f>
        <x:v>5.5737364024760705</x:v>
      </x:c>
      <x:c r="AA109" s="33" t="n">
        <x:f>IF(ISNUMBER(I109),100*MAX(0,MIN(1,(I109-'Anchors'!$H$10)/('Anchors'!$G$10-'Anchors'!$H$10))),"")</x:f>
        <x:v>0</x:v>
      </x:c>
      <x:c r="AB109" s="33" t="n">
        <x:f>IF(ISNUMBER(J109),100*MAX(0,MIN(1,('Anchors'!$H$11-J109)/('Anchors'!$H$11-'Anchors'!$G$11))),"")</x:f>
        <x:v>100</x:v>
      </x:c>
      <x:c r="AC109" s="33" t="n">
        <x:f>IF(ISNUMBER(K109),100*MAX(0,MIN(1,('Anchors'!$H$12-K109)/('Anchors'!$H$12-'Anchors'!$G$12))),"")</x:f>
        <x:v>99.73697325433302</x:v>
      </x:c>
      <x:c r="AD109" s="33" t="n">
        <x:f>IF(ISNUMBER(L109),100*MAX(0,MIN(1,(L109-'Anchors'!$H$13)/('Anchors'!$G$13-'Anchors'!$H$13))),"")</x:f>
        <x:v>94.76526957142856</x:v>
      </x:c>
      <x:c r="AE109" s="33" t="n">
        <x:f>IF(ISNUMBER(M109),100*MAX(0,MIN(1,(M109-'Anchors'!$H$14)/('Anchors'!$G$14-'Anchors'!$H$14))),"")</x:f>
        <x:v>70.41272825</x:v>
      </x:c>
      <x:c r="AF109" s="33" t="n">
        <x:f>IF(ISNUMBER(N109),100*MAX(0,MIN(1,(LN(1+N109)-LN(1+'Anchors'!$H$15))/(LN(1+'Anchors'!$G$15)-LN(1+'Anchors'!$H$15)))),"")</x:f>
        <x:v>46.056679045972906</x:v>
      </x:c>
      <x:c r="AG109" s="33" t="n">
        <x:f>IF(ISNUMBER(O109),100*MAX(0,MIN(1,('Anchors'!$H$16-O109)/('Anchors'!$H$16-'Anchors'!$G$16))),"")</x:f>
        <x:v>66.10000000000001</x:v>
      </x:c>
      <x:c r="AH109" s="33" t="n">
        <x:f>IF(ISNUMBER(P109),100*MAX(0,MIN(1,('Anchors'!$H$17-P109)/('Anchors'!$H$17-'Anchors'!$G$17))),"")</x:f>
        <x:v>75.35865315755207</x:v>
      </x:c>
      <x:c r="AI109" s="33" t="n">
        <x:f>IF(ISNUMBER(Q109),100*MAX(0,MIN(1,('Anchors'!$H$18-Q109)/('Anchors'!$H$18-'Anchors'!$G$18))),"")</x:f>
        <x:v>77.33779988970075</x:v>
      </x:c>
      <x:c r="AJ109" s="33" t="n">
        <x:f>IF(ISNUMBER(R109),100*MAX(0,MIN(1,('Anchors'!$H$19-R109)/('Anchors'!$H$19-'Anchors'!$G$19))),"")</x:f>
        <x:v>100</x:v>
      </x:c>
      <x:c r="AK109" s="33" t="n">
        <x:f>IF(ISNUMBER(S109),100*MAX(0,MIN(1,('Anchors'!$H$20-S109)/('Anchors'!$H$20-'Anchors'!$G$20))),"")</x:f>
        <x:v>73.94130360475138</x:v>
      </x:c>
      <x:c r="AL109" s="33" t="n">
        <x:f>IF(ISNUMBER(T109),100*MAX(0,MIN(1,('Anchors'!$H$21-T109)/('Anchors'!$H$21-'Anchors'!$G$21))),"")</x:f>
        <x:v>54.72727272727271</x:v>
      </x:c>
      <x:c r="AM109" s="33" t="n">
        <x:f>IF(ISNUMBER(U109),100*MAX(0,MIN(1,('Anchors'!$H$22-U109)/('Anchors'!$H$22-'Anchors'!$G$22))),"")</x:f>
        <x:v>27.461435002618884</x:v>
      </x:c>
      <x:c r="AN109" s="33" t="n">
        <x:f>IF(ISNUMBER(V109),100*MAX(0,MIN(1,('Anchors'!$H$23-V109)/('Anchors'!$H$23-'Anchors'!$G$23))),"")</x:f>
        <x:v>88.8105026850925</x:v>
      </x:c>
      <x:c r="AO109" s="27" t="n">
        <x:f>IF(ISNUMBER(W109),IF('Scoring Setup'!$L$9=1,1-'Scoring Setup'!$B$5*(1-MAX(0,MIN(1,(W109-'Scoring Setup'!$K$9)/(100-'Scoring Setup'!$K$9)))),1),"")</x:f>
        <x:v>1</x:v>
      </x:c>
      <x:c r="AP109" s="27" t="n">
        <x:f>IF(ISNUMBER(X109),IF('Scoring Setup'!$L$10=1,1-'Scoring Setup'!$B$5*(1-MAX(0,MIN(1,(X109-'Scoring Setup'!$K$10)/(100-'Scoring Setup'!$K$10)))),1),"")</x:f>
        <x:v>1</x:v>
      </x:c>
      <x:c r="AQ109" s="27" t="n">
        <x:f>IF(ISNUMBER(Y109),IF('Scoring Setup'!$L$11=1,1-'Scoring Setup'!$B$5*(1-MAX(0,MIN(1,(Y109-'Scoring Setup'!$K$11)/(100-'Scoring Setup'!$K$11)))),1),"")</x:f>
        <x:v>0.8370805506636829</x:v>
      </x:c>
      <x:c r="AR109" s="27" t="n">
        <x:f>IF(ISNUMBER(Z109),IF('Scoring Setup'!$L$12=1,1-'Scoring Setup'!$B$5*(1-MAX(0,MIN(1,(Z109-'Scoring Setup'!$K$12)/(100-'Scoring Setup'!$K$12)))),1),"")</x:f>
        <x:v>0.8111474728049521</x:v>
      </x:c>
      <x:c r="AS109" s="27" t="n">
        <x:f>IF(ISNUMBER(AA109),IF('Scoring Setup'!$L$13=1,1-'Scoring Setup'!$B$5*(1-MAX(0,MIN(1,(AA109-'Scoring Setup'!$K$13)/(100-'Scoring Setup'!$K$13)))),1),"")</x:f>
        <x:v>0.8</x:v>
      </x:c>
      <x:c r="AT109" s="27" t="n">
        <x:f>IF(ISNUMBER(AB109),IF('Scoring Setup'!$L$14=1,1-'Scoring Setup'!$B$5*(1-MAX(0,MIN(1,(AB109-'Scoring Setup'!$K$14)/(100-'Scoring Setup'!$K$14)))),1),"")</x:f>
        <x:v>1</x:v>
      </x:c>
      <x:c r="AU109" s="27" t="n">
        <x:f>IF(ISNUMBER(AC109),IF('Scoring Setup'!$L$15=1,1-'Scoring Setup'!$B$5*(1-MAX(0,MIN(1,(AC109-'Scoring Setup'!$K$15)/(100-'Scoring Setup'!$K$15)))),1),"")</x:f>
        <x:v>0.9994739465086661</x:v>
      </x:c>
      <x:c r="AV109" s="27" t="n">
        <x:f>IF(ISNUMBER(AD109),IF('Scoring Setup'!$L$16=1,1-'Scoring Setup'!$B$5*(1-MAX(0,MIN(1,(AD109-'Scoring Setup'!$K$16)/(100-'Scoring Setup'!$K$16)))),1),"")</x:f>
        <x:v>0.9895305391428572</x:v>
      </x:c>
      <x:c r="AW109" s="27" t="n">
        <x:f>IF(ISNUMBER(AE109),IF('Scoring Setup'!$L$17=1,1-'Scoring Setup'!$B$5*(1-MAX(0,MIN(1,(AE109-'Scoring Setup'!$K$17)/(100-'Scoring Setup'!$K$17)))),1),"")</x:f>
        <x:v>0.9408254565</x:v>
      </x:c>
      <x:c r="AX109" s="27" t="n">
        <x:f>IF(ISNUMBER(AF109),IF('Scoring Setup'!$L$18=1,1-'Scoring Setup'!$B$5*(1-MAX(0,MIN(1,(AF109-'Scoring Setup'!$K$18)/(100-'Scoring Setup'!$K$18)))),1),"")</x:f>
        <x:v>0.8921133580919458</x:v>
      </x:c>
      <x:c r="AY109" s="27" t="n">
        <x:f>IF(ISNUMBER(AG109),IF('Scoring Setup'!$L$19=1,1-'Scoring Setup'!$B$5*(1-MAX(0,MIN(1,(AG109-'Scoring Setup'!$K$19)/(100-'Scoring Setup'!$K$19)))),1),"")</x:f>
        <x:v>0.9322</x:v>
      </x:c>
      <x:c r="AZ109" s="27" t="n">
        <x:f>IF(ISNUMBER(AH109),IF('Scoring Setup'!$L$20=1,1-'Scoring Setup'!$B$5*(1-MAX(0,MIN(1,(AH109-'Scoring Setup'!$K$20)/(100-'Scoring Setup'!$K$20)))),1),"")</x:f>
        <x:v>0.9507173063151041</x:v>
      </x:c>
      <x:c r="BA109" s="27" t="n">
        <x:f>IF(ISNUMBER(AI109),IF('Scoring Setup'!$L$21=1,1-'Scoring Setup'!$B$5*(1-MAX(0,MIN(1,(AI109-'Scoring Setup'!$K$21)/(100-'Scoring Setup'!$K$21)))),1),"")</x:f>
        <x:v>0.9546755997794015</x:v>
      </x:c>
      <x:c r="BB109" s="27" t="n">
        <x:f>IF(ISNUMBER(AJ109),IF('Scoring Setup'!$L$22=1,1-'Scoring Setup'!$B$5*(1-MAX(0,MIN(1,(AJ109-'Scoring Setup'!$K$22)/(100-'Scoring Setup'!$K$22)))),1),"")</x:f>
        <x:v>1</x:v>
      </x:c>
      <x:c r="BC109" s="27" t="n">
        <x:f>IF(ISNUMBER(AK109),IF('Scoring Setup'!$L$23=1,1-'Scoring Setup'!$B$5*(1-MAX(0,MIN(1,(AK109-'Scoring Setup'!$K$23)/(100-'Scoring Setup'!$K$23)))),1),"")</x:f>
        <x:v>0.9478826072095028</x:v>
      </x:c>
      <x:c r="BD109" s="27" t="n">
        <x:f>IF(ISNUMBER(AL109),IF('Scoring Setup'!$L$24=1,1-'Scoring Setup'!$B$5*(1-MAX(0,MIN(1,(AL109-'Scoring Setup'!$K$24)/(100-'Scoring Setup'!$K$24)))),1),"")</x:f>
        <x:v>0.9094545454545454</x:v>
      </x:c>
      <x:c r="BE109" s="27" t="n">
        <x:f>IF(ISNUMBER(AM109),IF('Scoring Setup'!$L$25=1,1-'Scoring Setup'!$B$5*(1-MAX(0,MIN(1,(AM109-'Scoring Setup'!$K$25)/(100-'Scoring Setup'!$K$25)))),1),"")</x:f>
        <x:v>0.8549228700052378</x:v>
      </x:c>
      <x:c r="BF109" s="27" t="n">
        <x:f>IF(ISNUMBER(AN109),IF('Scoring Setup'!$L$26=1,1-'Scoring Setup'!$B$5*(1-MAX(0,MIN(1,(AN109-'Scoring Setup'!$K$26)/(100-'Scoring Setup'!$K$26)))),1),"")</x:f>
        <x:v>0.977621005370185</x:v>
      </x:c>
      <x:c r="BG109" s="34" t="n">
        <x:f>IF(COUNT(W109,X109)=2,AVERAGE(W109,X109),"")</x:f>
        <x:v>100</x:v>
      </x:c>
      <x:c r="BH109" s="34" t="n">
        <x:f>IF(COUNT(Y109,Z109)=2,AVERAGE(Y109,Z109),"")</x:f>
        <x:v>12.057005867158765</x:v>
      </x:c>
      <x:c r="BI109" s="34" t="n">
        <x:f>IF(COUNT(AA109,AB109,AC109)=3,AVERAGE(AA109,AB109,AC109),"")</x:f>
        <x:v>66.57899108477767</x:v>
      </x:c>
      <x:c r="BJ109" s="34" t="n">
        <x:f>IF(COUNT(AD109,AE109)=2,AVERAGE(AD109,AE109),"")</x:f>
        <x:v>82.58899891071428</x:v>
      </x:c>
      <x:c r="BK109" s="34" t="n">
        <x:f>IF(COUNT(AF109,AG109)=2,AVERAGE(AF109,AG109),"")</x:f>
        <x:v>56.078339522986454</x:v>
      </x:c>
      <x:c r="BL109" s="34" t="n">
        <x:f>IF(COUNT(AH109,AI109)=2,AVERAGE(AH109,AI109),"")</x:f>
        <x:v>76.34822652362641</x:v>
      </x:c>
      <x:c r="BM109" s="34" t="n">
        <x:f>IF(COUNT(AJ109,AK109)=2,AVERAGE(AJ109,AK109),"")</x:f>
        <x:v>86.9706518023757</x:v>
      </x:c>
      <x:c r="BN109" s="34" t="n">
        <x:f>IF(COUNT(AL109,AM109,AN109)=3,AVERAGE(AL109,AM109,AN109),"")</x:f>
        <x:v>56.999736804994704</x:v>
      </x:c>
      <x:c r="BO109" s="35" t="n">
        <x:f>IF(AND(COUNT(BG109:BN109)=8,ABS('Scoring Setup'!$C$17-1)&lt;0.000001),BG109*'Scoring Setup'!$C$9+BH109*'Scoring Setup'!$C$10+BI109*'Scoring Setup'!$C$11+BJ109*'Scoring Setup'!$C$12+BK109*'Scoring Setup'!$C$13+BL109*'Scoring Setup'!$C$14+BM109*'Scoring Setup'!$C$15+BN109*'Scoring Setup'!$C$16,"")</x:f>
        <x:v>58.20189908307812</x:v>
      </x:c>
      <x:c r="BP109" s="36" t="n">
        <x:f>IF(COUNT(AO109:BF109)=18,MIN(AO109:BF109),"")</x:f>
        <x:v>0.8</x:v>
      </x:c>
      <x:c r="BQ109" s="35" t="n">
        <x:f>IF(AND(ISNUMBER(BO109),ISNUMBER(BP109)),BO109*BP109,"")</x:f>
        <x:v>46.5615192664625</x:v>
      </x:c>
      <x:c r="BR109" s="17" t="str">
        <x:f>IF(COUNT(AO109:BF109)=18,INDEX('Scoring Setup'!$F$9:$F$26,MATCH(MIN(AO109:BF109),AO109:BF109,0),1),"")</x:f>
        <x:v>低不透水土地比例</x:v>
      </x:c>
    </x:row>
    <x:row r="110">
      <x:c r="A110" s="28" t="str">
        <x:v>51610</x:v>
      </x:c>
      <x:c r="B110" s="28" t="str">
        <x:v>Falls Church city</x:v>
      </x:c>
      <x:c r="C110" s="28" t="str">
        <x:v>VA</x:v>
      </x:c>
      <x:c r="D110" s="31" t="n">
        <x:v>5.300262</x:v>
      </x:c>
      <x:c r="E110" s="32" t="n">
        <x:v>0.048</x:v>
      </x:c>
      <x:c r="F110" s="32" t="n">
        <x:v>0.116955445544554</x:v>
      </x:c>
      <x:c r="G110" s="32" t="n">
        <x:v>3.5040879415836073</x:v>
      </x:c>
      <x:c r="H110" s="32" t="n">
        <x:v>3.895782624019243</x:v>
      </x:c>
      <x:c r="I110" s="32" t="n">
        <x:v>0.11073369565217392</x:v>
      </x:c>
      <x:c r="J110" s="32" t="n">
        <x:v>0</x:v>
      </x:c>
      <x:c r="K110" s="32" t="n">
        <x:v>0.0030570652173913045</x:v>
      </x:c>
      <x:c r="L110" s="32" t="n">
        <x:v>0.995625</x:v>
      </x:c>
      <x:c r="M110" s="32" t="n">
        <x:v>0.72</x:v>
      </x:c>
      <x:c r="N110" s="32" t="n">
        <x:v>8367</x:v>
      </x:c>
      <x:c r="O110" s="32" t="n">
        <x:v>0.2189</x:v>
      </x:c>
      <x:c r="P110" s="32" t="n">
        <x:v>1160.946374511719</x:v>
      </x:c>
      <x:c r="Q110" s="32" t="n">
        <x:v>23.209536679585774</x:v>
      </x:c>
      <x:c r="R110" s="32" t="n">
        <x:v>1.094494648479996</x:v>
      </x:c>
      <x:c r="S110" s="32" t="n">
        <x:v>7.3440579511095</x:v>
      </x:c>
      <x:c r="T110" s="32" t="n">
        <x:v>89.9</x:v>
      </x:c>
      <x:c r="U110" s="32" t="n">
        <x:v>245.07712999476223</x:v>
      </x:c>
      <x:c r="V110" s="32" t="n">
        <x:v>244.75798925963002</x:v>
      </x:c>
      <x:c r="W110" s="33" t="n">
        <x:f>IF(ISNUMBER(E110),100*MAX(0,MIN(1,('Anchors'!$H$6-E110)/('Anchors'!$H$6-'Anchors'!$G$6))),"")</x:f>
        <x:v>100</x:v>
      </x:c>
      <x:c r="X110" s="33" t="n">
        <x:f>IF(ISNUMBER(F110),100*MAX(0,MIN(1,('Anchors'!$H$7-F110)/('Anchors'!$H$7-'Anchors'!$G$7))),"")</x:f>
        <x:v>97.57779349363514</x:v>
      </x:c>
      <x:c r="Y110" s="33" t="n">
        <x:f>IF(ISNUMBER(G110),100*MAX(0,MIN(1,('Anchors'!$H$8-G110)/('Anchors'!$H$8-'Anchors'!$G$8))),"")</x:f>
        <x:v>16.530401947213093</x:v>
      </x:c>
      <x:c r="Z110" s="33" t="n">
        <x:f>IF(ISNUMBER(H110),100*MAX(0,MIN(1,('Anchors'!$H$9-H110)/('Anchors'!$H$9-'Anchors'!$G$9))),"")</x:f>
        <x:v>3.4739125326918994</x:v>
      </x:c>
      <x:c r="AA110" s="33" t="n">
        <x:f>IF(ISNUMBER(I110),100*MAX(0,MIN(1,(I110-'Anchors'!$H$10)/('Anchors'!$G$10-'Anchors'!$H$10))),"")</x:f>
        <x:v>0</x:v>
      </x:c>
      <x:c r="AB110" s="33" t="n">
        <x:f>IF(ISNUMBER(J110),100*MAX(0,MIN(1,('Anchors'!$H$11-J110)/('Anchors'!$H$11-'Anchors'!$G$11))),"")</x:f>
        <x:v>100</x:v>
      </x:c>
      <x:c r="AC110" s="33" t="n">
        <x:f>IF(ISNUMBER(K110),100*MAX(0,MIN(1,('Anchors'!$H$12-K110)/('Anchors'!$H$12-'Anchors'!$G$12))),"")</x:f>
        <x:v>99.23573369565217</x:v>
      </x:c>
      <x:c r="AD110" s="33" t="n">
        <x:f>IF(ISNUMBER(L110),100*MAX(0,MIN(1,(L110-'Anchors'!$H$13)/('Anchors'!$G$13-'Anchors'!$H$13))),"")</x:f>
        <x:v>100</x:v>
      </x:c>
      <x:c r="AE110" s="33" t="n">
        <x:f>IF(ISNUMBER(M110),100*MAX(0,MIN(1,(M110-'Anchors'!$H$14)/('Anchors'!$G$14-'Anchors'!$H$14))),"")</x:f>
        <x:v>77.49999999999999</x:v>
      </x:c>
      <x:c r="AF110" s="33" t="n">
        <x:f>IF(ISNUMBER(N110),100*MAX(0,MIN(1,(LN(1+N110)-LN(1+'Anchors'!$H$15))/(LN(1+'Anchors'!$G$15)-LN(1+'Anchors'!$H$15)))),"")</x:f>
        <x:v>33.142681035313096</x:v>
      </x:c>
      <x:c r="AG110" s="33" t="n">
        <x:f>IF(ISNUMBER(O110),100*MAX(0,MIN(1,('Anchors'!$H$16-O110)/('Anchors'!$H$16-'Anchors'!$G$16))),"")</x:f>
        <x:v>81.23333333333333</x:v>
      </x:c>
      <x:c r="AH110" s="33" t="n">
        <x:f>IF(ISNUMBER(P110),100*MAX(0,MIN(1,('Anchors'!$H$17-P110)/('Anchors'!$H$17-'Anchors'!$G$17))),"")</x:f>
        <x:v>69.27024169921874</x:v>
      </x:c>
      <x:c r="AI110" s="33" t="n">
        <x:f>IF(ISNUMBER(Q110),100*MAX(0,MIN(1,('Anchors'!$H$18-Q110)/('Anchors'!$H$18-'Anchors'!$G$18))),"")</x:f>
        <x:v>73.98637617202031</x:v>
      </x:c>
      <x:c r="AJ110" s="33" t="n">
        <x:f>IF(ISNUMBER(R110),100*MAX(0,MIN(1,('Anchors'!$H$19-R110)/('Anchors'!$H$19-'Anchors'!$G$19))),"")</x:f>
        <x:v>100</x:v>
      </x:c>
      <x:c r="AK110" s="33" t="n">
        <x:f>IF(ISNUMBER(S110),100*MAX(0,MIN(1,('Anchors'!$H$20-S110)/('Anchors'!$H$20-'Anchors'!$G$20))),"")</x:f>
        <x:v>66.61022130995</x:v>
      </x:c>
      <x:c r="AL110" s="33" t="n">
        <x:f>IF(ISNUMBER(T110),100*MAX(0,MIN(1,('Anchors'!$H$21-T110)/('Anchors'!$H$21-'Anchors'!$G$21))),"")</x:f>
        <x:v>54.72727272727271</x:v>
      </x:c>
      <x:c r="AM110" s="33" t="n">
        <x:f>IF(ISNUMBER(U110),100*MAX(0,MIN(1,('Anchors'!$H$22-U110)/('Anchors'!$H$22-'Anchors'!$G$22))),"")</x:f>
        <x:v>27.461435002618884</x:v>
      </x:c>
      <x:c r="AN110" s="33" t="n">
        <x:f>IF(ISNUMBER(V110),100*MAX(0,MIN(1,('Anchors'!$H$23-V110)/('Anchors'!$H$23-'Anchors'!$G$23))),"")</x:f>
        <x:v>88.8105026850925</x:v>
      </x:c>
      <x:c r="AO110" s="27" t="n">
        <x:f>IF(ISNUMBER(W110),IF('Scoring Setup'!$L$9=1,1-'Scoring Setup'!$B$5*(1-MAX(0,MIN(1,(W110-'Scoring Setup'!$K$9)/(100-'Scoring Setup'!$K$9)))),1),"")</x:f>
        <x:v>1</x:v>
      </x:c>
      <x:c r="AP110" s="27" t="n">
        <x:f>IF(ISNUMBER(X110),IF('Scoring Setup'!$L$10=1,1-'Scoring Setup'!$B$5*(1-MAX(0,MIN(1,(X110-'Scoring Setup'!$K$10)/(100-'Scoring Setup'!$K$10)))),1),"")</x:f>
        <x:v>0.9951555869872702</x:v>
      </x:c>
      <x:c r="AQ110" s="27" t="n">
        <x:f>IF(ISNUMBER(Y110),IF('Scoring Setup'!$L$11=1,1-'Scoring Setup'!$B$5*(1-MAX(0,MIN(1,(Y110-'Scoring Setup'!$K$11)/(100-'Scoring Setup'!$K$11)))),1),"")</x:f>
        <x:v>0.8330608038944262</x:v>
      </x:c>
      <x:c r="AR110" s="27" t="n">
        <x:f>IF(ISNUMBER(Z110),IF('Scoring Setup'!$L$12=1,1-'Scoring Setup'!$B$5*(1-MAX(0,MIN(1,(Z110-'Scoring Setup'!$K$12)/(100-'Scoring Setup'!$K$12)))),1),"")</x:f>
        <x:v>0.8069478250653838</x:v>
      </x:c>
      <x:c r="AS110" s="27" t="n">
        <x:f>IF(ISNUMBER(AA110),IF('Scoring Setup'!$L$13=1,1-'Scoring Setup'!$B$5*(1-MAX(0,MIN(1,(AA110-'Scoring Setup'!$K$13)/(100-'Scoring Setup'!$K$13)))),1),"")</x:f>
        <x:v>0.8</x:v>
      </x:c>
      <x:c r="AT110" s="27" t="n">
        <x:f>IF(ISNUMBER(AB110),IF('Scoring Setup'!$L$14=1,1-'Scoring Setup'!$B$5*(1-MAX(0,MIN(1,(AB110-'Scoring Setup'!$K$14)/(100-'Scoring Setup'!$K$14)))),1),"")</x:f>
        <x:v>1</x:v>
      </x:c>
      <x:c r="AU110" s="27" t="n">
        <x:f>IF(ISNUMBER(AC110),IF('Scoring Setup'!$L$15=1,1-'Scoring Setup'!$B$5*(1-MAX(0,MIN(1,(AC110-'Scoring Setup'!$K$15)/(100-'Scoring Setup'!$K$15)))),1),"")</x:f>
        <x:v>0.9984714673913043</x:v>
      </x:c>
      <x:c r="AV110" s="27" t="n">
        <x:f>IF(ISNUMBER(AD110),IF('Scoring Setup'!$L$16=1,1-'Scoring Setup'!$B$5*(1-MAX(0,MIN(1,(AD110-'Scoring Setup'!$K$16)/(100-'Scoring Setup'!$K$16)))),1),"")</x:f>
        <x:v>1</x:v>
      </x:c>
      <x:c r="AW110" s="27" t="n">
        <x:f>IF(ISNUMBER(AE110),IF('Scoring Setup'!$L$17=1,1-'Scoring Setup'!$B$5*(1-MAX(0,MIN(1,(AE110-'Scoring Setup'!$K$17)/(100-'Scoring Setup'!$K$17)))),1),"")</x:f>
        <x:v>0.955</x:v>
      </x:c>
      <x:c r="AX110" s="27" t="n">
        <x:f>IF(ISNUMBER(AF110),IF('Scoring Setup'!$L$18=1,1-'Scoring Setup'!$B$5*(1-MAX(0,MIN(1,(AF110-'Scoring Setup'!$K$18)/(100-'Scoring Setup'!$K$18)))),1),"")</x:f>
        <x:v>0.8662853620706262</x:v>
      </x:c>
      <x:c r="AY110" s="27" t="n">
        <x:f>IF(ISNUMBER(AG110),IF('Scoring Setup'!$L$19=1,1-'Scoring Setup'!$B$5*(1-MAX(0,MIN(1,(AG110-'Scoring Setup'!$K$19)/(100-'Scoring Setup'!$K$19)))),1),"")</x:f>
        <x:v>0.9624666666666667</x:v>
      </x:c>
      <x:c r="AZ110" s="27" t="n">
        <x:f>IF(ISNUMBER(AH110),IF('Scoring Setup'!$L$20=1,1-'Scoring Setup'!$B$5*(1-MAX(0,MIN(1,(AH110-'Scoring Setup'!$K$20)/(100-'Scoring Setup'!$K$20)))),1),"")</x:f>
        <x:v>0.9385404833984375</x:v>
      </x:c>
      <x:c r="BA110" s="27" t="n">
        <x:f>IF(ISNUMBER(AI110),IF('Scoring Setup'!$L$21=1,1-'Scoring Setup'!$B$5*(1-MAX(0,MIN(1,(AI110-'Scoring Setup'!$K$21)/(100-'Scoring Setup'!$K$21)))),1),"")</x:f>
        <x:v>0.9479727523440407</x:v>
      </x:c>
      <x:c r="BB110" s="27" t="n">
        <x:f>IF(ISNUMBER(AJ110),IF('Scoring Setup'!$L$22=1,1-'Scoring Setup'!$B$5*(1-MAX(0,MIN(1,(AJ110-'Scoring Setup'!$K$22)/(100-'Scoring Setup'!$K$22)))),1),"")</x:f>
        <x:v>1</x:v>
      </x:c>
      <x:c r="BC110" s="27" t="n">
        <x:f>IF(ISNUMBER(AK110),IF('Scoring Setup'!$L$23=1,1-'Scoring Setup'!$B$5*(1-MAX(0,MIN(1,(AK110-'Scoring Setup'!$K$23)/(100-'Scoring Setup'!$K$23)))),1),"")</x:f>
        <x:v>0.9332204426199</x:v>
      </x:c>
      <x:c r="BD110" s="27" t="n">
        <x:f>IF(ISNUMBER(AL110),IF('Scoring Setup'!$L$24=1,1-'Scoring Setup'!$B$5*(1-MAX(0,MIN(1,(AL110-'Scoring Setup'!$K$24)/(100-'Scoring Setup'!$K$24)))),1),"")</x:f>
        <x:v>0.9094545454545454</x:v>
      </x:c>
      <x:c r="BE110" s="27" t="n">
        <x:f>IF(ISNUMBER(AM110),IF('Scoring Setup'!$L$25=1,1-'Scoring Setup'!$B$5*(1-MAX(0,MIN(1,(AM110-'Scoring Setup'!$K$25)/(100-'Scoring Setup'!$K$25)))),1),"")</x:f>
        <x:v>0.8549228700052378</x:v>
      </x:c>
      <x:c r="BF110" s="27" t="n">
        <x:f>IF(ISNUMBER(AN110),IF('Scoring Setup'!$L$26=1,1-'Scoring Setup'!$B$5*(1-MAX(0,MIN(1,(AN110-'Scoring Setup'!$K$26)/(100-'Scoring Setup'!$K$26)))),1),"")</x:f>
        <x:v>0.977621005370185</x:v>
      </x:c>
      <x:c r="BG110" s="34" t="n">
        <x:f>IF(COUNT(W110,X110)=2,AVERAGE(W110,X110),"")</x:f>
        <x:v>98.78889674681757</x:v>
      </x:c>
      <x:c r="BH110" s="34" t="n">
        <x:f>IF(COUNT(Y110,Z110)=2,AVERAGE(Y110,Z110),"")</x:f>
        <x:v>10.002157239952496</x:v>
      </x:c>
      <x:c r="BI110" s="34" t="n">
        <x:f>IF(COUNT(AA110,AB110,AC110)=3,AVERAGE(AA110,AB110,AC110),"")</x:f>
        <x:v>66.41191123188406</x:v>
      </x:c>
      <x:c r="BJ110" s="34" t="n">
        <x:f>IF(COUNT(AD110,AE110)=2,AVERAGE(AD110,AE110),"")</x:f>
        <x:v>88.75</x:v>
      </x:c>
      <x:c r="BK110" s="34" t="n">
        <x:f>IF(COUNT(AF110,AG110)=2,AVERAGE(AF110,AG110),"")</x:f>
        <x:v>57.18800718432321</x:v>
      </x:c>
      <x:c r="BL110" s="34" t="n">
        <x:f>IF(COUNT(AH110,AI110)=2,AVERAGE(AH110,AI110),"")</x:f>
        <x:v>71.62830893561953</x:v>
      </x:c>
      <x:c r="BM110" s="34" t="n">
        <x:f>IF(COUNT(AJ110,AK110)=2,AVERAGE(AJ110,AK110),"")</x:f>
        <x:v>83.30511065497501</x:v>
      </x:c>
      <x:c r="BN110" s="34" t="n">
        <x:f>IF(COUNT(AL110,AM110,AN110)=3,AVERAGE(AL110,AM110,AN110),"")</x:f>
        <x:v>56.999736804994704</x:v>
      </x:c>
      <x:c r="BO110" s="35" t="n">
        <x:f>IF(AND(COUNT(BG110:BN110)=8,ABS('Scoring Setup'!$C$17-1)&lt;0.000001),BG110*'Scoring Setup'!$C$9+BH110*'Scoring Setup'!$C$10+BI110*'Scoring Setup'!$C$11+BJ110*'Scoring Setup'!$C$12+BK110*'Scoring Setup'!$C$13+BL110*'Scoring Setup'!$C$14+BM110*'Scoring Setup'!$C$15+BN110*'Scoring Setup'!$C$16,"")</x:f>
        <x:v>57.96090498532112</x:v>
      </x:c>
      <x:c r="BP110" s="36" t="n">
        <x:f>IF(COUNT(AO110:BF110)=18,MIN(AO110:BF110),"")</x:f>
        <x:v>0.8</x:v>
      </x:c>
      <x:c r="BQ110" s="35" t="n">
        <x:f>IF(AND(ISNUMBER(BO110),ISNUMBER(BP110)),BO110*BP110,"")</x:f>
        <x:v>46.3687239882569</x:v>
      </x:c>
      <x:c r="BR110" s="17" t="str">
        <x:f>IF(COUNT(AO110:BF110)=18,INDEX('Scoring Setup'!$F$9:$F$26,MATCH(MIN(AO110:BF110),AO110:BF110,0),1),"")</x:f>
        <x:v>低不透水土地比例</x:v>
      </x:c>
    </x:row>
    <x:row r="111">
      <x:c r="A111" s="28" t="str">
        <x:v>51620</x:v>
      </x:c>
      <x:c r="B111" s="28" t="str">
        <x:v>Franklin city</x:v>
      </x:c>
      <x:c r="C111" s="28" t="str">
        <x:v>VA</x:v>
      </x:c>
      <x:c r="D111" s="31" t="n">
        <x:v>21.438217</x:v>
      </x:c>
      <x:c r="E111" s="32" t="n">
        <x:v>0.303</x:v>
      </x:c>
      <x:c r="F111" s="32" t="n">
        <x:v>0.286509900990099</x:v>
      </x:c>
      <x:c r="G111" s="32" t="n">
        <x:v>3.7205495379841897</x:v>
      </x:c>
      <x:c r="H111" s="32" t="n">
        <x:v>4.058068907</x:v>
      </x:c>
      <x:c r="I111" s="32" t="n">
        <x:v>0.561401300608349</x:v>
      </x:c>
      <x:c r="J111" s="32" t="n">
        <x:v>0</x:v>
      </x:c>
      <x:c r="K111" s="32" t="n">
        <x:v>0.15636668764422068</x:v>
      </x:c>
      <x:c r="L111" s="32" t="n">
        <x:v>0.068130883</x:v>
      </x:c>
      <x:c r="M111" s="32" t="n">
        <x:v>0.068130883</x:v>
      </x:c>
      <x:c r="N111" s="32" t="n">
        <x:v>3570</x:v>
      </x:c>
      <x:c r="O111" s="32" t="n">
        <x:v>0.7938</x:v>
      </x:c>
      <x:c r="P111" s="32" t="n">
        <x:v>1364.840470377604</x:v>
      </x:c>
      <x:c r="Q111" s="32" t="n">
        <x:v>28.82916316986084</x:v>
      </x:c>
      <x:c r="R111" s="32" t="n">
        <x:v>46.527031073331464</x:v>
      </x:c>
      <x:c r="S111" s="32" t="n">
        <x:v>0.049483621987277404</x:v>
      </x:c>
      <x:c r="T111" s="32" t="n">
        <x:v>89.9</x:v>
      </x:c>
      <x:c r="U111" s="32" t="n">
        <x:v>245.07712999476223</x:v>
      </x:c>
      <x:c r="V111" s="32" t="n">
        <x:v>244.75798925963002</x:v>
      </x:c>
      <x:c r="W111" s="33" t="n">
        <x:f>IF(ISNUMBER(E111),100*MAX(0,MIN(1,('Anchors'!$H$6-E111)/('Anchors'!$H$6-'Anchors'!$G$6))),"")</x:f>
        <x:v>85.28571428571429</x:v>
      </x:c>
      <x:c r="X111" s="33" t="n">
        <x:f>IF(ISNUMBER(F111),100*MAX(0,MIN(1,('Anchors'!$H$7-F111)/('Anchors'!$H$7-'Anchors'!$G$7))),"")</x:f>
        <x:v>73.35572842998586</x:v>
      </x:c>
      <x:c r="Y111" s="33" t="n">
        <x:f>IF(ISNUMBER(G111),100*MAX(0,MIN(1,('Anchors'!$H$8-G111)/('Anchors'!$H$8-'Anchors'!$G$8))),"")</x:f>
        <x:v>9.31501540052701</x:v>
      </x:c>
      <x:c r="Z111" s="33" t="n">
        <x:f>IF(ISNUMBER(H111),100*MAX(0,MIN(1,('Anchors'!$H$9-H111)/('Anchors'!$H$9-'Anchors'!$G$9))),"")</x:f>
        <x:v>0</x:v>
      </x:c>
      <x:c r="AA111" s="33" t="n">
        <x:f>IF(ISNUMBER(I111),100*MAX(0,MIN(1,(I111-'Anchors'!$H$10)/('Anchors'!$G$10-'Anchors'!$H$10))),"")</x:f>
        <x:v>42.657712412102605</x:v>
      </x:c>
      <x:c r="AB111" s="33" t="n">
        <x:f>IF(ISNUMBER(J111),100*MAX(0,MIN(1,('Anchors'!$H$11-J111)/('Anchors'!$H$11-'Anchors'!$G$11))),"")</x:f>
        <x:v>100</x:v>
      </x:c>
      <x:c r="AC111" s="33" t="n">
        <x:f>IF(ISNUMBER(K111),100*MAX(0,MIN(1,('Anchors'!$H$12-K111)/('Anchors'!$H$12-'Anchors'!$G$12))),"")</x:f>
        <x:v>60.90832808894483</x:v>
      </x:c>
      <x:c r="AD111" s="33" t="n">
        <x:f>IF(ISNUMBER(L111),100*MAX(0,MIN(1,(L111-'Anchors'!$H$13)/('Anchors'!$G$13-'Anchors'!$H$13))),"")</x:f>
        <x:v>0</x:v>
      </x:c>
      <x:c r="AE111" s="33" t="n">
        <x:f>IF(ISNUMBER(M111),100*MAX(0,MIN(1,(M111-'Anchors'!$H$14)/('Anchors'!$G$14-'Anchors'!$H$14))),"")</x:f>
        <x:v>0</x:v>
      </x:c>
      <x:c r="AF111" s="33" t="n">
        <x:f>IF(ISNUMBER(N111),100*MAX(0,MIN(1,(LN(1+N111)-LN(1+'Anchors'!$H$15))/(LN(1+'Anchors'!$G$15)-LN(1+'Anchors'!$H$15)))),"")</x:f>
        <x:v>13.416708282912662</x:v>
      </x:c>
      <x:c r="AG111" s="33" t="n">
        <x:f>IF(ISNUMBER(O111),100*MAX(0,MIN(1,('Anchors'!$H$16-O111)/('Anchors'!$H$16-'Anchors'!$G$16))),"")</x:f>
        <x:v>17.355555555555558</x:v>
      </x:c>
      <x:c r="AH111" s="33" t="n">
        <x:f>IF(ISNUMBER(P111),100*MAX(0,MIN(1,('Anchors'!$H$17-P111)/('Anchors'!$H$17-'Anchors'!$G$17))),"")</x:f>
        <x:v>55.677301974826385</x:v>
      </x:c>
      <x:c r="AI111" s="33" t="n">
        <x:f>IF(ISNUMBER(Q111),100*MAX(0,MIN(1,('Anchors'!$H$18-Q111)/('Anchors'!$H$18-'Anchors'!$G$18))),"")</x:f>
        <x:v>65.95833832877022</x:v>
      </x:c>
      <x:c r="AJ111" s="33" t="n">
        <x:f>IF(ISNUMBER(R111),100*MAX(0,MIN(1,('Anchors'!$H$19-R111)/('Anchors'!$H$19-'Anchors'!$G$19))),"")</x:f>
        <x:v>7.71770872593008</x:v>
      </x:c>
      <x:c r="AK111" s="33" t="n">
        <x:f>IF(ISNUMBER(S111),100*MAX(0,MIN(1,('Anchors'!$H$20-S111)/('Anchors'!$H$20-'Anchors'!$G$20))),"")</x:f>
        <x:v>100</x:v>
      </x:c>
      <x:c r="AL111" s="33" t="n">
        <x:f>IF(ISNUMBER(T111),100*MAX(0,MIN(1,('Anchors'!$H$21-T111)/('Anchors'!$H$21-'Anchors'!$G$21))),"")</x:f>
        <x:v>54.72727272727271</x:v>
      </x:c>
      <x:c r="AM111" s="33" t="n">
        <x:f>IF(ISNUMBER(U111),100*MAX(0,MIN(1,('Anchors'!$H$22-U111)/('Anchors'!$H$22-'Anchors'!$G$22))),"")</x:f>
        <x:v>27.461435002618884</x:v>
      </x:c>
      <x:c r="AN111" s="33" t="n">
        <x:f>IF(ISNUMBER(V111),100*MAX(0,MIN(1,('Anchors'!$H$23-V111)/('Anchors'!$H$23-'Anchors'!$G$23))),"")</x:f>
        <x:v>88.8105026850925</x:v>
      </x:c>
      <x:c r="AO111" s="27" t="n">
        <x:f>IF(ISNUMBER(W111),IF('Scoring Setup'!$L$9=1,1-'Scoring Setup'!$B$5*(1-MAX(0,MIN(1,(W111-'Scoring Setup'!$K$9)/(100-'Scoring Setup'!$K$9)))),1),"")</x:f>
        <x:v>0.9705714285714285</x:v>
      </x:c>
      <x:c r="AP111" s="27" t="n">
        <x:f>IF(ISNUMBER(X111),IF('Scoring Setup'!$L$10=1,1-'Scoring Setup'!$B$5*(1-MAX(0,MIN(1,(X111-'Scoring Setup'!$K$10)/(100-'Scoring Setup'!$K$10)))),1),"")</x:f>
        <x:v>0.9467114568599717</x:v>
      </x:c>
      <x:c r="AQ111" s="27" t="n">
        <x:f>IF(ISNUMBER(Y111),IF('Scoring Setup'!$L$11=1,1-'Scoring Setup'!$B$5*(1-MAX(0,MIN(1,(Y111-'Scoring Setup'!$K$11)/(100-'Scoring Setup'!$K$11)))),1),"")</x:f>
        <x:v>0.818630030801054</x:v>
      </x:c>
      <x:c r="AR111" s="27" t="n">
        <x:f>IF(ISNUMBER(Z111),IF('Scoring Setup'!$L$12=1,1-'Scoring Setup'!$B$5*(1-MAX(0,MIN(1,(Z111-'Scoring Setup'!$K$12)/(100-'Scoring Setup'!$K$12)))),1),"")</x:f>
        <x:v>0.8</x:v>
      </x:c>
      <x:c r="AS111" s="27" t="n">
        <x:f>IF(ISNUMBER(AA111),IF('Scoring Setup'!$L$13=1,1-'Scoring Setup'!$B$5*(1-MAX(0,MIN(1,(AA111-'Scoring Setup'!$K$13)/(100-'Scoring Setup'!$K$13)))),1),"")</x:f>
        <x:v>0.8853154248242052</x:v>
      </x:c>
      <x:c r="AT111" s="27" t="n">
        <x:f>IF(ISNUMBER(AB111),IF('Scoring Setup'!$L$14=1,1-'Scoring Setup'!$B$5*(1-MAX(0,MIN(1,(AB111-'Scoring Setup'!$K$14)/(100-'Scoring Setup'!$K$14)))),1),"")</x:f>
        <x:v>1</x:v>
      </x:c>
      <x:c r="AU111" s="27" t="n">
        <x:f>IF(ISNUMBER(AC111),IF('Scoring Setup'!$L$15=1,1-'Scoring Setup'!$B$5*(1-MAX(0,MIN(1,(AC111-'Scoring Setup'!$K$15)/(100-'Scoring Setup'!$K$15)))),1),"")</x:f>
        <x:v>0.9218166561778897</x:v>
      </x:c>
      <x:c r="AV111" s="27" t="n">
        <x:f>IF(ISNUMBER(AD111),IF('Scoring Setup'!$L$16=1,1-'Scoring Setup'!$B$5*(1-MAX(0,MIN(1,(AD111-'Scoring Setup'!$K$16)/(100-'Scoring Setup'!$K$16)))),1),"")</x:f>
        <x:v>0.8</x:v>
      </x:c>
      <x:c r="AW111" s="27" t="n">
        <x:f>IF(ISNUMBER(AE111),IF('Scoring Setup'!$L$17=1,1-'Scoring Setup'!$B$5*(1-MAX(0,MIN(1,(AE111-'Scoring Setup'!$K$17)/(100-'Scoring Setup'!$K$17)))),1),"")</x:f>
        <x:v>0.8</x:v>
      </x:c>
      <x:c r="AX111" s="27" t="n">
        <x:f>IF(ISNUMBER(AF111),IF('Scoring Setup'!$L$18=1,1-'Scoring Setup'!$B$5*(1-MAX(0,MIN(1,(AF111-'Scoring Setup'!$K$18)/(100-'Scoring Setup'!$K$18)))),1),"")</x:f>
        <x:v>0.8268334165658253</x:v>
      </x:c>
      <x:c r="AY111" s="27" t="n">
        <x:f>IF(ISNUMBER(AG111),IF('Scoring Setup'!$L$19=1,1-'Scoring Setup'!$B$5*(1-MAX(0,MIN(1,(AG111-'Scoring Setup'!$K$19)/(100-'Scoring Setup'!$K$19)))),1),"")</x:f>
        <x:v>0.8347111111111111</x:v>
      </x:c>
      <x:c r="AZ111" s="27" t="n">
        <x:f>IF(ISNUMBER(AH111),IF('Scoring Setup'!$L$20=1,1-'Scoring Setup'!$B$5*(1-MAX(0,MIN(1,(AH111-'Scoring Setup'!$K$20)/(100-'Scoring Setup'!$K$20)))),1),"")</x:f>
        <x:v>0.9113546039496527</x:v>
      </x:c>
      <x:c r="BA111" s="27" t="n">
        <x:f>IF(ISNUMBER(AI111),IF('Scoring Setup'!$L$21=1,1-'Scoring Setup'!$B$5*(1-MAX(0,MIN(1,(AI111-'Scoring Setup'!$K$21)/(100-'Scoring Setup'!$K$21)))),1),"")</x:f>
        <x:v>0.9319166766575404</x:v>
      </x:c>
      <x:c r="BB111" s="27" t="n">
        <x:f>IF(ISNUMBER(AJ111),IF('Scoring Setup'!$L$22=1,1-'Scoring Setup'!$B$5*(1-MAX(0,MIN(1,(AJ111-'Scoring Setup'!$K$22)/(100-'Scoring Setup'!$K$22)))),1),"")</x:f>
        <x:v>0.8154354174518601</x:v>
      </x:c>
      <x:c r="BC111" s="27" t="n">
        <x:f>IF(ISNUMBER(AK111),IF('Scoring Setup'!$L$23=1,1-'Scoring Setup'!$B$5*(1-MAX(0,MIN(1,(AK111-'Scoring Setup'!$K$23)/(100-'Scoring Setup'!$K$23)))),1),"")</x:f>
        <x:v>1</x:v>
      </x:c>
      <x:c r="BD111" s="27" t="n">
        <x:f>IF(ISNUMBER(AL111),IF('Scoring Setup'!$L$24=1,1-'Scoring Setup'!$B$5*(1-MAX(0,MIN(1,(AL111-'Scoring Setup'!$K$24)/(100-'Scoring Setup'!$K$24)))),1),"")</x:f>
        <x:v>0.9094545454545454</x:v>
      </x:c>
      <x:c r="BE111" s="27" t="n">
        <x:f>IF(ISNUMBER(AM111),IF('Scoring Setup'!$L$25=1,1-'Scoring Setup'!$B$5*(1-MAX(0,MIN(1,(AM111-'Scoring Setup'!$K$25)/(100-'Scoring Setup'!$K$25)))),1),"")</x:f>
        <x:v>0.8549228700052378</x:v>
      </x:c>
      <x:c r="BF111" s="27" t="n">
        <x:f>IF(ISNUMBER(AN111),IF('Scoring Setup'!$L$26=1,1-'Scoring Setup'!$B$5*(1-MAX(0,MIN(1,(AN111-'Scoring Setup'!$K$26)/(100-'Scoring Setup'!$K$26)))),1),"")</x:f>
        <x:v>0.977621005370185</x:v>
      </x:c>
      <x:c r="BG111" s="34" t="n">
        <x:f>IF(COUNT(W111,X111)=2,AVERAGE(W111,X111),"")</x:f>
        <x:v>79.32072135785008</x:v>
      </x:c>
      <x:c r="BH111" s="34" t="n">
        <x:f>IF(COUNT(Y111,Z111)=2,AVERAGE(Y111,Z111),"")</x:f>
        <x:v>4.657507700263505</x:v>
      </x:c>
      <x:c r="BI111" s="34" t="n">
        <x:f>IF(COUNT(AA111,AB111,AC111)=3,AVERAGE(AA111,AB111,AC111),"")</x:f>
        <x:v>67.85534683368247</x:v>
      </x:c>
      <x:c r="BJ111" s="34" t="n">
        <x:f>IF(COUNT(AD111,AE111)=2,AVERAGE(AD111,AE111),"")</x:f>
        <x:v>0</x:v>
      </x:c>
      <x:c r="BK111" s="34" t="n">
        <x:f>IF(COUNT(AF111,AG111)=2,AVERAGE(AF111,AG111),"")</x:f>
        <x:v>15.38613191923411</x:v>
      </x:c>
      <x:c r="BL111" s="34" t="n">
        <x:f>IF(COUNT(AH111,AI111)=2,AVERAGE(AH111,AI111),"")</x:f>
        <x:v>60.8178201517983</x:v>
      </x:c>
      <x:c r="BM111" s="34" t="n">
        <x:f>IF(COUNT(AJ111,AK111)=2,AVERAGE(AJ111,AK111),"")</x:f>
        <x:v>53.85885436296504</x:v>
      </x:c>
      <x:c r="BN111" s="34" t="n">
        <x:f>IF(COUNT(AL111,AM111,AN111)=3,AVERAGE(AL111,AM111,AN111),"")</x:f>
        <x:v>56.999736804994704</x:v>
      </x:c>
      <x:c r="BO111" s="35" t="n">
        <x:f>IF(AND(COUNT(BG111:BN111)=8,ABS('Scoring Setup'!$C$17-1)&lt;0.000001),BG111*'Scoring Setup'!$C$9+BH111*'Scoring Setup'!$C$10+BI111*'Scoring Setup'!$C$11+BJ111*'Scoring Setup'!$C$12+BK111*'Scoring Setup'!$C$13+BL111*'Scoring Setup'!$C$14+BM111*'Scoring Setup'!$C$15+BN111*'Scoring Setup'!$C$16,"")</x:f>
        <x:v>40.02147631836595</x:v>
      </x:c>
      <x:c r="BP111" s="36" t="n">
        <x:f>IF(COUNT(AO111:BF111)=18,MIN(AO111:BF111),"")</x:f>
        <x:v>0.8</x:v>
      </x:c>
      <x:c r="BQ111" s="35" t="n">
        <x:f>IF(AND(ISNUMBER(BO111),ISNUMBER(BP111)),BO111*BP111,"")</x:f>
        <x:v>32.01718105469276</x:v>
      </x:c>
      <x:c r="BR111" s="17" t="str">
        <x:f>IF(COUNT(AO111:BF111)=18,INDEX('Scoring Setup'!$F$9:$F$26,MATCH(MIN(AO111:BF111),AO111:BF111,0),1),"")</x:f>
        <x:v>2050 BAU水压力</x:v>
      </x:c>
    </x:row>
    <x:row r="112">
      <x:c r="A112" s="28" t="str">
        <x:v>51630</x:v>
      </x:c>
      <x:c r="B112" s="28" t="str">
        <x:v>Fredericksburg city</x:v>
      </x:c>
      <x:c r="C112" s="28" t="str">
        <x:v>VA</x:v>
      </x:c>
      <x:c r="D112" s="31" t="n">
        <x:v>27.066498</x:v>
      </x:c>
      <x:c r="E112" s="32" t="n">
        <x:v>0.205</x:v>
      </x:c>
      <x:c r="F112" s="32" t="n">
        <x:v>0.22679455445544602</x:v>
      </x:c>
      <x:c r="G112" s="32" t="n">
        <x:v>2.7027135553703565</x:v>
      </x:c>
      <x:c r="H112" s="32" t="n">
        <x:v>3.0523827680000006</x:v>
      </x:c>
      <x:c r="I112" s="32" t="n">
        <x:v>0.29597377657108803</x:v>
      </x:c>
      <x:c r="J112" s="32" t="n">
        <x:v>0.007723144990551124</x:v>
      </x:c>
      <x:c r="K112" s="32" t="n">
        <x:v>0.038209390106615455</x:v>
      </x:c>
      <x:c r="L112" s="32" t="n">
        <x:v>0.525613697</x:v>
      </x:c>
      <x:c r="M112" s="32" t="n">
        <x:v>0.22856357</x:v>
      </x:c>
      <x:c r="N112" s="32" t="n">
        <x:v>16496</x:v>
      </x:c>
      <x:c r="O112" s="32" t="n">
        <x:v>0.7636</x:v>
      </x:c>
      <x:c r="P112" s="32" t="n">
        <x:v>1165.3438639322917</x:v>
      </x:c>
      <x:c r="Q112" s="32" t="n">
        <x:v>30.13529001871745</x:v>
      </x:c>
      <x:c r="R112" s="32" t="n">
        <x:v>1.4644234708306532</x:v>
      </x:c>
      <x:c r="S112" s="32" t="n">
        <x:v>2.3148008849534487</x:v>
      </x:c>
      <x:c r="T112" s="32" t="n">
        <x:v>89.9</x:v>
      </x:c>
      <x:c r="U112" s="32" t="n">
        <x:v>245.07712999476223</x:v>
      </x:c>
      <x:c r="V112" s="32" t="n">
        <x:v>244.75798925963002</x:v>
      </x:c>
      <x:c r="W112" s="33" t="n">
        <x:f>IF(ISNUMBER(E112),100*MAX(0,MIN(1,('Anchors'!$H$6-E112)/('Anchors'!$H$6-'Anchors'!$G$6))),"")</x:f>
        <x:v>99.2857142857143</x:v>
      </x:c>
      <x:c r="X112" s="33" t="n">
        <x:f>IF(ISNUMBER(F112),100*MAX(0,MIN(1,('Anchors'!$H$7-F112)/('Anchors'!$H$7-'Anchors'!$G$7))),"")</x:f>
        <x:v>81.88649222065057</x:v>
      </x:c>
      <x:c r="Y112" s="33" t="n">
        <x:f>IF(ISNUMBER(G112),100*MAX(0,MIN(1,('Anchors'!$H$8-G112)/('Anchors'!$H$8-'Anchors'!$G$8))),"")</x:f>
        <x:v>43.242881487654785</x:v>
      </x:c>
      <x:c r="Z112" s="33" t="n">
        <x:f>IF(ISNUMBER(H112),100*MAX(0,MIN(1,('Anchors'!$H$9-H112)/('Anchors'!$H$9-'Anchors'!$G$9))),"")</x:f>
        <x:v>31.587241066666643</x:v>
      </x:c>
      <x:c r="AA112" s="33" t="n">
        <x:f>IF(ISNUMBER(I112),100*MAX(0,MIN(1,(I112-'Anchors'!$H$10)/('Anchors'!$G$10-'Anchors'!$H$10))),"")</x:f>
        <x:v>6.297777612477813</x:v>
      </x:c>
      <x:c r="AB112" s="33" t="n">
        <x:f>IF(ISNUMBER(J112),100*MAX(0,MIN(1,('Anchors'!$H$11-J112)/('Anchors'!$H$11-'Anchors'!$G$11))),"")</x:f>
        <x:v>96.91074200377955</x:v>
      </x:c>
      <x:c r="AC112" s="33" t="n">
        <x:f>IF(ISNUMBER(K112),100*MAX(0,MIN(1,('Anchors'!$H$12-K112)/('Anchors'!$H$12-'Anchors'!$G$12))),"")</x:f>
        <x:v>90.44765247334614</x:v>
      </x:c>
      <x:c r="AD112" s="33" t="n">
        <x:f>IF(ISNUMBER(L112),100*MAX(0,MIN(1,(L112-'Anchors'!$H$13)/('Anchors'!$G$13-'Anchors'!$H$13))),"")</x:f>
        <x:v>46.51624242857144</x:v>
      </x:c>
      <x:c r="AE112" s="33" t="n">
        <x:f>IF(ISNUMBER(M112),100*MAX(0,MIN(1,(M112-'Anchors'!$H$14)/('Anchors'!$G$14-'Anchors'!$H$14))),"")</x:f>
        <x:v>16.070446249999996</x:v>
      </x:c>
      <x:c r="AF112" s="33" t="n">
        <x:f>IF(ISNUMBER(N112),100*MAX(0,MIN(1,(LN(1+N112)-LN(1+'Anchors'!$H$15))/(LN(1+'Anchors'!$G$15)-LN(1+'Anchors'!$H$15)))),"")</x:f>
        <x:v>48.865739639417455</x:v>
      </x:c>
      <x:c r="AG112" s="33" t="n">
        <x:f>IF(ISNUMBER(O112),100*MAX(0,MIN(1,('Anchors'!$H$16-O112)/('Anchors'!$H$16-'Anchors'!$G$16))),"")</x:f>
        <x:v>20.711111111111112</x:v>
      </x:c>
      <x:c r="AH112" s="33" t="n">
        <x:f>IF(ISNUMBER(P112),100*MAX(0,MIN(1,('Anchors'!$H$17-P112)/('Anchors'!$H$17-'Anchors'!$G$17))),"")</x:f>
        <x:v>68.97707573784722</x:v>
      </x:c>
      <x:c r="AI112" s="33" t="n">
        <x:f>IF(ISNUMBER(Q112),100*MAX(0,MIN(1,('Anchors'!$H$18-Q112)/('Anchors'!$H$18-'Anchors'!$G$18))),"")</x:f>
        <x:v>64.09244283040364</x:v>
      </x:c>
      <x:c r="AJ112" s="33" t="n">
        <x:f>IF(ISNUMBER(R112),100*MAX(0,MIN(1,('Anchors'!$H$19-R112)/('Anchors'!$H$19-'Anchors'!$G$19))),"")</x:f>
        <x:v>100</x:v>
      </x:c>
      <x:c r="AK112" s="33" t="n">
        <x:f>IF(ISNUMBER(S112),100*MAX(0,MIN(1,('Anchors'!$H$20-S112)/('Anchors'!$H$20-'Anchors'!$G$20))),"")</x:f>
        <x:v>93.07999534235026</x:v>
      </x:c>
      <x:c r="AL112" s="33" t="n">
        <x:f>IF(ISNUMBER(T112),100*MAX(0,MIN(1,('Anchors'!$H$21-T112)/('Anchors'!$H$21-'Anchors'!$G$21))),"")</x:f>
        <x:v>54.72727272727271</x:v>
      </x:c>
      <x:c r="AM112" s="33" t="n">
        <x:f>IF(ISNUMBER(U112),100*MAX(0,MIN(1,('Anchors'!$H$22-U112)/('Anchors'!$H$22-'Anchors'!$G$22))),"")</x:f>
        <x:v>27.461435002618884</x:v>
      </x:c>
      <x:c r="AN112" s="33" t="n">
        <x:f>IF(ISNUMBER(V112),100*MAX(0,MIN(1,('Anchors'!$H$23-V112)/('Anchors'!$H$23-'Anchors'!$G$23))),"")</x:f>
        <x:v>88.8105026850925</x:v>
      </x:c>
      <x:c r="AO112" s="27" t="n">
        <x:f>IF(ISNUMBER(W112),IF('Scoring Setup'!$L$9=1,1-'Scoring Setup'!$B$5*(1-MAX(0,MIN(1,(W112-'Scoring Setup'!$K$9)/(100-'Scoring Setup'!$K$9)))),1),"")</x:f>
        <x:v>0.9985714285714287</x:v>
      </x:c>
      <x:c r="AP112" s="27" t="n">
        <x:f>IF(ISNUMBER(X112),IF('Scoring Setup'!$L$10=1,1-'Scoring Setup'!$B$5*(1-MAX(0,MIN(1,(X112-'Scoring Setup'!$K$10)/(100-'Scoring Setup'!$K$10)))),1),"")</x:f>
        <x:v>0.9637729844413011</x:v>
      </x:c>
      <x:c r="AQ112" s="27" t="n">
        <x:f>IF(ISNUMBER(Y112),IF('Scoring Setup'!$L$11=1,1-'Scoring Setup'!$B$5*(1-MAX(0,MIN(1,(Y112-'Scoring Setup'!$K$11)/(100-'Scoring Setup'!$K$11)))),1),"")</x:f>
        <x:v>0.8864857629753096</x:v>
      </x:c>
      <x:c r="AR112" s="27" t="n">
        <x:f>IF(ISNUMBER(Z112),IF('Scoring Setup'!$L$12=1,1-'Scoring Setup'!$B$5*(1-MAX(0,MIN(1,(Z112-'Scoring Setup'!$K$12)/(100-'Scoring Setup'!$K$12)))),1),"")</x:f>
        <x:v>0.8631744821333333</x:v>
      </x:c>
      <x:c r="AS112" s="27" t="n">
        <x:f>IF(ISNUMBER(AA112),IF('Scoring Setup'!$L$13=1,1-'Scoring Setup'!$B$5*(1-MAX(0,MIN(1,(AA112-'Scoring Setup'!$K$13)/(100-'Scoring Setup'!$K$13)))),1),"")</x:f>
        <x:v>0.8125955552249556</x:v>
      </x:c>
      <x:c r="AT112" s="27" t="n">
        <x:f>IF(ISNUMBER(AB112),IF('Scoring Setup'!$L$14=1,1-'Scoring Setup'!$B$5*(1-MAX(0,MIN(1,(AB112-'Scoring Setup'!$K$14)/(100-'Scoring Setup'!$K$14)))),1),"")</x:f>
        <x:v>0.9938214840075591</x:v>
      </x:c>
      <x:c r="AU112" s="27" t="n">
        <x:f>IF(ISNUMBER(AC112),IF('Scoring Setup'!$L$15=1,1-'Scoring Setup'!$B$5*(1-MAX(0,MIN(1,(AC112-'Scoring Setup'!$K$15)/(100-'Scoring Setup'!$K$15)))),1),"")</x:f>
        <x:v>0.9808953049466923</x:v>
      </x:c>
      <x:c r="AV112" s="27" t="n">
        <x:f>IF(ISNUMBER(AD112),IF('Scoring Setup'!$L$16=1,1-'Scoring Setup'!$B$5*(1-MAX(0,MIN(1,(AD112-'Scoring Setup'!$K$16)/(100-'Scoring Setup'!$K$16)))),1),"")</x:f>
        <x:v>0.8930324848571429</x:v>
      </x:c>
      <x:c r="AW112" s="27" t="n">
        <x:f>IF(ISNUMBER(AE112),IF('Scoring Setup'!$L$17=1,1-'Scoring Setup'!$B$5*(1-MAX(0,MIN(1,(AE112-'Scoring Setup'!$K$17)/(100-'Scoring Setup'!$K$17)))),1),"")</x:f>
        <x:v>0.8321408925</x:v>
      </x:c>
      <x:c r="AX112" s="27" t="n">
        <x:f>IF(ISNUMBER(AF112),IF('Scoring Setup'!$L$18=1,1-'Scoring Setup'!$B$5*(1-MAX(0,MIN(1,(AF112-'Scoring Setup'!$K$18)/(100-'Scoring Setup'!$K$18)))),1),"")</x:f>
        <x:v>0.8977314792788349</x:v>
      </x:c>
      <x:c r="AY112" s="27" t="n">
        <x:f>IF(ISNUMBER(AG112),IF('Scoring Setup'!$L$19=1,1-'Scoring Setup'!$B$5*(1-MAX(0,MIN(1,(AG112-'Scoring Setup'!$K$19)/(100-'Scoring Setup'!$K$19)))),1),"")</x:f>
        <x:v>0.8414222222222222</x:v>
      </x:c>
      <x:c r="AZ112" s="27" t="n">
        <x:f>IF(ISNUMBER(AH112),IF('Scoring Setup'!$L$20=1,1-'Scoring Setup'!$B$5*(1-MAX(0,MIN(1,(AH112-'Scoring Setup'!$K$20)/(100-'Scoring Setup'!$K$20)))),1),"")</x:f>
        <x:v>0.9379541514756944</x:v>
      </x:c>
      <x:c r="BA112" s="27" t="n">
        <x:f>IF(ISNUMBER(AI112),IF('Scoring Setup'!$L$21=1,1-'Scoring Setup'!$B$5*(1-MAX(0,MIN(1,(AI112-'Scoring Setup'!$K$21)/(100-'Scoring Setup'!$K$21)))),1),"")</x:f>
        <x:v>0.9281848856608073</x:v>
      </x:c>
      <x:c r="BB112" s="27" t="n">
        <x:f>IF(ISNUMBER(AJ112),IF('Scoring Setup'!$L$22=1,1-'Scoring Setup'!$B$5*(1-MAX(0,MIN(1,(AJ112-'Scoring Setup'!$K$22)/(100-'Scoring Setup'!$K$22)))),1),"")</x:f>
        <x:v>1</x:v>
      </x:c>
      <x:c r="BC112" s="27" t="n">
        <x:f>IF(ISNUMBER(AK112),IF('Scoring Setup'!$L$23=1,1-'Scoring Setup'!$B$5*(1-MAX(0,MIN(1,(AK112-'Scoring Setup'!$K$23)/(100-'Scoring Setup'!$K$23)))),1),"")</x:f>
        <x:v>0.9861599906847005</x:v>
      </x:c>
      <x:c r="BD112" s="27" t="n">
        <x:f>IF(ISNUMBER(AL112),IF('Scoring Setup'!$L$24=1,1-'Scoring Setup'!$B$5*(1-MAX(0,MIN(1,(AL112-'Scoring Setup'!$K$24)/(100-'Scoring Setup'!$K$24)))),1),"")</x:f>
        <x:v>0.9094545454545454</x:v>
      </x:c>
      <x:c r="BE112" s="27" t="n">
        <x:f>IF(ISNUMBER(AM112),IF('Scoring Setup'!$L$25=1,1-'Scoring Setup'!$B$5*(1-MAX(0,MIN(1,(AM112-'Scoring Setup'!$K$25)/(100-'Scoring Setup'!$K$25)))),1),"")</x:f>
        <x:v>0.8549228700052378</x:v>
      </x:c>
      <x:c r="BF112" s="27" t="n">
        <x:f>IF(ISNUMBER(AN112),IF('Scoring Setup'!$L$26=1,1-'Scoring Setup'!$B$5*(1-MAX(0,MIN(1,(AN112-'Scoring Setup'!$K$26)/(100-'Scoring Setup'!$K$26)))),1),"")</x:f>
        <x:v>0.977621005370185</x:v>
      </x:c>
      <x:c r="BG112" s="34" t="n">
        <x:f>IF(COUNT(W112,X112)=2,AVERAGE(W112,X112),"")</x:f>
        <x:v>90.58610325318244</x:v>
      </x:c>
      <x:c r="BH112" s="34" t="n">
        <x:f>IF(COUNT(Y112,Z112)=2,AVERAGE(Y112,Z112),"")</x:f>
        <x:v>37.41506127716072</x:v>
      </x:c>
      <x:c r="BI112" s="34" t="n">
        <x:f>IF(COUNT(AA112,AB112,AC112)=3,AVERAGE(AA112,AB112,AC112),"")</x:f>
        <x:v>64.55205736320117</x:v>
      </x:c>
      <x:c r="BJ112" s="34" t="n">
        <x:f>IF(COUNT(AD112,AE112)=2,AVERAGE(AD112,AE112),"")</x:f>
        <x:v>31.293344339285717</x:v>
      </x:c>
      <x:c r="BK112" s="34" t="n">
        <x:f>IF(COUNT(AF112,AG112)=2,AVERAGE(AF112,AG112),"")</x:f>
        <x:v>34.78842537526428</x:v>
      </x:c>
      <x:c r="BL112" s="34" t="n">
        <x:f>IF(COUNT(AH112,AI112)=2,AVERAGE(AH112,AI112),"")</x:f>
        <x:v>66.53475928412543</x:v>
      </x:c>
      <x:c r="BM112" s="34" t="n">
        <x:f>IF(COUNT(AJ112,AK112)=2,AVERAGE(AJ112,AK112),"")</x:f>
        <x:v>96.53999767117513</x:v>
      </x:c>
      <x:c r="BN112" s="34" t="n">
        <x:f>IF(COUNT(AL112,AM112,AN112)=3,AVERAGE(AL112,AM112,AN112),"")</x:f>
        <x:v>56.999736804994704</x:v>
      </x:c>
      <x:c r="BO112" s="35" t="n">
        <x:f>IF(AND(COUNT(BG112:BN112)=8,ABS('Scoring Setup'!$C$17-1)&lt;0.000001),BG112*'Scoring Setup'!$C$9+BH112*'Scoring Setup'!$C$10+BI112*'Scoring Setup'!$C$11+BJ112*'Scoring Setup'!$C$12+BK112*'Scoring Setup'!$C$13+BL112*'Scoring Setup'!$C$14+BM112*'Scoring Setup'!$C$15+BN112*'Scoring Setup'!$C$16,"")</x:f>
        <x:v>54.858664177788945</x:v>
      </x:c>
      <x:c r="BP112" s="36" t="n">
        <x:f>IF(COUNT(AO112:BF112)=18,MIN(AO112:BF112),"")</x:f>
        <x:v>0.8125955552249556</x:v>
      </x:c>
      <x:c r="BQ112" s="35" t="n">
        <x:f>IF(AND(ISNUMBER(BO112),ISNUMBER(BP112)),BO112*BP112,"")</x:f>
        <x:v>44.57790667644979</x:v>
      </x:c>
      <x:c r="BR112" s="17" t="str">
        <x:f>IF(COUNT(AO112:BF112)=18,INDEX('Scoring Setup'!$F$9:$F$26,MATCH(MIN(AO112:BF112),AO112:BF112,0),1),"")</x:f>
        <x:v>低不透水土地比例</x:v>
      </x:c>
    </x:row>
    <x:row r="113">
      <x:c r="A113" s="28" t="str">
        <x:v>51640</x:v>
      </x:c>
      <x:c r="B113" s="28" t="str">
        <x:v>Galax city</x:v>
      </x:c>
      <x:c r="C113" s="28" t="str">
        <x:v>VA</x:v>
      </x:c>
      <x:c r="D113" s="31" t="n">
        <x:v>21.332077</x:v>
      </x:c>
      <x:c r="E113" s="32" t="n">
        <x:v>0.653</x:v>
      </x:c>
      <x:c r="F113" s="32" t="n">
        <x:v>0.24102722772277202</x:v>
      </x:c>
      <x:c r="G113" s="32" t="n">
        <x:v>1.8856368305962752</x:v>
      </x:c>
      <x:c r="H113" s="32" t="n">
        <x:v>2.282656327</x:v>
      </x:c>
      <x:c r="I113" s="32" t="n">
        <x:v>0.5625525121828264</x:v>
      </x:c>
      <x:c r="J113" s="32" t="n">
        <x:v>0</x:v>
      </x:c>
      <x:c r="K113" s="32" t="n">
        <x:v>0</x:v>
      </x:c>
      <x:c r="L113" s="32" t="n">
        <x:v>0.876636983</x:v>
      </x:c>
      <x:c r="M113" s="32" t="n">
        <x:v>0.876636983</x:v>
      </x:c>
      <x:c r="N113" s="32" t="n">
        <x:v>2815</x:v>
      </x:c>
      <x:c r="O113" s="32" t="n">
        <x:v>0.9532</x:v>
      </x:c>
      <x:c r="P113" s="32" t="n">
        <x:v>432.3235636393229</x:v>
      </x:c>
      <x:c r="Q113" s="32" t="n">
        <x:v>1.387273340423902</x:v>
      </x:c>
      <x:c r="R113" s="32" t="n">
        <x:v>14.936723105328703</x:v>
      </x:c>
      <x:c r="S113" s="32" t="n">
        <x:v>0.9250213251024745</x:v>
      </x:c>
      <x:c r="T113" s="32" t="n">
        <x:v>89.9</x:v>
      </x:c>
      <x:c r="U113" s="32" t="n">
        <x:v>245.07712999476223</x:v>
      </x:c>
      <x:c r="V113" s="32" t="n">
        <x:v>244.75798925963002</x:v>
      </x:c>
      <x:c r="W113" s="33" t="n">
        <x:f>IF(ISNUMBER(E113),100*MAX(0,MIN(1,('Anchors'!$H$6-E113)/('Anchors'!$H$6-'Anchors'!$G$6))),"")</x:f>
        <x:v>35.285714285714285</x:v>
      </x:c>
      <x:c r="X113" s="33" t="n">
        <x:f>IF(ISNUMBER(F113),100*MAX(0,MIN(1,('Anchors'!$H$7-F113)/('Anchors'!$H$7-'Anchors'!$G$7))),"")</x:f>
        <x:v>79.85325318246113</x:v>
      </x:c>
      <x:c r="Y113" s="33" t="n">
        <x:f>IF(ISNUMBER(G113),100*MAX(0,MIN(1,('Anchors'!$H$8-G113)/('Anchors'!$H$8-'Anchors'!$G$8))),"")</x:f>
        <x:v>70.4787723134575</x:v>
      </x:c>
      <x:c r="Z113" s="33" t="n">
        <x:f>IF(ISNUMBER(H113),100*MAX(0,MIN(1,('Anchors'!$H$9-H113)/('Anchors'!$H$9-'Anchors'!$G$9))),"")</x:f>
        <x:v>57.24478909999999</x:v>
      </x:c>
      <x:c r="AA113" s="33" t="n">
        <x:f>IF(ISNUMBER(I113),100*MAX(0,MIN(1,(I113-'Anchors'!$H$10)/('Anchors'!$G$10-'Anchors'!$H$10))),"")</x:f>
        <x:v>42.81541262778445</x:v>
      </x:c>
      <x:c r="AB113" s="33" t="n">
        <x:f>IF(ISNUMBER(J113),100*MAX(0,MIN(1,('Anchors'!$H$11-J113)/('Anchors'!$H$11-'Anchors'!$G$11))),"")</x:f>
        <x:v>100</x:v>
      </x:c>
      <x:c r="AC113" s="33" t="n">
        <x:f>IF(ISNUMBER(K113),100*MAX(0,MIN(1,('Anchors'!$H$12-K113)/('Anchors'!$H$12-'Anchors'!$G$12))),"")</x:f>
        <x:v>100</x:v>
      </x:c>
      <x:c r="AD113" s="33" t="n">
        <x:f>IF(ISNUMBER(L113),100*MAX(0,MIN(1,(L113-'Anchors'!$H$13)/('Anchors'!$G$13-'Anchors'!$H$13))),"")</x:f>
        <x:v>96.66242614285716</x:v>
      </x:c>
      <x:c r="AE113" s="33" t="n">
        <x:f>IF(ISNUMBER(M113),100*MAX(0,MIN(1,(M113-'Anchors'!$H$14)/('Anchors'!$G$14-'Anchors'!$H$14))),"")</x:f>
        <x:v>97.079622875</x:v>
      </x:c>
      <x:c r="AF113" s="33" t="n">
        <x:f>IF(ISNUMBER(N113),100*MAX(0,MIN(1,(LN(1+N113)-LN(1+'Anchors'!$H$15))/(LN(1+'Anchors'!$G$15)-LN(1+'Anchors'!$H$15)))),"")</x:f>
        <x:v>7.914542180428867</x:v>
      </x:c>
      <x:c r="AG113" s="33" t="n">
        <x:f>IF(ISNUMBER(O113),100*MAX(0,MIN(1,('Anchors'!$H$16-O113)/('Anchors'!$H$16-'Anchors'!$G$16))),"")</x:f>
        <x:v>0</x:v>
      </x:c>
      <x:c r="AH113" s="33" t="n">
        <x:f>IF(ISNUMBER(P113),100*MAX(0,MIN(1,('Anchors'!$H$17-P113)/('Anchors'!$H$17-'Anchors'!$G$17))),"")</x:f>
        <x:v>100</x:v>
      </x:c>
      <x:c r="AI113" s="33" t="n">
        <x:f>IF(ISNUMBER(Q113),100*MAX(0,MIN(1,('Anchors'!$H$18-Q113)/('Anchors'!$H$18-'Anchors'!$G$18))),"")</x:f>
        <x:v>100</x:v>
      </x:c>
      <x:c r="AJ113" s="33" t="n">
        <x:f>IF(ISNUMBER(R113),100*MAX(0,MIN(1,('Anchors'!$H$19-R113)/('Anchors'!$H$19-'Anchors'!$G$19))),"")</x:f>
        <x:v>77.91839309926955</x:v>
      </x:c>
      <x:c r="AK113" s="33" t="n">
        <x:f>IF(ISNUMBER(S113),100*MAX(0,MIN(1,('Anchors'!$H$20-S113)/('Anchors'!$H$20-'Anchors'!$G$20))),"")</x:f>
        <x:v>100</x:v>
      </x:c>
      <x:c r="AL113" s="33" t="n">
        <x:f>IF(ISNUMBER(T113),100*MAX(0,MIN(1,('Anchors'!$H$21-T113)/('Anchors'!$H$21-'Anchors'!$G$21))),"")</x:f>
        <x:v>54.72727272727271</x:v>
      </x:c>
      <x:c r="AM113" s="33" t="n">
        <x:f>IF(ISNUMBER(U113),100*MAX(0,MIN(1,('Anchors'!$H$22-U113)/('Anchors'!$H$22-'Anchors'!$G$22))),"")</x:f>
        <x:v>27.461435002618884</x:v>
      </x:c>
      <x:c r="AN113" s="33" t="n">
        <x:f>IF(ISNUMBER(V113),100*MAX(0,MIN(1,('Anchors'!$H$23-V113)/('Anchors'!$H$23-'Anchors'!$G$23))),"")</x:f>
        <x:v>88.8105026850925</x:v>
      </x:c>
      <x:c r="AO113" s="27" t="n">
        <x:f>IF(ISNUMBER(W113),IF('Scoring Setup'!$L$9=1,1-'Scoring Setup'!$B$5*(1-MAX(0,MIN(1,(W113-'Scoring Setup'!$K$9)/(100-'Scoring Setup'!$K$9)))),1),"")</x:f>
        <x:v>0.8705714285714286</x:v>
      </x:c>
      <x:c r="AP113" s="27" t="n">
        <x:f>IF(ISNUMBER(X113),IF('Scoring Setup'!$L$10=1,1-'Scoring Setup'!$B$5*(1-MAX(0,MIN(1,(X113-'Scoring Setup'!$K$10)/(100-'Scoring Setup'!$K$10)))),1),"")</x:f>
        <x:v>0.9597065063649223</x:v>
      </x:c>
      <x:c r="AQ113" s="27" t="n">
        <x:f>IF(ISNUMBER(Y113),IF('Scoring Setup'!$L$11=1,1-'Scoring Setup'!$B$5*(1-MAX(0,MIN(1,(Y113-'Scoring Setup'!$K$11)/(100-'Scoring Setup'!$K$11)))),1),"")</x:f>
        <x:v>0.9409575446269149</x:v>
      </x:c>
      <x:c r="AR113" s="27" t="n">
        <x:f>IF(ISNUMBER(Z113),IF('Scoring Setup'!$L$12=1,1-'Scoring Setup'!$B$5*(1-MAX(0,MIN(1,(Z113-'Scoring Setup'!$K$12)/(100-'Scoring Setup'!$K$12)))),1),"")</x:f>
        <x:v>0.9144895782</x:v>
      </x:c>
      <x:c r="AS113" s="27" t="n">
        <x:f>IF(ISNUMBER(AA113),IF('Scoring Setup'!$L$13=1,1-'Scoring Setup'!$B$5*(1-MAX(0,MIN(1,(AA113-'Scoring Setup'!$K$13)/(100-'Scoring Setup'!$K$13)))),1),"")</x:f>
        <x:v>0.8856308252555689</x:v>
      </x:c>
      <x:c r="AT113" s="27" t="n">
        <x:f>IF(ISNUMBER(AB113),IF('Scoring Setup'!$L$14=1,1-'Scoring Setup'!$B$5*(1-MAX(0,MIN(1,(AB113-'Scoring Setup'!$K$14)/(100-'Scoring Setup'!$K$14)))),1),"")</x:f>
        <x:v>1</x:v>
      </x:c>
      <x:c r="AU113" s="27" t="n">
        <x:f>IF(ISNUMBER(AC113),IF('Scoring Setup'!$L$15=1,1-'Scoring Setup'!$B$5*(1-MAX(0,MIN(1,(AC113-'Scoring Setup'!$K$15)/(100-'Scoring Setup'!$K$15)))),1),"")</x:f>
        <x:v>1</x:v>
      </x:c>
      <x:c r="AV113" s="27" t="n">
        <x:f>IF(ISNUMBER(AD113),IF('Scoring Setup'!$L$16=1,1-'Scoring Setup'!$B$5*(1-MAX(0,MIN(1,(AD113-'Scoring Setup'!$K$16)/(100-'Scoring Setup'!$K$16)))),1),"")</x:f>
        <x:v>0.9933248522857143</x:v>
      </x:c>
      <x:c r="AW113" s="27" t="n">
        <x:f>IF(ISNUMBER(AE113),IF('Scoring Setup'!$L$17=1,1-'Scoring Setup'!$B$5*(1-MAX(0,MIN(1,(AE113-'Scoring Setup'!$K$17)/(100-'Scoring Setup'!$K$17)))),1),"")</x:f>
        <x:v>0.99415924575</x:v>
      </x:c>
      <x:c r="AX113" s="27" t="n">
        <x:f>IF(ISNUMBER(AF113),IF('Scoring Setup'!$L$18=1,1-'Scoring Setup'!$B$5*(1-MAX(0,MIN(1,(AF113-'Scoring Setup'!$K$18)/(100-'Scoring Setup'!$K$18)))),1),"")</x:f>
        <x:v>0.8158290843608578</x:v>
      </x:c>
      <x:c r="AY113" s="27" t="n">
        <x:f>IF(ISNUMBER(AG113),IF('Scoring Setup'!$L$19=1,1-'Scoring Setup'!$B$5*(1-MAX(0,MIN(1,(AG113-'Scoring Setup'!$K$19)/(100-'Scoring Setup'!$K$19)))),1),"")</x:f>
        <x:v>0.8</x:v>
      </x:c>
      <x:c r="AZ113" s="27" t="n">
        <x:f>IF(ISNUMBER(AH113),IF('Scoring Setup'!$L$20=1,1-'Scoring Setup'!$B$5*(1-MAX(0,MIN(1,(AH113-'Scoring Setup'!$K$20)/(100-'Scoring Setup'!$K$20)))),1),"")</x:f>
        <x:v>1</x:v>
      </x:c>
      <x:c r="BA113" s="27" t="n">
        <x:f>IF(ISNUMBER(AI113),IF('Scoring Setup'!$L$21=1,1-'Scoring Setup'!$B$5*(1-MAX(0,MIN(1,(AI113-'Scoring Setup'!$K$21)/(100-'Scoring Setup'!$K$21)))),1),"")</x:f>
        <x:v>1</x:v>
      </x:c>
      <x:c r="BB113" s="27" t="n">
        <x:f>IF(ISNUMBER(AJ113),IF('Scoring Setup'!$L$22=1,1-'Scoring Setup'!$B$5*(1-MAX(0,MIN(1,(AJ113-'Scoring Setup'!$K$22)/(100-'Scoring Setup'!$K$22)))),1),"")</x:f>
        <x:v>0.9558367861985391</x:v>
      </x:c>
      <x:c r="BC113" s="27" t="n">
        <x:f>IF(ISNUMBER(AK113),IF('Scoring Setup'!$L$23=1,1-'Scoring Setup'!$B$5*(1-MAX(0,MIN(1,(AK113-'Scoring Setup'!$K$23)/(100-'Scoring Setup'!$K$23)))),1),"")</x:f>
        <x:v>1</x:v>
      </x:c>
      <x:c r="BD113" s="27" t="n">
        <x:f>IF(ISNUMBER(AL113),IF('Scoring Setup'!$L$24=1,1-'Scoring Setup'!$B$5*(1-MAX(0,MIN(1,(AL113-'Scoring Setup'!$K$24)/(100-'Scoring Setup'!$K$24)))),1),"")</x:f>
        <x:v>0.9094545454545454</x:v>
      </x:c>
      <x:c r="BE113" s="27" t="n">
        <x:f>IF(ISNUMBER(AM113),IF('Scoring Setup'!$L$25=1,1-'Scoring Setup'!$B$5*(1-MAX(0,MIN(1,(AM113-'Scoring Setup'!$K$25)/(100-'Scoring Setup'!$K$25)))),1),"")</x:f>
        <x:v>0.8549228700052378</x:v>
      </x:c>
      <x:c r="BF113" s="27" t="n">
        <x:f>IF(ISNUMBER(AN113),IF('Scoring Setup'!$L$26=1,1-'Scoring Setup'!$B$5*(1-MAX(0,MIN(1,(AN113-'Scoring Setup'!$K$26)/(100-'Scoring Setup'!$K$26)))),1),"")</x:f>
        <x:v>0.977621005370185</x:v>
      </x:c>
      <x:c r="BG113" s="34" t="n">
        <x:f>IF(COUNT(W113,X113)=2,AVERAGE(W113,X113),"")</x:f>
        <x:v>57.56948373408771</x:v>
      </x:c>
      <x:c r="BH113" s="34" t="n">
        <x:f>IF(COUNT(Y113,Z113)=2,AVERAGE(Y113,Z113),"")</x:f>
        <x:v>63.861780706728744</x:v>
      </x:c>
      <x:c r="BI113" s="34" t="n">
        <x:f>IF(COUNT(AA113,AB113,AC113)=3,AVERAGE(AA113,AB113,AC113),"")</x:f>
        <x:v>80.93847087592815</x:v>
      </x:c>
      <x:c r="BJ113" s="34" t="n">
        <x:f>IF(COUNT(AD113,AE113)=2,AVERAGE(AD113,AE113),"")</x:f>
        <x:v>96.87102450892857</x:v>
      </x:c>
      <x:c r="BK113" s="34" t="n">
        <x:f>IF(COUNT(AF113,AG113)=2,AVERAGE(AF113,AG113),"")</x:f>
        <x:v>3.9572710902144337</x:v>
      </x:c>
      <x:c r="BL113" s="34" t="n">
        <x:f>IF(COUNT(AH113,AI113)=2,AVERAGE(AH113,AI113),"")</x:f>
        <x:v>100</x:v>
      </x:c>
      <x:c r="BM113" s="34" t="n">
        <x:f>IF(COUNT(AJ113,AK113)=2,AVERAGE(AJ113,AK113),"")</x:f>
        <x:v>88.95919654963478</x:v>
      </x:c>
      <x:c r="BN113" s="34" t="n">
        <x:f>IF(COUNT(AL113,AM113,AN113)=3,AVERAGE(AL113,AM113,AN113),"")</x:f>
        <x:v>56.999736804994704</x:v>
      </x:c>
      <x:c r="BO113" s="35" t="n">
        <x:f>IF(AND(COUNT(BG113:BN113)=8,ABS('Scoring Setup'!$C$17-1)&lt;0.000001),BG113*'Scoring Setup'!$C$9+BH113*'Scoring Setup'!$C$10+BI113*'Scoring Setup'!$C$11+BJ113*'Scoring Setup'!$C$12+BK113*'Scoring Setup'!$C$13+BL113*'Scoring Setup'!$C$14+BM113*'Scoring Setup'!$C$15+BN113*'Scoring Setup'!$C$16,"")</x:f>
        <x:v>63.25386203124179</x:v>
      </x:c>
      <x:c r="BP113" s="36" t="n">
        <x:f>IF(COUNT(AO113:BF113)=18,MIN(AO113:BF113),"")</x:f>
        <x:v>0.8</x:v>
      </x:c>
      <x:c r="BQ113" s="35" t="n">
        <x:f>IF(AND(ISNUMBER(BO113),ISNUMBER(BP113)),BO113*BP113,"")</x:f>
        <x:v>50.60308962499343</x:v>
      </x:c>
      <x:c r="BR113" s="17" t="str">
        <x:f>IF(COUNT(AO113:BF113)=18,INDEX('Scoring Setup'!$F$9:$F$26,MATCH(MIN(AO113:BF113),AO113:BF113,0),1),"")</x:f>
        <x:v>社会脆弱性百分位</x:v>
      </x:c>
    </x:row>
    <x:row r="114">
      <x:c r="A114" s="28" t="str">
        <x:v>51650</x:v>
      </x:c>
      <x:c r="B114" s="28" t="str">
        <x:v>Hampton city</x:v>
      </x:c>
      <x:c r="C114" s="28" t="str">
        <x:v>VA</x:v>
      </x:c>
      <x:c r="D114" s="31" t="n">
        <x:v>133.282615</x:v>
      </x:c>
      <x:c r="E114" s="32" t="n">
        <x:v>0.351</x:v>
      </x:c>
      <x:c r="F114" s="32" t="n">
        <x:v>0.051980198019802</x:v>
      </x:c>
      <x:c r="G114" s="32" t="n">
        <x:v>3.783336604140713</x:v>
      </x:c>
      <x:c r="H114" s="32" t="n">
        <x:v>4.035093502715816</x:v>
      </x:c>
      <x:c r="I114" s="32" t="n">
        <x:v>0.23928803761007048</x:v>
      </x:c>
      <x:c r="J114" s="32" t="n">
        <x:v>0.005663832553331978</x:v>
      </x:c>
      <x:c r="K114" s="32" t="n">
        <x:v>0.16070793848795176</x:v>
      </x:c>
      <x:c r="L114" s="32" t="n">
        <x:v>0.610012578</x:v>
      </x:c>
      <x:c r="M114" s="32" t="n">
        <x:v>0.001813555</x:v>
      </x:c>
      <x:c r="N114" s="32" t="n">
        <x:v>66943</x:v>
      </x:c>
      <x:c r="O114" s="32" t="n">
        <x:v>0.748</x:v>
      </x:c>
      <x:c r="P114" s="32" t="n">
        <x:v>1517.3301798502605</x:v>
      </x:c>
      <x:c r="Q114" s="32" t="n">
        <x:v>21.40859915415446</x:v>
      </x:c>
      <x:c r="R114" s="32" t="n">
        <x:v>3.834792513362541</x:v>
      </x:c>
      <x:c r="S114" s="32" t="n">
        <x:v>4.6811653556639365</x:v>
      </x:c>
      <x:c r="T114" s="32" t="n">
        <x:v>89.9</x:v>
      </x:c>
      <x:c r="U114" s="32" t="n">
        <x:v>245.07712999476223</x:v>
      </x:c>
      <x:c r="V114" s="32" t="n">
        <x:v>244.75798925963002</x:v>
      </x:c>
      <x:c r="W114" s="33" t="n">
        <x:f>IF(ISNUMBER(E114),100*MAX(0,MIN(1,('Anchors'!$H$6-E114)/('Anchors'!$H$6-'Anchors'!$G$6))),"")</x:f>
        <x:v>78.42857142857143</x:v>
      </x:c>
      <x:c r="X114" s="33" t="n">
        <x:f>IF(ISNUMBER(F114),100*MAX(0,MIN(1,('Anchors'!$H$7-F114)/('Anchors'!$H$7-'Anchors'!$G$7))),"")</x:f>
        <x:v>100</x:v>
      </x:c>
      <x:c r="Y114" s="33" t="n">
        <x:f>IF(ISNUMBER(G114),100*MAX(0,MIN(1,('Anchors'!$H$8-G114)/('Anchors'!$H$8-'Anchors'!$G$8))),"")</x:f>
        <x:v>7.222113195309572</x:v>
      </x:c>
      <x:c r="Z114" s="33" t="n">
        <x:f>IF(ISNUMBER(H114),100*MAX(0,MIN(1,('Anchors'!$H$9-H114)/('Anchors'!$H$9-'Anchors'!$G$9))),"")</x:f>
        <x:v>0</x:v>
      </x:c>
      <x:c r="AA114" s="33" t="n">
        <x:f>IF(ISNUMBER(I114),100*MAX(0,MIN(1,(I114-'Anchors'!$H$10)/('Anchors'!$G$10-'Anchors'!$H$10))),"")</x:f>
        <x:v>0</x:v>
      </x:c>
      <x:c r="AB114" s="33" t="n">
        <x:f>IF(ISNUMBER(J114),100*MAX(0,MIN(1,('Anchors'!$H$11-J114)/('Anchors'!$H$11-'Anchors'!$G$11))),"")</x:f>
        <x:v>97.73446697866721</x:v>
      </x:c>
      <x:c r="AC114" s="33" t="n">
        <x:f>IF(ISNUMBER(K114),100*MAX(0,MIN(1,('Anchors'!$H$12-K114)/('Anchors'!$H$12-'Anchors'!$G$12))),"")</x:f>
        <x:v>59.823015378012066</x:v>
      </x:c>
      <x:c r="AD114" s="33" t="n">
        <x:f>IF(ISNUMBER(L114),100*MAX(0,MIN(1,(L114-'Anchors'!$H$13)/('Anchors'!$G$13-'Anchors'!$H$13))),"")</x:f>
        <x:v>58.573225428571426</x:v>
      </x:c>
      <x:c r="AE114" s="33" t="n">
        <x:f>IF(ISNUMBER(M114),100*MAX(0,MIN(1,(M114-'Anchors'!$H$14)/('Anchors'!$G$14-'Anchors'!$H$14))),"")</x:f>
        <x:v>0</x:v>
      </x:c>
      <x:c r="AF114" s="33" t="n">
        <x:f>IF(ISNUMBER(N114),100*MAX(0,MIN(1,(LN(1+N114)-LN(1+'Anchors'!$H$15))/(LN(1+'Anchors'!$G$15)-LN(1+'Anchors'!$H$15)))),"")</x:f>
        <x:v>81.31140922177435</x:v>
      </x:c>
      <x:c r="AG114" s="33" t="n">
        <x:f>IF(ISNUMBER(O114),100*MAX(0,MIN(1,('Anchors'!$H$16-O114)/('Anchors'!$H$16-'Anchors'!$G$16))),"")</x:f>
        <x:v>22.444444444444443</x:v>
      </x:c>
      <x:c r="AH114" s="33" t="n">
        <x:f>IF(ISNUMBER(P114),100*MAX(0,MIN(1,('Anchors'!$H$17-P114)/('Anchors'!$H$17-'Anchors'!$G$17))),"")</x:f>
        <x:v>45.51132134331597</x:v>
      </x:c>
      <x:c r="AI114" s="33" t="n">
        <x:f>IF(ISNUMBER(Q114),100*MAX(0,MIN(1,('Anchors'!$H$18-Q114)/('Anchors'!$H$18-'Anchors'!$G$18))),"")</x:f>
        <x:v>76.55914406549364</x:v>
      </x:c>
      <x:c r="AJ114" s="33" t="n">
        <x:f>IF(ISNUMBER(R114),100*MAX(0,MIN(1,('Anchors'!$H$19-R114)/('Anchors'!$H$19-'Anchors'!$G$19))),"")</x:f>
        <x:v>100</x:v>
      </x:c>
      <x:c r="AK114" s="33" t="n">
        <x:f>IF(ISNUMBER(S114),100*MAX(0,MIN(1,('Anchors'!$H$20-S114)/('Anchors'!$H$20-'Anchors'!$G$20))),"")</x:f>
        <x:v>80.6254454965056</x:v>
      </x:c>
      <x:c r="AL114" s="33" t="n">
        <x:f>IF(ISNUMBER(T114),100*MAX(0,MIN(1,('Anchors'!$H$21-T114)/('Anchors'!$H$21-'Anchors'!$G$21))),"")</x:f>
        <x:v>54.72727272727271</x:v>
      </x:c>
      <x:c r="AM114" s="33" t="n">
        <x:f>IF(ISNUMBER(U114),100*MAX(0,MIN(1,('Anchors'!$H$22-U114)/('Anchors'!$H$22-'Anchors'!$G$22))),"")</x:f>
        <x:v>27.461435002618884</x:v>
      </x:c>
      <x:c r="AN114" s="33" t="n">
        <x:f>IF(ISNUMBER(V114),100*MAX(0,MIN(1,('Anchors'!$H$23-V114)/('Anchors'!$H$23-'Anchors'!$G$23))),"")</x:f>
        <x:v>88.8105026850925</x:v>
      </x:c>
      <x:c r="AO114" s="27" t="n">
        <x:f>IF(ISNUMBER(W114),IF('Scoring Setup'!$L$9=1,1-'Scoring Setup'!$B$5*(1-MAX(0,MIN(1,(W114-'Scoring Setup'!$K$9)/(100-'Scoring Setup'!$K$9)))),1),"")</x:f>
        <x:v>0.9568571428571429</x:v>
      </x:c>
      <x:c r="AP114" s="27" t="n">
        <x:f>IF(ISNUMBER(X114),IF('Scoring Setup'!$L$10=1,1-'Scoring Setup'!$B$5*(1-MAX(0,MIN(1,(X114-'Scoring Setup'!$K$10)/(100-'Scoring Setup'!$K$10)))),1),"")</x:f>
        <x:v>1</x:v>
      </x:c>
      <x:c r="AQ114" s="27" t="n">
        <x:f>IF(ISNUMBER(Y114),IF('Scoring Setup'!$L$11=1,1-'Scoring Setup'!$B$5*(1-MAX(0,MIN(1,(Y114-'Scoring Setup'!$K$11)/(100-'Scoring Setup'!$K$11)))),1),"")</x:f>
        <x:v>0.8144442263906191</x:v>
      </x:c>
      <x:c r="AR114" s="27" t="n">
        <x:f>IF(ISNUMBER(Z114),IF('Scoring Setup'!$L$12=1,1-'Scoring Setup'!$B$5*(1-MAX(0,MIN(1,(Z114-'Scoring Setup'!$K$12)/(100-'Scoring Setup'!$K$12)))),1),"")</x:f>
        <x:v>0.8</x:v>
      </x:c>
      <x:c r="AS114" s="27" t="n">
        <x:f>IF(ISNUMBER(AA114),IF('Scoring Setup'!$L$13=1,1-'Scoring Setup'!$B$5*(1-MAX(0,MIN(1,(AA114-'Scoring Setup'!$K$13)/(100-'Scoring Setup'!$K$13)))),1),"")</x:f>
        <x:v>0.8</x:v>
      </x:c>
      <x:c r="AT114" s="27" t="n">
        <x:f>IF(ISNUMBER(AB114),IF('Scoring Setup'!$L$14=1,1-'Scoring Setup'!$B$5*(1-MAX(0,MIN(1,(AB114-'Scoring Setup'!$K$14)/(100-'Scoring Setup'!$K$14)))),1),"")</x:f>
        <x:v>0.9954689339573344</x:v>
      </x:c>
      <x:c r="AU114" s="27" t="n">
        <x:f>IF(ISNUMBER(AC114),IF('Scoring Setup'!$L$15=1,1-'Scoring Setup'!$B$5*(1-MAX(0,MIN(1,(AC114-'Scoring Setup'!$K$15)/(100-'Scoring Setup'!$K$15)))),1),"")</x:f>
        <x:v>0.9196460307560241</x:v>
      </x:c>
      <x:c r="AV114" s="27" t="n">
        <x:f>IF(ISNUMBER(AD114),IF('Scoring Setup'!$L$16=1,1-'Scoring Setup'!$B$5*(1-MAX(0,MIN(1,(AD114-'Scoring Setup'!$K$16)/(100-'Scoring Setup'!$K$16)))),1),"")</x:f>
        <x:v>0.9171464508571429</x:v>
      </x:c>
      <x:c r="AW114" s="27" t="n">
        <x:f>IF(ISNUMBER(AE114),IF('Scoring Setup'!$L$17=1,1-'Scoring Setup'!$B$5*(1-MAX(0,MIN(1,(AE114-'Scoring Setup'!$K$17)/(100-'Scoring Setup'!$K$17)))),1),"")</x:f>
        <x:v>0.8</x:v>
      </x:c>
      <x:c r="AX114" s="27" t="n">
        <x:f>IF(ISNUMBER(AF114),IF('Scoring Setup'!$L$18=1,1-'Scoring Setup'!$B$5*(1-MAX(0,MIN(1,(AF114-'Scoring Setup'!$K$18)/(100-'Scoring Setup'!$K$18)))),1),"")</x:f>
        <x:v>0.9626228184435487</x:v>
      </x:c>
      <x:c r="AY114" s="27" t="n">
        <x:f>IF(ISNUMBER(AG114),IF('Scoring Setup'!$L$19=1,1-'Scoring Setup'!$B$5*(1-MAX(0,MIN(1,(AG114-'Scoring Setup'!$K$19)/(100-'Scoring Setup'!$K$19)))),1),"")</x:f>
        <x:v>0.8448888888888889</x:v>
      </x:c>
      <x:c r="AZ114" s="27" t="n">
        <x:f>IF(ISNUMBER(AH114),IF('Scoring Setup'!$L$20=1,1-'Scoring Setup'!$B$5*(1-MAX(0,MIN(1,(AH114-'Scoring Setup'!$K$20)/(100-'Scoring Setup'!$K$20)))),1),"")</x:f>
        <x:v>0.8910226426866319</x:v>
      </x:c>
      <x:c r="BA114" s="27" t="n">
        <x:f>IF(ISNUMBER(AI114),IF('Scoring Setup'!$L$21=1,1-'Scoring Setup'!$B$5*(1-MAX(0,MIN(1,(AI114-'Scoring Setup'!$K$21)/(100-'Scoring Setup'!$K$21)))),1),"")</x:f>
        <x:v>0.9531182881309873</x:v>
      </x:c>
      <x:c r="BB114" s="27" t="n">
        <x:f>IF(ISNUMBER(AJ114),IF('Scoring Setup'!$L$22=1,1-'Scoring Setup'!$B$5*(1-MAX(0,MIN(1,(AJ114-'Scoring Setup'!$K$22)/(100-'Scoring Setup'!$K$22)))),1),"")</x:f>
        <x:v>1</x:v>
      </x:c>
      <x:c r="BC114" s="27" t="n">
        <x:f>IF(ISNUMBER(AK114),IF('Scoring Setup'!$L$23=1,1-'Scoring Setup'!$B$5*(1-MAX(0,MIN(1,(AK114-'Scoring Setup'!$K$23)/(100-'Scoring Setup'!$K$23)))),1),"")</x:f>
        <x:v>0.9612508909930112</x:v>
      </x:c>
      <x:c r="BD114" s="27" t="n">
        <x:f>IF(ISNUMBER(AL114),IF('Scoring Setup'!$L$24=1,1-'Scoring Setup'!$B$5*(1-MAX(0,MIN(1,(AL114-'Scoring Setup'!$K$24)/(100-'Scoring Setup'!$K$24)))),1),"")</x:f>
        <x:v>0.9094545454545454</x:v>
      </x:c>
      <x:c r="BE114" s="27" t="n">
        <x:f>IF(ISNUMBER(AM114),IF('Scoring Setup'!$L$25=1,1-'Scoring Setup'!$B$5*(1-MAX(0,MIN(1,(AM114-'Scoring Setup'!$K$25)/(100-'Scoring Setup'!$K$25)))),1),"")</x:f>
        <x:v>0.8549228700052378</x:v>
      </x:c>
      <x:c r="BF114" s="27" t="n">
        <x:f>IF(ISNUMBER(AN114),IF('Scoring Setup'!$L$26=1,1-'Scoring Setup'!$B$5*(1-MAX(0,MIN(1,(AN114-'Scoring Setup'!$K$26)/(100-'Scoring Setup'!$K$26)))),1),"")</x:f>
        <x:v>0.977621005370185</x:v>
      </x:c>
      <x:c r="BG114" s="34" t="n">
        <x:f>IF(COUNT(W114,X114)=2,AVERAGE(W114,X114),"")</x:f>
        <x:v>89.21428571428572</x:v>
      </x:c>
      <x:c r="BH114" s="34" t="n">
        <x:f>IF(COUNT(Y114,Z114)=2,AVERAGE(Y114,Z114),"")</x:f>
        <x:v>3.611056597654786</x:v>
      </x:c>
      <x:c r="BI114" s="34" t="n">
        <x:f>IF(COUNT(AA114,AB114,AC114)=3,AVERAGE(AA114,AB114,AC114),"")</x:f>
        <x:v>52.51916078555976</x:v>
      </x:c>
      <x:c r="BJ114" s="34" t="n">
        <x:f>IF(COUNT(AD114,AE114)=2,AVERAGE(AD114,AE114),"")</x:f>
        <x:v>29.286612714285713</x:v>
      </x:c>
      <x:c r="BK114" s="34" t="n">
        <x:f>IF(COUNT(AF114,AG114)=2,AVERAGE(AF114,AG114),"")</x:f>
        <x:v>51.8779268331094</x:v>
      </x:c>
      <x:c r="BL114" s="34" t="n">
        <x:f>IF(COUNT(AH114,AI114)=2,AVERAGE(AH114,AI114),"")</x:f>
        <x:v>61.035232704404805</x:v>
      </x:c>
      <x:c r="BM114" s="34" t="n">
        <x:f>IF(COUNT(AJ114,AK114)=2,AVERAGE(AJ114,AK114),"")</x:f>
        <x:v>90.31272274825281</x:v>
      </x:c>
      <x:c r="BN114" s="34" t="n">
        <x:f>IF(COUNT(AL114,AM114,AN114)=3,AVERAGE(AL114,AM114,AN114),"")</x:f>
        <x:v>56.999736804994704</x:v>
      </x:c>
      <x:c r="BO114" s="35" t="n">
        <x:f>IF(AND(COUNT(BG114:BN114)=8,ABS('Scoring Setup'!$C$17-1)&lt;0.000001),BG114*'Scoring Setup'!$C$9+BH114*'Scoring Setup'!$C$10+BI114*'Scoring Setup'!$C$11+BJ114*'Scoring Setup'!$C$12+BK114*'Scoring Setup'!$C$13+BL114*'Scoring Setup'!$C$14+BM114*'Scoring Setup'!$C$15+BN114*'Scoring Setup'!$C$16,"")</x:f>
        <x:v>47.67932873838632</x:v>
      </x:c>
      <x:c r="BP114" s="36" t="n">
        <x:f>IF(COUNT(AO114:BF114)=18,MIN(AO114:BF114),"")</x:f>
        <x:v>0.8</x:v>
      </x:c>
      <x:c r="BQ114" s="35" t="n">
        <x:f>IF(AND(ISNUMBER(BO114),ISNUMBER(BP114)),BO114*BP114,"")</x:f>
        <x:v>38.143462990709054</x:v>
      </x:c>
      <x:c r="BR114" s="17" t="str">
        <x:f>IF(COUNT(AO114:BF114)=18,INDEX('Scoring Setup'!$F$9:$F$26,MATCH(MIN(AO114:BF114),AO114:BF114,0),1),"")</x:f>
        <x:v>2050 BAU水压力</x:v>
      </x:c>
    </x:row>
    <x:row r="115">
      <x:c r="A115" s="28" t="str">
        <x:v>51660</x:v>
      </x:c>
      <x:c r="B115" s="28" t="str">
        <x:v>Harrisonburg city</x:v>
      </x:c>
      <x:c r="C115" s="28" t="str">
        <x:v>VA</x:v>
      </x:c>
      <x:c r="D115" s="31" t="n">
        <x:v>44.898874</x:v>
      </x:c>
      <x:c r="E115" s="32" t="n">
        <x:v>0.392</x:v>
      </x:c>
      <x:c r="F115" s="32" t="n">
        <x:v>0.179764851485149</x:v>
      </x:c>
      <x:c r="G115" s="32" t="n">
        <x:v>2.819704746608247</x:v>
      </x:c>
      <x:c r="H115" s="32" t="n">
        <x:v>3.067942118</x:v>
      </x:c>
      <x:c r="I115" s="32" t="n">
        <x:v>0.2139164930277288</x:v>
      </x:c>
      <x:c r="J115" s="32" t="n">
        <x:v>0</x:v>
      </x:c>
      <x:c r="K115" s="32" t="n">
        <x:v>0.00004007052412245552</x:v>
      </x:c>
      <x:c r="L115" s="32" t="n">
        <x:v>0.554456864</x:v>
      </x:c>
      <x:c r="M115" s="32" t="n">
        <x:v>0.549775485</x:v>
      </x:c>
      <x:c r="N115" s="32" t="n">
        <x:v>25730</x:v>
      </x:c>
      <x:c r="O115" s="32" t="n">
        <x:v>0.8648</x:v>
      </x:c>
      <x:c r="P115" s="32" t="n">
        <x:v>807.4765441894531</x:v>
      </x:c>
      <x:c r="Q115" s="32" t="n">
        <x:v>15.3845734278361</x:v>
      </x:c>
      <x:c r="R115" s="32" t="n">
        <x:v>0.38758394724160655</x:v>
      </x:c>
      <x:c r="S115" s="32" t="n">
        <x:v>0.008165487901422798</x:v>
      </x:c>
      <x:c r="T115" s="32" t="n">
        <x:v>89.9</x:v>
      </x:c>
      <x:c r="U115" s="32" t="n">
        <x:v>245.07712999476223</x:v>
      </x:c>
      <x:c r="V115" s="32" t="n">
        <x:v>244.75798925963002</x:v>
      </x:c>
      <x:c r="W115" s="33" t="n">
        <x:f>IF(ISNUMBER(E115),100*MAX(0,MIN(1,('Anchors'!$H$6-E115)/('Anchors'!$H$6-'Anchors'!$G$6))),"")</x:f>
        <x:v>72.57142857142857</x:v>
      </x:c>
      <x:c r="X115" s="33" t="n">
        <x:f>IF(ISNUMBER(F115),100*MAX(0,MIN(1,('Anchors'!$H$7-F115)/('Anchors'!$H$7-'Anchors'!$G$7))),"")</x:f>
        <x:v>88.60502121640728</x:v>
      </x:c>
      <x:c r="Y115" s="33" t="n">
        <x:f>IF(ISNUMBER(G115),100*MAX(0,MIN(1,('Anchors'!$H$8-G115)/('Anchors'!$H$8-'Anchors'!$G$8))),"")</x:f>
        <x:v>39.34317511305843</x:v>
      </x:c>
      <x:c r="Z115" s="33" t="n">
        <x:f>IF(ISNUMBER(H115),100*MAX(0,MIN(1,('Anchors'!$H$9-H115)/('Anchors'!$H$9-'Anchors'!$G$9))),"")</x:f>
        <x:v>31.06859606666667</x:v>
      </x:c>
      <x:c r="AA115" s="33" t="n">
        <x:f>IF(ISNUMBER(I115),100*MAX(0,MIN(1,(I115-'Anchors'!$H$10)/('Anchors'!$G$10-'Anchors'!$H$10))),"")</x:f>
        <x:v>0</x:v>
      </x:c>
      <x:c r="AB115" s="33" t="n">
        <x:f>IF(ISNUMBER(J115),100*MAX(0,MIN(1,('Anchors'!$H$11-J115)/('Anchors'!$H$11-'Anchors'!$G$11))),"")</x:f>
        <x:v>100</x:v>
      </x:c>
      <x:c r="AC115" s="33" t="n">
        <x:f>IF(ISNUMBER(K115),100*MAX(0,MIN(1,('Anchors'!$H$12-K115)/('Anchors'!$H$12-'Anchors'!$G$12))),"")</x:f>
        <x:v>99.9899823689694</x:v>
      </x:c>
      <x:c r="AD115" s="33" t="n">
        <x:f>IF(ISNUMBER(L115),100*MAX(0,MIN(1,(L115-'Anchors'!$H$13)/('Anchors'!$G$13-'Anchors'!$H$13))),"")</x:f>
        <x:v>50.636694857142864</x:v>
      </x:c>
      <x:c r="AE115" s="33" t="n">
        <x:f>IF(ISNUMBER(M115),100*MAX(0,MIN(1,(M115-'Anchors'!$H$14)/('Anchors'!$G$14-'Anchors'!$H$14))),"")</x:f>
        <x:v>56.221935625</x:v>
      </x:c>
      <x:c r="AF115" s="33" t="n">
        <x:f>IF(ISNUMBER(N115),100*MAX(0,MIN(1,(LN(1+N115)-LN(1+'Anchors'!$H$15))/(LN(1+'Anchors'!$G$15)-LN(1+'Anchors'!$H$15)))),"")</x:f>
        <x:v>59.162669662509145</x:v>
      </x:c>
      <x:c r="AG115" s="33" t="n">
        <x:f>IF(ISNUMBER(O115),100*MAX(0,MIN(1,('Anchors'!$H$16-O115)/('Anchors'!$H$16-'Anchors'!$G$16))),"")</x:f>
        <x:v>9.466666666666661</x:v>
      </x:c>
      <x:c r="AH115" s="33" t="n">
        <x:f>IF(ISNUMBER(P115),100*MAX(0,MIN(1,('Anchors'!$H$17-P115)/('Anchors'!$H$17-'Anchors'!$G$17))),"")</x:f>
        <x:v>92.83489705403646</x:v>
      </x:c>
      <x:c r="AI115" s="33" t="n">
        <x:f>IF(ISNUMBER(Q115),100*MAX(0,MIN(1,('Anchors'!$H$18-Q115)/('Anchors'!$H$18-'Anchors'!$G$18))),"")</x:f>
        <x:v>85.16489510309128</x:v>
      </x:c>
      <x:c r="AJ115" s="33" t="n">
        <x:f>IF(ISNUMBER(R115),100*MAX(0,MIN(1,('Anchors'!$H$19-R115)/('Anchors'!$H$19-'Anchors'!$G$19))),"")</x:f>
        <x:v>100</x:v>
      </x:c>
      <x:c r="AK115" s="33" t="n">
        <x:f>IF(ISNUMBER(S115),100*MAX(0,MIN(1,('Anchors'!$H$20-S115)/('Anchors'!$H$20-'Anchors'!$G$20))),"")</x:f>
        <x:v>100</x:v>
      </x:c>
      <x:c r="AL115" s="33" t="n">
        <x:f>IF(ISNUMBER(T115),100*MAX(0,MIN(1,('Anchors'!$H$21-T115)/('Anchors'!$H$21-'Anchors'!$G$21))),"")</x:f>
        <x:v>54.72727272727271</x:v>
      </x:c>
      <x:c r="AM115" s="33" t="n">
        <x:f>IF(ISNUMBER(U115),100*MAX(0,MIN(1,('Anchors'!$H$22-U115)/('Anchors'!$H$22-'Anchors'!$G$22))),"")</x:f>
        <x:v>27.461435002618884</x:v>
      </x:c>
      <x:c r="AN115" s="33" t="n">
        <x:f>IF(ISNUMBER(V115),100*MAX(0,MIN(1,('Anchors'!$H$23-V115)/('Anchors'!$H$23-'Anchors'!$G$23))),"")</x:f>
        <x:v>88.8105026850925</x:v>
      </x:c>
      <x:c r="AO115" s="27" t="n">
        <x:f>IF(ISNUMBER(W115),IF('Scoring Setup'!$L$9=1,1-'Scoring Setup'!$B$5*(1-MAX(0,MIN(1,(W115-'Scoring Setup'!$K$9)/(100-'Scoring Setup'!$K$9)))),1),"")</x:f>
        <x:v>0.9451428571428572</x:v>
      </x:c>
      <x:c r="AP115" s="27" t="n">
        <x:f>IF(ISNUMBER(X115),IF('Scoring Setup'!$L$10=1,1-'Scoring Setup'!$B$5*(1-MAX(0,MIN(1,(X115-'Scoring Setup'!$K$10)/(100-'Scoring Setup'!$K$10)))),1),"")</x:f>
        <x:v>0.9772100424328145</x:v>
      </x:c>
      <x:c r="AQ115" s="27" t="n">
        <x:f>IF(ISNUMBER(Y115),IF('Scoring Setup'!$L$11=1,1-'Scoring Setup'!$B$5*(1-MAX(0,MIN(1,(Y115-'Scoring Setup'!$K$11)/(100-'Scoring Setup'!$K$11)))),1),"")</x:f>
        <x:v>0.8786863502261169</x:v>
      </x:c>
      <x:c r="AR115" s="27" t="n">
        <x:f>IF(ISNUMBER(Z115),IF('Scoring Setup'!$L$12=1,1-'Scoring Setup'!$B$5*(1-MAX(0,MIN(1,(Z115-'Scoring Setup'!$K$12)/(100-'Scoring Setup'!$K$12)))),1),"")</x:f>
        <x:v>0.8621371921333334</x:v>
      </x:c>
      <x:c r="AS115" s="27" t="n">
        <x:f>IF(ISNUMBER(AA115),IF('Scoring Setup'!$L$13=1,1-'Scoring Setup'!$B$5*(1-MAX(0,MIN(1,(AA115-'Scoring Setup'!$K$13)/(100-'Scoring Setup'!$K$13)))),1),"")</x:f>
        <x:v>0.8</x:v>
      </x:c>
      <x:c r="AT115" s="27" t="n">
        <x:f>IF(ISNUMBER(AB115),IF('Scoring Setup'!$L$14=1,1-'Scoring Setup'!$B$5*(1-MAX(0,MIN(1,(AB115-'Scoring Setup'!$K$14)/(100-'Scoring Setup'!$K$14)))),1),"")</x:f>
        <x:v>1</x:v>
      </x:c>
      <x:c r="AU115" s="27" t="n">
        <x:f>IF(ISNUMBER(AC115),IF('Scoring Setup'!$L$15=1,1-'Scoring Setup'!$B$5*(1-MAX(0,MIN(1,(AC115-'Scoring Setup'!$K$15)/(100-'Scoring Setup'!$K$15)))),1),"")</x:f>
        <x:v>0.9999799647379388</x:v>
      </x:c>
      <x:c r="AV115" s="27" t="n">
        <x:f>IF(ISNUMBER(AD115),IF('Scoring Setup'!$L$16=1,1-'Scoring Setup'!$B$5*(1-MAX(0,MIN(1,(AD115-'Scoring Setup'!$K$16)/(100-'Scoring Setup'!$K$16)))),1),"")</x:f>
        <x:v>0.9012733897142857</x:v>
      </x:c>
      <x:c r="AW115" s="27" t="n">
        <x:f>IF(ISNUMBER(AE115),IF('Scoring Setup'!$L$17=1,1-'Scoring Setup'!$B$5*(1-MAX(0,MIN(1,(AE115-'Scoring Setup'!$K$17)/(100-'Scoring Setup'!$K$17)))),1),"")</x:f>
        <x:v>0.91244387125</x:v>
      </x:c>
      <x:c r="AX115" s="27" t="n">
        <x:f>IF(ISNUMBER(AF115),IF('Scoring Setup'!$L$18=1,1-'Scoring Setup'!$B$5*(1-MAX(0,MIN(1,(AF115-'Scoring Setup'!$K$18)/(100-'Scoring Setup'!$K$18)))),1),"")</x:f>
        <x:v>0.9183253393250183</x:v>
      </x:c>
      <x:c r="AY115" s="27" t="n">
        <x:f>IF(ISNUMBER(AG115),IF('Scoring Setup'!$L$19=1,1-'Scoring Setup'!$B$5*(1-MAX(0,MIN(1,(AG115-'Scoring Setup'!$K$19)/(100-'Scoring Setup'!$K$19)))),1),"")</x:f>
        <x:v>0.8189333333333333</x:v>
      </x:c>
      <x:c r="AZ115" s="27" t="n">
        <x:f>IF(ISNUMBER(AH115),IF('Scoring Setup'!$L$20=1,1-'Scoring Setup'!$B$5*(1-MAX(0,MIN(1,(AH115-'Scoring Setup'!$K$20)/(100-'Scoring Setup'!$K$20)))),1),"")</x:f>
        <x:v>0.9856697941080729</x:v>
      </x:c>
      <x:c r="BA115" s="27" t="n">
        <x:f>IF(ISNUMBER(AI115),IF('Scoring Setup'!$L$21=1,1-'Scoring Setup'!$B$5*(1-MAX(0,MIN(1,(AI115-'Scoring Setup'!$K$21)/(100-'Scoring Setup'!$K$21)))),1),"")</x:f>
        <x:v>0.9703297902061826</x:v>
      </x:c>
      <x:c r="BB115" s="27" t="n">
        <x:f>IF(ISNUMBER(AJ115),IF('Scoring Setup'!$L$22=1,1-'Scoring Setup'!$B$5*(1-MAX(0,MIN(1,(AJ115-'Scoring Setup'!$K$22)/(100-'Scoring Setup'!$K$22)))),1),"")</x:f>
        <x:v>1</x:v>
      </x:c>
      <x:c r="BC115" s="27" t="n">
        <x:f>IF(ISNUMBER(AK115),IF('Scoring Setup'!$L$23=1,1-'Scoring Setup'!$B$5*(1-MAX(0,MIN(1,(AK115-'Scoring Setup'!$K$23)/(100-'Scoring Setup'!$K$23)))),1),"")</x:f>
        <x:v>1</x:v>
      </x:c>
      <x:c r="BD115" s="27" t="n">
        <x:f>IF(ISNUMBER(AL115),IF('Scoring Setup'!$L$24=1,1-'Scoring Setup'!$B$5*(1-MAX(0,MIN(1,(AL115-'Scoring Setup'!$K$24)/(100-'Scoring Setup'!$K$24)))),1),"")</x:f>
        <x:v>0.9094545454545454</x:v>
      </x:c>
      <x:c r="BE115" s="27" t="n">
        <x:f>IF(ISNUMBER(AM115),IF('Scoring Setup'!$L$25=1,1-'Scoring Setup'!$B$5*(1-MAX(0,MIN(1,(AM115-'Scoring Setup'!$K$25)/(100-'Scoring Setup'!$K$25)))),1),"")</x:f>
        <x:v>0.8549228700052378</x:v>
      </x:c>
      <x:c r="BF115" s="27" t="n">
        <x:f>IF(ISNUMBER(AN115),IF('Scoring Setup'!$L$26=1,1-'Scoring Setup'!$B$5*(1-MAX(0,MIN(1,(AN115-'Scoring Setup'!$K$26)/(100-'Scoring Setup'!$K$26)))),1),"")</x:f>
        <x:v>0.977621005370185</x:v>
      </x:c>
      <x:c r="BG115" s="34" t="n">
        <x:f>IF(COUNT(W115,X115)=2,AVERAGE(W115,X115),"")</x:f>
        <x:v>80.58822489391792</x:v>
      </x:c>
      <x:c r="BH115" s="34" t="n">
        <x:f>IF(COUNT(Y115,Z115)=2,AVERAGE(Y115,Z115),"")</x:f>
        <x:v>35.20588558986255</x:v>
      </x:c>
      <x:c r="BI115" s="34" t="n">
        <x:f>IF(COUNT(AA115,AB115,AC115)=3,AVERAGE(AA115,AB115,AC115),"")</x:f>
        <x:v>66.66332745632313</x:v>
      </x:c>
      <x:c r="BJ115" s="34" t="n">
        <x:f>IF(COUNT(AD115,AE115)=2,AVERAGE(AD115,AE115),"")</x:f>
        <x:v>53.429315241071436</x:v>
      </x:c>
      <x:c r="BK115" s="34" t="n">
        <x:f>IF(COUNT(AF115,AG115)=2,AVERAGE(AF115,AG115),"")</x:f>
        <x:v>34.3146681645879</x:v>
      </x:c>
      <x:c r="BL115" s="34" t="n">
        <x:f>IF(COUNT(AH115,AI115)=2,AVERAGE(AH115,AI115),"")</x:f>
        <x:v>88.99989607856386</x:v>
      </x:c>
      <x:c r="BM115" s="34" t="n">
        <x:f>IF(COUNT(AJ115,AK115)=2,AVERAGE(AJ115,AK115),"")</x:f>
        <x:v>100</x:v>
      </x:c>
      <x:c r="BN115" s="34" t="n">
        <x:f>IF(COUNT(AL115,AM115,AN115)=3,AVERAGE(AL115,AM115,AN115),"")</x:f>
        <x:v>56.999736804994704</x:v>
      </x:c>
      <x:c r="BO115" s="35" t="n">
        <x:f>IF(AND(COUNT(BG115:BN115)=8,ABS('Scoring Setup'!$C$17-1)&lt;0.000001),BG115*'Scoring Setup'!$C$9+BH115*'Scoring Setup'!$C$10+BI115*'Scoring Setup'!$C$11+BJ115*'Scoring Setup'!$C$12+BK115*'Scoring Setup'!$C$13+BL115*'Scoring Setup'!$C$14+BM115*'Scoring Setup'!$C$15+BN115*'Scoring Setup'!$C$16,"")</x:f>
        <x:v>57.090646538989155</x:v>
      </x:c>
      <x:c r="BP115" s="36" t="n">
        <x:f>IF(COUNT(AO115:BF115)=18,MIN(AO115:BF115),"")</x:f>
        <x:v>0.8</x:v>
      </x:c>
      <x:c r="BQ115" s="35" t="n">
        <x:f>IF(AND(ISNUMBER(BO115),ISNUMBER(BP115)),BO115*BP115,"")</x:f>
        <x:v>45.67251723119133</x:v>
      </x:c>
      <x:c r="BR115" s="17" t="str">
        <x:f>IF(COUNT(AO115:BF115)=18,INDEX('Scoring Setup'!$F$9:$F$26,MATCH(MIN(AO115:BF115),AO115:BF115,0),1),"")</x:f>
        <x:v>低不透水土地比例</x:v>
      </x:c>
    </x:row>
    <x:row r="116">
      <x:c r="A116" s="28" t="str">
        <x:v>51670</x:v>
      </x:c>
      <x:c r="B116" s="28" t="str">
        <x:v>Hopewell city</x:v>
      </x:c>
      <x:c r="C116" s="28" t="str">
        <x:v>VA</x:v>
      </x:c>
      <x:c r="D116" s="31" t="n">
        <x:v>26.817673</x:v>
      </x:c>
      <x:c r="E116" s="32" t="n">
        <x:v>0.255</x:v>
      </x:c>
      <x:c r="F116" s="32" t="n">
        <x:v>0.202042079207921</x:v>
      </x:c>
      <x:c r="G116" s="32" t="n">
        <x:v>2.1548266396937117</x:v>
      </x:c>
      <x:c r="H116" s="32" t="n">
        <x:v>2.475115552022247</x:v>
      </x:c>
      <x:c r="I116" s="32" t="n">
        <x:v>0.20676565439398012</x:v>
      </x:c>
      <x:c r="J116" s="32" t="n">
        <x:v>0</x:v>
      </x:c>
      <x:c r="K116" s="32" t="n">
        <x:v>0.1042058586401505</x:v>
      </x:c>
      <x:c r="L116" s="32" t="n">
        <x:v>0.315784753</x:v>
      </x:c>
      <x:c r="M116" s="32" t="n">
        <x:v>0.000538117</x:v>
      </x:c>
      <x:c r="N116" s="32" t="n">
        <x:v>10083</x:v>
      </x:c>
      <x:c r="O116" s="32" t="n">
        <x:v>0.8801</x:v>
      </x:c>
      <x:c r="P116" s="32" t="n">
        <x:v>1604.9927001953124</x:v>
      </x:c>
      <x:c r="Q116" s="32" t="n">
        <x:v>44.48429985046387</x:v>
      </x:c>
      <x:c r="R116" s="32" t="n">
        <x:v>2.5967534368406557</x:v>
      </x:c>
      <x:c r="S116" s="32" t="n">
        <x:v>0.0288048378448594</x:v>
      </x:c>
      <x:c r="T116" s="32" t="n">
        <x:v>89.9</x:v>
      </x:c>
      <x:c r="U116" s="32" t="n">
        <x:v>245.07712999476223</x:v>
      </x:c>
      <x:c r="V116" s="32" t="n">
        <x:v>244.75798925963002</x:v>
      </x:c>
      <x:c r="W116" s="33" t="n">
        <x:f>IF(ISNUMBER(E116),100*MAX(0,MIN(1,('Anchors'!$H$6-E116)/('Anchors'!$H$6-'Anchors'!$G$6))),"")</x:f>
        <x:v>92.14285714285715</x:v>
      </x:c>
      <x:c r="X116" s="33" t="n">
        <x:f>IF(ISNUMBER(F116),100*MAX(0,MIN(1,('Anchors'!$H$7-F116)/('Anchors'!$H$7-'Anchors'!$G$7))),"")</x:f>
        <x:v>85.42256011315415</x:v>
      </x:c>
      <x:c r="Y116" s="33" t="n">
        <x:f>IF(ISNUMBER(G116),100*MAX(0,MIN(1,('Anchors'!$H$8-G116)/('Anchors'!$H$8-'Anchors'!$G$8))),"")</x:f>
        <x:v>61.505778676876275</x:v>
      </x:c>
      <x:c r="Z116" s="33" t="n">
        <x:f>IF(ISNUMBER(H116),100*MAX(0,MIN(1,('Anchors'!$H$9-H116)/('Anchors'!$H$9-'Anchors'!$G$9))),"")</x:f>
        <x:v>50.82948159925843</x:v>
      </x:c>
      <x:c r="AA116" s="33" t="n">
        <x:f>IF(ISNUMBER(I116),100*MAX(0,MIN(1,(I116-'Anchors'!$H$10)/('Anchors'!$G$10-'Anchors'!$H$10))),"")</x:f>
        <x:v>0</x:v>
      </x:c>
      <x:c r="AB116" s="33" t="n">
        <x:f>IF(ISNUMBER(J116),100*MAX(0,MIN(1,('Anchors'!$H$11-J116)/('Anchors'!$H$11-'Anchors'!$G$11))),"")</x:f>
        <x:v>100</x:v>
      </x:c>
      <x:c r="AC116" s="33" t="n">
        <x:f>IF(ISNUMBER(K116),100*MAX(0,MIN(1,('Anchors'!$H$12-K116)/('Anchors'!$H$12-'Anchors'!$G$12))),"")</x:f>
        <x:v>73.94853533996238</x:v>
      </x:c>
      <x:c r="AD116" s="33" t="n">
        <x:f>IF(ISNUMBER(L116),100*MAX(0,MIN(1,(L116-'Anchors'!$H$13)/('Anchors'!$G$13-'Anchors'!$H$13))),"")</x:f>
        <x:v>16.540678999999997</x:v>
      </x:c>
      <x:c r="AE116" s="33" t="n">
        <x:f>IF(ISNUMBER(M116),100*MAX(0,MIN(1,(M116-'Anchors'!$H$14)/('Anchors'!$G$14-'Anchors'!$H$14))),"")</x:f>
        <x:v>0</x:v>
      </x:c>
      <x:c r="AF116" s="33" t="n">
        <x:f>IF(ISNUMBER(N116),100*MAX(0,MIN(1,(LN(1+N116)-LN(1+'Anchors'!$H$15))/(LN(1+'Anchors'!$G$15)-LN(1+'Anchors'!$H$15)))),"")</x:f>
        <x:v>37.46362896557467</x:v>
      </x:c>
      <x:c r="AG116" s="33" t="n">
        <x:f>IF(ISNUMBER(O116),100*MAX(0,MIN(1,('Anchors'!$H$16-O116)/('Anchors'!$H$16-'Anchors'!$G$16))),"")</x:f>
        <x:v>7.766666666666663</x:v>
      </x:c>
      <x:c r="AH116" s="33" t="n">
        <x:f>IF(ISNUMBER(P116),100*MAX(0,MIN(1,('Anchors'!$H$17-P116)/('Anchors'!$H$17-'Anchors'!$G$17))),"")</x:f>
        <x:v>39.6671533203125</x:v>
      </x:c>
      <x:c r="AI116" s="33" t="n">
        <x:f>IF(ISNUMBER(Q116),100*MAX(0,MIN(1,('Anchors'!$H$18-Q116)/('Anchors'!$H$18-'Anchors'!$G$18))),"")</x:f>
        <x:v>43.593857356480186</x:v>
      </x:c>
      <x:c r="AJ116" s="33" t="n">
        <x:f>IF(ISNUMBER(R116),100*MAX(0,MIN(1,('Anchors'!$H$19-R116)/('Anchors'!$H$19-'Anchors'!$G$19))),"")</x:f>
        <x:v>100</x:v>
      </x:c>
      <x:c r="AK116" s="33" t="n">
        <x:f>IF(ISNUMBER(S116),100*MAX(0,MIN(1,('Anchors'!$H$20-S116)/('Anchors'!$H$20-'Anchors'!$G$20))),"")</x:f>
        <x:v>100</x:v>
      </x:c>
      <x:c r="AL116" s="33" t="n">
        <x:f>IF(ISNUMBER(T116),100*MAX(0,MIN(1,('Anchors'!$H$21-T116)/('Anchors'!$H$21-'Anchors'!$G$21))),"")</x:f>
        <x:v>54.72727272727271</x:v>
      </x:c>
      <x:c r="AM116" s="33" t="n">
        <x:f>IF(ISNUMBER(U116),100*MAX(0,MIN(1,('Anchors'!$H$22-U116)/('Anchors'!$H$22-'Anchors'!$G$22))),"")</x:f>
        <x:v>27.461435002618884</x:v>
      </x:c>
      <x:c r="AN116" s="33" t="n">
        <x:f>IF(ISNUMBER(V116),100*MAX(0,MIN(1,('Anchors'!$H$23-V116)/('Anchors'!$H$23-'Anchors'!$G$23))),"")</x:f>
        <x:v>88.8105026850925</x:v>
      </x:c>
      <x:c r="AO116" s="27" t="n">
        <x:f>IF(ISNUMBER(W116),IF('Scoring Setup'!$L$9=1,1-'Scoring Setup'!$B$5*(1-MAX(0,MIN(1,(W116-'Scoring Setup'!$K$9)/(100-'Scoring Setup'!$K$9)))),1),"")</x:f>
        <x:v>0.9842857142857143</x:v>
      </x:c>
      <x:c r="AP116" s="27" t="n">
        <x:f>IF(ISNUMBER(X116),IF('Scoring Setup'!$L$10=1,1-'Scoring Setup'!$B$5*(1-MAX(0,MIN(1,(X116-'Scoring Setup'!$K$10)/(100-'Scoring Setup'!$K$10)))),1),"")</x:f>
        <x:v>0.9708451202263083</x:v>
      </x:c>
      <x:c r="AQ116" s="27" t="n">
        <x:f>IF(ISNUMBER(Y116),IF('Scoring Setup'!$L$11=1,1-'Scoring Setup'!$B$5*(1-MAX(0,MIN(1,(Y116-'Scoring Setup'!$K$11)/(100-'Scoring Setup'!$K$11)))),1),"")</x:f>
        <x:v>0.9230115573537525</x:v>
      </x:c>
      <x:c r="AR116" s="27" t="n">
        <x:f>IF(ISNUMBER(Z116),IF('Scoring Setup'!$L$12=1,1-'Scoring Setup'!$B$5*(1-MAX(0,MIN(1,(Z116-'Scoring Setup'!$K$12)/(100-'Scoring Setup'!$K$12)))),1),"")</x:f>
        <x:v>0.9016589631985168</x:v>
      </x:c>
      <x:c r="AS116" s="27" t="n">
        <x:f>IF(ISNUMBER(AA116),IF('Scoring Setup'!$L$13=1,1-'Scoring Setup'!$B$5*(1-MAX(0,MIN(1,(AA116-'Scoring Setup'!$K$13)/(100-'Scoring Setup'!$K$13)))),1),"")</x:f>
        <x:v>0.8</x:v>
      </x:c>
      <x:c r="AT116" s="27" t="n">
        <x:f>IF(ISNUMBER(AB116),IF('Scoring Setup'!$L$14=1,1-'Scoring Setup'!$B$5*(1-MAX(0,MIN(1,(AB116-'Scoring Setup'!$K$14)/(100-'Scoring Setup'!$K$14)))),1),"")</x:f>
        <x:v>1</x:v>
      </x:c>
      <x:c r="AU116" s="27" t="n">
        <x:f>IF(ISNUMBER(AC116),IF('Scoring Setup'!$L$15=1,1-'Scoring Setup'!$B$5*(1-MAX(0,MIN(1,(AC116-'Scoring Setup'!$K$15)/(100-'Scoring Setup'!$K$15)))),1),"")</x:f>
        <x:v>0.9478970706799248</x:v>
      </x:c>
      <x:c r="AV116" s="27" t="n">
        <x:f>IF(ISNUMBER(AD116),IF('Scoring Setup'!$L$16=1,1-'Scoring Setup'!$B$5*(1-MAX(0,MIN(1,(AD116-'Scoring Setup'!$K$16)/(100-'Scoring Setup'!$K$16)))),1),"")</x:f>
        <x:v>0.833081358</x:v>
      </x:c>
      <x:c r="AW116" s="27" t="n">
        <x:f>IF(ISNUMBER(AE116),IF('Scoring Setup'!$L$17=1,1-'Scoring Setup'!$B$5*(1-MAX(0,MIN(1,(AE116-'Scoring Setup'!$K$17)/(100-'Scoring Setup'!$K$17)))),1),"")</x:f>
        <x:v>0.8</x:v>
      </x:c>
      <x:c r="AX116" s="27" t="n">
        <x:f>IF(ISNUMBER(AF116),IF('Scoring Setup'!$L$18=1,1-'Scoring Setup'!$B$5*(1-MAX(0,MIN(1,(AF116-'Scoring Setup'!$K$18)/(100-'Scoring Setup'!$K$18)))),1),"")</x:f>
        <x:v>0.8749272579311493</x:v>
      </x:c>
      <x:c r="AY116" s="27" t="n">
        <x:f>IF(ISNUMBER(AG116),IF('Scoring Setup'!$L$19=1,1-'Scoring Setup'!$B$5*(1-MAX(0,MIN(1,(AG116-'Scoring Setup'!$K$19)/(100-'Scoring Setup'!$K$19)))),1),"")</x:f>
        <x:v>0.8155333333333333</x:v>
      </x:c>
      <x:c r="AZ116" s="27" t="n">
        <x:f>IF(ISNUMBER(AH116),IF('Scoring Setup'!$L$20=1,1-'Scoring Setup'!$B$5*(1-MAX(0,MIN(1,(AH116-'Scoring Setup'!$K$20)/(100-'Scoring Setup'!$K$20)))),1),"")</x:f>
        <x:v>0.879334306640625</x:v>
      </x:c>
      <x:c r="BA116" s="27" t="n">
        <x:f>IF(ISNUMBER(AI116),IF('Scoring Setup'!$L$21=1,1-'Scoring Setup'!$B$5*(1-MAX(0,MIN(1,(AI116-'Scoring Setup'!$K$21)/(100-'Scoring Setup'!$K$21)))),1),"")</x:f>
        <x:v>0.8871877147129603</x:v>
      </x:c>
      <x:c r="BB116" s="27" t="n">
        <x:f>IF(ISNUMBER(AJ116),IF('Scoring Setup'!$L$22=1,1-'Scoring Setup'!$B$5*(1-MAX(0,MIN(1,(AJ116-'Scoring Setup'!$K$22)/(100-'Scoring Setup'!$K$22)))),1),"")</x:f>
        <x:v>1</x:v>
      </x:c>
      <x:c r="BC116" s="27" t="n">
        <x:f>IF(ISNUMBER(AK116),IF('Scoring Setup'!$L$23=1,1-'Scoring Setup'!$B$5*(1-MAX(0,MIN(1,(AK116-'Scoring Setup'!$K$23)/(100-'Scoring Setup'!$K$23)))),1),"")</x:f>
        <x:v>1</x:v>
      </x:c>
      <x:c r="BD116" s="27" t="n">
        <x:f>IF(ISNUMBER(AL116),IF('Scoring Setup'!$L$24=1,1-'Scoring Setup'!$B$5*(1-MAX(0,MIN(1,(AL116-'Scoring Setup'!$K$24)/(100-'Scoring Setup'!$K$24)))),1),"")</x:f>
        <x:v>0.9094545454545454</x:v>
      </x:c>
      <x:c r="BE116" s="27" t="n">
        <x:f>IF(ISNUMBER(AM116),IF('Scoring Setup'!$L$25=1,1-'Scoring Setup'!$B$5*(1-MAX(0,MIN(1,(AM116-'Scoring Setup'!$K$25)/(100-'Scoring Setup'!$K$25)))),1),"")</x:f>
        <x:v>0.8549228700052378</x:v>
      </x:c>
      <x:c r="BF116" s="27" t="n">
        <x:f>IF(ISNUMBER(AN116),IF('Scoring Setup'!$L$26=1,1-'Scoring Setup'!$B$5*(1-MAX(0,MIN(1,(AN116-'Scoring Setup'!$K$26)/(100-'Scoring Setup'!$K$26)))),1),"")</x:f>
        <x:v>0.977621005370185</x:v>
      </x:c>
      <x:c r="BG116" s="34" t="n">
        <x:f>IF(COUNT(W116,X116)=2,AVERAGE(W116,X116),"")</x:f>
        <x:v>88.78270862800565</x:v>
      </x:c>
      <x:c r="BH116" s="34" t="n">
        <x:f>IF(COUNT(Y116,Z116)=2,AVERAGE(Y116,Z116),"")</x:f>
        <x:v>56.16763013806735</x:v>
      </x:c>
      <x:c r="BI116" s="34" t="n">
        <x:f>IF(COUNT(AA116,AB116,AC116)=3,AVERAGE(AA116,AB116,AC116),"")</x:f>
        <x:v>57.98284511332079</x:v>
      </x:c>
      <x:c r="BJ116" s="34" t="n">
        <x:f>IF(COUNT(AD116,AE116)=2,AVERAGE(AD116,AE116),"")</x:f>
        <x:v>8.270339499999999</x:v>
      </x:c>
      <x:c r="BK116" s="34" t="n">
        <x:f>IF(COUNT(AF116,AG116)=2,AVERAGE(AF116,AG116),"")</x:f>
        <x:v>22.61514781612067</x:v>
      </x:c>
      <x:c r="BL116" s="34" t="n">
        <x:f>IF(COUNT(AH116,AI116)=2,AVERAGE(AH116,AI116),"")</x:f>
        <x:v>41.63050533839635</x:v>
      </x:c>
      <x:c r="BM116" s="34" t="n">
        <x:f>IF(COUNT(AJ116,AK116)=2,AVERAGE(AJ116,AK116),"")</x:f>
        <x:v>100</x:v>
      </x:c>
      <x:c r="BN116" s="34" t="n">
        <x:f>IF(COUNT(AL116,AM116,AN116)=3,AVERAGE(AL116,AM116,AN116),"")</x:f>
        <x:v>56.999736804994704</x:v>
      </x:c>
      <x:c r="BO116" s="35" t="n">
        <x:f>IF(AND(COUNT(BG116:BN116)=8,ABS('Scoring Setup'!$C$17-1)&lt;0.000001),BG116*'Scoring Setup'!$C$9+BH116*'Scoring Setup'!$C$10+BI116*'Scoring Setup'!$C$11+BJ116*'Scoring Setup'!$C$12+BK116*'Scoring Setup'!$C$13+BL116*'Scoring Setup'!$C$14+BM116*'Scoring Setup'!$C$15+BN116*'Scoring Setup'!$C$16,"")</x:f>
        <x:v>53.180076441776414</x:v>
      </x:c>
      <x:c r="BP116" s="36" t="n">
        <x:f>IF(COUNT(AO116:BF116)=18,MIN(AO116:BF116),"")</x:f>
        <x:v>0.8</x:v>
      </x:c>
      <x:c r="BQ116" s="35" t="n">
        <x:f>IF(AND(ISNUMBER(BO116),ISNUMBER(BP116)),BO116*BP116,"")</x:f>
        <x:v>42.54406115342113</x:v>
      </x:c>
      <x:c r="BR116" s="17" t="str">
        <x:f>IF(COUNT(AO116:BF116)=18,INDEX('Scoring Setup'!$F$9:$F$26,MATCH(MIN(AO116:BF116),AO116:BF116,0),1),"")</x:f>
        <x:v>低不透水土地比例</x:v>
      </x:c>
    </x:row>
    <x:row r="117">
      <x:c r="A117" s="28" t="str">
        <x:v>51678</x:v>
      </x:c>
      <x:c r="B117" s="28" t="str">
        <x:v>Lexington city</x:v>
      </x:c>
      <x:c r="C117" s="28" t="str">
        <x:v>VA</x:v>
      </x:c>
      <x:c r="D117" s="31" t="n">
        <x:v>6.473</x:v>
      </x:c>
      <x:c r="E117" s="32" t="n">
        <x:v>0.526</x:v>
      </x:c>
      <x:c r="F117" s="32" t="n">
        <x:v>0.561571782178218</x:v>
      </x:c>
      <x:c r="G117" s="32" t="n">
        <x:v>2.347786261981338</x:v>
      </x:c>
      <x:c r="H117" s="32" t="n">
        <x:v>2.645844728</x:v>
      </x:c>
      <x:c r="I117" s="32" t="n">
        <x:v>0.26775578014675344</x:v>
      </x:c>
      <x:c r="J117" s="32" t="n">
        <x:v>0</x:v>
      </x:c>
      <x:c r="K117" s="32" t="n">
        <x:v>0</x:v>
      </x:c>
      <x:c r="L117" s="32" t="n">
        <x:v>0.911440386</x:v>
      </x:c>
      <x:c r="M117" s="32" t="n">
        <x:v>0.911440386</x:v>
      </x:c>
      <x:c r="N117" s="32" t="n">
        <x:v>3444</x:v>
      </x:c>
      <x:c r="O117" s="32" t="n">
        <x:v>0.0474</x:v>
      </x:c>
      <x:c r="P117" s="32" t="n">
        <x:v>893.0587117513021</x:v>
      </x:c>
      <x:c r="Q117" s="32" t="n">
        <x:v>18.207386843363444</x:v>
      </x:c>
      <x:c r="R117" s="32" t="n">
        <x:v>3.0118129510117866</x:v>
      </x:c>
      <x:c r="S117" s="32" t="n">
        <x:v>1.070108034277115</x:v>
      </x:c>
      <x:c r="T117" s="32" t="n">
        <x:v>89.9</x:v>
      </x:c>
      <x:c r="U117" s="32" t="n">
        <x:v>245.07712999476223</x:v>
      </x:c>
      <x:c r="V117" s="32" t="n">
        <x:v>244.75798925963002</x:v>
      </x:c>
      <x:c r="W117" s="33" t="n">
        <x:f>IF(ISNUMBER(E117),100*MAX(0,MIN(1,('Anchors'!$H$6-E117)/('Anchors'!$H$6-'Anchors'!$G$6))),"")</x:f>
        <x:v>53.42857142857144</x:v>
      </x:c>
      <x:c r="X117" s="33" t="n">
        <x:f>IF(ISNUMBER(F117),100*MAX(0,MIN(1,('Anchors'!$H$7-F117)/('Anchors'!$H$7-'Anchors'!$G$7))),"")</x:f>
        <x:v>34.06117397454029</x:v>
      </x:c>
      <x:c r="Y117" s="33" t="n">
        <x:f>IF(ISNUMBER(G117),100*MAX(0,MIN(1,('Anchors'!$H$8-G117)/('Anchors'!$H$8-'Anchors'!$G$8))),"")</x:f>
        <x:v>55.073791267288726</x:v>
      </x:c>
      <x:c r="Z117" s="33" t="n">
        <x:f>IF(ISNUMBER(H117),100*MAX(0,MIN(1,('Anchors'!$H$9-H117)/('Anchors'!$H$9-'Anchors'!$G$9))),"")</x:f>
        <x:v>45.13850906666666</x:v>
      </x:c>
      <x:c r="AA117" s="33" t="n">
        <x:f>IF(ISNUMBER(I117),100*MAX(0,MIN(1,(I117-'Anchors'!$H$10)/('Anchors'!$G$10-'Anchors'!$H$10))),"")</x:f>
        <x:v>2.4322986502401975</x:v>
      </x:c>
      <x:c r="AB117" s="33" t="n">
        <x:f>IF(ISNUMBER(J117),100*MAX(0,MIN(1,('Anchors'!$H$11-J117)/('Anchors'!$H$11-'Anchors'!$G$11))),"")</x:f>
        <x:v>100</x:v>
      </x:c>
      <x:c r="AC117" s="33" t="n">
        <x:f>IF(ISNUMBER(K117),100*MAX(0,MIN(1,('Anchors'!$H$12-K117)/('Anchors'!$H$12-'Anchors'!$G$12))),"")</x:f>
        <x:v>100</x:v>
      </x:c>
      <x:c r="AD117" s="33" t="n">
        <x:f>IF(ISNUMBER(L117),100*MAX(0,MIN(1,(L117-'Anchors'!$H$13)/('Anchors'!$G$13-'Anchors'!$H$13))),"")</x:f>
        <x:v>100</x:v>
      </x:c>
      <x:c r="AE117" s="33" t="n">
        <x:f>IF(ISNUMBER(M117),100*MAX(0,MIN(1,(M117-'Anchors'!$H$14)/('Anchors'!$G$14-'Anchors'!$H$14))),"")</x:f>
        <x:v>100</x:v>
      </x:c>
      <x:c r="AF117" s="33" t="n">
        <x:f>IF(ISNUMBER(N117),100*MAX(0,MIN(1,(LN(1+N117)-LN(1+'Anchors'!$H$15))/(LN(1+'Anchors'!$G$15)-LN(1+'Anchors'!$H$15)))),"")</x:f>
        <x:v>12.584607135331312</x:v>
      </x:c>
      <x:c r="AG117" s="33" t="n">
        <x:f>IF(ISNUMBER(O117),100*MAX(0,MIN(1,('Anchors'!$H$16-O117)/('Anchors'!$H$16-'Anchors'!$G$16))),"")</x:f>
        <x:v>100</x:v>
      </x:c>
      <x:c r="AH117" s="33" t="n">
        <x:f>IF(ISNUMBER(P117),100*MAX(0,MIN(1,('Anchors'!$H$17-P117)/('Anchors'!$H$17-'Anchors'!$G$17))),"")</x:f>
        <x:v>87.12941921657986</x:v>
      </x:c>
      <x:c r="AI117" s="33" t="n">
        <x:f>IF(ISNUMBER(Q117),100*MAX(0,MIN(1,('Anchors'!$H$18-Q117)/('Anchors'!$H$18-'Anchors'!$G$18))),"")</x:f>
        <x:v>81.13230450948079</x:v>
      </x:c>
      <x:c r="AJ117" s="33" t="n">
        <x:f>IF(ISNUMBER(R117),100*MAX(0,MIN(1,('Anchors'!$H$19-R117)/('Anchors'!$H$19-'Anchors'!$G$19))),"")</x:f>
        <x:v>100</x:v>
      </x:c>
      <x:c r="AK117" s="33" t="n">
        <x:f>IF(ISNUMBER(S117),100*MAX(0,MIN(1,('Anchors'!$H$20-S117)/('Anchors'!$H$20-'Anchors'!$G$20))),"")</x:f>
        <x:v>99.63101034590991</x:v>
      </x:c>
      <x:c r="AL117" s="33" t="n">
        <x:f>IF(ISNUMBER(T117),100*MAX(0,MIN(1,('Anchors'!$H$21-T117)/('Anchors'!$H$21-'Anchors'!$G$21))),"")</x:f>
        <x:v>54.72727272727271</x:v>
      </x:c>
      <x:c r="AM117" s="33" t="n">
        <x:f>IF(ISNUMBER(U117),100*MAX(0,MIN(1,('Anchors'!$H$22-U117)/('Anchors'!$H$22-'Anchors'!$G$22))),"")</x:f>
        <x:v>27.461435002618884</x:v>
      </x:c>
      <x:c r="AN117" s="33" t="n">
        <x:f>IF(ISNUMBER(V117),100*MAX(0,MIN(1,('Anchors'!$H$23-V117)/('Anchors'!$H$23-'Anchors'!$G$23))),"")</x:f>
        <x:v>88.8105026850925</x:v>
      </x:c>
      <x:c r="AO117" s="27" t="n">
        <x:f>IF(ISNUMBER(W117),IF('Scoring Setup'!$L$9=1,1-'Scoring Setup'!$B$5*(1-MAX(0,MIN(1,(W117-'Scoring Setup'!$K$9)/(100-'Scoring Setup'!$K$9)))),1),"")</x:f>
        <x:v>0.9068571428571428</x:v>
      </x:c>
      <x:c r="AP117" s="27" t="n">
        <x:f>IF(ISNUMBER(X117),IF('Scoring Setup'!$L$10=1,1-'Scoring Setup'!$B$5*(1-MAX(0,MIN(1,(X117-'Scoring Setup'!$K$10)/(100-'Scoring Setup'!$K$10)))),1),"")</x:f>
        <x:v>0.8681223479490806</x:v>
      </x:c>
      <x:c r="AQ117" s="27" t="n">
        <x:f>IF(ISNUMBER(Y117),IF('Scoring Setup'!$L$11=1,1-'Scoring Setup'!$B$5*(1-MAX(0,MIN(1,(Y117-'Scoring Setup'!$K$11)/(100-'Scoring Setup'!$K$11)))),1),"")</x:f>
        <x:v>0.9101475825345775</x:v>
      </x:c>
      <x:c r="AR117" s="27" t="n">
        <x:f>IF(ISNUMBER(Z117),IF('Scoring Setup'!$L$12=1,1-'Scoring Setup'!$B$5*(1-MAX(0,MIN(1,(Z117-'Scoring Setup'!$K$12)/(100-'Scoring Setup'!$K$12)))),1),"")</x:f>
        <x:v>0.8902770181333333</x:v>
      </x:c>
      <x:c r="AS117" s="27" t="n">
        <x:f>IF(ISNUMBER(AA117),IF('Scoring Setup'!$L$13=1,1-'Scoring Setup'!$B$5*(1-MAX(0,MIN(1,(AA117-'Scoring Setup'!$K$13)/(100-'Scoring Setup'!$K$13)))),1),"")</x:f>
        <x:v>0.8048645973004804</x:v>
      </x:c>
      <x:c r="AT117" s="27" t="n">
        <x:f>IF(ISNUMBER(AB117),IF('Scoring Setup'!$L$14=1,1-'Scoring Setup'!$B$5*(1-MAX(0,MIN(1,(AB117-'Scoring Setup'!$K$14)/(100-'Scoring Setup'!$K$14)))),1),"")</x:f>
        <x:v>1</x:v>
      </x:c>
      <x:c r="AU117" s="27" t="n">
        <x:f>IF(ISNUMBER(AC117),IF('Scoring Setup'!$L$15=1,1-'Scoring Setup'!$B$5*(1-MAX(0,MIN(1,(AC117-'Scoring Setup'!$K$15)/(100-'Scoring Setup'!$K$15)))),1),"")</x:f>
        <x:v>1</x:v>
      </x:c>
      <x:c r="AV117" s="27" t="n">
        <x:f>IF(ISNUMBER(AD117),IF('Scoring Setup'!$L$16=1,1-'Scoring Setup'!$B$5*(1-MAX(0,MIN(1,(AD117-'Scoring Setup'!$K$16)/(100-'Scoring Setup'!$K$16)))),1),"")</x:f>
        <x:v>1</x:v>
      </x:c>
      <x:c r="AW117" s="27" t="n">
        <x:f>IF(ISNUMBER(AE117),IF('Scoring Setup'!$L$17=1,1-'Scoring Setup'!$B$5*(1-MAX(0,MIN(1,(AE117-'Scoring Setup'!$K$17)/(100-'Scoring Setup'!$K$17)))),1),"")</x:f>
        <x:v>1</x:v>
      </x:c>
      <x:c r="AX117" s="27" t="n">
        <x:f>IF(ISNUMBER(AF117),IF('Scoring Setup'!$L$18=1,1-'Scoring Setup'!$B$5*(1-MAX(0,MIN(1,(AF117-'Scoring Setup'!$K$18)/(100-'Scoring Setup'!$K$18)))),1),"")</x:f>
        <x:v>0.8251692142706626</x:v>
      </x:c>
      <x:c r="AY117" s="27" t="n">
        <x:f>IF(ISNUMBER(AG117),IF('Scoring Setup'!$L$19=1,1-'Scoring Setup'!$B$5*(1-MAX(0,MIN(1,(AG117-'Scoring Setup'!$K$19)/(100-'Scoring Setup'!$K$19)))),1),"")</x:f>
        <x:v>1</x:v>
      </x:c>
      <x:c r="AZ117" s="27" t="n">
        <x:f>IF(ISNUMBER(AH117),IF('Scoring Setup'!$L$20=1,1-'Scoring Setup'!$B$5*(1-MAX(0,MIN(1,(AH117-'Scoring Setup'!$K$20)/(100-'Scoring Setup'!$K$20)))),1),"")</x:f>
        <x:v>0.9742588384331597</x:v>
      </x:c>
      <x:c r="BA117" s="27" t="n">
        <x:f>IF(ISNUMBER(AI117),IF('Scoring Setup'!$L$21=1,1-'Scoring Setup'!$B$5*(1-MAX(0,MIN(1,(AI117-'Scoring Setup'!$K$21)/(100-'Scoring Setup'!$K$21)))),1),"")</x:f>
        <x:v>0.9622646090189616</x:v>
      </x:c>
      <x:c r="BB117" s="27" t="n">
        <x:f>IF(ISNUMBER(AJ117),IF('Scoring Setup'!$L$22=1,1-'Scoring Setup'!$B$5*(1-MAX(0,MIN(1,(AJ117-'Scoring Setup'!$K$22)/(100-'Scoring Setup'!$K$22)))),1),"")</x:f>
        <x:v>1</x:v>
      </x:c>
      <x:c r="BC117" s="27" t="n">
        <x:f>IF(ISNUMBER(AK117),IF('Scoring Setup'!$L$23=1,1-'Scoring Setup'!$B$5*(1-MAX(0,MIN(1,(AK117-'Scoring Setup'!$K$23)/(100-'Scoring Setup'!$K$23)))),1),"")</x:f>
        <x:v>0.9992620206918198</x:v>
      </x:c>
      <x:c r="BD117" s="27" t="n">
        <x:f>IF(ISNUMBER(AL117),IF('Scoring Setup'!$L$24=1,1-'Scoring Setup'!$B$5*(1-MAX(0,MIN(1,(AL117-'Scoring Setup'!$K$24)/(100-'Scoring Setup'!$K$24)))),1),"")</x:f>
        <x:v>0.9094545454545454</x:v>
      </x:c>
      <x:c r="BE117" s="27" t="n">
        <x:f>IF(ISNUMBER(AM117),IF('Scoring Setup'!$L$25=1,1-'Scoring Setup'!$B$5*(1-MAX(0,MIN(1,(AM117-'Scoring Setup'!$K$25)/(100-'Scoring Setup'!$K$25)))),1),"")</x:f>
        <x:v>0.8549228700052378</x:v>
      </x:c>
      <x:c r="BF117" s="27" t="n">
        <x:f>IF(ISNUMBER(AN117),IF('Scoring Setup'!$L$26=1,1-'Scoring Setup'!$B$5*(1-MAX(0,MIN(1,(AN117-'Scoring Setup'!$K$26)/(100-'Scoring Setup'!$K$26)))),1),"")</x:f>
        <x:v>0.977621005370185</x:v>
      </x:c>
      <x:c r="BG117" s="34" t="n">
        <x:f>IF(COUNT(W117,X117)=2,AVERAGE(W117,X117),"")</x:f>
        <x:v>43.74487270155586</x:v>
      </x:c>
      <x:c r="BH117" s="34" t="n">
        <x:f>IF(COUNT(Y117,Z117)=2,AVERAGE(Y117,Z117),"")</x:f>
        <x:v>50.10615016697769</x:v>
      </x:c>
      <x:c r="BI117" s="34" t="n">
        <x:f>IF(COUNT(AA117,AB117,AC117)=3,AVERAGE(AA117,AB117,AC117),"")</x:f>
        <x:v>67.4774328834134</x:v>
      </x:c>
      <x:c r="BJ117" s="34" t="n">
        <x:f>IF(COUNT(AD117,AE117)=2,AVERAGE(AD117,AE117),"")</x:f>
        <x:v>100</x:v>
      </x:c>
      <x:c r="BK117" s="34" t="n">
        <x:f>IF(COUNT(AF117,AG117)=2,AVERAGE(AF117,AG117),"")</x:f>
        <x:v>56.292303567665655</x:v>
      </x:c>
      <x:c r="BL117" s="34" t="n">
        <x:f>IF(COUNT(AH117,AI117)=2,AVERAGE(AH117,AI117),"")</x:f>
        <x:v>84.13086186303033</x:v>
      </x:c>
      <x:c r="BM117" s="34" t="n">
        <x:f>IF(COUNT(AJ117,AK117)=2,AVERAGE(AJ117,AK117),"")</x:f>
        <x:v>99.81550517295496</x:v>
      </x:c>
      <x:c r="BN117" s="34" t="n">
        <x:f>IF(COUNT(AL117,AM117,AN117)=3,AVERAGE(AL117,AM117,AN117),"")</x:f>
        <x:v>56.999736804994704</x:v>
      </x:c>
      <x:c r="BO117" s="35" t="n">
        <x:f>IF(AND(COUNT(BG117:BN117)=8,ABS('Scoring Setup'!$C$17-1)&lt;0.000001),BG117*'Scoring Setup'!$C$9+BH117*'Scoring Setup'!$C$10+BI117*'Scoring Setup'!$C$11+BJ117*'Scoring Setup'!$C$12+BK117*'Scoring Setup'!$C$13+BL117*'Scoring Setup'!$C$14+BM117*'Scoring Setup'!$C$15+BN117*'Scoring Setup'!$C$16,"")</x:f>
        <x:v>63.06993034195671</x:v>
      </x:c>
      <x:c r="BP117" s="36" t="n">
        <x:f>IF(COUNT(AO117:BF117)=18,MIN(AO117:BF117),"")</x:f>
        <x:v>0.8048645973004804</x:v>
      </x:c>
      <x:c r="BQ117" s="35" t="n">
        <x:f>IF(AND(ISNUMBER(BO117),ISNUMBER(BP117)),BO117*BP117,"")</x:f>
        <x:v>50.76275408644834</x:v>
      </x:c>
      <x:c r="BR117" s="17" t="str">
        <x:f>IF(COUNT(AO117:BF117)=18,INDEX('Scoring Setup'!$F$9:$F$26,MATCH(MIN(AO117:BF117),AO117:BF117,0),1),"")</x:f>
        <x:v>低不透水土地比例</x:v>
      </x:c>
    </x:row>
    <x:row r="118">
      <x:c r="A118" s="28" t="str">
        <x:v>51680</x:v>
      </x:c>
      <x:c r="B118" s="28" t="str">
        <x:v>Lynchburg city</x:v>
      </x:c>
      <x:c r="C118" s="28" t="str">
        <x:v>VA</x:v>
      </x:c>
      <x:c r="D118" s="31" t="n">
        <x:v>126.695077</x:v>
      </x:c>
      <x:c r="E118" s="32" t="n">
        <x:v>0.317</x:v>
      </x:c>
      <x:c r="F118" s="32" t="n">
        <x:v>0.21782178217821802</x:v>
      </x:c>
      <x:c r="G118" s="32" t="n">
        <x:v>2.3477959544749485</x:v>
      </x:c>
      <x:c r="H118" s="32" t="n">
        <x:v>2.645851074354399</x:v>
      </x:c>
      <x:c r="I118" s="32" t="n">
        <x:v>0.49416801486432066</x:v>
      </x:c>
      <x:c r="J118" s="32" t="n">
        <x:v>0</x:v>
      </x:c>
      <x:c r="K118" s="32" t="n">
        <x:v>0.0006711551640091277</x:v>
      </x:c>
      <x:c r="L118" s="32" t="n">
        <x:v>0.59954943</x:v>
      </x:c>
      <x:c r="M118" s="32" t="n">
        <x:v>0.598489266</x:v>
      </x:c>
      <x:c r="N118" s="32" t="n">
        <x:v>37164</x:v>
      </x:c>
      <x:c r="O118" s="32" t="n">
        <x:v>0.7066</x:v>
      </x:c>
      <x:c r="P118" s="32" t="n">
        <x:v>1101.398095703125</x:v>
      </x:c>
      <x:c r="Q118" s="32" t="n">
        <x:v>19.150407854715983</x:v>
      </x:c>
      <x:c r="R118" s="32" t="n">
        <x:v>40.71502587679799</x:v>
      </x:c>
      <x:c r="S118" s="32" t="n">
        <x:v>1.1445827701802576</x:v>
      </x:c>
      <x:c r="T118" s="32" t="n">
        <x:v>89.9</x:v>
      </x:c>
      <x:c r="U118" s="32" t="n">
        <x:v>245.07712999476223</x:v>
      </x:c>
      <x:c r="V118" s="32" t="n">
        <x:v>244.75798925963002</x:v>
      </x:c>
      <x:c r="W118" s="33" t="n">
        <x:f>IF(ISNUMBER(E118),100*MAX(0,MIN(1,('Anchors'!$H$6-E118)/('Anchors'!$H$6-'Anchors'!$G$6))),"")</x:f>
        <x:v>83.28571428571429</x:v>
      </x:c>
      <x:c r="X118" s="33" t="n">
        <x:f>IF(ISNUMBER(F118),100*MAX(0,MIN(1,('Anchors'!$H$7-F118)/('Anchors'!$H$7-'Anchors'!$G$7))),"")</x:f>
        <x:v>83.16831683168314</x:v>
      </x:c>
      <x:c r="Y118" s="33" t="n">
        <x:f>IF(ISNUMBER(G118),100*MAX(0,MIN(1,('Anchors'!$H$8-G118)/('Anchors'!$H$8-'Anchors'!$G$8))),"")</x:f>
        <x:v>55.073468184168384</x:v>
      </x:c>
      <x:c r="Z118" s="33" t="n">
        <x:f>IF(ISNUMBER(H118),100*MAX(0,MIN(1,('Anchors'!$H$9-H118)/('Anchors'!$H$9-'Anchors'!$G$9))),"")</x:f>
        <x:v>45.13829752152003</x:v>
      </x:c>
      <x:c r="AA118" s="33" t="n">
        <x:f>IF(ISNUMBER(I118),100*MAX(0,MIN(1,(I118-'Anchors'!$H$10)/('Anchors'!$G$10-'Anchors'!$H$10))),"")</x:f>
        <x:v>33.44767326908502</x:v>
      </x:c>
      <x:c r="AB118" s="33" t="n">
        <x:f>IF(ISNUMBER(J118),100*MAX(0,MIN(1,('Anchors'!$H$11-J118)/('Anchors'!$H$11-'Anchors'!$G$11))),"")</x:f>
        <x:v>100</x:v>
      </x:c>
      <x:c r="AC118" s="33" t="n">
        <x:f>IF(ISNUMBER(K118),100*MAX(0,MIN(1,('Anchors'!$H$12-K118)/('Anchors'!$H$12-'Anchors'!$G$12))),"")</x:f>
        <x:v>99.83221120899772</x:v>
      </x:c>
      <x:c r="AD118" s="33" t="n">
        <x:f>IF(ISNUMBER(L118),100*MAX(0,MIN(1,(L118-'Anchors'!$H$13)/('Anchors'!$G$13-'Anchors'!$H$13))),"")</x:f>
        <x:v>57.07849</x:v>
      </x:c>
      <x:c r="AE118" s="33" t="n">
        <x:f>IF(ISNUMBER(M118),100*MAX(0,MIN(1,(M118-'Anchors'!$H$14)/('Anchors'!$G$14-'Anchors'!$H$14))),"")</x:f>
        <x:v>62.31115825</x:v>
      </x:c>
      <x:c r="AF118" s="33" t="n">
        <x:f>IF(ISNUMBER(N118),100*MAX(0,MIN(1,(LN(1+N118)-LN(1+'Anchors'!$H$15))/(LN(1+'Anchors'!$G$15)-LN(1+'Anchors'!$H$15)))),"")</x:f>
        <x:v>67.67949619531727</x:v>
      </x:c>
      <x:c r="AG118" s="33" t="n">
        <x:f>IF(ISNUMBER(O118),100*MAX(0,MIN(1,('Anchors'!$H$16-O118)/('Anchors'!$H$16-'Anchors'!$G$16))),"")</x:f>
        <x:v>27.044444444444444</x:v>
      </x:c>
      <x:c r="AH118" s="33" t="n">
        <x:f>IF(ISNUMBER(P118),100*MAX(0,MIN(1,('Anchors'!$H$17-P118)/('Anchors'!$H$17-'Anchors'!$G$17))),"")</x:f>
        <x:v>73.24012695312501</x:v>
      </x:c>
      <x:c r="AI118" s="33" t="n">
        <x:f>IF(ISNUMBER(Q118),100*MAX(0,MIN(1,('Anchors'!$H$18-Q118)/('Anchors'!$H$18-'Anchors'!$G$18))),"")</x:f>
        <x:v>79.78513163612003</x:v>
      </x:c>
      <x:c r="AJ118" s="33" t="n">
        <x:f>IF(ISNUMBER(R118),100*MAX(0,MIN(1,('Anchors'!$H$19-R118)/('Anchors'!$H$19-'Anchors'!$G$19))),"")</x:f>
        <x:v>20.633275829337805</x:v>
      </x:c>
      <x:c r="AK118" s="33" t="n">
        <x:f>IF(ISNUMBER(S118),100*MAX(0,MIN(1,('Anchors'!$H$20-S118)/('Anchors'!$H$20-'Anchors'!$G$20))),"")</x:f>
        <x:v>99.23903805168285</x:v>
      </x:c>
      <x:c r="AL118" s="33" t="n">
        <x:f>IF(ISNUMBER(T118),100*MAX(0,MIN(1,('Anchors'!$H$21-T118)/('Anchors'!$H$21-'Anchors'!$G$21))),"")</x:f>
        <x:v>54.72727272727271</x:v>
      </x:c>
      <x:c r="AM118" s="33" t="n">
        <x:f>IF(ISNUMBER(U118),100*MAX(0,MIN(1,('Anchors'!$H$22-U118)/('Anchors'!$H$22-'Anchors'!$G$22))),"")</x:f>
        <x:v>27.461435002618884</x:v>
      </x:c>
      <x:c r="AN118" s="33" t="n">
        <x:f>IF(ISNUMBER(V118),100*MAX(0,MIN(1,('Anchors'!$H$23-V118)/('Anchors'!$H$23-'Anchors'!$G$23))),"")</x:f>
        <x:v>88.8105026850925</x:v>
      </x:c>
      <x:c r="AO118" s="27" t="n">
        <x:f>IF(ISNUMBER(W118),IF('Scoring Setup'!$L$9=1,1-'Scoring Setup'!$B$5*(1-MAX(0,MIN(1,(W118-'Scoring Setup'!$K$9)/(100-'Scoring Setup'!$K$9)))),1),"")</x:f>
        <x:v>0.9665714285714286</x:v>
      </x:c>
      <x:c r="AP118" s="27" t="n">
        <x:f>IF(ISNUMBER(X118),IF('Scoring Setup'!$L$10=1,1-'Scoring Setup'!$B$5*(1-MAX(0,MIN(1,(X118-'Scoring Setup'!$K$10)/(100-'Scoring Setup'!$K$10)))),1),"")</x:f>
        <x:v>0.9663366336633663</x:v>
      </x:c>
      <x:c r="AQ118" s="27" t="n">
        <x:f>IF(ISNUMBER(Y118),IF('Scoring Setup'!$L$11=1,1-'Scoring Setup'!$B$5*(1-MAX(0,MIN(1,(Y118-'Scoring Setup'!$K$11)/(100-'Scoring Setup'!$K$11)))),1),"")</x:f>
        <x:v>0.9101469363683368</x:v>
      </x:c>
      <x:c r="AR118" s="27" t="n">
        <x:f>IF(ISNUMBER(Z118),IF('Scoring Setup'!$L$12=1,1-'Scoring Setup'!$B$5*(1-MAX(0,MIN(1,(Z118-'Scoring Setup'!$K$12)/(100-'Scoring Setup'!$K$12)))),1),"")</x:f>
        <x:v>0.89027659504304</x:v>
      </x:c>
      <x:c r="AS118" s="27" t="n">
        <x:f>IF(ISNUMBER(AA118),IF('Scoring Setup'!$L$13=1,1-'Scoring Setup'!$B$5*(1-MAX(0,MIN(1,(AA118-'Scoring Setup'!$K$13)/(100-'Scoring Setup'!$K$13)))),1),"")</x:f>
        <x:v>0.86689534653817</x:v>
      </x:c>
      <x:c r="AT118" s="27" t="n">
        <x:f>IF(ISNUMBER(AB118),IF('Scoring Setup'!$L$14=1,1-'Scoring Setup'!$B$5*(1-MAX(0,MIN(1,(AB118-'Scoring Setup'!$K$14)/(100-'Scoring Setup'!$K$14)))),1),"")</x:f>
        <x:v>1</x:v>
      </x:c>
      <x:c r="AU118" s="27" t="n">
        <x:f>IF(ISNUMBER(AC118),IF('Scoring Setup'!$L$15=1,1-'Scoring Setup'!$B$5*(1-MAX(0,MIN(1,(AC118-'Scoring Setup'!$K$15)/(100-'Scoring Setup'!$K$15)))),1),"")</x:f>
        <x:v>0.9996644224179955</x:v>
      </x:c>
      <x:c r="AV118" s="27" t="n">
        <x:f>IF(ISNUMBER(AD118),IF('Scoring Setup'!$L$16=1,1-'Scoring Setup'!$B$5*(1-MAX(0,MIN(1,(AD118-'Scoring Setup'!$K$16)/(100-'Scoring Setup'!$K$16)))),1),"")</x:f>
        <x:v>0.91415698</x:v>
      </x:c>
      <x:c r="AW118" s="27" t="n">
        <x:f>IF(ISNUMBER(AE118),IF('Scoring Setup'!$L$17=1,1-'Scoring Setup'!$B$5*(1-MAX(0,MIN(1,(AE118-'Scoring Setup'!$K$17)/(100-'Scoring Setup'!$K$17)))),1),"")</x:f>
        <x:v>0.9246223165</x:v>
      </x:c>
      <x:c r="AX118" s="27" t="n">
        <x:f>IF(ISNUMBER(AF118),IF('Scoring Setup'!$L$18=1,1-'Scoring Setup'!$B$5*(1-MAX(0,MIN(1,(AF118-'Scoring Setup'!$K$18)/(100-'Scoring Setup'!$K$18)))),1),"")</x:f>
        <x:v>0.9353589923906346</x:v>
      </x:c>
      <x:c r="AY118" s="27" t="n">
        <x:f>IF(ISNUMBER(AG118),IF('Scoring Setup'!$L$19=1,1-'Scoring Setup'!$B$5*(1-MAX(0,MIN(1,(AG118-'Scoring Setup'!$K$19)/(100-'Scoring Setup'!$K$19)))),1),"")</x:f>
        <x:v>0.8540888888888889</x:v>
      </x:c>
      <x:c r="AZ118" s="27" t="n">
        <x:f>IF(ISNUMBER(AH118),IF('Scoring Setup'!$L$20=1,1-'Scoring Setup'!$B$5*(1-MAX(0,MIN(1,(AH118-'Scoring Setup'!$K$20)/(100-'Scoring Setup'!$K$20)))),1),"")</x:f>
        <x:v>0.94648025390625</x:v>
      </x:c>
      <x:c r="BA118" s="27" t="n">
        <x:f>IF(ISNUMBER(AI118),IF('Scoring Setup'!$L$21=1,1-'Scoring Setup'!$B$5*(1-MAX(0,MIN(1,(AI118-'Scoring Setup'!$K$21)/(100-'Scoring Setup'!$K$21)))),1),"")</x:f>
        <x:v>0.95957026327224</x:v>
      </x:c>
      <x:c r="BB118" s="27" t="n">
        <x:f>IF(ISNUMBER(AJ118),IF('Scoring Setup'!$L$22=1,1-'Scoring Setup'!$B$5*(1-MAX(0,MIN(1,(AJ118-'Scoring Setup'!$K$22)/(100-'Scoring Setup'!$K$22)))),1),"")</x:f>
        <x:v>0.8412665516586756</x:v>
      </x:c>
      <x:c r="BC118" s="27" t="n">
        <x:f>IF(ISNUMBER(AK118),IF('Scoring Setup'!$L$23=1,1-'Scoring Setup'!$B$5*(1-MAX(0,MIN(1,(AK118-'Scoring Setup'!$K$23)/(100-'Scoring Setup'!$K$23)))),1),"")</x:f>
        <x:v>0.9984780761033657</x:v>
      </x:c>
      <x:c r="BD118" s="27" t="n">
        <x:f>IF(ISNUMBER(AL118),IF('Scoring Setup'!$L$24=1,1-'Scoring Setup'!$B$5*(1-MAX(0,MIN(1,(AL118-'Scoring Setup'!$K$24)/(100-'Scoring Setup'!$K$24)))),1),"")</x:f>
        <x:v>0.9094545454545454</x:v>
      </x:c>
      <x:c r="BE118" s="27" t="n">
        <x:f>IF(ISNUMBER(AM118),IF('Scoring Setup'!$L$25=1,1-'Scoring Setup'!$B$5*(1-MAX(0,MIN(1,(AM118-'Scoring Setup'!$K$25)/(100-'Scoring Setup'!$K$25)))),1),"")</x:f>
        <x:v>0.8549228700052378</x:v>
      </x:c>
      <x:c r="BF118" s="27" t="n">
        <x:f>IF(ISNUMBER(AN118),IF('Scoring Setup'!$L$26=1,1-'Scoring Setup'!$B$5*(1-MAX(0,MIN(1,(AN118-'Scoring Setup'!$K$26)/(100-'Scoring Setup'!$K$26)))),1),"")</x:f>
        <x:v>0.977621005370185</x:v>
      </x:c>
      <x:c r="BG118" s="34" t="n">
        <x:f>IF(COUNT(W118,X118)=2,AVERAGE(W118,X118),"")</x:f>
        <x:v>83.22701555869872</x:v>
      </x:c>
      <x:c r="BH118" s="34" t="n">
        <x:f>IF(COUNT(Y118,Z118)=2,AVERAGE(Y118,Z118),"")</x:f>
        <x:v>50.1058828528442</x:v>
      </x:c>
      <x:c r="BI118" s="34" t="n">
        <x:f>IF(COUNT(AA118,AB118,AC118)=3,AVERAGE(AA118,AB118,AC118),"")</x:f>
        <x:v>77.75996149269425</x:v>
      </x:c>
      <x:c r="BJ118" s="34" t="n">
        <x:f>IF(COUNT(AD118,AE118)=2,AVERAGE(AD118,AE118),"")</x:f>
        <x:v>59.694824125</x:v>
      </x:c>
      <x:c r="BK118" s="34" t="n">
        <x:f>IF(COUNT(AF118,AG118)=2,AVERAGE(AF118,AG118),"")</x:f>
        <x:v>47.361970319880854</x:v>
      </x:c>
      <x:c r="BL118" s="34" t="n">
        <x:f>IF(COUNT(AH118,AI118)=2,AVERAGE(AH118,AI118),"")</x:f>
        <x:v>76.51262929462251</x:v>
      </x:c>
      <x:c r="BM118" s="34" t="n">
        <x:f>IF(COUNT(AJ118,AK118)=2,AVERAGE(AJ118,AK118),"")</x:f>
        <x:v>59.93615694051033</x:v>
      </x:c>
      <x:c r="BN118" s="34" t="n">
        <x:f>IF(COUNT(AL118,AM118,AN118)=3,AVERAGE(AL118,AM118,AN118),"")</x:f>
        <x:v>56.999736804994704</x:v>
      </x:c>
      <x:c r="BO118" s="35" t="n">
        <x:f>IF(AND(COUNT(BG118:BN118)=8,ABS('Scoring Setup'!$C$17-1)&lt;0.000001),BG118*'Scoring Setup'!$C$9+BH118*'Scoring Setup'!$C$10+BI118*'Scoring Setup'!$C$11+BJ118*'Scoring Setup'!$C$12+BK118*'Scoring Setup'!$C$13+BL118*'Scoring Setup'!$C$14+BM118*'Scoring Setup'!$C$15+BN118*'Scoring Setup'!$C$16,"")</x:f>
        <x:v>60.74791407345128</x:v>
      </x:c>
      <x:c r="BP118" s="36" t="n">
        <x:f>IF(COUNT(AO118:BF118)=18,MIN(AO118:BF118),"")</x:f>
        <x:v>0.8412665516586756</x:v>
      </x:c>
      <x:c r="BQ118" s="35" t="n">
        <x:f>IF(AND(ISNUMBER(BO118),ISNUMBER(BP118)),BO118*BP118,"")</x:f>
        <x:v>51.10518819302988</x:v>
      </x:c>
      <x:c r="BR118" s="17" t="str">
        <x:f>IF(COUNT(AO118:BF118)=18,INDEX('Scoring Setup'!$F$9:$F$26,MATCH(MIN(AO118:BF118),AO118:BF118,0),1),"")</x:f>
        <x:v>到Interstate距离</x:v>
      </x:c>
    </x:row>
    <x:row r="119">
      <x:c r="A119" s="28" t="str">
        <x:v>51683</x:v>
      </x:c>
      <x:c r="B119" s="28" t="str">
        <x:v>Manassas city</x:v>
      </x:c>
      <x:c r="C119" s="28" t="str">
        <x:v>VA</x:v>
      </x:c>
      <x:c r="D119" s="31" t="n">
        <x:v>25.493247</x:v>
      </x:c>
      <x:c r="E119" s="32" t="n">
        <x:v>0.13</x:v>
      </x:c>
      <x:c r="F119" s="32" t="n">
        <x:v>0.232982673267327</x:v>
      </x:c>
      <x:c r="G119" s="32" t="n">
        <x:v>3.5886680608434567</x:v>
      </x:c>
      <x:c r="H119" s="32" t="n">
        <x:v>3.9801398220000004</x:v>
      </x:c>
      <x:c r="I119" s="32" t="n">
        <x:v>0.0902379864309066</x:v>
      </x:c>
      <x:c r="J119" s="32" t="n">
        <x:v>0.000015660982919432864</x:v>
      </x:c>
      <x:c r="K119" s="32" t="n">
        <x:v>0.008190670369458994</x:v>
      </x:c>
      <x:c r="L119" s="32" t="n">
        <x:v>0.686545696</x:v>
      </x:c>
      <x:c r="M119" s="32" t="n">
        <x:v>0.008574906</x:v>
      </x:c>
      <x:c r="N119" s="32" t="n">
        <x:v>24058</x:v>
      </x:c>
      <x:c r="O119" s="32" t="n">
        <x:v>0.4884</x:v>
      </x:c>
      <x:c r="P119" s="32" t="n">
        <x:v>1112.7548177083331</x:v>
      </x:c>
      <x:c r="Q119" s="32" t="n">
        <x:v>26.37443313598633</x:v>
      </x:c>
      <x:c r="R119" s="32" t="n">
        <x:v>6.604304262584915</x:v>
      </x:c>
      <x:c r="S119" s="32" t="n">
        <x:v>0.24072120315832132</x:v>
      </x:c>
      <x:c r="T119" s="32" t="n">
        <x:v>89.9</x:v>
      </x:c>
      <x:c r="U119" s="32" t="n">
        <x:v>245.07712999476223</x:v>
      </x:c>
      <x:c r="V119" s="32" t="n">
        <x:v>244.75798925963002</x:v>
      </x:c>
      <x:c r="W119" s="33" t="n">
        <x:f>IF(ISNUMBER(E119),100*MAX(0,MIN(1,('Anchors'!$H$6-E119)/('Anchors'!$H$6-'Anchors'!$G$6))),"")</x:f>
        <x:v>100</x:v>
      </x:c>
      <x:c r="X119" s="33" t="n">
        <x:f>IF(ISNUMBER(F119),100*MAX(0,MIN(1,('Anchors'!$H$7-F119)/('Anchors'!$H$7-'Anchors'!$G$7))),"")</x:f>
        <x:v>81.00247524752471</x:v>
      </x:c>
      <x:c r="Y119" s="33" t="n">
        <x:f>IF(ISNUMBER(G119),100*MAX(0,MIN(1,('Anchors'!$H$8-G119)/('Anchors'!$H$8-'Anchors'!$G$8))),"")</x:f>
        <x:v>13.711064638551443</x:v>
      </x:c>
      <x:c r="Z119" s="33" t="n">
        <x:f>IF(ISNUMBER(H119),100*MAX(0,MIN(1,('Anchors'!$H$9-H119)/('Anchors'!$H$9-'Anchors'!$G$9))),"")</x:f>
        <x:v>0.6620059333333206</x:v>
      </x:c>
      <x:c r="AA119" s="33" t="n">
        <x:f>IF(ISNUMBER(I119),100*MAX(0,MIN(1,(I119-'Anchors'!$H$10)/('Anchors'!$G$10-'Anchors'!$H$10))),"")</x:f>
        <x:v>0</x:v>
      </x:c>
      <x:c r="AB119" s="33" t="n">
        <x:f>IF(ISNUMBER(J119),100*MAX(0,MIN(1,('Anchors'!$H$11-J119)/('Anchors'!$H$11-'Anchors'!$G$11))),"")</x:f>
        <x:v>99.99373560683222</x:v>
      </x:c>
      <x:c r="AC119" s="33" t="n">
        <x:f>IF(ISNUMBER(K119),100*MAX(0,MIN(1,('Anchors'!$H$12-K119)/('Anchors'!$H$12-'Anchors'!$G$12))),"")</x:f>
        <x:v>97.95233240763525</x:v>
      </x:c>
      <x:c r="AD119" s="33" t="n">
        <x:f>IF(ISNUMBER(L119),100*MAX(0,MIN(1,(L119-'Anchors'!$H$13)/('Anchors'!$G$13-'Anchors'!$H$13))),"")</x:f>
        <x:v>69.50652800000002</x:v>
      </x:c>
      <x:c r="AE119" s="33" t="n">
        <x:f>IF(ISNUMBER(M119),100*MAX(0,MIN(1,(M119-'Anchors'!$H$14)/('Anchors'!$G$14-'Anchors'!$H$14))),"")</x:f>
        <x:v>0</x:v>
      </x:c>
      <x:c r="AF119" s="33" t="n">
        <x:f>IF(ISNUMBER(N119),100*MAX(0,MIN(1,(LN(1+N119)-LN(1+'Anchors'!$H$15))/(LN(1+'Anchors'!$G$15)-LN(1+'Anchors'!$H$15)))),"")</x:f>
        <x:v>57.60632444483462</x:v>
      </x:c>
      <x:c r="AG119" s="33" t="n">
        <x:f>IF(ISNUMBER(O119),100*MAX(0,MIN(1,('Anchors'!$H$16-O119)/('Anchors'!$H$16-'Anchors'!$G$16))),"")</x:f>
        <x:v>51.288888888888884</x:v>
      </x:c>
      <x:c r="AH119" s="33" t="n">
        <x:f>IF(ISNUMBER(P119),100*MAX(0,MIN(1,('Anchors'!$H$17-P119)/('Anchors'!$H$17-'Anchors'!$G$17))),"")</x:f>
        <x:v>72.48301215277779</x:v>
      </x:c>
      <x:c r="AI119" s="33" t="n">
        <x:f>IF(ISNUMBER(Q119),100*MAX(0,MIN(1,('Anchors'!$H$18-Q119)/('Anchors'!$H$18-'Anchors'!$G$18))),"")</x:f>
        <x:v>69.46509552001953</x:v>
      </x:c>
      <x:c r="AJ119" s="33" t="n">
        <x:f>IF(ISNUMBER(R119),100*MAX(0,MIN(1,('Anchors'!$H$19-R119)/('Anchors'!$H$19-'Anchors'!$G$19))),"")</x:f>
        <x:v>96.43487941647795</x:v>
      </x:c>
      <x:c r="AK119" s="33" t="n">
        <x:f>IF(ISNUMBER(S119),100*MAX(0,MIN(1,('Anchors'!$H$20-S119)/('Anchors'!$H$20-'Anchors'!$G$20))),"")</x:f>
        <x:v>100</x:v>
      </x:c>
      <x:c r="AL119" s="33" t="n">
        <x:f>IF(ISNUMBER(T119),100*MAX(0,MIN(1,('Anchors'!$H$21-T119)/('Anchors'!$H$21-'Anchors'!$G$21))),"")</x:f>
        <x:v>54.72727272727271</x:v>
      </x:c>
      <x:c r="AM119" s="33" t="n">
        <x:f>IF(ISNUMBER(U119),100*MAX(0,MIN(1,('Anchors'!$H$22-U119)/('Anchors'!$H$22-'Anchors'!$G$22))),"")</x:f>
        <x:v>27.461435002618884</x:v>
      </x:c>
      <x:c r="AN119" s="33" t="n">
        <x:f>IF(ISNUMBER(V119),100*MAX(0,MIN(1,('Anchors'!$H$23-V119)/('Anchors'!$H$23-'Anchors'!$G$23))),"")</x:f>
        <x:v>88.8105026850925</x:v>
      </x:c>
      <x:c r="AO119" s="27" t="n">
        <x:f>IF(ISNUMBER(W119),IF('Scoring Setup'!$L$9=1,1-'Scoring Setup'!$B$5*(1-MAX(0,MIN(1,(W119-'Scoring Setup'!$K$9)/(100-'Scoring Setup'!$K$9)))),1),"")</x:f>
        <x:v>1</x:v>
      </x:c>
      <x:c r="AP119" s="27" t="n">
        <x:f>IF(ISNUMBER(X119),IF('Scoring Setup'!$L$10=1,1-'Scoring Setup'!$B$5*(1-MAX(0,MIN(1,(X119-'Scoring Setup'!$K$10)/(100-'Scoring Setup'!$K$10)))),1),"")</x:f>
        <x:v>0.9620049504950494</x:v>
      </x:c>
      <x:c r="AQ119" s="27" t="n">
        <x:f>IF(ISNUMBER(Y119),IF('Scoring Setup'!$L$11=1,1-'Scoring Setup'!$B$5*(1-MAX(0,MIN(1,(Y119-'Scoring Setup'!$K$11)/(100-'Scoring Setup'!$K$11)))),1),"")</x:f>
        <x:v>0.8274221292771029</x:v>
      </x:c>
      <x:c r="AR119" s="27" t="n">
        <x:f>IF(ISNUMBER(Z119),IF('Scoring Setup'!$L$12=1,1-'Scoring Setup'!$B$5*(1-MAX(0,MIN(1,(Z119-'Scoring Setup'!$K$12)/(100-'Scoring Setup'!$K$12)))),1),"")</x:f>
        <x:v>0.8013240118666667</x:v>
      </x:c>
      <x:c r="AS119" s="27" t="n">
        <x:f>IF(ISNUMBER(AA119),IF('Scoring Setup'!$L$13=1,1-'Scoring Setup'!$B$5*(1-MAX(0,MIN(1,(AA119-'Scoring Setup'!$K$13)/(100-'Scoring Setup'!$K$13)))),1),"")</x:f>
        <x:v>0.8</x:v>
      </x:c>
      <x:c r="AT119" s="27" t="n">
        <x:f>IF(ISNUMBER(AB119),IF('Scoring Setup'!$L$14=1,1-'Scoring Setup'!$B$5*(1-MAX(0,MIN(1,(AB119-'Scoring Setup'!$K$14)/(100-'Scoring Setup'!$K$14)))),1),"")</x:f>
        <x:v>0.9999874712136644</x:v>
      </x:c>
      <x:c r="AU119" s="27" t="n">
        <x:f>IF(ISNUMBER(AC119),IF('Scoring Setup'!$L$15=1,1-'Scoring Setup'!$B$5*(1-MAX(0,MIN(1,(AC119-'Scoring Setup'!$K$15)/(100-'Scoring Setup'!$K$15)))),1),"")</x:f>
        <x:v>0.9959046648152705</x:v>
      </x:c>
      <x:c r="AV119" s="27" t="n">
        <x:f>IF(ISNUMBER(AD119),IF('Scoring Setup'!$L$16=1,1-'Scoring Setup'!$B$5*(1-MAX(0,MIN(1,(AD119-'Scoring Setup'!$K$16)/(100-'Scoring Setup'!$K$16)))),1),"")</x:f>
        <x:v>0.9390130560000001</x:v>
      </x:c>
      <x:c r="AW119" s="27" t="n">
        <x:f>IF(ISNUMBER(AE119),IF('Scoring Setup'!$L$17=1,1-'Scoring Setup'!$B$5*(1-MAX(0,MIN(1,(AE119-'Scoring Setup'!$K$17)/(100-'Scoring Setup'!$K$17)))),1),"")</x:f>
        <x:v>0.8</x:v>
      </x:c>
      <x:c r="AX119" s="27" t="n">
        <x:f>IF(ISNUMBER(AF119),IF('Scoring Setup'!$L$18=1,1-'Scoring Setup'!$B$5*(1-MAX(0,MIN(1,(AF119-'Scoring Setup'!$K$18)/(100-'Scoring Setup'!$K$18)))),1),"")</x:f>
        <x:v>0.9152126488896692</x:v>
      </x:c>
      <x:c r="AY119" s="27" t="n">
        <x:f>IF(ISNUMBER(AG119),IF('Scoring Setup'!$L$19=1,1-'Scoring Setup'!$B$5*(1-MAX(0,MIN(1,(AG119-'Scoring Setup'!$K$19)/(100-'Scoring Setup'!$K$19)))),1),"")</x:f>
        <x:v>0.9025777777777777</x:v>
      </x:c>
      <x:c r="AZ119" s="27" t="n">
        <x:f>IF(ISNUMBER(AH119),IF('Scoring Setup'!$L$20=1,1-'Scoring Setup'!$B$5*(1-MAX(0,MIN(1,(AH119-'Scoring Setup'!$K$20)/(100-'Scoring Setup'!$K$20)))),1),"")</x:f>
        <x:v>0.9449660243055555</x:v>
      </x:c>
      <x:c r="BA119" s="27" t="n">
        <x:f>IF(ISNUMBER(AI119),IF('Scoring Setup'!$L$21=1,1-'Scoring Setup'!$B$5*(1-MAX(0,MIN(1,(AI119-'Scoring Setup'!$K$21)/(100-'Scoring Setup'!$K$21)))),1),"")</x:f>
        <x:v>0.938930191040039</x:v>
      </x:c>
      <x:c r="BB119" s="27" t="n">
        <x:f>IF(ISNUMBER(AJ119),IF('Scoring Setup'!$L$22=1,1-'Scoring Setup'!$B$5*(1-MAX(0,MIN(1,(AJ119-'Scoring Setup'!$K$22)/(100-'Scoring Setup'!$K$22)))),1),"")</x:f>
        <x:v>0.9928697588329559</x:v>
      </x:c>
      <x:c r="BC119" s="27" t="n">
        <x:f>IF(ISNUMBER(AK119),IF('Scoring Setup'!$L$23=1,1-'Scoring Setup'!$B$5*(1-MAX(0,MIN(1,(AK119-'Scoring Setup'!$K$23)/(100-'Scoring Setup'!$K$23)))),1),"")</x:f>
        <x:v>1</x:v>
      </x:c>
      <x:c r="BD119" s="27" t="n">
        <x:f>IF(ISNUMBER(AL119),IF('Scoring Setup'!$L$24=1,1-'Scoring Setup'!$B$5*(1-MAX(0,MIN(1,(AL119-'Scoring Setup'!$K$24)/(100-'Scoring Setup'!$K$24)))),1),"")</x:f>
        <x:v>0.9094545454545454</x:v>
      </x:c>
      <x:c r="BE119" s="27" t="n">
        <x:f>IF(ISNUMBER(AM119),IF('Scoring Setup'!$L$25=1,1-'Scoring Setup'!$B$5*(1-MAX(0,MIN(1,(AM119-'Scoring Setup'!$K$25)/(100-'Scoring Setup'!$K$25)))),1),"")</x:f>
        <x:v>0.8549228700052378</x:v>
      </x:c>
      <x:c r="BF119" s="27" t="n">
        <x:f>IF(ISNUMBER(AN119),IF('Scoring Setup'!$L$26=1,1-'Scoring Setup'!$B$5*(1-MAX(0,MIN(1,(AN119-'Scoring Setup'!$K$26)/(100-'Scoring Setup'!$K$26)))),1),"")</x:f>
        <x:v>0.977621005370185</x:v>
      </x:c>
      <x:c r="BG119" s="34" t="n">
        <x:f>IF(COUNT(W119,X119)=2,AVERAGE(W119,X119),"")</x:f>
        <x:v>90.50123762376236</x:v>
      </x:c>
      <x:c r="BH119" s="34" t="n">
        <x:f>IF(COUNT(Y119,Z119)=2,AVERAGE(Y119,Z119),"")</x:f>
        <x:v>7.186535285942382</x:v>
      </x:c>
      <x:c r="BI119" s="34" t="n">
        <x:f>IF(COUNT(AA119,AB119,AC119)=3,AVERAGE(AA119,AB119,AC119),"")</x:f>
        <x:v>65.98202267148916</x:v>
      </x:c>
      <x:c r="BJ119" s="34" t="n">
        <x:f>IF(COUNT(AD119,AE119)=2,AVERAGE(AD119,AE119),"")</x:f>
        <x:v>34.75326400000001</x:v>
      </x:c>
      <x:c r="BK119" s="34" t="n">
        <x:f>IF(COUNT(AF119,AG119)=2,AVERAGE(AF119,AG119),"")</x:f>
        <x:v>54.44760666686175</x:v>
      </x:c>
      <x:c r="BL119" s="34" t="n">
        <x:f>IF(COUNT(AH119,AI119)=2,AVERAGE(AH119,AI119),"")</x:f>
        <x:v>70.97405383639867</x:v>
      </x:c>
      <x:c r="BM119" s="34" t="n">
        <x:f>IF(COUNT(AJ119,AK119)=2,AVERAGE(AJ119,AK119),"")</x:f>
        <x:v>98.21743970823897</x:v>
      </x:c>
      <x:c r="BN119" s="34" t="n">
        <x:f>IF(COUNT(AL119,AM119,AN119)=3,AVERAGE(AL119,AM119,AN119),"")</x:f>
        <x:v>56.999736804994704</x:v>
      </x:c>
      <x:c r="BO119" s="35" t="n">
        <x:f>IF(AND(COUNT(BG119:BN119)=8,ABS('Scoring Setup'!$C$17-1)&lt;0.000001),BG119*'Scoring Setup'!$C$9+BH119*'Scoring Setup'!$C$10+BI119*'Scoring Setup'!$C$11+BJ119*'Scoring Setup'!$C$12+BK119*'Scoring Setup'!$C$13+BL119*'Scoring Setup'!$C$14+BM119*'Scoring Setup'!$C$15+BN119*'Scoring Setup'!$C$16,"")</x:f>
        <x:v>51.565215872130096</x:v>
      </x:c>
      <x:c r="BP119" s="36" t="n">
        <x:f>IF(COUNT(AO119:BF119)=18,MIN(AO119:BF119),"")</x:f>
        <x:v>0.8</x:v>
      </x:c>
      <x:c r="BQ119" s="35" t="n">
        <x:f>IF(AND(ISNUMBER(BO119),ISNUMBER(BP119)),BO119*BP119,"")</x:f>
        <x:v>41.25217269770408</x:v>
      </x:c>
      <x:c r="BR119" s="17" t="str">
        <x:f>IF(COUNT(AO119:BF119)=18,INDEX('Scoring Setup'!$F$9:$F$26,MATCH(MIN(AO119:BF119),AO119:BF119,0),1),"")</x:f>
        <x:v>低不透水土地比例</x:v>
      </x:c>
    </x:row>
    <x:row r="120">
      <x:c r="A120" s="28" t="str">
        <x:v>51685</x:v>
      </x:c>
      <x:c r="B120" s="28" t="str">
        <x:v>Manassas Park city</x:v>
      </x:c>
      <x:c r="C120" s="28" t="str">
        <x:v>VA</x:v>
      </x:c>
      <x:c r="D120" s="31" t="n">
        <x:v>7.857548</x:v>
      </x:c>
      <x:c r="E120" s="32" t="n">
        <x:v>0.202</x:v>
      </x:c>
      <x:c r="F120" s="32" t="n">
        <x:v>0.639542079207921</x:v>
      </x:c>
      <x:c r="G120" s="32" t="n">
        <x:v>3.5886680608434562</x:v>
      </x:c>
      <x:c r="H120" s="32" t="n">
        <x:v>3.9801398219999995</x:v>
      </x:c>
      <x:c r="I120" s="32" t="n">
        <x:v>0.2745502463618655</x:v>
      </x:c>
      <x:c r="J120" s="32" t="n">
        <x:v>0.12730755348940997</x:v>
      </x:c>
      <x:c r="K120" s="32" t="n">
        <x:v>0</x:v>
      </x:c>
      <x:c r="L120" s="32" t="n">
        <x:v>0.737926594</x:v>
      </x:c>
      <x:c r="M120" s="32" t="n">
        <x:v>0</x:v>
      </x:c>
      <x:c r="N120" s="32" t="n">
        <x:v>10029</x:v>
      </x:c>
      <x:c r="O120" s="32" t="n">
        <x:v>0.6532</x:v>
      </x:c>
      <x:c r="P120" s="32" t="n">
        <x:v>1112.7548177083331</x:v>
      </x:c>
      <x:c r="Q120" s="32" t="n">
        <x:v>26.37443313598633</x:v>
      </x:c>
      <x:c r="R120" s="32" t="n">
        <x:v>5.893783907553276</x:v>
      </x:c>
      <x:c r="S120" s="32" t="n">
        <x:v>0.38254697989226466</x:v>
      </x:c>
      <x:c r="T120" s="32" t="n">
        <x:v>89.9</x:v>
      </x:c>
      <x:c r="U120" s="32" t="n">
        <x:v>245.07712999476223</x:v>
      </x:c>
      <x:c r="V120" s="32" t="n">
        <x:v>244.75798925963002</x:v>
      </x:c>
      <x:c r="W120" s="33" t="n">
        <x:f>IF(ISNUMBER(E120),100*MAX(0,MIN(1,('Anchors'!$H$6-E120)/('Anchors'!$H$6-'Anchors'!$G$6))),"")</x:f>
        <x:v>99.71428571428571</x:v>
      </x:c>
      <x:c r="X120" s="33" t="n">
        <x:f>IF(ISNUMBER(F120),100*MAX(0,MIN(1,('Anchors'!$H$7-F120)/('Anchors'!$H$7-'Anchors'!$G$7))),"")</x:f>
        <x:v>22.922560113154137</x:v>
      </x:c>
      <x:c r="Y120" s="33" t="n">
        <x:f>IF(ISNUMBER(G120),100*MAX(0,MIN(1,('Anchors'!$H$8-G120)/('Anchors'!$H$8-'Anchors'!$G$8))),"")</x:f>
        <x:v>13.71106463855146</x:v>
      </x:c>
      <x:c r="Z120" s="33" t="n">
        <x:f>IF(ISNUMBER(H120),100*MAX(0,MIN(1,('Anchors'!$H$9-H120)/('Anchors'!$H$9-'Anchors'!$G$9))),"")</x:f>
        <x:v>0.6620059333333501</x:v>
      </x:c>
      <x:c r="AA120" s="33" t="n">
        <x:f>IF(ISNUMBER(I120),100*MAX(0,MIN(1,(I120-'Anchors'!$H$10)/('Anchors'!$G$10-'Anchors'!$H$10))),"")</x:f>
        <x:v>3.3630474468308877</x:v>
      </x:c>
      <x:c r="AB120" s="33" t="n">
        <x:f>IF(ISNUMBER(J120),100*MAX(0,MIN(1,('Anchors'!$H$11-J120)/('Anchors'!$H$11-'Anchors'!$G$11))),"")</x:f>
        <x:v>49.07697860423601</x:v>
      </x:c>
      <x:c r="AC120" s="33" t="n">
        <x:f>IF(ISNUMBER(K120),100*MAX(0,MIN(1,('Anchors'!$H$12-K120)/('Anchors'!$H$12-'Anchors'!$G$12))),"")</x:f>
        <x:v>100</x:v>
      </x:c>
      <x:c r="AD120" s="33" t="n">
        <x:f>IF(ISNUMBER(L120),100*MAX(0,MIN(1,(L120-'Anchors'!$H$13)/('Anchors'!$G$13-'Anchors'!$H$13))),"")</x:f>
        <x:v>76.84665628571429</x:v>
      </x:c>
      <x:c r="AE120" s="33" t="n">
        <x:f>IF(ISNUMBER(M120),100*MAX(0,MIN(1,(M120-'Anchors'!$H$14)/('Anchors'!$G$14-'Anchors'!$H$14))),"")</x:f>
        <x:v>0</x:v>
      </x:c>
      <x:c r="AF120" s="33" t="n">
        <x:f>IF(ISNUMBER(N120),100*MAX(0,MIN(1,(LN(1+N120)-LN(1+'Anchors'!$H$15))/(LN(1+'Anchors'!$G$15)-LN(1+'Anchors'!$H$15)))),"")</x:f>
        <x:v>37.33925060817988</x:v>
      </x:c>
      <x:c r="AG120" s="33" t="n">
        <x:f>IF(ISNUMBER(O120),100*MAX(0,MIN(1,('Anchors'!$H$16-O120)/('Anchors'!$H$16-'Anchors'!$G$16))),"")</x:f>
        <x:v>32.97777777777778</x:v>
      </x:c>
      <x:c r="AH120" s="33" t="n">
        <x:f>IF(ISNUMBER(P120),100*MAX(0,MIN(1,('Anchors'!$H$17-P120)/('Anchors'!$H$17-'Anchors'!$G$17))),"")</x:f>
        <x:v>72.48301215277779</x:v>
      </x:c>
      <x:c r="AI120" s="33" t="n">
        <x:f>IF(ISNUMBER(Q120),100*MAX(0,MIN(1,('Anchors'!$H$18-Q120)/('Anchors'!$H$18-'Anchors'!$G$18))),"")</x:f>
        <x:v>69.46509552001953</x:v>
      </x:c>
      <x:c r="AJ120" s="33" t="n">
        <x:f>IF(ISNUMBER(R120),100*MAX(0,MIN(1,('Anchors'!$H$19-R120)/('Anchors'!$H$19-'Anchors'!$G$19))),"")</x:f>
        <x:v>98.01381353877049</x:v>
      </x:c>
      <x:c r="AK120" s="33" t="n">
        <x:f>IF(ISNUMBER(S120),100*MAX(0,MIN(1,('Anchors'!$H$20-S120)/('Anchors'!$H$20-'Anchors'!$G$20))),"")</x:f>
        <x:v>100</x:v>
      </x:c>
      <x:c r="AL120" s="33" t="n">
        <x:f>IF(ISNUMBER(T120),100*MAX(0,MIN(1,('Anchors'!$H$21-T120)/('Anchors'!$H$21-'Anchors'!$G$21))),"")</x:f>
        <x:v>54.72727272727271</x:v>
      </x:c>
      <x:c r="AM120" s="33" t="n">
        <x:f>IF(ISNUMBER(U120),100*MAX(0,MIN(1,('Anchors'!$H$22-U120)/('Anchors'!$H$22-'Anchors'!$G$22))),"")</x:f>
        <x:v>27.461435002618884</x:v>
      </x:c>
      <x:c r="AN120" s="33" t="n">
        <x:f>IF(ISNUMBER(V120),100*MAX(0,MIN(1,('Anchors'!$H$23-V120)/('Anchors'!$H$23-'Anchors'!$G$23))),"")</x:f>
        <x:v>88.8105026850925</x:v>
      </x:c>
      <x:c r="AO120" s="27" t="n">
        <x:f>IF(ISNUMBER(W120),IF('Scoring Setup'!$L$9=1,1-'Scoring Setup'!$B$5*(1-MAX(0,MIN(1,(W120-'Scoring Setup'!$K$9)/(100-'Scoring Setup'!$K$9)))),1),"")</x:f>
        <x:v>0.9994285714285714</x:v>
      </x:c>
      <x:c r="AP120" s="27" t="n">
        <x:f>IF(ISNUMBER(X120),IF('Scoring Setup'!$L$10=1,1-'Scoring Setup'!$B$5*(1-MAX(0,MIN(1,(X120-'Scoring Setup'!$K$10)/(100-'Scoring Setup'!$K$10)))),1),"")</x:f>
        <x:v>0.8458451202263082</x:v>
      </x:c>
      <x:c r="AQ120" s="27" t="n">
        <x:f>IF(ISNUMBER(Y120),IF('Scoring Setup'!$L$11=1,1-'Scoring Setup'!$B$5*(1-MAX(0,MIN(1,(Y120-'Scoring Setup'!$K$11)/(100-'Scoring Setup'!$K$11)))),1),"")</x:f>
        <x:v>0.8274221292771029</x:v>
      </x:c>
      <x:c r="AR120" s="27" t="n">
        <x:f>IF(ISNUMBER(Z120),IF('Scoring Setup'!$L$12=1,1-'Scoring Setup'!$B$5*(1-MAX(0,MIN(1,(Z120-'Scoring Setup'!$K$12)/(100-'Scoring Setup'!$K$12)))),1),"")</x:f>
        <x:v>0.8013240118666667</x:v>
      </x:c>
      <x:c r="AS120" s="27" t="n">
        <x:f>IF(ISNUMBER(AA120),IF('Scoring Setup'!$L$13=1,1-'Scoring Setup'!$B$5*(1-MAX(0,MIN(1,(AA120-'Scoring Setup'!$K$13)/(100-'Scoring Setup'!$K$13)))),1),"")</x:f>
        <x:v>0.8067260948936618</x:v>
      </x:c>
      <x:c r="AT120" s="27" t="n">
        <x:f>IF(ISNUMBER(AB120),IF('Scoring Setup'!$L$14=1,1-'Scoring Setup'!$B$5*(1-MAX(0,MIN(1,(AB120-'Scoring Setup'!$K$14)/(100-'Scoring Setup'!$K$14)))),1),"")</x:f>
        <x:v>0.898153957208472</x:v>
      </x:c>
      <x:c r="AU120" s="27" t="n">
        <x:f>IF(ISNUMBER(AC120),IF('Scoring Setup'!$L$15=1,1-'Scoring Setup'!$B$5*(1-MAX(0,MIN(1,(AC120-'Scoring Setup'!$K$15)/(100-'Scoring Setup'!$K$15)))),1),"")</x:f>
        <x:v>1</x:v>
      </x:c>
      <x:c r="AV120" s="27" t="n">
        <x:f>IF(ISNUMBER(AD120),IF('Scoring Setup'!$L$16=1,1-'Scoring Setup'!$B$5*(1-MAX(0,MIN(1,(AD120-'Scoring Setup'!$K$16)/(100-'Scoring Setup'!$K$16)))),1),"")</x:f>
        <x:v>0.9536933125714285</x:v>
      </x:c>
      <x:c r="AW120" s="27" t="n">
        <x:f>IF(ISNUMBER(AE120),IF('Scoring Setup'!$L$17=1,1-'Scoring Setup'!$B$5*(1-MAX(0,MIN(1,(AE120-'Scoring Setup'!$K$17)/(100-'Scoring Setup'!$K$17)))),1),"")</x:f>
        <x:v>0.8</x:v>
      </x:c>
      <x:c r="AX120" s="27" t="n">
        <x:f>IF(ISNUMBER(AF120),IF('Scoring Setup'!$L$18=1,1-'Scoring Setup'!$B$5*(1-MAX(0,MIN(1,(AF120-'Scoring Setup'!$K$18)/(100-'Scoring Setup'!$K$18)))),1),"")</x:f>
        <x:v>0.8746785012163598</x:v>
      </x:c>
      <x:c r="AY120" s="27" t="n">
        <x:f>IF(ISNUMBER(AG120),IF('Scoring Setup'!$L$19=1,1-'Scoring Setup'!$B$5*(1-MAX(0,MIN(1,(AG120-'Scoring Setup'!$K$19)/(100-'Scoring Setup'!$K$19)))),1),"")</x:f>
        <x:v>0.8659555555555556</x:v>
      </x:c>
      <x:c r="AZ120" s="27" t="n">
        <x:f>IF(ISNUMBER(AH120),IF('Scoring Setup'!$L$20=1,1-'Scoring Setup'!$B$5*(1-MAX(0,MIN(1,(AH120-'Scoring Setup'!$K$20)/(100-'Scoring Setup'!$K$20)))),1),"")</x:f>
        <x:v>0.9449660243055555</x:v>
      </x:c>
      <x:c r="BA120" s="27" t="n">
        <x:f>IF(ISNUMBER(AI120),IF('Scoring Setup'!$L$21=1,1-'Scoring Setup'!$B$5*(1-MAX(0,MIN(1,(AI120-'Scoring Setup'!$K$21)/(100-'Scoring Setup'!$K$21)))),1),"")</x:f>
        <x:v>0.938930191040039</x:v>
      </x:c>
      <x:c r="BB120" s="27" t="n">
        <x:f>IF(ISNUMBER(AJ120),IF('Scoring Setup'!$L$22=1,1-'Scoring Setup'!$B$5*(1-MAX(0,MIN(1,(AJ120-'Scoring Setup'!$K$22)/(100-'Scoring Setup'!$K$22)))),1),"")</x:f>
        <x:v>0.996027627077541</x:v>
      </x:c>
      <x:c r="BC120" s="27" t="n">
        <x:f>IF(ISNUMBER(AK120),IF('Scoring Setup'!$L$23=1,1-'Scoring Setup'!$B$5*(1-MAX(0,MIN(1,(AK120-'Scoring Setup'!$K$23)/(100-'Scoring Setup'!$K$23)))),1),"")</x:f>
        <x:v>1</x:v>
      </x:c>
      <x:c r="BD120" s="27" t="n">
        <x:f>IF(ISNUMBER(AL120),IF('Scoring Setup'!$L$24=1,1-'Scoring Setup'!$B$5*(1-MAX(0,MIN(1,(AL120-'Scoring Setup'!$K$24)/(100-'Scoring Setup'!$K$24)))),1),"")</x:f>
        <x:v>0.9094545454545454</x:v>
      </x:c>
      <x:c r="BE120" s="27" t="n">
        <x:f>IF(ISNUMBER(AM120),IF('Scoring Setup'!$L$25=1,1-'Scoring Setup'!$B$5*(1-MAX(0,MIN(1,(AM120-'Scoring Setup'!$K$25)/(100-'Scoring Setup'!$K$25)))),1),"")</x:f>
        <x:v>0.8549228700052378</x:v>
      </x:c>
      <x:c r="BF120" s="27" t="n">
        <x:f>IF(ISNUMBER(AN120),IF('Scoring Setup'!$L$26=1,1-'Scoring Setup'!$B$5*(1-MAX(0,MIN(1,(AN120-'Scoring Setup'!$K$26)/(100-'Scoring Setup'!$K$26)))),1),"")</x:f>
        <x:v>0.977621005370185</x:v>
      </x:c>
      <x:c r="BG120" s="34" t="n">
        <x:f>IF(COUNT(W120,X120)=2,AVERAGE(W120,X120),"")</x:f>
        <x:v>61.31842291371992</x:v>
      </x:c>
      <x:c r="BH120" s="34" t="n">
        <x:f>IF(COUNT(Y120,Z120)=2,AVERAGE(Y120,Z120),"")</x:f>
        <x:v>7.186535285942405</x:v>
      </x:c>
      <x:c r="BI120" s="34" t="n">
        <x:f>IF(COUNT(AA120,AB120,AC120)=3,AVERAGE(AA120,AB120,AC120),"")</x:f>
        <x:v>50.8133420170223</x:v>
      </x:c>
      <x:c r="BJ120" s="34" t="n">
        <x:f>IF(COUNT(AD120,AE120)=2,AVERAGE(AD120,AE120),"")</x:f>
        <x:v>38.423328142857144</x:v>
      </x:c>
      <x:c r="BK120" s="34" t="n">
        <x:f>IF(COUNT(AF120,AG120)=2,AVERAGE(AF120,AG120),"")</x:f>
        <x:v>35.15851419297883</x:v>
      </x:c>
      <x:c r="BL120" s="34" t="n">
        <x:f>IF(COUNT(AH120,AI120)=2,AVERAGE(AH120,AI120),"")</x:f>
        <x:v>70.97405383639867</x:v>
      </x:c>
      <x:c r="BM120" s="34" t="n">
        <x:f>IF(COUNT(AJ120,AK120)=2,AVERAGE(AJ120,AK120),"")</x:f>
        <x:v>99.00690676938524</x:v>
      </x:c>
      <x:c r="BN120" s="34" t="n">
        <x:f>IF(COUNT(AL120,AM120,AN120)=3,AVERAGE(AL120,AM120,AN120),"")</x:f>
        <x:v>56.999736804994704</x:v>
      </x:c>
      <x:c r="BO120" s="35" t="n">
        <x:f>IF(AND(COUNT(BG120:BN120)=8,ABS('Scoring Setup'!$C$17-1)&lt;0.000001),BG120*'Scoring Setup'!$C$9+BH120*'Scoring Setup'!$C$10+BI120*'Scoring Setup'!$C$11+BJ120*'Scoring Setup'!$C$12+BK120*'Scoring Setup'!$C$13+BL120*'Scoring Setup'!$C$14+BM120*'Scoring Setup'!$C$15+BN120*'Scoring Setup'!$C$16,"")</x:f>
        <x:v>45.607636855633906</x:v>
      </x:c>
      <x:c r="BP120" s="36" t="n">
        <x:f>IF(COUNT(AO120:BF120)=18,MIN(AO120:BF120),"")</x:f>
        <x:v>0.8</x:v>
      </x:c>
      <x:c r="BQ120" s="35" t="n">
        <x:f>IF(AND(ISNUMBER(BO120),ISNUMBER(BP120)),BO120*BP120,"")</x:f>
        <x:v>36.486109484507125</x:v>
      </x:c>
      <x:c r="BR120" s="17" t="str">
        <x:f>IF(COUNT(AO120:BF120)=18,INDEX('Scoring Setup'!$F$9:$F$26,MATCH(MIN(AO120:BF120),AO120:BF120,0),1),"")</x:f>
        <x:v>商业光纤1000/100覆盖率</x:v>
      </x:c>
    </x:row>
    <x:row r="121">
      <x:c r="A121" s="28" t="str">
        <x:v>51690</x:v>
      </x:c>
      <x:c r="B121" s="28" t="str">
        <x:v>Martinsville city</x:v>
      </x:c>
      <x:c r="C121" s="28" t="str">
        <x:v>VA</x:v>
      </x:c>
      <x:c r="D121" s="31" t="n">
        <x:v>28.374648</x:v>
      </x:c>
      <x:c r="E121" s="32" t="n">
        <x:v>0.178</x:v>
      </x:c>
      <x:c r="F121" s="32" t="n">
        <x:v>0.181311881188119</x:v>
      </x:c>
      <x:c r="G121" s="32" t="n">
        <x:v>2.7697299319853768</x:v>
      </x:c>
      <x:c r="H121" s="32" t="n">
        <x:v>3.155046543</x:v>
      </x:c>
      <x:c r="I121" s="32" t="n">
        <x:v>0.4702863659401926</x:v>
      </x:c>
      <x:c r="J121" s="32" t="n">
        <x:v>0</x:v>
      </x:c>
      <x:c r="K121" s="32" t="n">
        <x:v>0.001362138874809934</x:v>
      </x:c>
      <x:c r="L121" s="32" t="n">
        <x:v>0.890832566</x:v>
      </x:c>
      <x:c r="M121" s="32" t="n">
        <x:v>0.890569512</x:v>
      </x:c>
      <x:c r="N121" s="32" t="n">
        <x:v>5908</x:v>
      </x:c>
      <x:c r="O121" s="32" t="n">
        <x:v>0.9297</x:v>
      </x:c>
      <x:c r="P121" s="32" t="n">
        <x:v>995.9844136555988</x:v>
      </x:c>
      <x:c r="Q121" s="32" t="n">
        <x:v>23.296376609802245</x:v>
      </x:c>
      <x:c r="R121" s="32" t="n">
        <x:v>48.08967991605346</x:v>
      </x:c>
      <x:c r="S121" s="32" t="n">
        <x:v>0.47384734893125097</x:v>
      </x:c>
      <x:c r="T121" s="32" t="n">
        <x:v>89.9</x:v>
      </x:c>
      <x:c r="U121" s="32" t="n">
        <x:v>245.07712999476223</x:v>
      </x:c>
      <x:c r="V121" s="32" t="n">
        <x:v>244.75798925963002</x:v>
      </x:c>
      <x:c r="W121" s="33" t="n">
        <x:f>IF(ISNUMBER(E121),100*MAX(0,MIN(1,('Anchors'!$H$6-E121)/('Anchors'!$H$6-'Anchors'!$G$6))),"")</x:f>
        <x:v>100</x:v>
      </x:c>
      <x:c r="X121" s="33" t="n">
        <x:f>IF(ISNUMBER(F121),100*MAX(0,MIN(1,('Anchors'!$H$7-F121)/('Anchors'!$H$7-'Anchors'!$G$7))),"")</x:f>
        <x:v>88.38401697312585</x:v>
      </x:c>
      <x:c r="Y121" s="33" t="n">
        <x:f>IF(ISNUMBER(G121),100*MAX(0,MIN(1,('Anchors'!$H$8-G121)/('Anchors'!$H$8-'Anchors'!$G$8))),"")</x:f>
        <x:v>41.00900226715411</x:v>
      </x:c>
      <x:c r="Z121" s="33" t="n">
        <x:f>IF(ISNUMBER(H121),100*MAX(0,MIN(1,('Anchors'!$H$9-H121)/('Anchors'!$H$9-'Anchors'!$G$9))),"")</x:f>
        <x:v>28.16511523333333</x:v>
      </x:c>
      <x:c r="AA121" s="33" t="n">
        <x:f>IF(ISNUMBER(I121),100*MAX(0,MIN(1,(I121-'Anchors'!$H$10)/('Anchors'!$G$10-'Anchors'!$H$10))),"")</x:f>
        <x:v>30.17621451235515</x:v>
      </x:c>
      <x:c r="AB121" s="33" t="n">
        <x:f>IF(ISNUMBER(J121),100*MAX(0,MIN(1,('Anchors'!$H$11-J121)/('Anchors'!$H$11-'Anchors'!$G$11))),"")</x:f>
        <x:v>100</x:v>
      </x:c>
      <x:c r="AC121" s="33" t="n">
        <x:f>IF(ISNUMBER(K121),100*MAX(0,MIN(1,('Anchors'!$H$12-K121)/('Anchors'!$H$12-'Anchors'!$G$12))),"")</x:f>
        <x:v>99.65946528129751</x:v>
      </x:c>
      <x:c r="AD121" s="33" t="n">
        <x:f>IF(ISNUMBER(L121),100*MAX(0,MIN(1,(L121-'Anchors'!$H$13)/('Anchors'!$G$13-'Anchors'!$H$13))),"")</x:f>
        <x:v>98.69036657142858</x:v>
      </x:c>
      <x:c r="AE121" s="33" t="n">
        <x:f>IF(ISNUMBER(M121),100*MAX(0,MIN(1,(M121-'Anchors'!$H$14)/('Anchors'!$G$14-'Anchors'!$H$14))),"")</x:f>
        <x:v>98.821189</x:v>
      </x:c>
      <x:c r="AF121" s="33" t="n">
        <x:f>IF(ISNUMBER(N121),100*MAX(0,MIN(1,(LN(1+N121)-LN(1+'Anchors'!$H$15))/(LN(1+'Anchors'!$G$15)-LN(1+'Anchors'!$H$15)))),"")</x:f>
        <x:v>25.08294729449189</x:v>
      </x:c>
      <x:c r="AG121" s="33" t="n">
        <x:f>IF(ISNUMBER(O121),100*MAX(0,MIN(1,('Anchors'!$H$16-O121)/('Anchors'!$H$16-'Anchors'!$G$16))),"")</x:f>
        <x:v>2.255555555555554</x:v>
      </x:c>
      <x:c r="AH121" s="33" t="n">
        <x:f>IF(ISNUMBER(P121),100*MAX(0,MIN(1,('Anchors'!$H$17-P121)/('Anchors'!$H$17-'Anchors'!$G$17))),"")</x:f>
        <x:v>80.26770575629341</x:v>
      </x:c>
      <x:c r="AI121" s="33" t="n">
        <x:f>IF(ISNUMBER(Q121),100*MAX(0,MIN(1,('Anchors'!$H$18-Q121)/('Anchors'!$H$18-'Anchors'!$G$18))),"")</x:f>
        <x:v>73.86231912885394</x:v>
      </x:c>
      <x:c r="AJ121" s="33" t="n">
        <x:f>IF(ISNUMBER(R121),100*MAX(0,MIN(1,('Anchors'!$H$19-R121)/('Anchors'!$H$19-'Anchors'!$G$19))),"")</x:f>
        <x:v>4.245155742103416</x:v>
      </x:c>
      <x:c r="AK121" s="33" t="n">
        <x:f>IF(ISNUMBER(S121),100*MAX(0,MIN(1,('Anchors'!$H$20-S121)/('Anchors'!$H$20-'Anchors'!$G$20))),"")</x:f>
        <x:v>100</x:v>
      </x:c>
      <x:c r="AL121" s="33" t="n">
        <x:f>IF(ISNUMBER(T121),100*MAX(0,MIN(1,('Anchors'!$H$21-T121)/('Anchors'!$H$21-'Anchors'!$G$21))),"")</x:f>
        <x:v>54.72727272727271</x:v>
      </x:c>
      <x:c r="AM121" s="33" t="n">
        <x:f>IF(ISNUMBER(U121),100*MAX(0,MIN(1,('Anchors'!$H$22-U121)/('Anchors'!$H$22-'Anchors'!$G$22))),"")</x:f>
        <x:v>27.461435002618884</x:v>
      </x:c>
      <x:c r="AN121" s="33" t="n">
        <x:f>IF(ISNUMBER(V121),100*MAX(0,MIN(1,('Anchors'!$H$23-V121)/('Anchors'!$H$23-'Anchors'!$G$23))),"")</x:f>
        <x:v>88.8105026850925</x:v>
      </x:c>
      <x:c r="AO121" s="27" t="n">
        <x:f>IF(ISNUMBER(W121),IF('Scoring Setup'!$L$9=1,1-'Scoring Setup'!$B$5*(1-MAX(0,MIN(1,(W121-'Scoring Setup'!$K$9)/(100-'Scoring Setup'!$K$9)))),1),"")</x:f>
        <x:v>1</x:v>
      </x:c>
      <x:c r="AP121" s="27" t="n">
        <x:f>IF(ISNUMBER(X121),IF('Scoring Setup'!$L$10=1,1-'Scoring Setup'!$B$5*(1-MAX(0,MIN(1,(X121-'Scoring Setup'!$K$10)/(100-'Scoring Setup'!$K$10)))),1),"")</x:f>
        <x:v>0.9767680339462517</x:v>
      </x:c>
      <x:c r="AQ121" s="27" t="n">
        <x:f>IF(ISNUMBER(Y121),IF('Scoring Setup'!$L$11=1,1-'Scoring Setup'!$B$5*(1-MAX(0,MIN(1,(Y121-'Scoring Setup'!$K$11)/(100-'Scoring Setup'!$K$11)))),1),"")</x:f>
        <x:v>0.8820180045343082</x:v>
      </x:c>
      <x:c r="AR121" s="27" t="n">
        <x:f>IF(ISNUMBER(Z121),IF('Scoring Setup'!$L$12=1,1-'Scoring Setup'!$B$5*(1-MAX(0,MIN(1,(Z121-'Scoring Setup'!$K$12)/(100-'Scoring Setup'!$K$12)))),1),"")</x:f>
        <x:v>0.8563302304666667</x:v>
      </x:c>
      <x:c r="AS121" s="27" t="n">
        <x:f>IF(ISNUMBER(AA121),IF('Scoring Setup'!$L$13=1,1-'Scoring Setup'!$B$5*(1-MAX(0,MIN(1,(AA121-'Scoring Setup'!$K$13)/(100-'Scoring Setup'!$K$13)))),1),"")</x:f>
        <x:v>0.8603524290247103</x:v>
      </x:c>
      <x:c r="AT121" s="27" t="n">
        <x:f>IF(ISNUMBER(AB121),IF('Scoring Setup'!$L$14=1,1-'Scoring Setup'!$B$5*(1-MAX(0,MIN(1,(AB121-'Scoring Setup'!$K$14)/(100-'Scoring Setup'!$K$14)))),1),"")</x:f>
        <x:v>1</x:v>
      </x:c>
      <x:c r="AU121" s="27" t="n">
        <x:f>IF(ISNUMBER(AC121),IF('Scoring Setup'!$L$15=1,1-'Scoring Setup'!$B$5*(1-MAX(0,MIN(1,(AC121-'Scoring Setup'!$K$15)/(100-'Scoring Setup'!$K$15)))),1),"")</x:f>
        <x:v>0.999318930562595</x:v>
      </x:c>
      <x:c r="AV121" s="27" t="n">
        <x:f>IF(ISNUMBER(AD121),IF('Scoring Setup'!$L$16=1,1-'Scoring Setup'!$B$5*(1-MAX(0,MIN(1,(AD121-'Scoring Setup'!$K$16)/(100-'Scoring Setup'!$K$16)))),1),"")</x:f>
        <x:v>0.9973807331428571</x:v>
      </x:c>
      <x:c r="AW121" s="27" t="n">
        <x:f>IF(ISNUMBER(AE121),IF('Scoring Setup'!$L$17=1,1-'Scoring Setup'!$B$5*(1-MAX(0,MIN(1,(AE121-'Scoring Setup'!$K$17)/(100-'Scoring Setup'!$K$17)))),1),"")</x:f>
        <x:v>0.997642378</x:v>
      </x:c>
      <x:c r="AX121" s="27" t="n">
        <x:f>IF(ISNUMBER(AF121),IF('Scoring Setup'!$L$18=1,1-'Scoring Setup'!$B$5*(1-MAX(0,MIN(1,(AF121-'Scoring Setup'!$K$18)/(100-'Scoring Setup'!$K$18)))),1),"")</x:f>
        <x:v>0.8501658945889838</x:v>
      </x:c>
      <x:c r="AY121" s="27" t="n">
        <x:f>IF(ISNUMBER(AG121),IF('Scoring Setup'!$L$19=1,1-'Scoring Setup'!$B$5*(1-MAX(0,MIN(1,(AG121-'Scoring Setup'!$K$19)/(100-'Scoring Setup'!$K$19)))),1),"")</x:f>
        <x:v>0.8045111111111111</x:v>
      </x:c>
      <x:c r="AZ121" s="27" t="n">
        <x:f>IF(ISNUMBER(AH121),IF('Scoring Setup'!$L$20=1,1-'Scoring Setup'!$B$5*(1-MAX(0,MIN(1,(AH121-'Scoring Setup'!$K$20)/(100-'Scoring Setup'!$K$20)))),1),"")</x:f>
        <x:v>0.9605354115125868</x:v>
      </x:c>
      <x:c r="BA121" s="27" t="n">
        <x:f>IF(ISNUMBER(AI121),IF('Scoring Setup'!$L$21=1,1-'Scoring Setup'!$B$5*(1-MAX(0,MIN(1,(AI121-'Scoring Setup'!$K$21)/(100-'Scoring Setup'!$K$21)))),1),"")</x:f>
        <x:v>0.9477246382577079</x:v>
      </x:c>
      <x:c r="BB121" s="27" t="n">
        <x:f>IF(ISNUMBER(AJ121),IF('Scoring Setup'!$L$22=1,1-'Scoring Setup'!$B$5*(1-MAX(0,MIN(1,(AJ121-'Scoring Setup'!$K$22)/(100-'Scoring Setup'!$K$22)))),1),"")</x:f>
        <x:v>0.8084903114842068</x:v>
      </x:c>
      <x:c r="BC121" s="27" t="n">
        <x:f>IF(ISNUMBER(AK121),IF('Scoring Setup'!$L$23=1,1-'Scoring Setup'!$B$5*(1-MAX(0,MIN(1,(AK121-'Scoring Setup'!$K$23)/(100-'Scoring Setup'!$K$23)))),1),"")</x:f>
        <x:v>1</x:v>
      </x:c>
      <x:c r="BD121" s="27" t="n">
        <x:f>IF(ISNUMBER(AL121),IF('Scoring Setup'!$L$24=1,1-'Scoring Setup'!$B$5*(1-MAX(0,MIN(1,(AL121-'Scoring Setup'!$K$24)/(100-'Scoring Setup'!$K$24)))),1),"")</x:f>
        <x:v>0.9094545454545454</x:v>
      </x:c>
      <x:c r="BE121" s="27" t="n">
        <x:f>IF(ISNUMBER(AM121),IF('Scoring Setup'!$L$25=1,1-'Scoring Setup'!$B$5*(1-MAX(0,MIN(1,(AM121-'Scoring Setup'!$K$25)/(100-'Scoring Setup'!$K$25)))),1),"")</x:f>
        <x:v>0.8549228700052378</x:v>
      </x:c>
      <x:c r="BF121" s="27" t="n">
        <x:f>IF(ISNUMBER(AN121),IF('Scoring Setup'!$L$26=1,1-'Scoring Setup'!$B$5*(1-MAX(0,MIN(1,(AN121-'Scoring Setup'!$K$26)/(100-'Scoring Setup'!$K$26)))),1),"")</x:f>
        <x:v>0.977621005370185</x:v>
      </x:c>
      <x:c r="BG121" s="34" t="n">
        <x:f>IF(COUNT(W121,X121)=2,AVERAGE(W121,X121),"")</x:f>
        <x:v>94.19200848656293</x:v>
      </x:c>
      <x:c r="BH121" s="34" t="n">
        <x:f>IF(COUNT(Y121,Z121)=2,AVERAGE(Y121,Z121),"")</x:f>
        <x:v>34.58705875024372</x:v>
      </x:c>
      <x:c r="BI121" s="34" t="n">
        <x:f>IF(COUNT(AA121,AB121,AC121)=3,AVERAGE(AA121,AB121,AC121),"")</x:f>
        <x:v>76.61189326455089</x:v>
      </x:c>
      <x:c r="BJ121" s="34" t="n">
        <x:f>IF(COUNT(AD121,AE121)=2,AVERAGE(AD121,AE121),"")</x:f>
        <x:v>98.75577778571429</x:v>
      </x:c>
      <x:c r="BK121" s="34" t="n">
        <x:f>IF(COUNT(AF121,AG121)=2,AVERAGE(AF121,AG121),"")</x:f>
        <x:v>13.669251425023722</x:v>
      </x:c>
      <x:c r="BL121" s="34" t="n">
        <x:f>IF(COUNT(AH121,AI121)=2,AVERAGE(AH121,AI121),"")</x:f>
        <x:v>77.06501244257367</x:v>
      </x:c>
      <x:c r="BM121" s="34" t="n">
        <x:f>IF(COUNT(AJ121,AK121)=2,AVERAGE(AJ121,AK121),"")</x:f>
        <x:v>52.12257787105171</x:v>
      </x:c>
      <x:c r="BN121" s="34" t="n">
        <x:f>IF(COUNT(AL121,AM121,AN121)=3,AVERAGE(AL121,AM121,AN121),"")</x:f>
        <x:v>56.999736804994704</x:v>
      </x:c>
      <x:c r="BO121" s="35" t="n">
        <x:f>IF(AND(COUNT(BG121:BN121)=8,ABS('Scoring Setup'!$C$17-1)&lt;0.000001),BG121*'Scoring Setup'!$C$9+BH121*'Scoring Setup'!$C$10+BI121*'Scoring Setup'!$C$11+BJ121*'Scoring Setup'!$C$12+BK121*'Scoring Setup'!$C$13+BL121*'Scoring Setup'!$C$14+BM121*'Scoring Setup'!$C$15+BN121*'Scoring Setup'!$C$16,"")</x:f>
        <x:v>58.799605403413615</x:v>
      </x:c>
      <x:c r="BP121" s="36" t="n">
        <x:f>IF(COUNT(AO121:BF121)=18,MIN(AO121:BF121),"")</x:f>
        <x:v>0.8045111111111111</x:v>
      </x:c>
      <x:c r="BQ121" s="35" t="n">
        <x:f>IF(AND(ISNUMBER(BO121),ISNUMBER(BP121)),BO121*BP121,"")</x:f>
        <x:v>47.30493587599518</x:v>
      </x:c>
      <x:c r="BR121" s="17" t="str">
        <x:f>IF(COUNT(AO121:BF121)=18,INDEX('Scoring Setup'!$F$9:$F$26,MATCH(MIN(AO121:BF121),AO121:BF121,0),1),"")</x:f>
        <x:v>社会脆弱性百分位</x:v>
      </x:c>
    </x:row>
    <x:row r="122">
      <x:c r="A122" s="28" t="str">
        <x:v>51700</x:v>
      </x:c>
      <x:c r="B122" s="28" t="str">
        <x:v>Newport News city</x:v>
      </x:c>
      <x:c r="C122" s="28" t="str">
        <x:v>VA</x:v>
      </x:c>
      <x:c r="D122" s="31" t="n">
        <x:v>178.698611</x:v>
      </x:c>
      <x:c r="E122" s="32" t="n">
        <x:v>0.347</x:v>
      </x:c>
      <x:c r="F122" s="32" t="n">
        <x:v>0.0575495049504951</x:v>
      </x:c>
      <x:c r="G122" s="32" t="n">
        <x:v>3.802847971072168</x:v>
      </x:c>
      <x:c r="H122" s="32" t="n">
        <x:v>4.054554194</x:v>
      </x:c>
      <x:c r="I122" s="32" t="n">
        <x:v>0.3212930774074965</x:v>
      </x:c>
      <x:c r="J122" s="32" t="n">
        <x:v>0.0036222173912176035</x:v>
      </x:c>
      <x:c r="K122" s="32" t="n">
        <x:v>0.13825729455193353</x:v>
      </x:c>
      <x:c r="L122" s="32" t="n">
        <x:v>0.698449787</x:v>
      </x:c>
      <x:c r="M122" s="32" t="n">
        <x:v>0.004875309</x:v>
      </x:c>
      <x:c r="N122" s="32" t="n">
        <x:v>88797</x:v>
      </x:c>
      <x:c r="O122" s="32" t="n">
        <x:v>0.8406</x:v>
      </x:c>
      <x:c r="P122" s="32" t="n">
        <x:v>1501.3129516601562</x:v>
      </x:c>
      <x:c r="Q122" s="32" t="n">
        <x:v>24.21282450358073</x:v>
      </x:c>
      <x:c r="R122" s="32" t="n">
        <x:v>4.75594249931083</x:v>
      </x:c>
      <x:c r="S122" s="32" t="n">
        <x:v>2.9699047565433063</x:v>
      </x:c>
      <x:c r="T122" s="32" t="n">
        <x:v>89.9</x:v>
      </x:c>
      <x:c r="U122" s="32" t="n">
        <x:v>245.07712999476223</x:v>
      </x:c>
      <x:c r="V122" s="32" t="n">
        <x:v>244.75798925963002</x:v>
      </x:c>
      <x:c r="W122" s="33" t="n">
        <x:f>IF(ISNUMBER(E122),100*MAX(0,MIN(1,('Anchors'!$H$6-E122)/('Anchors'!$H$6-'Anchors'!$G$6))),"")</x:f>
        <x:v>79.00000000000001</x:v>
      </x:c>
      <x:c r="X122" s="33" t="n">
        <x:f>IF(ISNUMBER(F122),100*MAX(0,MIN(1,('Anchors'!$H$7-F122)/('Anchors'!$H$7-'Anchors'!$G$7))),"")</x:f>
        <x:v>100</x:v>
      </x:c>
      <x:c r="Y122" s="33" t="n">
        <x:f>IF(ISNUMBER(G122),100*MAX(0,MIN(1,('Anchors'!$H$8-G122)/('Anchors'!$H$8-'Anchors'!$G$8))),"")</x:f>
        <x:v>6.571734297594404</x:v>
      </x:c>
      <x:c r="Z122" s="33" t="n">
        <x:f>IF(ISNUMBER(H122),100*MAX(0,MIN(1,('Anchors'!$H$9-H122)/('Anchors'!$H$9-'Anchors'!$G$9))),"")</x:f>
        <x:v>0</x:v>
      </x:c>
      <x:c r="AA122" s="33" t="n">
        <x:f>IF(ISNUMBER(I122),100*MAX(0,MIN(1,(I122-'Anchors'!$H$10)/('Anchors'!$G$10-'Anchors'!$H$10))),"")</x:f>
        <x:v>9.766174987328291</x:v>
      </x:c>
      <x:c r="AB122" s="33" t="n">
        <x:f>IF(ISNUMBER(J122),100*MAX(0,MIN(1,('Anchors'!$H$11-J122)/('Anchors'!$H$11-'Anchors'!$G$11))),"")</x:f>
        <x:v>98.55111304351296</x:v>
      </x:c>
      <x:c r="AC122" s="33" t="n">
        <x:f>IF(ISNUMBER(K122),100*MAX(0,MIN(1,('Anchors'!$H$12-K122)/('Anchors'!$H$12-'Anchors'!$G$12))),"")</x:f>
        <x:v>65.43567636201661</x:v>
      </x:c>
      <x:c r="AD122" s="33" t="n">
        <x:f>IF(ISNUMBER(L122),100*MAX(0,MIN(1,(L122-'Anchors'!$H$13)/('Anchors'!$G$13-'Anchors'!$H$13))),"")</x:f>
        <x:v>71.20711242857143</x:v>
      </x:c>
      <x:c r="AE122" s="33" t="n">
        <x:f>IF(ISNUMBER(M122),100*MAX(0,MIN(1,(M122-'Anchors'!$H$14)/('Anchors'!$G$14-'Anchors'!$H$14))),"")</x:f>
        <x:v>0</x:v>
      </x:c>
      <x:c r="AF122" s="33" t="n">
        <x:f>IF(ISNUMBER(N122),100*MAX(0,MIN(1,(LN(1+N122)-LN(1+'Anchors'!$H$15))/(LN(1+'Anchors'!$G$15)-LN(1+'Anchors'!$H$15)))),"")</x:f>
        <x:v>87.85549102931265</x:v>
      </x:c>
      <x:c r="AG122" s="33" t="n">
        <x:f>IF(ISNUMBER(O122),100*MAX(0,MIN(1,('Anchors'!$H$16-O122)/('Anchors'!$H$16-'Anchors'!$G$16))),"")</x:f>
        <x:v>12.15555555555555</x:v>
      </x:c>
      <x:c r="AH122" s="33" t="n">
        <x:f>IF(ISNUMBER(P122),100*MAX(0,MIN(1,('Anchors'!$H$17-P122)/('Anchors'!$H$17-'Anchors'!$G$17))),"")</x:f>
        <x:v>46.57913655598959</x:v>
      </x:c>
      <x:c r="AI122" s="33" t="n">
        <x:f>IF(ISNUMBER(Q122),100*MAX(0,MIN(1,('Anchors'!$H$18-Q122)/('Anchors'!$H$18-'Anchors'!$G$18))),"")</x:f>
        <x:v>72.55310785202752</x:v>
      </x:c>
      <x:c r="AJ122" s="33" t="n">
        <x:f>IF(ISNUMBER(R122),100*MAX(0,MIN(1,('Anchors'!$H$19-R122)/('Anchors'!$H$19-'Anchors'!$G$19))),"")</x:f>
        <x:v>100</x:v>
      </x:c>
      <x:c r="AK122" s="33" t="n">
        <x:f>IF(ISNUMBER(S122),100*MAX(0,MIN(1,('Anchors'!$H$20-S122)/('Anchors'!$H$20-'Anchors'!$G$20))),"")</x:f>
        <x:v>89.63208022871943</x:v>
      </x:c>
      <x:c r="AL122" s="33" t="n">
        <x:f>IF(ISNUMBER(T122),100*MAX(0,MIN(1,('Anchors'!$H$21-T122)/('Anchors'!$H$21-'Anchors'!$G$21))),"")</x:f>
        <x:v>54.72727272727271</x:v>
      </x:c>
      <x:c r="AM122" s="33" t="n">
        <x:f>IF(ISNUMBER(U122),100*MAX(0,MIN(1,('Anchors'!$H$22-U122)/('Anchors'!$H$22-'Anchors'!$G$22))),"")</x:f>
        <x:v>27.461435002618884</x:v>
      </x:c>
      <x:c r="AN122" s="33" t="n">
        <x:f>IF(ISNUMBER(V122),100*MAX(0,MIN(1,('Anchors'!$H$23-V122)/('Anchors'!$H$23-'Anchors'!$G$23))),"")</x:f>
        <x:v>88.8105026850925</x:v>
      </x:c>
      <x:c r="AO122" s="27" t="n">
        <x:f>IF(ISNUMBER(W122),IF('Scoring Setup'!$L$9=1,1-'Scoring Setup'!$B$5*(1-MAX(0,MIN(1,(W122-'Scoring Setup'!$K$9)/(100-'Scoring Setup'!$K$9)))),1),"")</x:f>
        <x:v>0.9580000000000001</x:v>
      </x:c>
      <x:c r="AP122" s="27" t="n">
        <x:f>IF(ISNUMBER(X122),IF('Scoring Setup'!$L$10=1,1-'Scoring Setup'!$B$5*(1-MAX(0,MIN(1,(X122-'Scoring Setup'!$K$10)/(100-'Scoring Setup'!$K$10)))),1),"")</x:f>
        <x:v>1</x:v>
      </x:c>
      <x:c r="AQ122" s="27" t="n">
        <x:f>IF(ISNUMBER(Y122),IF('Scoring Setup'!$L$11=1,1-'Scoring Setup'!$B$5*(1-MAX(0,MIN(1,(Y122-'Scoring Setup'!$K$11)/(100-'Scoring Setup'!$K$11)))),1),"")</x:f>
        <x:v>0.8131434685951888</x:v>
      </x:c>
      <x:c r="AR122" s="27" t="n">
        <x:f>IF(ISNUMBER(Z122),IF('Scoring Setup'!$L$12=1,1-'Scoring Setup'!$B$5*(1-MAX(0,MIN(1,(Z122-'Scoring Setup'!$K$12)/(100-'Scoring Setup'!$K$12)))),1),"")</x:f>
        <x:v>0.8</x:v>
      </x:c>
      <x:c r="AS122" s="27" t="n">
        <x:f>IF(ISNUMBER(AA122),IF('Scoring Setup'!$L$13=1,1-'Scoring Setup'!$B$5*(1-MAX(0,MIN(1,(AA122-'Scoring Setup'!$K$13)/(100-'Scoring Setup'!$K$13)))),1),"")</x:f>
        <x:v>0.8195323499746565</x:v>
      </x:c>
      <x:c r="AT122" s="27" t="n">
        <x:f>IF(ISNUMBER(AB122),IF('Scoring Setup'!$L$14=1,1-'Scoring Setup'!$B$5*(1-MAX(0,MIN(1,(AB122-'Scoring Setup'!$K$14)/(100-'Scoring Setup'!$K$14)))),1),"")</x:f>
        <x:v>0.9971022260870259</x:v>
      </x:c>
      <x:c r="AU122" s="27" t="n">
        <x:f>IF(ISNUMBER(AC122),IF('Scoring Setup'!$L$15=1,1-'Scoring Setup'!$B$5*(1-MAX(0,MIN(1,(AC122-'Scoring Setup'!$K$15)/(100-'Scoring Setup'!$K$15)))),1),"")</x:f>
        <x:v>0.9308713527240332</x:v>
      </x:c>
      <x:c r="AV122" s="27" t="n">
        <x:f>IF(ISNUMBER(AD122),IF('Scoring Setup'!$L$16=1,1-'Scoring Setup'!$B$5*(1-MAX(0,MIN(1,(AD122-'Scoring Setup'!$K$16)/(100-'Scoring Setup'!$K$16)))),1),"")</x:f>
        <x:v>0.9424142248571429</x:v>
      </x:c>
      <x:c r="AW122" s="27" t="n">
        <x:f>IF(ISNUMBER(AE122),IF('Scoring Setup'!$L$17=1,1-'Scoring Setup'!$B$5*(1-MAX(0,MIN(1,(AE122-'Scoring Setup'!$K$17)/(100-'Scoring Setup'!$K$17)))),1),"")</x:f>
        <x:v>0.8</x:v>
      </x:c>
      <x:c r="AX122" s="27" t="n">
        <x:f>IF(ISNUMBER(AF122),IF('Scoring Setup'!$L$18=1,1-'Scoring Setup'!$B$5*(1-MAX(0,MIN(1,(AF122-'Scoring Setup'!$K$18)/(100-'Scoring Setup'!$K$18)))),1),"")</x:f>
        <x:v>0.9757109820586253</x:v>
      </x:c>
      <x:c r="AY122" s="27" t="n">
        <x:f>IF(ISNUMBER(AG122),IF('Scoring Setup'!$L$19=1,1-'Scoring Setup'!$B$5*(1-MAX(0,MIN(1,(AG122-'Scoring Setup'!$K$19)/(100-'Scoring Setup'!$K$19)))),1),"")</x:f>
        <x:v>0.8243111111111111</x:v>
      </x:c>
      <x:c r="AZ122" s="27" t="n">
        <x:f>IF(ISNUMBER(AH122),IF('Scoring Setup'!$L$20=1,1-'Scoring Setup'!$B$5*(1-MAX(0,MIN(1,(AH122-'Scoring Setup'!$K$20)/(100-'Scoring Setup'!$K$20)))),1),"")</x:f>
        <x:v>0.8931582731119792</x:v>
      </x:c>
      <x:c r="BA122" s="27" t="n">
        <x:f>IF(ISNUMBER(AI122),IF('Scoring Setup'!$L$21=1,1-'Scoring Setup'!$B$5*(1-MAX(0,MIN(1,(AI122-'Scoring Setup'!$K$21)/(100-'Scoring Setup'!$K$21)))),1),"")</x:f>
        <x:v>0.9451062157040551</x:v>
      </x:c>
      <x:c r="BB122" s="27" t="n">
        <x:f>IF(ISNUMBER(AJ122),IF('Scoring Setup'!$L$22=1,1-'Scoring Setup'!$B$5*(1-MAX(0,MIN(1,(AJ122-'Scoring Setup'!$K$22)/(100-'Scoring Setup'!$K$22)))),1),"")</x:f>
        <x:v>1</x:v>
      </x:c>
      <x:c r="BC122" s="27" t="n">
        <x:f>IF(ISNUMBER(AK122),IF('Scoring Setup'!$L$23=1,1-'Scoring Setup'!$B$5*(1-MAX(0,MIN(1,(AK122-'Scoring Setup'!$K$23)/(100-'Scoring Setup'!$K$23)))),1),"")</x:f>
        <x:v>0.9792641604574389</x:v>
      </x:c>
      <x:c r="BD122" s="27" t="n">
        <x:f>IF(ISNUMBER(AL122),IF('Scoring Setup'!$L$24=1,1-'Scoring Setup'!$B$5*(1-MAX(0,MIN(1,(AL122-'Scoring Setup'!$K$24)/(100-'Scoring Setup'!$K$24)))),1),"")</x:f>
        <x:v>0.9094545454545454</x:v>
      </x:c>
      <x:c r="BE122" s="27" t="n">
        <x:f>IF(ISNUMBER(AM122),IF('Scoring Setup'!$L$25=1,1-'Scoring Setup'!$B$5*(1-MAX(0,MIN(1,(AM122-'Scoring Setup'!$K$25)/(100-'Scoring Setup'!$K$25)))),1),"")</x:f>
        <x:v>0.8549228700052378</x:v>
      </x:c>
      <x:c r="BF122" s="27" t="n">
        <x:f>IF(ISNUMBER(AN122),IF('Scoring Setup'!$L$26=1,1-'Scoring Setup'!$B$5*(1-MAX(0,MIN(1,(AN122-'Scoring Setup'!$K$26)/(100-'Scoring Setup'!$K$26)))),1),"")</x:f>
        <x:v>0.977621005370185</x:v>
      </x:c>
      <x:c r="BG122" s="34" t="n">
        <x:f>IF(COUNT(W122,X122)=2,AVERAGE(W122,X122),"")</x:f>
        <x:v>89.5</x:v>
      </x:c>
      <x:c r="BH122" s="34" t="n">
        <x:f>IF(COUNT(Y122,Z122)=2,AVERAGE(Y122,Z122),"")</x:f>
        <x:v>3.285867148797202</x:v>
      </x:c>
      <x:c r="BI122" s="34" t="n">
        <x:f>IF(COUNT(AA122,AB122,AC122)=3,AVERAGE(AA122,AB122,AC122),"")</x:f>
        <x:v>57.917654797619285</x:v>
      </x:c>
      <x:c r="BJ122" s="34" t="n">
        <x:f>IF(COUNT(AD122,AE122)=2,AVERAGE(AD122,AE122),"")</x:f>
        <x:v>35.60355621428572</x:v>
      </x:c>
      <x:c r="BK122" s="34" t="n">
        <x:f>IF(COUNT(AF122,AG122)=2,AVERAGE(AF122,AG122),"")</x:f>
        <x:v>50.0055232924341</x:v>
      </x:c>
      <x:c r="BL122" s="34" t="n">
        <x:f>IF(COUNT(AH122,AI122)=2,AVERAGE(AH122,AI122),"")</x:f>
        <x:v>59.56612220400856</x:v>
      </x:c>
      <x:c r="BM122" s="34" t="n">
        <x:f>IF(COUNT(AJ122,AK122)=2,AVERAGE(AJ122,AK122),"")</x:f>
        <x:v>94.81604011435971</x:v>
      </x:c>
      <x:c r="BN122" s="34" t="n">
        <x:f>IF(COUNT(AL122,AM122,AN122)=3,AVERAGE(AL122,AM122,AN122),"")</x:f>
        <x:v>56.999736804994704</x:v>
      </x:c>
      <x:c r="BO122" s="35" t="n">
        <x:f>IF(AND(COUNT(BG122:BN122)=8,ABS('Scoring Setup'!$C$17-1)&lt;0.000001),BG122*'Scoring Setup'!$C$9+BH122*'Scoring Setup'!$C$10+BI122*'Scoring Setup'!$C$11+BJ122*'Scoring Setup'!$C$12+BK122*'Scoring Setup'!$C$13+BL122*'Scoring Setup'!$C$14+BM122*'Scoring Setup'!$C$15+BN122*'Scoring Setup'!$C$16,"")</x:f>
        <x:v>48.77887601761017</x:v>
      </x:c>
      <x:c r="BP122" s="36" t="n">
        <x:f>IF(COUNT(AO122:BF122)=18,MIN(AO122:BF122),"")</x:f>
        <x:v>0.8</x:v>
      </x:c>
      <x:c r="BQ122" s="35" t="n">
        <x:f>IF(AND(ISNUMBER(BO122),ISNUMBER(BP122)),BO122*BP122,"")</x:f>
        <x:v>39.02310081408814</x:v>
      </x:c>
      <x:c r="BR122" s="17" t="str">
        <x:f>IF(COUNT(AO122:BF122)=18,INDEX('Scoring Setup'!$F$9:$F$26,MATCH(MIN(AO122:BF122),AO122:BF122,0),1),"")</x:f>
        <x:v>2050 BAU水压力</x:v>
      </x:c>
    </x:row>
    <x:row r="123">
      <x:c r="A123" s="28" t="str">
        <x:v>51710</x:v>
      </x:c>
      <x:c r="B123" s="28" t="str">
        <x:v>Norfolk city</x:v>
      </x:c>
      <x:c r="C123" s="28" t="str">
        <x:v>VA</x:v>
      </x:c>
      <x:c r="D123" s="31" t="n">
        <x:v>137.981434</x:v>
      </x:c>
      <x:c r="E123" s="32" t="n">
        <x:v>0.235</x:v>
      </x:c>
      <x:c r="F123" s="32" t="n">
        <x:v>0.0253712871287129</x:v>
      </x:c>
      <x:c r="G123" s="32" t="n">
        <x:v>1.1401255828034569</x:v>
      </x:c>
      <x:c r="H123" s="32" t="n">
        <x:v>1.465933626</x:v>
      </x:c>
      <x:c r="I123" s="32" t="n">
        <x:v>0.05990927079423049</x:v>
      </x:c>
      <x:c r="J123" s="32" t="n">
        <x:v>0</x:v>
      </x:c>
      <x:c r="K123" s="32" t="n">
        <x:v>0.028064973818325265</x:v>
      </x:c>
      <x:c r="L123" s="32" t="n">
        <x:v>0.599106479</x:v>
      </x:c>
      <x:c r="M123" s="32" t="n">
        <x:v>0.565800901</x:v>
      </x:c>
      <x:c r="N123" s="32" t="n">
        <x:v>107182</x:v>
      </x:c>
      <x:c r="O123" s="32" t="n">
        <x:v>0.8594</x:v>
      </x:c>
      <x:c r="P123" s="32" t="n">
        <x:v>1520.1002604166667</x:v>
      </x:c>
      <x:c r="Q123" s="32" t="n">
        <x:v>23.37086124420166</x:v>
      </x:c>
      <x:c r="R123" s="32" t="n">
        <x:v>1.9856090612882535</x:v>
      </x:c>
      <x:c r="S123" s="32" t="n">
        <x:v>2.1205243664987883</x:v>
      </x:c>
      <x:c r="T123" s="32" t="n">
        <x:v>89.9</x:v>
      </x:c>
      <x:c r="U123" s="32" t="n">
        <x:v>245.07712999476223</x:v>
      </x:c>
      <x:c r="V123" s="32" t="n">
        <x:v>244.75798925963002</x:v>
      </x:c>
      <x:c r="W123" s="33" t="n">
        <x:f>IF(ISNUMBER(E123),100*MAX(0,MIN(1,('Anchors'!$H$6-E123)/('Anchors'!$H$6-'Anchors'!$G$6))),"")</x:f>
        <x:v>95</x:v>
      </x:c>
      <x:c r="X123" s="33" t="n">
        <x:f>IF(ISNUMBER(F123),100*MAX(0,MIN(1,('Anchors'!$H$7-F123)/('Anchors'!$H$7-'Anchors'!$G$7))),"")</x:f>
        <x:v>100</x:v>
      </x:c>
      <x:c r="Y123" s="33" t="n">
        <x:f>IF(ISNUMBER(G123),100*MAX(0,MIN(1,('Anchors'!$H$8-G123)/('Anchors'!$H$8-'Anchors'!$G$8))),"")</x:f>
        <x:v>95.32914723988478</x:v>
      </x:c>
      <x:c r="Z123" s="33" t="n">
        <x:f>IF(ISNUMBER(H123),100*MAX(0,MIN(1,('Anchors'!$H$9-H123)/('Anchors'!$H$9-'Anchors'!$G$9))),"")</x:f>
        <x:v>84.46887913333333</x:v>
      </x:c>
      <x:c r="AA123" s="33" t="n">
        <x:f>IF(ISNUMBER(I123),100*MAX(0,MIN(1,(I123-'Anchors'!$H$10)/('Anchors'!$G$10-'Anchors'!$H$10))),"")</x:f>
        <x:v>0</x:v>
      </x:c>
      <x:c r="AB123" s="33" t="n">
        <x:f>IF(ISNUMBER(J123),100*MAX(0,MIN(1,('Anchors'!$H$11-J123)/('Anchors'!$H$11-'Anchors'!$G$11))),"")</x:f>
        <x:v>100</x:v>
      </x:c>
      <x:c r="AC123" s="33" t="n">
        <x:f>IF(ISNUMBER(K123),100*MAX(0,MIN(1,('Anchors'!$H$12-K123)/('Anchors'!$H$12-'Anchors'!$G$12))),"")</x:f>
        <x:v>92.98375654541869</x:v>
      </x:c>
      <x:c r="AD123" s="33" t="n">
        <x:f>IF(ISNUMBER(L123),100*MAX(0,MIN(1,(L123-'Anchors'!$H$13)/('Anchors'!$G$13-'Anchors'!$H$13))),"")</x:f>
        <x:v>57.015211285714294</x:v>
      </x:c>
      <x:c r="AE123" s="33" t="n">
        <x:f>IF(ISNUMBER(M123),100*MAX(0,MIN(1,(M123-'Anchors'!$H$14)/('Anchors'!$G$14-'Anchors'!$H$14))),"")</x:f>
        <x:v>58.225112624999994</x:v>
      </x:c>
      <x:c r="AF123" s="33" t="n">
        <x:f>IF(ISNUMBER(N123),100*MAX(0,MIN(1,(LN(1+N123)-LN(1+'Anchors'!$H$15))/(LN(1+'Anchors'!$G$15)-LN(1+'Anchors'!$H$15)))),"")</x:f>
        <x:v>92.21439185927903</x:v>
      </x:c>
      <x:c r="AG123" s="33" t="n">
        <x:f>IF(ISNUMBER(O123),100*MAX(0,MIN(1,('Anchors'!$H$16-O123)/('Anchors'!$H$16-'Anchors'!$G$16))),"")</x:f>
        <x:v>10.066666666666658</x:v>
      </x:c>
      <x:c r="AH123" s="33" t="n">
        <x:f>IF(ISNUMBER(P123),100*MAX(0,MIN(1,('Anchors'!$H$17-P123)/('Anchors'!$H$17-'Anchors'!$G$17))),"")</x:f>
        <x:v>45.32664930555555</x:v>
      </x:c>
      <x:c r="AI123" s="33" t="n">
        <x:f>IF(ISNUMBER(Q123),100*MAX(0,MIN(1,('Anchors'!$H$18-Q123)/('Anchors'!$H$18-'Anchors'!$G$18))),"")</x:f>
        <x:v>73.75591250828334</x:v>
      </x:c>
      <x:c r="AJ123" s="33" t="n">
        <x:f>IF(ISNUMBER(R123),100*MAX(0,MIN(1,('Anchors'!$H$19-R123)/('Anchors'!$H$19-'Anchors'!$G$19))),"")</x:f>
        <x:v>100</x:v>
      </x:c>
      <x:c r="AK123" s="33" t="n">
        <x:f>IF(ISNUMBER(S123),100*MAX(0,MIN(1,('Anchors'!$H$20-S123)/('Anchors'!$H$20-'Anchors'!$G$20))),"")</x:f>
        <x:v>94.1025033342169</x:v>
      </x:c>
      <x:c r="AL123" s="33" t="n">
        <x:f>IF(ISNUMBER(T123),100*MAX(0,MIN(1,('Anchors'!$H$21-T123)/('Anchors'!$H$21-'Anchors'!$G$21))),"")</x:f>
        <x:v>54.72727272727271</x:v>
      </x:c>
      <x:c r="AM123" s="33" t="n">
        <x:f>IF(ISNUMBER(U123),100*MAX(0,MIN(1,('Anchors'!$H$22-U123)/('Anchors'!$H$22-'Anchors'!$G$22))),"")</x:f>
        <x:v>27.461435002618884</x:v>
      </x:c>
      <x:c r="AN123" s="33" t="n">
        <x:f>IF(ISNUMBER(V123),100*MAX(0,MIN(1,('Anchors'!$H$23-V123)/('Anchors'!$H$23-'Anchors'!$G$23))),"")</x:f>
        <x:v>88.8105026850925</x:v>
      </x:c>
      <x:c r="AO123" s="27" t="n">
        <x:f>IF(ISNUMBER(W123),IF('Scoring Setup'!$L$9=1,1-'Scoring Setup'!$B$5*(1-MAX(0,MIN(1,(W123-'Scoring Setup'!$K$9)/(100-'Scoring Setup'!$K$9)))),1),"")</x:f>
        <x:v>0.99</x:v>
      </x:c>
      <x:c r="AP123" s="27" t="n">
        <x:f>IF(ISNUMBER(X123),IF('Scoring Setup'!$L$10=1,1-'Scoring Setup'!$B$5*(1-MAX(0,MIN(1,(X123-'Scoring Setup'!$K$10)/(100-'Scoring Setup'!$K$10)))),1),"")</x:f>
        <x:v>1</x:v>
      </x:c>
      <x:c r="AQ123" s="27" t="n">
        <x:f>IF(ISNUMBER(Y123),IF('Scoring Setup'!$L$11=1,1-'Scoring Setup'!$B$5*(1-MAX(0,MIN(1,(Y123-'Scoring Setup'!$K$11)/(100-'Scoring Setup'!$K$11)))),1),"")</x:f>
        <x:v>0.9906582944797695</x:v>
      </x:c>
      <x:c r="AR123" s="27" t="n">
        <x:f>IF(ISNUMBER(Z123),IF('Scoring Setup'!$L$12=1,1-'Scoring Setup'!$B$5*(1-MAX(0,MIN(1,(Z123-'Scoring Setup'!$K$12)/(100-'Scoring Setup'!$K$12)))),1),"")</x:f>
        <x:v>0.9689377582666666</x:v>
      </x:c>
      <x:c r="AS123" s="27" t="n">
        <x:f>IF(ISNUMBER(AA123),IF('Scoring Setup'!$L$13=1,1-'Scoring Setup'!$B$5*(1-MAX(0,MIN(1,(AA123-'Scoring Setup'!$K$13)/(100-'Scoring Setup'!$K$13)))),1),"")</x:f>
        <x:v>0.8</x:v>
      </x:c>
      <x:c r="AT123" s="27" t="n">
        <x:f>IF(ISNUMBER(AB123),IF('Scoring Setup'!$L$14=1,1-'Scoring Setup'!$B$5*(1-MAX(0,MIN(1,(AB123-'Scoring Setup'!$K$14)/(100-'Scoring Setup'!$K$14)))),1),"")</x:f>
        <x:v>1</x:v>
      </x:c>
      <x:c r="AU123" s="27" t="n">
        <x:f>IF(ISNUMBER(AC123),IF('Scoring Setup'!$L$15=1,1-'Scoring Setup'!$B$5*(1-MAX(0,MIN(1,(AC123-'Scoring Setup'!$K$15)/(100-'Scoring Setup'!$K$15)))),1),"")</x:f>
        <x:v>0.9859675130908374</x:v>
      </x:c>
      <x:c r="AV123" s="27" t="n">
        <x:f>IF(ISNUMBER(AD123),IF('Scoring Setup'!$L$16=1,1-'Scoring Setup'!$B$5*(1-MAX(0,MIN(1,(AD123-'Scoring Setup'!$K$16)/(100-'Scoring Setup'!$K$16)))),1),"")</x:f>
        <x:v>0.9140304225714286</x:v>
      </x:c>
      <x:c r="AW123" s="27" t="n">
        <x:f>IF(ISNUMBER(AE123),IF('Scoring Setup'!$L$17=1,1-'Scoring Setup'!$B$5*(1-MAX(0,MIN(1,(AE123-'Scoring Setup'!$K$17)/(100-'Scoring Setup'!$K$17)))),1),"")</x:f>
        <x:v>0.91645022525</x:v>
      </x:c>
      <x:c r="AX123" s="27" t="n">
        <x:f>IF(ISNUMBER(AF123),IF('Scoring Setup'!$L$18=1,1-'Scoring Setup'!$B$5*(1-MAX(0,MIN(1,(AF123-'Scoring Setup'!$K$18)/(100-'Scoring Setup'!$K$18)))),1),"")</x:f>
        <x:v>0.984428783718558</x:v>
      </x:c>
      <x:c r="AY123" s="27" t="n">
        <x:f>IF(ISNUMBER(AG123),IF('Scoring Setup'!$L$19=1,1-'Scoring Setup'!$B$5*(1-MAX(0,MIN(1,(AG123-'Scoring Setup'!$K$19)/(100-'Scoring Setup'!$K$19)))),1),"")</x:f>
        <x:v>0.8201333333333333</x:v>
      </x:c>
      <x:c r="AZ123" s="27" t="n">
        <x:f>IF(ISNUMBER(AH123),IF('Scoring Setup'!$L$20=1,1-'Scoring Setup'!$B$5*(1-MAX(0,MIN(1,(AH123-'Scoring Setup'!$K$20)/(100-'Scoring Setup'!$K$20)))),1),"")</x:f>
        <x:v>0.8906532986111111</x:v>
      </x:c>
      <x:c r="BA123" s="27" t="n">
        <x:f>IF(ISNUMBER(AI123),IF('Scoring Setup'!$L$21=1,1-'Scoring Setup'!$B$5*(1-MAX(0,MIN(1,(AI123-'Scoring Setup'!$K$21)/(100-'Scoring Setup'!$K$21)))),1),"")</x:f>
        <x:v>0.9475118250165667</x:v>
      </x:c>
      <x:c r="BB123" s="27" t="n">
        <x:f>IF(ISNUMBER(AJ123),IF('Scoring Setup'!$L$22=1,1-'Scoring Setup'!$B$5*(1-MAX(0,MIN(1,(AJ123-'Scoring Setup'!$K$22)/(100-'Scoring Setup'!$K$22)))),1),"")</x:f>
        <x:v>1</x:v>
      </x:c>
      <x:c r="BC123" s="27" t="n">
        <x:f>IF(ISNUMBER(AK123),IF('Scoring Setup'!$L$23=1,1-'Scoring Setup'!$B$5*(1-MAX(0,MIN(1,(AK123-'Scoring Setup'!$K$23)/(100-'Scoring Setup'!$K$23)))),1),"")</x:f>
        <x:v>0.9882050066684338</x:v>
      </x:c>
      <x:c r="BD123" s="27" t="n">
        <x:f>IF(ISNUMBER(AL123),IF('Scoring Setup'!$L$24=1,1-'Scoring Setup'!$B$5*(1-MAX(0,MIN(1,(AL123-'Scoring Setup'!$K$24)/(100-'Scoring Setup'!$K$24)))),1),"")</x:f>
        <x:v>0.9094545454545454</x:v>
      </x:c>
      <x:c r="BE123" s="27" t="n">
        <x:f>IF(ISNUMBER(AM123),IF('Scoring Setup'!$L$25=1,1-'Scoring Setup'!$B$5*(1-MAX(0,MIN(1,(AM123-'Scoring Setup'!$K$25)/(100-'Scoring Setup'!$K$25)))),1),"")</x:f>
        <x:v>0.8549228700052378</x:v>
      </x:c>
      <x:c r="BF123" s="27" t="n">
        <x:f>IF(ISNUMBER(AN123),IF('Scoring Setup'!$L$26=1,1-'Scoring Setup'!$B$5*(1-MAX(0,MIN(1,(AN123-'Scoring Setup'!$K$26)/(100-'Scoring Setup'!$K$26)))),1),"")</x:f>
        <x:v>0.977621005370185</x:v>
      </x:c>
      <x:c r="BG123" s="34" t="n">
        <x:f>IF(COUNT(W123,X123)=2,AVERAGE(W123,X123),"")</x:f>
        <x:v>97.5</x:v>
      </x:c>
      <x:c r="BH123" s="34" t="n">
        <x:f>IF(COUNT(Y123,Z123)=2,AVERAGE(Y123,Z123),"")</x:f>
        <x:v>89.89901318660905</x:v>
      </x:c>
      <x:c r="BI123" s="34" t="n">
        <x:f>IF(COUNT(AA123,AB123,AC123)=3,AVERAGE(AA123,AB123,AC123),"")</x:f>
        <x:v>64.32791884847289</x:v>
      </x:c>
      <x:c r="BJ123" s="34" t="n">
        <x:f>IF(COUNT(AD123,AE123)=2,AVERAGE(AD123,AE123),"")</x:f>
        <x:v>57.62016195535715</x:v>
      </x:c>
      <x:c r="BK123" s="34" t="n">
        <x:f>IF(COUNT(AF123,AG123)=2,AVERAGE(AF123,AG123),"")</x:f>
        <x:v>51.14052926297285</x:v>
      </x:c>
      <x:c r="BL123" s="34" t="n">
        <x:f>IF(COUNT(AH123,AI123)=2,AVERAGE(AH123,AI123),"")</x:f>
        <x:v>59.54128090691945</x:v>
      </x:c>
      <x:c r="BM123" s="34" t="n">
        <x:f>IF(COUNT(AJ123,AK123)=2,AVERAGE(AJ123,AK123),"")</x:f>
        <x:v>97.05125166710846</x:v>
      </x:c>
      <x:c r="BN123" s="34" t="n">
        <x:f>IF(COUNT(AL123,AM123,AN123)=3,AVERAGE(AL123,AM123,AN123),"")</x:f>
        <x:v>56.999736804994704</x:v>
      </x:c>
      <x:c r="BO123" s="35" t="n">
        <x:f>IF(AND(COUNT(BG123:BN123)=8,ABS('Scoring Setup'!$C$17-1)&lt;0.000001),BG123*'Scoring Setup'!$C$9+BH123*'Scoring Setup'!$C$10+BI123*'Scoring Setup'!$C$11+BJ123*'Scoring Setup'!$C$12+BK123*'Scoring Setup'!$C$13+BL123*'Scoring Setup'!$C$14+BM123*'Scoring Setup'!$C$15+BN123*'Scoring Setup'!$C$16,"")</x:f>
        <x:v>69.96821131420191</x:v>
      </x:c>
      <x:c r="BP123" s="36" t="n">
        <x:f>IF(COUNT(AO123:BF123)=18,MIN(AO123:BF123),"")</x:f>
        <x:v>0.8</x:v>
      </x:c>
      <x:c r="BQ123" s="35" t="n">
        <x:f>IF(AND(ISNUMBER(BO123),ISNUMBER(BP123)),BO123*BP123,"")</x:f>
        <x:v>55.97456905136153</x:v>
      </x:c>
      <x:c r="BR123" s="17" t="str">
        <x:f>IF(COUNT(AO123:BF123)=18,INDEX('Scoring Setup'!$F$9:$F$26,MATCH(MIN(AO123:BF123),AO123:BF123,0),1),"")</x:f>
        <x:v>低不透水土地比例</x:v>
      </x:c>
    </x:row>
    <x:row r="124">
      <x:c r="A124" s="28" t="str">
        <x:v>51720</x:v>
      </x:c>
      <x:c r="B124" s="28" t="str">
        <x:v>Norton city</x:v>
      </x:c>
      <x:c r="C124" s="28" t="str">
        <x:v>VA</x:v>
      </x:c>
      <x:c r="D124" s="31" t="n">
        <x:v>19.366553</x:v>
      </x:c>
      <x:c r="E124" s="32" t="n">
        <x:v>0.827</x:v>
      </x:c>
      <x:c r="F124" s="32" t="n">
        <x:v>0.367574257425743</x:v>
      </x:c>
      <x:c r="G124" s="32" t="n">
        <x:v>2.0011690976267165</x:v>
      </x:c>
      <x:c r="H124" s="32" t="n">
        <x:v>2.215518112</x:v>
      </x:c>
      <x:c r="I124" s="32" t="n">
        <x:v>0.6813375382617568</x:v>
      </x:c>
      <x:c r="J124" s="32" t="n">
        <x:v>0</x:v>
      </x:c>
      <x:c r="K124" s="32" t="n">
        <x:v>0</x:v>
      </x:c>
      <x:c r="L124" s="32" t="n">
        <x:v>0.829700272</x:v>
      </x:c>
      <x:c r="M124" s="32" t="n">
        <x:v>0.829700272</x:v>
      </x:c>
      <x:c r="N124" s="32" t="n">
        <x:v>1502</x:v>
      </x:c>
      <x:c r="O124" s="32" t="n">
        <x:v>0.769</x:v>
      </x:c>
      <x:c r="P124" s="32" t="n">
        <x:v>376.8571004231771</x:v>
      </x:c>
      <x:c r="Q124" s="32" t="n">
        <x:v>0.3184066669394572</x:v>
      </x:c>
      <x:c r="R124" s="32" t="n">
        <x:v>37.89847731857445</x:v>
      </x:c>
      <x:c r="S124" s="32" t="n">
        <x:v>0.17198886296466845</x:v>
      </x:c>
      <x:c r="T124" s="32" t="n">
        <x:v>89.9</x:v>
      </x:c>
      <x:c r="U124" s="32" t="n">
        <x:v>245.07712999476223</x:v>
      </x:c>
      <x:c r="V124" s="32" t="n">
        <x:v>244.75798925963002</x:v>
      </x:c>
      <x:c r="W124" s="33" t="n">
        <x:f>IF(ISNUMBER(E124),100*MAX(0,MIN(1,('Anchors'!$H$6-E124)/('Anchors'!$H$6-'Anchors'!$G$6))),"")</x:f>
        <x:v>10.428571428571438</x:v>
      </x:c>
      <x:c r="X124" s="33" t="n">
        <x:f>IF(ISNUMBER(F124),100*MAX(0,MIN(1,('Anchors'!$H$7-F124)/('Anchors'!$H$7-'Anchors'!$G$7))),"")</x:f>
        <x:v>61.775106082036714</x:v>
      </x:c>
      <x:c r="Y124" s="33" t="n">
        <x:f>IF(ISNUMBER(G124),100*MAX(0,MIN(1,('Anchors'!$H$8-G124)/('Anchors'!$H$8-'Anchors'!$G$8))),"")</x:f>
        <x:v>66.62769674577612</x:v>
      </x:c>
      <x:c r="Z124" s="33" t="n">
        <x:f>IF(ISNUMBER(H124),100*MAX(0,MIN(1,('Anchors'!$H$9-H124)/('Anchors'!$H$9-'Anchors'!$G$9))),"")</x:f>
        <x:v>59.482729600000006</x:v>
      </x:c>
      <x:c r="AA124" s="33" t="n">
        <x:f>IF(ISNUMBER(I124),100*MAX(0,MIN(1,(I124-'Anchors'!$H$10)/('Anchors'!$G$10-'Anchors'!$H$10))),"")</x:f>
        <x:v>59.087334008459834</x:v>
      </x:c>
      <x:c r="AB124" s="33" t="n">
        <x:f>IF(ISNUMBER(J124),100*MAX(0,MIN(1,('Anchors'!$H$11-J124)/('Anchors'!$H$11-'Anchors'!$G$11))),"")</x:f>
        <x:v>100</x:v>
      </x:c>
      <x:c r="AC124" s="33" t="n">
        <x:f>IF(ISNUMBER(K124),100*MAX(0,MIN(1,('Anchors'!$H$12-K124)/('Anchors'!$H$12-'Anchors'!$G$12))),"")</x:f>
        <x:v>100</x:v>
      </x:c>
      <x:c r="AD124" s="33" t="n">
        <x:f>IF(ISNUMBER(L124),100*MAX(0,MIN(1,(L124-'Anchors'!$H$13)/('Anchors'!$G$13-'Anchors'!$H$13))),"")</x:f>
        <x:v>89.95718171428571</x:v>
      </x:c>
      <x:c r="AE124" s="33" t="n">
        <x:f>IF(ISNUMBER(M124),100*MAX(0,MIN(1,(M124-'Anchors'!$H$14)/('Anchors'!$G$14-'Anchors'!$H$14))),"")</x:f>
        <x:v>91.21253399999999</x:v>
      </x:c>
      <x:c r="AF124" s="33" t="n">
        <x:f>IF(ISNUMBER(N124),100*MAX(0,MIN(1,(LN(1+N124)-LN(1+'Anchors'!$H$15))/(LN(1+'Anchors'!$G$15)-LN(1+'Anchors'!$H$15)))),"")</x:f>
        <x:v>0</x:v>
      </x:c>
      <x:c r="AG124" s="33" t="n">
        <x:f>IF(ISNUMBER(O124),100*MAX(0,MIN(1,('Anchors'!$H$16-O124)/('Anchors'!$H$16-'Anchors'!$G$16))),"")</x:f>
        <x:v>20.111111111111107</x:v>
      </x:c>
      <x:c r="AH124" s="33" t="n">
        <x:f>IF(ISNUMBER(P124),100*MAX(0,MIN(1,('Anchors'!$H$17-P124)/('Anchors'!$H$17-'Anchors'!$G$17))),"")</x:f>
        <x:v>100</x:v>
      </x:c>
      <x:c r="AI124" s="33" t="n">
        <x:f>IF(ISNUMBER(Q124),100*MAX(0,MIN(1,('Anchors'!$H$18-Q124)/('Anchors'!$H$18-'Anchors'!$G$18))),"")</x:f>
        <x:v>100</x:v>
      </x:c>
      <x:c r="AJ124" s="33" t="n">
        <x:f>IF(ISNUMBER(R124),100*MAX(0,MIN(1,('Anchors'!$H$19-R124)/('Anchors'!$H$19-'Anchors'!$G$19))),"")</x:f>
        <x:v>26.892272625390113</x:v>
      </x:c>
      <x:c r="AK124" s="33" t="n">
        <x:f>IF(ISNUMBER(S124),100*MAX(0,MIN(1,('Anchors'!$H$20-S124)/('Anchors'!$H$20-'Anchors'!$G$20))),"")</x:f>
        <x:v>100</x:v>
      </x:c>
      <x:c r="AL124" s="33" t="n">
        <x:f>IF(ISNUMBER(T124),100*MAX(0,MIN(1,('Anchors'!$H$21-T124)/('Anchors'!$H$21-'Anchors'!$G$21))),"")</x:f>
        <x:v>54.72727272727271</x:v>
      </x:c>
      <x:c r="AM124" s="33" t="n">
        <x:f>IF(ISNUMBER(U124),100*MAX(0,MIN(1,('Anchors'!$H$22-U124)/('Anchors'!$H$22-'Anchors'!$G$22))),"")</x:f>
        <x:v>27.461435002618884</x:v>
      </x:c>
      <x:c r="AN124" s="33" t="n">
        <x:f>IF(ISNUMBER(V124),100*MAX(0,MIN(1,('Anchors'!$H$23-V124)/('Anchors'!$H$23-'Anchors'!$G$23))),"")</x:f>
        <x:v>88.8105026850925</x:v>
      </x:c>
      <x:c r="AO124" s="27" t="n">
        <x:f>IF(ISNUMBER(W124),IF('Scoring Setup'!$L$9=1,1-'Scoring Setup'!$B$5*(1-MAX(0,MIN(1,(W124-'Scoring Setup'!$K$9)/(100-'Scoring Setup'!$K$9)))),1),"")</x:f>
        <x:v>0.8208571428571428</x:v>
      </x:c>
      <x:c r="AP124" s="27" t="n">
        <x:f>IF(ISNUMBER(X124),IF('Scoring Setup'!$L$10=1,1-'Scoring Setup'!$B$5*(1-MAX(0,MIN(1,(X124-'Scoring Setup'!$K$10)/(100-'Scoring Setup'!$K$10)))),1),"")</x:f>
        <x:v>0.9235502121640734</x:v>
      </x:c>
      <x:c r="AQ124" s="27" t="n">
        <x:f>IF(ISNUMBER(Y124),IF('Scoring Setup'!$L$11=1,1-'Scoring Setup'!$B$5*(1-MAX(0,MIN(1,(Y124-'Scoring Setup'!$K$11)/(100-'Scoring Setup'!$K$11)))),1),"")</x:f>
        <x:v>0.9332553934915523</x:v>
      </x:c>
      <x:c r="AR124" s="27" t="n">
        <x:f>IF(ISNUMBER(Z124),IF('Scoring Setup'!$L$12=1,1-'Scoring Setup'!$B$5*(1-MAX(0,MIN(1,(Z124-'Scoring Setup'!$K$12)/(100-'Scoring Setup'!$K$12)))),1),"")</x:f>
        <x:v>0.9189654592000001</x:v>
      </x:c>
      <x:c r="AS124" s="27" t="n">
        <x:f>IF(ISNUMBER(AA124),IF('Scoring Setup'!$L$13=1,1-'Scoring Setup'!$B$5*(1-MAX(0,MIN(1,(AA124-'Scoring Setup'!$K$13)/(100-'Scoring Setup'!$K$13)))),1),"")</x:f>
        <x:v>0.9181746680169196</x:v>
      </x:c>
      <x:c r="AT124" s="27" t="n">
        <x:f>IF(ISNUMBER(AB124),IF('Scoring Setup'!$L$14=1,1-'Scoring Setup'!$B$5*(1-MAX(0,MIN(1,(AB124-'Scoring Setup'!$K$14)/(100-'Scoring Setup'!$K$14)))),1),"")</x:f>
        <x:v>1</x:v>
      </x:c>
      <x:c r="AU124" s="27" t="n">
        <x:f>IF(ISNUMBER(AC124),IF('Scoring Setup'!$L$15=1,1-'Scoring Setup'!$B$5*(1-MAX(0,MIN(1,(AC124-'Scoring Setup'!$K$15)/(100-'Scoring Setup'!$K$15)))),1),"")</x:f>
        <x:v>1</x:v>
      </x:c>
      <x:c r="AV124" s="27" t="n">
        <x:f>IF(ISNUMBER(AD124),IF('Scoring Setup'!$L$16=1,1-'Scoring Setup'!$B$5*(1-MAX(0,MIN(1,(AD124-'Scoring Setup'!$K$16)/(100-'Scoring Setup'!$K$16)))),1),"")</x:f>
        <x:v>0.9799143634285714</x:v>
      </x:c>
      <x:c r="AW124" s="27" t="n">
        <x:f>IF(ISNUMBER(AE124),IF('Scoring Setup'!$L$17=1,1-'Scoring Setup'!$B$5*(1-MAX(0,MIN(1,(AE124-'Scoring Setup'!$K$17)/(100-'Scoring Setup'!$K$17)))),1),"")</x:f>
        <x:v>0.982425068</x:v>
      </x:c>
      <x:c r="AX124" s="27" t="n">
        <x:f>IF(ISNUMBER(AF124),IF('Scoring Setup'!$L$18=1,1-'Scoring Setup'!$B$5*(1-MAX(0,MIN(1,(AF124-'Scoring Setup'!$K$18)/(100-'Scoring Setup'!$K$18)))),1),"")</x:f>
        <x:v>0.8</x:v>
      </x:c>
      <x:c r="AY124" s="27" t="n">
        <x:f>IF(ISNUMBER(AG124),IF('Scoring Setup'!$L$19=1,1-'Scoring Setup'!$B$5*(1-MAX(0,MIN(1,(AG124-'Scoring Setup'!$K$19)/(100-'Scoring Setup'!$K$19)))),1),"")</x:f>
        <x:v>0.8402222222222222</x:v>
      </x:c>
      <x:c r="AZ124" s="27" t="n">
        <x:f>IF(ISNUMBER(AH124),IF('Scoring Setup'!$L$20=1,1-'Scoring Setup'!$B$5*(1-MAX(0,MIN(1,(AH124-'Scoring Setup'!$K$20)/(100-'Scoring Setup'!$K$20)))),1),"")</x:f>
        <x:v>1</x:v>
      </x:c>
      <x:c r="BA124" s="27" t="n">
        <x:f>IF(ISNUMBER(AI124),IF('Scoring Setup'!$L$21=1,1-'Scoring Setup'!$B$5*(1-MAX(0,MIN(1,(AI124-'Scoring Setup'!$K$21)/(100-'Scoring Setup'!$K$21)))),1),"")</x:f>
        <x:v>1</x:v>
      </x:c>
      <x:c r="BB124" s="27" t="n">
        <x:f>IF(ISNUMBER(AJ124),IF('Scoring Setup'!$L$22=1,1-'Scoring Setup'!$B$5*(1-MAX(0,MIN(1,(AJ124-'Scoring Setup'!$K$22)/(100-'Scoring Setup'!$K$22)))),1),"")</x:f>
        <x:v>0.8537845452507802</x:v>
      </x:c>
      <x:c r="BC124" s="27" t="n">
        <x:f>IF(ISNUMBER(AK124),IF('Scoring Setup'!$L$23=1,1-'Scoring Setup'!$B$5*(1-MAX(0,MIN(1,(AK124-'Scoring Setup'!$K$23)/(100-'Scoring Setup'!$K$23)))),1),"")</x:f>
        <x:v>1</x:v>
      </x:c>
      <x:c r="BD124" s="27" t="n">
        <x:f>IF(ISNUMBER(AL124),IF('Scoring Setup'!$L$24=1,1-'Scoring Setup'!$B$5*(1-MAX(0,MIN(1,(AL124-'Scoring Setup'!$K$24)/(100-'Scoring Setup'!$K$24)))),1),"")</x:f>
        <x:v>0.9094545454545454</x:v>
      </x:c>
      <x:c r="BE124" s="27" t="n">
        <x:f>IF(ISNUMBER(AM124),IF('Scoring Setup'!$L$25=1,1-'Scoring Setup'!$B$5*(1-MAX(0,MIN(1,(AM124-'Scoring Setup'!$K$25)/(100-'Scoring Setup'!$K$25)))),1),"")</x:f>
        <x:v>0.8549228700052378</x:v>
      </x:c>
      <x:c r="BF124" s="27" t="n">
        <x:f>IF(ISNUMBER(AN124),IF('Scoring Setup'!$L$26=1,1-'Scoring Setup'!$B$5*(1-MAX(0,MIN(1,(AN124-'Scoring Setup'!$K$26)/(100-'Scoring Setup'!$K$26)))),1),"")</x:f>
        <x:v>0.977621005370185</x:v>
      </x:c>
      <x:c r="BG124" s="34" t="n">
        <x:f>IF(COUNT(W124,X124)=2,AVERAGE(W124,X124),"")</x:f>
        <x:v>36.10183875530407</x:v>
      </x:c>
      <x:c r="BH124" s="34" t="n">
        <x:f>IF(COUNT(Y124,Z124)=2,AVERAGE(Y124,Z124),"")</x:f>
        <x:v>63.05521317288806</x:v>
      </x:c>
      <x:c r="BI124" s="34" t="n">
        <x:f>IF(COUNT(AA124,AB124,AC124)=3,AVERAGE(AA124,AB124,AC124),"")</x:f>
        <x:v>86.3624446694866</x:v>
      </x:c>
      <x:c r="BJ124" s="34" t="n">
        <x:f>IF(COUNT(AD124,AE124)=2,AVERAGE(AD124,AE124),"")</x:f>
        <x:v>90.58485785714285</x:v>
      </x:c>
      <x:c r="BK124" s="34" t="n">
        <x:f>IF(COUNT(AF124,AG124)=2,AVERAGE(AF124,AG124),"")</x:f>
        <x:v>10.055555555555554</x:v>
      </x:c>
      <x:c r="BL124" s="34" t="n">
        <x:f>IF(COUNT(AH124,AI124)=2,AVERAGE(AH124,AI124),"")</x:f>
        <x:v>100</x:v>
      </x:c>
      <x:c r="BM124" s="34" t="n">
        <x:f>IF(COUNT(AJ124,AK124)=2,AVERAGE(AJ124,AK124),"")</x:f>
        <x:v>63.44613631269506</x:v>
      </x:c>
      <x:c r="BN124" s="34" t="n">
        <x:f>IF(COUNT(AL124,AM124,AN124)=3,AVERAGE(AL124,AM124,AN124),"")</x:f>
        <x:v>56.999736804994704</x:v>
      </x:c>
      <x:c r="BO124" s="35" t="n">
        <x:f>IF(AND(COUNT(BG124:BN124)=8,ABS('Scoring Setup'!$C$17-1)&lt;0.000001),BG124*'Scoring Setup'!$C$9+BH124*'Scoring Setup'!$C$10+BI124*'Scoring Setup'!$C$11+BJ124*'Scoring Setup'!$C$12+BK124*'Scoring Setup'!$C$13+BL124*'Scoring Setup'!$C$14+BM124*'Scoring Setup'!$C$15+BN124*'Scoring Setup'!$C$16,"")</x:f>
        <x:v>60.19374017545969</x:v>
      </x:c>
      <x:c r="BP124" s="36" t="n">
        <x:f>IF(COUNT(AO124:BF124)=18,MIN(AO124:BF124),"")</x:f>
        <x:v>0.8</x:v>
      </x:c>
      <x:c r="BQ124" s="35" t="n">
        <x:f>IF(AND(ISNUMBER(BO124),ISNUMBER(BP124)),BO124*BP124,"")</x:f>
        <x:v>48.15499214036775</x:v>
      </x:c>
      <x:c r="BR124" s="17" t="str">
        <x:f>IF(COUNT(AO124:BF124)=18,INDEX('Scoring Setup'!$F$9:$F$26,MATCH(MIN(AO124:BF124),AO124:BF124,0),1),"")</x:f>
        <x:v>劳动力人数</x:v>
      </x:c>
    </x:row>
    <x:row r="125">
      <x:c r="A125" s="28" t="str">
        <x:v>51730</x:v>
      </x:c>
      <x:c r="B125" s="28" t="str">
        <x:v>Petersburg city</x:v>
      </x:c>
      <x:c r="C125" s="28" t="str">
        <x:v>VA</x:v>
      </x:c>
      <x:c r="D125" s="31" t="n">
        <x:v>58.845729</x:v>
      </x:c>
      <x:c r="E125" s="32" t="n">
        <x:v>0.265</x:v>
      </x:c>
      <x:c r="F125" s="32" t="n">
        <x:v>0.09777227722772279</x:v>
      </x:c>
      <x:c r="G125" s="32" t="n">
        <x:v>3.3293571916434743</x:v>
      </x:c>
      <x:c r="H125" s="32" t="n">
        <x:v>3.639075621148229</x:v>
      </x:c>
      <x:c r="I125" s="32" t="n">
        <x:v>0.3943775835506948</x:v>
      </x:c>
      <x:c r="J125" s="32" t="n">
        <x:v>0</x:v>
      </x:c>
      <x:c r="K125" s="32" t="n">
        <x:v>0.06525419850821397</x:v>
      </x:c>
      <x:c r="L125" s="32" t="n">
        <x:v>0.038174571</x:v>
      </x:c>
      <x:c r="M125" s="32" t="n">
        <x:v>0.000204415</x:v>
      </x:c>
      <x:c r="N125" s="32" t="n">
        <x:v>15207</x:v>
      </x:c>
      <x:c r="O125" s="32" t="n">
        <x:v>0.9733</x:v>
      </x:c>
      <x:c r="P125" s="32" t="n">
        <x:v>1443.612862141927</x:v>
      </x:c>
      <x:c r="Q125" s="32" t="n">
        <x:v>36.85441354115804</x:v>
      </x:c>
      <x:c r="R125" s="32" t="n">
        <x:v>1.0446227607590641</x:v>
      </x:c>
      <x:c r="S125" s="32" t="n">
        <x:v>1.0920445330313486</x:v>
      </x:c>
      <x:c r="T125" s="32" t="n">
        <x:v>89.9</x:v>
      </x:c>
      <x:c r="U125" s="32" t="n">
        <x:v>245.07712999476223</x:v>
      </x:c>
      <x:c r="V125" s="32" t="n">
        <x:v>244.75798925963002</x:v>
      </x:c>
      <x:c r="W125" s="33" t="n">
        <x:f>IF(ISNUMBER(E125),100*MAX(0,MIN(1,('Anchors'!$H$6-E125)/('Anchors'!$H$6-'Anchors'!$G$6))),"")</x:f>
        <x:v>90.71428571428572</x:v>
      </x:c>
      <x:c r="X125" s="33" t="n">
        <x:f>IF(ISNUMBER(F125),100*MAX(0,MIN(1,('Anchors'!$H$7-F125)/('Anchors'!$H$7-'Anchors'!$G$7))),"")</x:f>
        <x:v>100</x:v>
      </x:c>
      <x:c r="Y125" s="33" t="n">
        <x:f>IF(ISNUMBER(G125),100*MAX(0,MIN(1,('Anchors'!$H$8-G125)/('Anchors'!$H$8-'Anchors'!$G$8))),"")</x:f>
        <x:v>22.354760278550856</x:v>
      </x:c>
      <x:c r="Z125" s="33" t="n">
        <x:f>IF(ISNUMBER(H125),100*MAX(0,MIN(1,('Anchors'!$H$9-H125)/('Anchors'!$H$9-'Anchors'!$G$9))),"")</x:f>
        <x:v>12.030812628392368</x:v>
      </x:c>
      <x:c r="AA125" s="33" t="n">
        <x:f>IF(ISNUMBER(I125),100*MAX(0,MIN(1,(I125-'Anchors'!$H$10)/('Anchors'!$G$10-'Anchors'!$H$10))),"")</x:f>
        <x:v>19.777751171328056</x:v>
      </x:c>
      <x:c r="AB125" s="33" t="n">
        <x:f>IF(ISNUMBER(J125),100*MAX(0,MIN(1,('Anchors'!$H$11-J125)/('Anchors'!$H$11-'Anchors'!$G$11))),"")</x:f>
        <x:v>100</x:v>
      </x:c>
      <x:c r="AC125" s="33" t="n">
        <x:f>IF(ISNUMBER(K125),100*MAX(0,MIN(1,('Anchors'!$H$12-K125)/('Anchors'!$H$12-'Anchors'!$G$12))),"")</x:f>
        <x:v>83.68645037294651</x:v>
      </x:c>
      <x:c r="AD125" s="33" t="n">
        <x:f>IF(ISNUMBER(L125),100*MAX(0,MIN(1,(L125-'Anchors'!$H$13)/('Anchors'!$G$13-'Anchors'!$H$13))),"")</x:f>
        <x:v>0</x:v>
      </x:c>
      <x:c r="AE125" s="33" t="n">
        <x:f>IF(ISNUMBER(M125),100*MAX(0,MIN(1,(M125-'Anchors'!$H$14)/('Anchors'!$G$14-'Anchors'!$H$14))),"")</x:f>
        <x:v>0</x:v>
      </x:c>
      <x:c r="AF125" s="33" t="n">
        <x:f>IF(ISNUMBER(N125),100*MAX(0,MIN(1,(LN(1+N125)-LN(1+'Anchors'!$H$15))/(LN(1+'Anchors'!$G$15)-LN(1+'Anchors'!$H$15)))),"")</x:f>
        <x:v>46.98116616190863</x:v>
      </x:c>
      <x:c r="AG125" s="33" t="n">
        <x:f>IF(ISNUMBER(O125),100*MAX(0,MIN(1,('Anchors'!$H$16-O125)/('Anchors'!$H$16-'Anchors'!$G$16))),"")</x:f>
        <x:v>0</x:v>
      </x:c>
      <x:c r="AH125" s="33" t="n">
        <x:f>IF(ISNUMBER(P125),100*MAX(0,MIN(1,('Anchors'!$H$17-P125)/('Anchors'!$H$17-'Anchors'!$G$17))),"")</x:f>
        <x:v>50.425809190538196</x:v>
      </x:c>
      <x:c r="AI125" s="33" t="n">
        <x:f>IF(ISNUMBER(Q125),100*MAX(0,MIN(1,('Anchors'!$H$18-Q125)/('Anchors'!$H$18-'Anchors'!$G$18))),"")</x:f>
        <x:v>54.4936949412028</x:v>
      </x:c>
      <x:c r="AJ125" s="33" t="n">
        <x:f>IF(ISNUMBER(R125),100*MAX(0,MIN(1,('Anchors'!$H$19-R125)/('Anchors'!$H$19-'Anchors'!$G$19))),"")</x:f>
        <x:v>100</x:v>
      </x:c>
      <x:c r="AK125" s="33" t="n">
        <x:f>IF(ISNUMBER(S125),100*MAX(0,MIN(1,('Anchors'!$H$20-S125)/('Anchors'!$H$20-'Anchors'!$G$20))),"")</x:f>
        <x:v>99.51555508930869</x:v>
      </x:c>
      <x:c r="AL125" s="33" t="n">
        <x:f>IF(ISNUMBER(T125),100*MAX(0,MIN(1,('Anchors'!$H$21-T125)/('Anchors'!$H$21-'Anchors'!$G$21))),"")</x:f>
        <x:v>54.72727272727271</x:v>
      </x:c>
      <x:c r="AM125" s="33" t="n">
        <x:f>IF(ISNUMBER(U125),100*MAX(0,MIN(1,('Anchors'!$H$22-U125)/('Anchors'!$H$22-'Anchors'!$G$22))),"")</x:f>
        <x:v>27.461435002618884</x:v>
      </x:c>
      <x:c r="AN125" s="33" t="n">
        <x:f>IF(ISNUMBER(V125),100*MAX(0,MIN(1,('Anchors'!$H$23-V125)/('Anchors'!$H$23-'Anchors'!$G$23))),"")</x:f>
        <x:v>88.8105026850925</x:v>
      </x:c>
      <x:c r="AO125" s="27" t="n">
        <x:f>IF(ISNUMBER(W125),IF('Scoring Setup'!$L$9=1,1-'Scoring Setup'!$B$5*(1-MAX(0,MIN(1,(W125-'Scoring Setup'!$K$9)/(100-'Scoring Setup'!$K$9)))),1),"")</x:f>
        <x:v>0.9814285714285714</x:v>
      </x:c>
      <x:c r="AP125" s="27" t="n">
        <x:f>IF(ISNUMBER(X125),IF('Scoring Setup'!$L$10=1,1-'Scoring Setup'!$B$5*(1-MAX(0,MIN(1,(X125-'Scoring Setup'!$K$10)/(100-'Scoring Setup'!$K$10)))),1),"")</x:f>
        <x:v>1</x:v>
      </x:c>
      <x:c r="AQ125" s="27" t="n">
        <x:f>IF(ISNUMBER(Y125),IF('Scoring Setup'!$L$11=1,1-'Scoring Setup'!$B$5*(1-MAX(0,MIN(1,(Y125-'Scoring Setup'!$K$11)/(100-'Scoring Setup'!$K$11)))),1),"")</x:f>
        <x:v>0.8447095205571017</x:v>
      </x:c>
      <x:c r="AR125" s="27" t="n">
        <x:f>IF(ISNUMBER(Z125),IF('Scoring Setup'!$L$12=1,1-'Scoring Setup'!$B$5*(1-MAX(0,MIN(1,(Z125-'Scoring Setup'!$K$12)/(100-'Scoring Setup'!$K$12)))),1),"")</x:f>
        <x:v>0.8240616252567847</x:v>
      </x:c>
      <x:c r="AS125" s="27" t="n">
        <x:f>IF(ISNUMBER(AA125),IF('Scoring Setup'!$L$13=1,1-'Scoring Setup'!$B$5*(1-MAX(0,MIN(1,(AA125-'Scoring Setup'!$K$13)/(100-'Scoring Setup'!$K$13)))),1),"")</x:f>
        <x:v>0.8395555023426561</x:v>
      </x:c>
      <x:c r="AT125" s="27" t="n">
        <x:f>IF(ISNUMBER(AB125),IF('Scoring Setup'!$L$14=1,1-'Scoring Setup'!$B$5*(1-MAX(0,MIN(1,(AB125-'Scoring Setup'!$K$14)/(100-'Scoring Setup'!$K$14)))),1),"")</x:f>
        <x:v>1</x:v>
      </x:c>
      <x:c r="AU125" s="27" t="n">
        <x:f>IF(ISNUMBER(AC125),IF('Scoring Setup'!$L$15=1,1-'Scoring Setup'!$B$5*(1-MAX(0,MIN(1,(AC125-'Scoring Setup'!$K$15)/(100-'Scoring Setup'!$K$15)))),1),"")</x:f>
        <x:v>0.967372900745893</x:v>
      </x:c>
      <x:c r="AV125" s="27" t="n">
        <x:f>IF(ISNUMBER(AD125),IF('Scoring Setup'!$L$16=1,1-'Scoring Setup'!$B$5*(1-MAX(0,MIN(1,(AD125-'Scoring Setup'!$K$16)/(100-'Scoring Setup'!$K$16)))),1),"")</x:f>
        <x:v>0.8</x:v>
      </x:c>
      <x:c r="AW125" s="27" t="n">
        <x:f>IF(ISNUMBER(AE125),IF('Scoring Setup'!$L$17=1,1-'Scoring Setup'!$B$5*(1-MAX(0,MIN(1,(AE125-'Scoring Setup'!$K$17)/(100-'Scoring Setup'!$K$17)))),1),"")</x:f>
        <x:v>0.8</x:v>
      </x:c>
      <x:c r="AX125" s="27" t="n">
        <x:f>IF(ISNUMBER(AF125),IF('Scoring Setup'!$L$18=1,1-'Scoring Setup'!$B$5*(1-MAX(0,MIN(1,(AF125-'Scoring Setup'!$K$18)/(100-'Scoring Setup'!$K$18)))),1),"")</x:f>
        <x:v>0.8939623323238173</x:v>
      </x:c>
      <x:c r="AY125" s="27" t="n">
        <x:f>IF(ISNUMBER(AG125),IF('Scoring Setup'!$L$19=1,1-'Scoring Setup'!$B$5*(1-MAX(0,MIN(1,(AG125-'Scoring Setup'!$K$19)/(100-'Scoring Setup'!$K$19)))),1),"")</x:f>
        <x:v>0.8</x:v>
      </x:c>
      <x:c r="AZ125" s="27" t="n">
        <x:f>IF(ISNUMBER(AH125),IF('Scoring Setup'!$L$20=1,1-'Scoring Setup'!$B$5*(1-MAX(0,MIN(1,(AH125-'Scoring Setup'!$K$20)/(100-'Scoring Setup'!$K$20)))),1),"")</x:f>
        <x:v>0.9008516183810764</x:v>
      </x:c>
      <x:c r="BA125" s="27" t="n">
        <x:f>IF(ISNUMBER(AI125),IF('Scoring Setup'!$L$21=1,1-'Scoring Setup'!$B$5*(1-MAX(0,MIN(1,(AI125-'Scoring Setup'!$K$21)/(100-'Scoring Setup'!$K$21)))),1),"")</x:f>
        <x:v>0.9089873898824056</x:v>
      </x:c>
      <x:c r="BB125" s="27" t="n">
        <x:f>IF(ISNUMBER(AJ125),IF('Scoring Setup'!$L$22=1,1-'Scoring Setup'!$B$5*(1-MAX(0,MIN(1,(AJ125-'Scoring Setup'!$K$22)/(100-'Scoring Setup'!$K$22)))),1),"")</x:f>
        <x:v>1</x:v>
      </x:c>
      <x:c r="BC125" s="27" t="n">
        <x:f>IF(ISNUMBER(AK125),IF('Scoring Setup'!$L$23=1,1-'Scoring Setup'!$B$5*(1-MAX(0,MIN(1,(AK125-'Scoring Setup'!$K$23)/(100-'Scoring Setup'!$K$23)))),1),"")</x:f>
        <x:v>0.9990311101786173</x:v>
      </x:c>
      <x:c r="BD125" s="27" t="n">
        <x:f>IF(ISNUMBER(AL125),IF('Scoring Setup'!$L$24=1,1-'Scoring Setup'!$B$5*(1-MAX(0,MIN(1,(AL125-'Scoring Setup'!$K$24)/(100-'Scoring Setup'!$K$24)))),1),"")</x:f>
        <x:v>0.9094545454545454</x:v>
      </x:c>
      <x:c r="BE125" s="27" t="n">
        <x:f>IF(ISNUMBER(AM125),IF('Scoring Setup'!$L$25=1,1-'Scoring Setup'!$B$5*(1-MAX(0,MIN(1,(AM125-'Scoring Setup'!$K$25)/(100-'Scoring Setup'!$K$25)))),1),"")</x:f>
        <x:v>0.8549228700052378</x:v>
      </x:c>
      <x:c r="BF125" s="27" t="n">
        <x:f>IF(ISNUMBER(AN125),IF('Scoring Setup'!$L$26=1,1-'Scoring Setup'!$B$5*(1-MAX(0,MIN(1,(AN125-'Scoring Setup'!$K$26)/(100-'Scoring Setup'!$K$26)))),1),"")</x:f>
        <x:v>0.977621005370185</x:v>
      </x:c>
      <x:c r="BG125" s="34" t="n">
        <x:f>IF(COUNT(W125,X125)=2,AVERAGE(W125,X125),"")</x:f>
        <x:v>95.35714285714286</x:v>
      </x:c>
      <x:c r="BH125" s="34" t="n">
        <x:f>IF(COUNT(Y125,Z125)=2,AVERAGE(Y125,Z125),"")</x:f>
        <x:v>17.192786453471612</x:v>
      </x:c>
      <x:c r="BI125" s="34" t="n">
        <x:f>IF(COUNT(AA125,AB125,AC125)=3,AVERAGE(AA125,AB125,AC125),"")</x:f>
        <x:v>67.82140051475818</x:v>
      </x:c>
      <x:c r="BJ125" s="34" t="n">
        <x:f>IF(COUNT(AD125,AE125)=2,AVERAGE(AD125,AE125),"")</x:f>
        <x:v>0</x:v>
      </x:c>
      <x:c r="BK125" s="34" t="n">
        <x:f>IF(COUNT(AF125,AG125)=2,AVERAGE(AF125,AG125),"")</x:f>
        <x:v>23.490583080954316</x:v>
      </x:c>
      <x:c r="BL125" s="34" t="n">
        <x:f>IF(COUNT(AH125,AI125)=2,AVERAGE(AH125,AI125),"")</x:f>
        <x:v>52.4597520658705</x:v>
      </x:c>
      <x:c r="BM125" s="34" t="n">
        <x:f>IF(COUNT(AJ125,AK125)=2,AVERAGE(AJ125,AK125),"")</x:f>
        <x:v>99.75777754465435</x:v>
      </x:c>
      <x:c r="BN125" s="34" t="n">
        <x:f>IF(COUNT(AL125,AM125,AN125)=3,AVERAGE(AL125,AM125,AN125),"")</x:f>
        <x:v>56.999736804994704</x:v>
      </x:c>
      <x:c r="BO125" s="35" t="n">
        <x:f>IF(AND(COUNT(BG125:BN125)=8,ABS('Scoring Setup'!$C$17-1)&lt;0.000001),BG125*'Scoring Setup'!$C$9+BH125*'Scoring Setup'!$C$10+BI125*'Scoring Setup'!$C$11+BJ125*'Scoring Setup'!$C$12+BK125*'Scoring Setup'!$C$13+BL125*'Scoring Setup'!$C$14+BM125*'Scoring Setup'!$C$15+BN125*'Scoring Setup'!$C$16,"")</x:f>
        <x:v>46.81626745800452</x:v>
      </x:c>
      <x:c r="BP125" s="36" t="n">
        <x:f>IF(COUNT(AO125:BF125)=18,MIN(AO125:BF125),"")</x:f>
        <x:v>0.8</x:v>
      </x:c>
      <x:c r="BQ125" s="35" t="n">
        <x:f>IF(AND(ISNUMBER(BO125),ISNUMBER(BP125)),BO125*BP125,"")</x:f>
        <x:v>37.45301396640362</x:v>
      </x:c>
      <x:c r="BR125" s="17" t="str">
        <x:f>IF(COUNT(AO125:BF125)=18,INDEX('Scoring Setup'!$F$9:$F$26,MATCH(MIN(AO125:BF125),AO125:BF125,0),1),"")</x:f>
        <x:v>商业光纤100/20覆盖率</x:v>
      </x:c>
    </x:row>
    <x:row r="126">
      <x:c r="A126" s="28" t="str">
        <x:v>51735</x:v>
      </x:c>
      <x:c r="B126" s="28" t="str">
        <x:v>Poquoson city</x:v>
      </x:c>
      <x:c r="C126" s="28" t="str">
        <x:v>VA</x:v>
      </x:c>
      <x:c r="D126" s="31" t="n">
        <x:v>39.77369</x:v>
      </x:c>
      <x:c r="E126" s="32" t="n">
        <x:v>0.41</x:v>
      </x:c>
      <x:c r="F126" s="32" t="n">
        <x:v>0.478341584158416</x:v>
      </x:c>
      <x:c r="G126" s="32" t="n">
        <x:v>3.802847971072168</x:v>
      </x:c>
      <x:c r="H126" s="32" t="n">
        <x:v>4.054554194</x:v>
      </x:c>
      <x:c r="I126" s="32" t="n">
        <x:v>0.6535030359645025</x:v>
      </x:c>
      <x:c r="J126" s="32" t="n">
        <x:v>0.3116417478541691</x:v>
      </x:c>
      <x:c r="K126" s="32" t="n">
        <x:v>0.5799159271368519</x:v>
      </x:c>
      <x:c r="L126" s="32" t="n">
        <x:v>0.955066568</x:v>
      </x:c>
      <x:c r="M126" s="32" t="n">
        <x:v>0.000369822</x:v>
      </x:c>
      <x:c r="N126" s="32" t="n">
        <x:v>6853</x:v>
      </x:c>
      <x:c r="O126" s="32" t="n">
        <x:v>0.0038</x:v>
      </x:c>
      <x:c r="P126" s="32" t="n">
        <x:v>1501.5849934895834</x:v>
      </x:c>
      <x:c r="Q126" s="32" t="n">
        <x:v>20.769597721099853</x:v>
      </x:c>
      <x:c r="R126" s="32" t="n">
        <x:v>11.069034644390978</x:v>
      </x:c>
      <x:c r="S126" s="32" t="n">
        <x:v>11.187874038771794</x:v>
      </x:c>
      <x:c r="T126" s="32" t="n">
        <x:v>89.9</x:v>
      </x:c>
      <x:c r="U126" s="32" t="n">
        <x:v>245.07712999476223</x:v>
      </x:c>
      <x:c r="V126" s="32" t="n">
        <x:v>244.75798925963002</x:v>
      </x:c>
      <x:c r="W126" s="33" t="n">
        <x:f>IF(ISNUMBER(E126),100*MAX(0,MIN(1,('Anchors'!$H$6-E126)/('Anchors'!$H$6-'Anchors'!$G$6))),"")</x:f>
        <x:v>70</x:v>
      </x:c>
      <x:c r="X126" s="33" t="n">
        <x:f>IF(ISNUMBER(F126),100*MAX(0,MIN(1,('Anchors'!$H$7-F126)/('Anchors'!$H$7-'Anchors'!$G$7))),"")</x:f>
        <x:v>45.95120226308343</x:v>
      </x:c>
      <x:c r="Y126" s="33" t="n">
        <x:f>IF(ISNUMBER(G126),100*MAX(0,MIN(1,('Anchors'!$H$8-G126)/('Anchors'!$H$8-'Anchors'!$G$8))),"")</x:f>
        <x:v>6.571734297594404</x:v>
      </x:c>
      <x:c r="Z126" s="33" t="n">
        <x:f>IF(ISNUMBER(H126),100*MAX(0,MIN(1,('Anchors'!$H$9-H126)/('Anchors'!$H$9-'Anchors'!$G$9))),"")</x:f>
        <x:v>0</x:v>
      </x:c>
      <x:c r="AA126" s="33" t="n">
        <x:f>IF(ISNUMBER(I126),100*MAX(0,MIN(1,(I126-'Anchors'!$H$10)/('Anchors'!$G$10-'Anchors'!$H$10))),"")</x:f>
        <x:v>55.27438848828802</x:v>
      </x:c>
      <x:c r="AB126" s="33" t="n">
        <x:f>IF(ISNUMBER(J126),100*MAX(0,MIN(1,('Anchors'!$H$11-J126)/('Anchors'!$H$11-'Anchors'!$G$11))),"")</x:f>
        <x:v>0</x:v>
      </x:c>
      <x:c r="AC126" s="33" t="n">
        <x:f>IF(ISNUMBER(K126),100*MAX(0,MIN(1,('Anchors'!$H$12-K126)/('Anchors'!$H$12-'Anchors'!$G$12))),"")</x:f>
        <x:v>0</x:v>
      </x:c>
      <x:c r="AD126" s="33" t="n">
        <x:f>IF(ISNUMBER(L126),100*MAX(0,MIN(1,(L126-'Anchors'!$H$13)/('Anchors'!$G$13-'Anchors'!$H$13))),"")</x:f>
        <x:v>100</x:v>
      </x:c>
      <x:c r="AE126" s="33" t="n">
        <x:f>IF(ISNUMBER(M126),100*MAX(0,MIN(1,(M126-'Anchors'!$H$14)/('Anchors'!$G$14-'Anchors'!$H$14))),"")</x:f>
        <x:v>0</x:v>
      </x:c>
      <x:c r="AF126" s="33" t="n">
        <x:f>IF(ISNUMBER(N126),100*MAX(0,MIN(1,(LN(1+N126)-LN(1+'Anchors'!$H$15))/(LN(1+'Anchors'!$G$15)-LN(1+'Anchors'!$H$15)))),"")</x:f>
        <x:v>28.51950013619829</x:v>
      </x:c>
      <x:c r="AG126" s="33" t="n">
        <x:f>IF(ISNUMBER(O126),100*MAX(0,MIN(1,('Anchors'!$H$16-O126)/('Anchors'!$H$16-'Anchors'!$G$16))),"")</x:f>
        <x:v>100</x:v>
      </x:c>
      <x:c r="AH126" s="33" t="n">
        <x:f>IF(ISNUMBER(P126),100*MAX(0,MIN(1,('Anchors'!$H$17-P126)/('Anchors'!$H$17-'Anchors'!$G$17))),"")</x:f>
        <x:v>46.56100043402777</x:v>
      </x:c>
      <x:c r="AI126" s="33" t="n">
        <x:f>IF(ISNUMBER(Q126),100*MAX(0,MIN(1,('Anchors'!$H$18-Q126)/('Anchors'!$H$18-'Anchors'!$G$18))),"")</x:f>
        <x:v>77.47200325557164</x:v>
      </x:c>
      <x:c r="AJ126" s="33" t="n">
        <x:f>IF(ISNUMBER(R126),100*MAX(0,MIN(1,('Anchors'!$H$19-R126)/('Anchors'!$H$19-'Anchors'!$G$19))),"")</x:f>
        <x:v>86.51325634579781</x:v>
      </x:c>
      <x:c r="AK126" s="33" t="n">
        <x:f>IF(ISNUMBER(S126),100*MAX(0,MIN(1,('Anchors'!$H$20-S126)/('Anchors'!$H$20-'Anchors'!$G$20))),"")</x:f>
        <x:v>46.37961032225372</x:v>
      </x:c>
      <x:c r="AL126" s="33" t="n">
        <x:f>IF(ISNUMBER(T126),100*MAX(0,MIN(1,('Anchors'!$H$21-T126)/('Anchors'!$H$21-'Anchors'!$G$21))),"")</x:f>
        <x:v>54.72727272727271</x:v>
      </x:c>
      <x:c r="AM126" s="33" t="n">
        <x:f>IF(ISNUMBER(U126),100*MAX(0,MIN(1,('Anchors'!$H$22-U126)/('Anchors'!$H$22-'Anchors'!$G$22))),"")</x:f>
        <x:v>27.461435002618884</x:v>
      </x:c>
      <x:c r="AN126" s="33" t="n">
        <x:f>IF(ISNUMBER(V126),100*MAX(0,MIN(1,('Anchors'!$H$23-V126)/('Anchors'!$H$23-'Anchors'!$G$23))),"")</x:f>
        <x:v>88.8105026850925</x:v>
      </x:c>
      <x:c r="AO126" s="27" t="n">
        <x:f>IF(ISNUMBER(W126),IF('Scoring Setup'!$L$9=1,1-'Scoring Setup'!$B$5*(1-MAX(0,MIN(1,(W126-'Scoring Setup'!$K$9)/(100-'Scoring Setup'!$K$9)))),1),"")</x:f>
        <x:v>0.94</x:v>
      </x:c>
      <x:c r="AP126" s="27" t="n">
        <x:f>IF(ISNUMBER(X126),IF('Scoring Setup'!$L$10=1,1-'Scoring Setup'!$B$5*(1-MAX(0,MIN(1,(X126-'Scoring Setup'!$K$10)/(100-'Scoring Setup'!$K$10)))),1),"")</x:f>
        <x:v>0.8919024045261669</x:v>
      </x:c>
      <x:c r="AQ126" s="27" t="n">
        <x:f>IF(ISNUMBER(Y126),IF('Scoring Setup'!$L$11=1,1-'Scoring Setup'!$B$5*(1-MAX(0,MIN(1,(Y126-'Scoring Setup'!$K$11)/(100-'Scoring Setup'!$K$11)))),1),"")</x:f>
        <x:v>0.8131434685951888</x:v>
      </x:c>
      <x:c r="AR126" s="27" t="n">
        <x:f>IF(ISNUMBER(Z126),IF('Scoring Setup'!$L$12=1,1-'Scoring Setup'!$B$5*(1-MAX(0,MIN(1,(Z126-'Scoring Setup'!$K$12)/(100-'Scoring Setup'!$K$12)))),1),"")</x:f>
        <x:v>0.8</x:v>
      </x:c>
      <x:c r="AS126" s="27" t="n">
        <x:f>IF(ISNUMBER(AA126),IF('Scoring Setup'!$L$13=1,1-'Scoring Setup'!$B$5*(1-MAX(0,MIN(1,(AA126-'Scoring Setup'!$K$13)/(100-'Scoring Setup'!$K$13)))),1),"")</x:f>
        <x:v>0.910548776976576</x:v>
      </x:c>
      <x:c r="AT126" s="27" t="n">
        <x:f>IF(ISNUMBER(AB126),IF('Scoring Setup'!$L$14=1,1-'Scoring Setup'!$B$5*(1-MAX(0,MIN(1,(AB126-'Scoring Setup'!$K$14)/(100-'Scoring Setup'!$K$14)))),1),"")</x:f>
        <x:v>0.8</x:v>
      </x:c>
      <x:c r="AU126" s="27" t="n">
        <x:f>IF(ISNUMBER(AC126),IF('Scoring Setup'!$L$15=1,1-'Scoring Setup'!$B$5*(1-MAX(0,MIN(1,(AC126-'Scoring Setup'!$K$15)/(100-'Scoring Setup'!$K$15)))),1),"")</x:f>
        <x:v>0.8</x:v>
      </x:c>
      <x:c r="AV126" s="27" t="n">
        <x:f>IF(ISNUMBER(AD126),IF('Scoring Setup'!$L$16=1,1-'Scoring Setup'!$B$5*(1-MAX(0,MIN(1,(AD126-'Scoring Setup'!$K$16)/(100-'Scoring Setup'!$K$16)))),1),"")</x:f>
        <x:v>1</x:v>
      </x:c>
      <x:c r="AW126" s="27" t="n">
        <x:f>IF(ISNUMBER(AE126),IF('Scoring Setup'!$L$17=1,1-'Scoring Setup'!$B$5*(1-MAX(0,MIN(1,(AE126-'Scoring Setup'!$K$17)/(100-'Scoring Setup'!$K$17)))),1),"")</x:f>
        <x:v>0.8</x:v>
      </x:c>
      <x:c r="AX126" s="27" t="n">
        <x:f>IF(ISNUMBER(AF126),IF('Scoring Setup'!$L$18=1,1-'Scoring Setup'!$B$5*(1-MAX(0,MIN(1,(AF126-'Scoring Setup'!$K$18)/(100-'Scoring Setup'!$K$18)))),1),"")</x:f>
        <x:v>0.8570390002723965</x:v>
      </x:c>
      <x:c r="AY126" s="27" t="n">
        <x:f>IF(ISNUMBER(AG126),IF('Scoring Setup'!$L$19=1,1-'Scoring Setup'!$B$5*(1-MAX(0,MIN(1,(AG126-'Scoring Setup'!$K$19)/(100-'Scoring Setup'!$K$19)))),1),"")</x:f>
        <x:v>1</x:v>
      </x:c>
      <x:c r="AZ126" s="27" t="n">
        <x:f>IF(ISNUMBER(AH126),IF('Scoring Setup'!$L$20=1,1-'Scoring Setup'!$B$5*(1-MAX(0,MIN(1,(AH126-'Scoring Setup'!$K$20)/(100-'Scoring Setup'!$K$20)))),1),"")</x:f>
        <x:v>0.8931220008680555</x:v>
      </x:c>
      <x:c r="BA126" s="27" t="n">
        <x:f>IF(ISNUMBER(AI126),IF('Scoring Setup'!$L$21=1,1-'Scoring Setup'!$B$5*(1-MAX(0,MIN(1,(AI126-'Scoring Setup'!$K$21)/(100-'Scoring Setup'!$K$21)))),1),"")</x:f>
        <x:v>0.9549440065111433</x:v>
      </x:c>
      <x:c r="BB126" s="27" t="n">
        <x:f>IF(ISNUMBER(AJ126),IF('Scoring Setup'!$L$22=1,1-'Scoring Setup'!$B$5*(1-MAX(0,MIN(1,(AJ126-'Scoring Setup'!$K$22)/(100-'Scoring Setup'!$K$22)))),1),"")</x:f>
        <x:v>0.9730265126915957</x:v>
      </x:c>
      <x:c r="BC126" s="27" t="n">
        <x:f>IF(ISNUMBER(AK126),IF('Scoring Setup'!$L$23=1,1-'Scoring Setup'!$B$5*(1-MAX(0,MIN(1,(AK126-'Scoring Setup'!$K$23)/(100-'Scoring Setup'!$K$23)))),1),"")</x:f>
        <x:v>0.8927592206445074</x:v>
      </x:c>
      <x:c r="BD126" s="27" t="n">
        <x:f>IF(ISNUMBER(AL126),IF('Scoring Setup'!$L$24=1,1-'Scoring Setup'!$B$5*(1-MAX(0,MIN(1,(AL126-'Scoring Setup'!$K$24)/(100-'Scoring Setup'!$K$24)))),1),"")</x:f>
        <x:v>0.9094545454545454</x:v>
      </x:c>
      <x:c r="BE126" s="27" t="n">
        <x:f>IF(ISNUMBER(AM126),IF('Scoring Setup'!$L$25=1,1-'Scoring Setup'!$B$5*(1-MAX(0,MIN(1,(AM126-'Scoring Setup'!$K$25)/(100-'Scoring Setup'!$K$25)))),1),"")</x:f>
        <x:v>0.8549228700052378</x:v>
      </x:c>
      <x:c r="BF126" s="27" t="n">
        <x:f>IF(ISNUMBER(AN126),IF('Scoring Setup'!$L$26=1,1-'Scoring Setup'!$B$5*(1-MAX(0,MIN(1,(AN126-'Scoring Setup'!$K$26)/(100-'Scoring Setup'!$K$26)))),1),"")</x:f>
        <x:v>0.977621005370185</x:v>
      </x:c>
      <x:c r="BG126" s="34" t="n">
        <x:f>IF(COUNT(W126,X126)=2,AVERAGE(W126,X126),"")</x:f>
        <x:v>57.975601131541715</x:v>
      </x:c>
      <x:c r="BH126" s="34" t="n">
        <x:f>IF(COUNT(Y126,Z126)=2,AVERAGE(Y126,Z126),"")</x:f>
        <x:v>3.285867148797202</x:v>
      </x:c>
      <x:c r="BI126" s="34" t="n">
        <x:f>IF(COUNT(AA126,AB126,AC126)=3,AVERAGE(AA126,AB126,AC126),"")</x:f>
        <x:v>18.42479616276267</x:v>
      </x:c>
      <x:c r="BJ126" s="34" t="n">
        <x:f>IF(COUNT(AD126,AE126)=2,AVERAGE(AD126,AE126),"")</x:f>
        <x:v>50</x:v>
      </x:c>
      <x:c r="BK126" s="34" t="n">
        <x:f>IF(COUNT(AF126,AG126)=2,AVERAGE(AF126,AG126),"")</x:f>
        <x:v>64.25975006809915</x:v>
      </x:c>
      <x:c r="BL126" s="34" t="n">
        <x:f>IF(COUNT(AH126,AI126)=2,AVERAGE(AH126,AI126),"")</x:f>
        <x:v>62.016501844799706</x:v>
      </x:c>
      <x:c r="BM126" s="34" t="n">
        <x:f>IF(COUNT(AJ126,AK126)=2,AVERAGE(AJ126,AK126),"")</x:f>
        <x:v>66.44643333402577</x:v>
      </x:c>
      <x:c r="BN126" s="34" t="n">
        <x:f>IF(COUNT(AL126,AM126,AN126)=3,AVERAGE(AL126,AM126,AN126),"")</x:f>
        <x:v>56.999736804994704</x:v>
      </x:c>
      <x:c r="BO126" s="35" t="n">
        <x:f>IF(AND(COUNT(BG126:BN126)=8,ABS('Scoring Setup'!$C$17-1)&lt;0.000001),BG126*'Scoring Setup'!$C$9+BH126*'Scoring Setup'!$C$10+BI126*'Scoring Setup'!$C$11+BJ126*'Scoring Setup'!$C$12+BK126*'Scoring Setup'!$C$13+BL126*'Scoring Setup'!$C$14+BM126*'Scoring Setup'!$C$15+BN126*'Scoring Setup'!$C$16,"")</x:f>
        <x:v>43.24625596643948</x:v>
      </x:c>
      <x:c r="BP126" s="36" t="n">
        <x:f>IF(COUNT(AO126:BF126)=18,MIN(AO126:BF126),"")</x:f>
        <x:v>0.8</x:v>
      </x:c>
      <x:c r="BQ126" s="35" t="n">
        <x:f>IF(AND(ISNUMBER(BO126),ISNUMBER(BP126)),BO126*BP126,"")</x:f>
        <x:v>34.59700477315158</x:v>
      </x:c>
      <x:c r="BR126" s="17" t="str">
        <x:f>IF(COUNT(AO126:BF126)=18,INDEX('Scoring Setup'!$F$9:$F$26,MATCH(MIN(AO126:BF126),AO126:BF126,0),1),"")</x:f>
        <x:v>2050 BAU水压力</x:v>
      </x:c>
    </x:row>
    <x:row r="127">
      <x:c r="A127" s="28" t="str">
        <x:v>51740</x:v>
      </x:c>
      <x:c r="B127" s="28" t="str">
        <x:v>Portsmouth city</x:v>
      </x:c>
      <x:c r="C127" s="28" t="str">
        <x:v>VA</x:v>
      </x:c>
      <x:c r="D127" s="31" t="n">
        <x:v>86.248205</x:v>
      </x:c>
      <x:c r="E127" s="32" t="n">
        <x:v>0.24</x:v>
      </x:c>
      <x:c r="F127" s="32" t="n">
        <x:v>0.0748762376237624</x:v>
      </x:c>
      <x:c r="G127" s="32" t="n">
        <x:v>1.1401255828034569</x:v>
      </x:c>
      <x:c r="H127" s="32" t="n">
        <x:v>1.465933626</x:v>
      </x:c>
      <x:c r="I127" s="32" t="n">
        <x:v>0.1875289559027924</x:v>
      </x:c>
      <x:c r="J127" s="32" t="n">
        <x:v>0</x:v>
      </x:c>
      <x:c r="K127" s="32" t="n">
        <x:v>0.0451501495177526</x:v>
      </x:c>
      <x:c r="L127" s="32" t="n">
        <x:v>0.668709406</x:v>
      </x:c>
      <x:c r="M127" s="32" t="n">
        <x:v>0.012731157</x:v>
      </x:c>
      <x:c r="N127" s="32" t="n">
        <x:v>43784</x:v>
      </x:c>
      <x:c r="O127" s="32" t="n">
        <x:v>0.8355</x:v>
      </x:c>
      <x:c r="P127" s="32" t="n">
        <x:v>1506.9204223632812</x:v>
      </x:c>
      <x:c r="Q127" s="32" t="n">
        <x:v>22.743598429361978</x:v>
      </x:c>
      <x:c r="R127" s="32" t="n">
        <x:v>4.538397014894531</x:v>
      </x:c>
      <x:c r="S127" s="32" t="n">
        <x:v>0.7327851453206146</x:v>
      </x:c>
      <x:c r="T127" s="32" t="n">
        <x:v>89.9</x:v>
      </x:c>
      <x:c r="U127" s="32" t="n">
        <x:v>245.07712999476223</x:v>
      </x:c>
      <x:c r="V127" s="32" t="n">
        <x:v>244.75798925963002</x:v>
      </x:c>
      <x:c r="W127" s="33" t="n">
        <x:f>IF(ISNUMBER(E127),100*MAX(0,MIN(1,('Anchors'!$H$6-E127)/('Anchors'!$H$6-'Anchors'!$G$6))),"")</x:f>
        <x:v>94.28571428571429</x:v>
      </x:c>
      <x:c r="X127" s="33" t="n">
        <x:f>IF(ISNUMBER(F127),100*MAX(0,MIN(1,('Anchors'!$H$7-F127)/('Anchors'!$H$7-'Anchors'!$G$7))),"")</x:f>
        <x:v>100</x:v>
      </x:c>
      <x:c r="Y127" s="33" t="n">
        <x:f>IF(ISNUMBER(G127),100*MAX(0,MIN(1,('Anchors'!$H$8-G127)/('Anchors'!$H$8-'Anchors'!$G$8))),"")</x:f>
        <x:v>95.32914723988478</x:v>
      </x:c>
      <x:c r="Z127" s="33" t="n">
        <x:f>IF(ISNUMBER(H127),100*MAX(0,MIN(1,('Anchors'!$H$9-H127)/('Anchors'!$H$9-'Anchors'!$G$9))),"")</x:f>
        <x:v>84.46887913333333</x:v>
      </x:c>
      <x:c r="AA127" s="33" t="n">
        <x:f>IF(ISNUMBER(I127),100*MAX(0,MIN(1,(I127-'Anchors'!$H$10)/('Anchors'!$G$10-'Anchors'!$H$10))),"")</x:f>
        <x:v>0</x:v>
      </x:c>
      <x:c r="AB127" s="33" t="n">
        <x:f>IF(ISNUMBER(J127),100*MAX(0,MIN(1,('Anchors'!$H$11-J127)/('Anchors'!$H$11-'Anchors'!$G$11))),"")</x:f>
        <x:v>100</x:v>
      </x:c>
      <x:c r="AC127" s="33" t="n">
        <x:f>IF(ISNUMBER(K127),100*MAX(0,MIN(1,('Anchors'!$H$12-K127)/('Anchors'!$H$12-'Anchors'!$G$12))),"")</x:f>
        <x:v>88.71246262056185</x:v>
      </x:c>
      <x:c r="AD127" s="33" t="n">
        <x:f>IF(ISNUMBER(L127),100*MAX(0,MIN(1,(L127-'Anchors'!$H$13)/('Anchors'!$G$13-'Anchors'!$H$13))),"")</x:f>
        <x:v>66.95848657142857</x:v>
      </x:c>
      <x:c r="AE127" s="33" t="n">
        <x:f>IF(ISNUMBER(M127),100*MAX(0,MIN(1,(M127-'Anchors'!$H$14)/('Anchors'!$G$14-'Anchors'!$H$14))),"")</x:f>
        <x:v>0</x:v>
      </x:c>
      <x:c r="AF127" s="33" t="n">
        <x:f>IF(ISNUMBER(N127),100*MAX(0,MIN(1,(LN(1+N127)-LN(1+'Anchors'!$H$15))/(LN(1+'Anchors'!$G$15)-LN(1+'Anchors'!$H$15)))),"")</x:f>
        <x:v>71.47667081328566</x:v>
      </x:c>
      <x:c r="AG127" s="33" t="n">
        <x:f>IF(ISNUMBER(O127),100*MAX(0,MIN(1,('Anchors'!$H$16-O127)/('Anchors'!$H$16-'Anchors'!$G$16))),"")</x:f>
        <x:v>12.722222222222216</x:v>
      </x:c>
      <x:c r="AH127" s="33" t="n">
        <x:f>IF(ISNUMBER(P127),100*MAX(0,MIN(1,('Anchors'!$H$17-P127)/('Anchors'!$H$17-'Anchors'!$G$17))),"")</x:f>
        <x:v>46.205305175781255</x:v>
      </x:c>
      <x:c r="AI127" s="33" t="n">
        <x:f>IF(ISNUMBER(Q127),100*MAX(0,MIN(1,('Anchors'!$H$18-Q127)/('Anchors'!$H$18-'Anchors'!$G$18))),"")</x:f>
        <x:v>74.6520022437686</x:v>
      </x:c>
      <x:c r="AJ127" s="33" t="n">
        <x:f>IF(ISNUMBER(R127),100*MAX(0,MIN(1,('Anchors'!$H$19-R127)/('Anchors'!$H$19-'Anchors'!$G$19))),"")</x:f>
        <x:v>100</x:v>
      </x:c>
      <x:c r="AK127" s="33" t="n">
        <x:f>IF(ISNUMBER(S127),100*MAX(0,MIN(1,('Anchors'!$H$20-S127)/('Anchors'!$H$20-'Anchors'!$G$20))),"")</x:f>
        <x:v>100</x:v>
      </x:c>
      <x:c r="AL127" s="33" t="n">
        <x:f>IF(ISNUMBER(T127),100*MAX(0,MIN(1,('Anchors'!$H$21-T127)/('Anchors'!$H$21-'Anchors'!$G$21))),"")</x:f>
        <x:v>54.72727272727271</x:v>
      </x:c>
      <x:c r="AM127" s="33" t="n">
        <x:f>IF(ISNUMBER(U127),100*MAX(0,MIN(1,('Anchors'!$H$22-U127)/('Anchors'!$H$22-'Anchors'!$G$22))),"")</x:f>
        <x:v>27.461435002618884</x:v>
      </x:c>
      <x:c r="AN127" s="33" t="n">
        <x:f>IF(ISNUMBER(V127),100*MAX(0,MIN(1,('Anchors'!$H$23-V127)/('Anchors'!$H$23-'Anchors'!$G$23))),"")</x:f>
        <x:v>88.8105026850925</x:v>
      </x:c>
      <x:c r="AO127" s="27" t="n">
        <x:f>IF(ISNUMBER(W127),IF('Scoring Setup'!$L$9=1,1-'Scoring Setup'!$B$5*(1-MAX(0,MIN(1,(W127-'Scoring Setup'!$K$9)/(100-'Scoring Setup'!$K$9)))),1),"")</x:f>
        <x:v>0.9885714285714285</x:v>
      </x:c>
      <x:c r="AP127" s="27" t="n">
        <x:f>IF(ISNUMBER(X127),IF('Scoring Setup'!$L$10=1,1-'Scoring Setup'!$B$5*(1-MAX(0,MIN(1,(X127-'Scoring Setup'!$K$10)/(100-'Scoring Setup'!$K$10)))),1),"")</x:f>
        <x:v>1</x:v>
      </x:c>
      <x:c r="AQ127" s="27" t="n">
        <x:f>IF(ISNUMBER(Y127),IF('Scoring Setup'!$L$11=1,1-'Scoring Setup'!$B$5*(1-MAX(0,MIN(1,(Y127-'Scoring Setup'!$K$11)/(100-'Scoring Setup'!$K$11)))),1),"")</x:f>
        <x:v>0.9906582944797695</x:v>
      </x:c>
      <x:c r="AR127" s="27" t="n">
        <x:f>IF(ISNUMBER(Z127),IF('Scoring Setup'!$L$12=1,1-'Scoring Setup'!$B$5*(1-MAX(0,MIN(1,(Z127-'Scoring Setup'!$K$12)/(100-'Scoring Setup'!$K$12)))),1),"")</x:f>
        <x:v>0.9689377582666666</x:v>
      </x:c>
      <x:c r="AS127" s="27" t="n">
        <x:f>IF(ISNUMBER(AA127),IF('Scoring Setup'!$L$13=1,1-'Scoring Setup'!$B$5*(1-MAX(0,MIN(1,(AA127-'Scoring Setup'!$K$13)/(100-'Scoring Setup'!$K$13)))),1),"")</x:f>
        <x:v>0.8</x:v>
      </x:c>
      <x:c r="AT127" s="27" t="n">
        <x:f>IF(ISNUMBER(AB127),IF('Scoring Setup'!$L$14=1,1-'Scoring Setup'!$B$5*(1-MAX(0,MIN(1,(AB127-'Scoring Setup'!$K$14)/(100-'Scoring Setup'!$K$14)))),1),"")</x:f>
        <x:v>1</x:v>
      </x:c>
      <x:c r="AU127" s="27" t="n">
        <x:f>IF(ISNUMBER(AC127),IF('Scoring Setup'!$L$15=1,1-'Scoring Setup'!$B$5*(1-MAX(0,MIN(1,(AC127-'Scoring Setup'!$K$15)/(100-'Scoring Setup'!$K$15)))),1),"")</x:f>
        <x:v>0.9774249252411237</x:v>
      </x:c>
      <x:c r="AV127" s="27" t="n">
        <x:f>IF(ISNUMBER(AD127),IF('Scoring Setup'!$L$16=1,1-'Scoring Setup'!$B$5*(1-MAX(0,MIN(1,(AD127-'Scoring Setup'!$K$16)/(100-'Scoring Setup'!$K$16)))),1),"")</x:f>
        <x:v>0.9339169731428572</x:v>
      </x:c>
      <x:c r="AW127" s="27" t="n">
        <x:f>IF(ISNUMBER(AE127),IF('Scoring Setup'!$L$17=1,1-'Scoring Setup'!$B$5*(1-MAX(0,MIN(1,(AE127-'Scoring Setup'!$K$17)/(100-'Scoring Setup'!$K$17)))),1),"")</x:f>
        <x:v>0.8</x:v>
      </x:c>
      <x:c r="AX127" s="27" t="n">
        <x:f>IF(ISNUMBER(AF127),IF('Scoring Setup'!$L$18=1,1-'Scoring Setup'!$B$5*(1-MAX(0,MIN(1,(AF127-'Scoring Setup'!$K$18)/(100-'Scoring Setup'!$K$18)))),1),"")</x:f>
        <x:v>0.9429533416265713</x:v>
      </x:c>
      <x:c r="AY127" s="27" t="n">
        <x:f>IF(ISNUMBER(AG127),IF('Scoring Setup'!$L$19=1,1-'Scoring Setup'!$B$5*(1-MAX(0,MIN(1,(AG127-'Scoring Setup'!$K$19)/(100-'Scoring Setup'!$K$19)))),1),"")</x:f>
        <x:v>0.8254444444444444</x:v>
      </x:c>
      <x:c r="AZ127" s="27" t="n">
        <x:f>IF(ISNUMBER(AH127),IF('Scoring Setup'!$L$20=1,1-'Scoring Setup'!$B$5*(1-MAX(0,MIN(1,(AH127-'Scoring Setup'!$K$20)/(100-'Scoring Setup'!$K$20)))),1),"")</x:f>
        <x:v>0.8924106103515625</x:v>
      </x:c>
      <x:c r="BA127" s="27" t="n">
        <x:f>IF(ISNUMBER(AI127),IF('Scoring Setup'!$L$21=1,1-'Scoring Setup'!$B$5*(1-MAX(0,MIN(1,(AI127-'Scoring Setup'!$K$21)/(100-'Scoring Setup'!$K$21)))),1),"")</x:f>
        <x:v>0.9493040044875373</x:v>
      </x:c>
      <x:c r="BB127" s="27" t="n">
        <x:f>IF(ISNUMBER(AJ127),IF('Scoring Setup'!$L$22=1,1-'Scoring Setup'!$B$5*(1-MAX(0,MIN(1,(AJ127-'Scoring Setup'!$K$22)/(100-'Scoring Setup'!$K$22)))),1),"")</x:f>
        <x:v>1</x:v>
      </x:c>
      <x:c r="BC127" s="27" t="n">
        <x:f>IF(ISNUMBER(AK127),IF('Scoring Setup'!$L$23=1,1-'Scoring Setup'!$B$5*(1-MAX(0,MIN(1,(AK127-'Scoring Setup'!$K$23)/(100-'Scoring Setup'!$K$23)))),1),"")</x:f>
        <x:v>1</x:v>
      </x:c>
      <x:c r="BD127" s="27" t="n">
        <x:f>IF(ISNUMBER(AL127),IF('Scoring Setup'!$L$24=1,1-'Scoring Setup'!$B$5*(1-MAX(0,MIN(1,(AL127-'Scoring Setup'!$K$24)/(100-'Scoring Setup'!$K$24)))),1),"")</x:f>
        <x:v>0.9094545454545454</x:v>
      </x:c>
      <x:c r="BE127" s="27" t="n">
        <x:f>IF(ISNUMBER(AM127),IF('Scoring Setup'!$L$25=1,1-'Scoring Setup'!$B$5*(1-MAX(0,MIN(1,(AM127-'Scoring Setup'!$K$25)/(100-'Scoring Setup'!$K$25)))),1),"")</x:f>
        <x:v>0.8549228700052378</x:v>
      </x:c>
      <x:c r="BF127" s="27" t="n">
        <x:f>IF(ISNUMBER(AN127),IF('Scoring Setup'!$L$26=1,1-'Scoring Setup'!$B$5*(1-MAX(0,MIN(1,(AN127-'Scoring Setup'!$K$26)/(100-'Scoring Setup'!$K$26)))),1),"")</x:f>
        <x:v>0.977621005370185</x:v>
      </x:c>
      <x:c r="BG127" s="34" t="n">
        <x:f>IF(COUNT(W127,X127)=2,AVERAGE(W127,X127),"")</x:f>
        <x:v>97.14285714285714</x:v>
      </x:c>
      <x:c r="BH127" s="34" t="n">
        <x:f>IF(COUNT(Y127,Z127)=2,AVERAGE(Y127,Z127),"")</x:f>
        <x:v>89.89901318660905</x:v>
      </x:c>
      <x:c r="BI127" s="34" t="n">
        <x:f>IF(COUNT(AA127,AB127,AC127)=3,AVERAGE(AA127,AB127,AC127),"")</x:f>
        <x:v>62.904154206853946</x:v>
      </x:c>
      <x:c r="BJ127" s="34" t="n">
        <x:f>IF(COUNT(AD127,AE127)=2,AVERAGE(AD127,AE127),"")</x:f>
        <x:v>33.47924328571428</x:v>
      </x:c>
      <x:c r="BK127" s="34" t="n">
        <x:f>IF(COUNT(AF127,AG127)=2,AVERAGE(AF127,AG127),"")</x:f>
        <x:v>42.09944651775394</x:v>
      </x:c>
      <x:c r="BL127" s="34" t="n">
        <x:f>IF(COUNT(AH127,AI127)=2,AVERAGE(AH127,AI127),"")</x:f>
        <x:v>60.428653709774935</x:v>
      </x:c>
      <x:c r="BM127" s="34" t="n">
        <x:f>IF(COUNT(AJ127,AK127)=2,AVERAGE(AJ127,AK127),"")</x:f>
        <x:v>100</x:v>
      </x:c>
      <x:c r="BN127" s="34" t="n">
        <x:f>IF(COUNT(AL127,AM127,AN127)=3,AVERAGE(AL127,AM127,AN127),"")</x:f>
        <x:v>56.999736804994704</x:v>
      </x:c>
      <x:c r="BO127" s="35" t="n">
        <x:f>IF(AND(COUNT(BG127:BN127)=8,ABS('Scoring Setup'!$C$17-1)&lt;0.000001),BG127*'Scoring Setup'!$C$9+BH127*'Scoring Setup'!$C$10+BI127*'Scoring Setup'!$C$11+BJ127*'Scoring Setup'!$C$12+BK127*'Scoring Setup'!$C$13+BL127*'Scoring Setup'!$C$14+BM127*'Scoring Setup'!$C$15+BN127*'Scoring Setup'!$C$16,"")</x:f>
        <x:v>66.66372647962692</x:v>
      </x:c>
      <x:c r="BP127" s="36" t="n">
        <x:f>IF(COUNT(AO127:BF127)=18,MIN(AO127:BF127),"")</x:f>
        <x:v>0.8</x:v>
      </x:c>
      <x:c r="BQ127" s="35" t="n">
        <x:f>IF(AND(ISNUMBER(BO127),ISNUMBER(BP127)),BO127*BP127,"")</x:f>
        <x:v>53.33098118370154</x:v>
      </x:c>
      <x:c r="BR127" s="17" t="str">
        <x:f>IF(COUNT(AO127:BF127)=18,INDEX('Scoring Setup'!$F$9:$F$26,MATCH(MIN(AO127:BF127),AO127:BF127,0),1),"")</x:f>
        <x:v>低不透水土地比例</x:v>
      </x:c>
    </x:row>
    <x:row r="128">
      <x:c r="A128" s="28" t="str">
        <x:v>51750</x:v>
      </x:c>
      <x:c r="B128" s="28" t="str">
        <x:v>Radford city</x:v>
      </x:c>
      <x:c r="C128" s="28" t="str">
        <x:v>VA</x:v>
      </x:c>
      <x:c r="D128" s="31" t="n">
        <x:v>25.061729</x:v>
      </x:c>
      <x:c r="E128" s="32" t="n">
        <x:v>0.457</x:v>
      </x:c>
      <x:c r="F128" s="32" t="n">
        <x:v>0.200185643564356</x:v>
      </x:c>
      <x:c r="G128" s="32" t="n">
        <x:v>1.885636830596275</x:v>
      </x:c>
      <x:c r="H128" s="32" t="n">
        <x:v>2.282656327</x:v>
      </x:c>
      <x:c r="I128" s="32" t="n">
        <x:v>0.4956053811659193</x:v>
      </x:c>
      <x:c r="J128" s="32" t="n">
        <x:v>0</x:v>
      </x:c>
      <x:c r="K128" s="32" t="n">
        <x:v>0.00017937219730941703</x:v>
      </x:c>
      <x:c r="L128" s="32" t="n">
        <x:v>0.117812685</x:v>
      </x:c>
      <x:c r="M128" s="32" t="n">
        <x:v>0.111440427</x:v>
      </x:c>
      <x:c r="N128" s="32" t="n">
        <x:v>8871</x:v>
      </x:c>
      <x:c r="O128" s="32" t="n">
        <x:v>0.3408</x:v>
      </x:c>
      <x:c r="P128" s="32" t="n">
        <x:v>613.026436360677</x:v>
      </x:c>
      <x:c r="Q128" s="32" t="n">
        <x:v>3.3588300148646035</x:v>
      </x:c>
      <x:c r="R128" s="32" t="n">
        <x:v>2.2158828956813625</x:v>
      </x:c>
      <x:c r="S128" s="32" t="n">
        <x:v>2.2248870942070997</x:v>
      </x:c>
      <x:c r="T128" s="32" t="n">
        <x:v>89.9</x:v>
      </x:c>
      <x:c r="U128" s="32" t="n">
        <x:v>245.07712999476223</x:v>
      </x:c>
      <x:c r="V128" s="32" t="n">
        <x:v>244.75798925963002</x:v>
      </x:c>
      <x:c r="W128" s="33" t="n">
        <x:f>IF(ISNUMBER(E128),100*MAX(0,MIN(1,('Anchors'!$H$6-E128)/('Anchors'!$H$6-'Anchors'!$G$6))),"")</x:f>
        <x:v>63.28571428571429</x:v>
      </x:c>
      <x:c r="X128" s="33" t="n">
        <x:f>IF(ISNUMBER(F128),100*MAX(0,MIN(1,('Anchors'!$H$7-F128)/('Anchors'!$H$7-'Anchors'!$G$7))),"")</x:f>
        <x:v>85.687765205092</x:v>
      </x:c>
      <x:c r="Y128" s="33" t="n">
        <x:f>IF(ISNUMBER(G128),100*MAX(0,MIN(1,('Anchors'!$H$8-G128)/('Anchors'!$H$8-'Anchors'!$G$8))),"")</x:f>
        <x:v>70.4787723134575</x:v>
      </x:c>
      <x:c r="Z128" s="33" t="n">
        <x:f>IF(ISNUMBER(H128),100*MAX(0,MIN(1,('Anchors'!$H$9-H128)/('Anchors'!$H$9-'Anchors'!$G$9))),"")</x:f>
        <x:v>57.24478909999999</x:v>
      </x:c>
      <x:c r="AA128" s="33" t="n">
        <x:f>IF(ISNUMBER(I128),100*MAX(0,MIN(1,(I128-'Anchors'!$H$10)/('Anchors'!$G$10-'Anchors'!$H$10))),"")</x:f>
        <x:v>33.6445727624547</x:v>
      </x:c>
      <x:c r="AB128" s="33" t="n">
        <x:f>IF(ISNUMBER(J128),100*MAX(0,MIN(1,('Anchors'!$H$11-J128)/('Anchors'!$H$11-'Anchors'!$G$11))),"")</x:f>
        <x:v>100</x:v>
      </x:c>
      <x:c r="AC128" s="33" t="n">
        <x:f>IF(ISNUMBER(K128),100*MAX(0,MIN(1,('Anchors'!$H$12-K128)/('Anchors'!$H$12-'Anchors'!$G$12))),"")</x:f>
        <x:v>99.95515695067266</x:v>
      </x:c>
      <x:c r="AD128" s="33" t="n">
        <x:f>IF(ISNUMBER(L128),100*MAX(0,MIN(1,(L128-'Anchors'!$H$13)/('Anchors'!$G$13-'Anchors'!$H$13))),"")</x:f>
        <x:v>0</x:v>
      </x:c>
      <x:c r="AE128" s="33" t="n">
        <x:f>IF(ISNUMBER(M128),100*MAX(0,MIN(1,(M128-'Anchors'!$H$14)/('Anchors'!$G$14-'Anchors'!$H$14))),"")</x:f>
        <x:v>1.4300533749999986</x:v>
      </x:c>
      <x:c r="AF128" s="33" t="n">
        <x:f>IF(ISNUMBER(N128),100*MAX(0,MIN(1,(LN(1+N128)-LN(1+'Anchors'!$H$15))/(LN(1+'Anchors'!$G$15)-LN(1+'Anchors'!$H$15)))),"")</x:f>
        <x:v>34.497450823340316</x:v>
      </x:c>
      <x:c r="AG128" s="33" t="n">
        <x:f>IF(ISNUMBER(O128),100*MAX(0,MIN(1,('Anchors'!$H$16-O128)/('Anchors'!$H$16-'Anchors'!$G$16))),"")</x:f>
        <x:v>67.68888888888888</x:v>
      </x:c>
      <x:c r="AH128" s="33" t="n">
        <x:f>IF(ISNUMBER(P128),100*MAX(0,MIN(1,('Anchors'!$H$17-P128)/('Anchors'!$H$17-'Anchors'!$G$17))),"")</x:f>
        <x:v>100</x:v>
      </x:c>
      <x:c r="AI128" s="33" t="n">
        <x:f>IF(ISNUMBER(Q128),100*MAX(0,MIN(1,('Anchors'!$H$18-Q128)/('Anchors'!$H$18-'Anchors'!$G$18))),"")</x:f>
        <x:v>100</x:v>
      </x:c>
      <x:c r="AJ128" s="33" t="n">
        <x:f>IF(ISNUMBER(R128),100*MAX(0,MIN(1,('Anchors'!$H$19-R128)/('Anchors'!$H$19-'Anchors'!$G$19))),"")</x:f>
        <x:v>100</x:v>
      </x:c>
      <x:c r="AK128" s="33" t="n">
        <x:f>IF(ISNUMBER(S128),100*MAX(0,MIN(1,('Anchors'!$H$20-S128)/('Anchors'!$H$20-'Anchors'!$G$20))),"")</x:f>
        <x:v>93.55322581996263</x:v>
      </x:c>
      <x:c r="AL128" s="33" t="n">
        <x:f>IF(ISNUMBER(T128),100*MAX(0,MIN(1,('Anchors'!$H$21-T128)/('Anchors'!$H$21-'Anchors'!$G$21))),"")</x:f>
        <x:v>54.72727272727271</x:v>
      </x:c>
      <x:c r="AM128" s="33" t="n">
        <x:f>IF(ISNUMBER(U128),100*MAX(0,MIN(1,('Anchors'!$H$22-U128)/('Anchors'!$H$22-'Anchors'!$G$22))),"")</x:f>
        <x:v>27.461435002618884</x:v>
      </x:c>
      <x:c r="AN128" s="33" t="n">
        <x:f>IF(ISNUMBER(V128),100*MAX(0,MIN(1,('Anchors'!$H$23-V128)/('Anchors'!$H$23-'Anchors'!$G$23))),"")</x:f>
        <x:v>88.8105026850925</x:v>
      </x:c>
      <x:c r="AO128" s="27" t="n">
        <x:f>IF(ISNUMBER(W128),IF('Scoring Setup'!$L$9=1,1-'Scoring Setup'!$B$5*(1-MAX(0,MIN(1,(W128-'Scoring Setup'!$K$9)/(100-'Scoring Setup'!$K$9)))),1),"")</x:f>
        <x:v>0.9265714285714286</x:v>
      </x:c>
      <x:c r="AP128" s="27" t="n">
        <x:f>IF(ISNUMBER(X128),IF('Scoring Setup'!$L$10=1,1-'Scoring Setup'!$B$5*(1-MAX(0,MIN(1,(X128-'Scoring Setup'!$K$10)/(100-'Scoring Setup'!$K$10)))),1),"")</x:f>
        <x:v>0.971375530410184</x:v>
      </x:c>
      <x:c r="AQ128" s="27" t="n">
        <x:f>IF(ISNUMBER(Y128),IF('Scoring Setup'!$L$11=1,1-'Scoring Setup'!$B$5*(1-MAX(0,MIN(1,(Y128-'Scoring Setup'!$K$11)/(100-'Scoring Setup'!$K$11)))),1),"")</x:f>
        <x:v>0.9409575446269149</x:v>
      </x:c>
      <x:c r="AR128" s="27" t="n">
        <x:f>IF(ISNUMBER(Z128),IF('Scoring Setup'!$L$12=1,1-'Scoring Setup'!$B$5*(1-MAX(0,MIN(1,(Z128-'Scoring Setup'!$K$12)/(100-'Scoring Setup'!$K$12)))),1),"")</x:f>
        <x:v>0.9144895782</x:v>
      </x:c>
      <x:c r="AS128" s="27" t="n">
        <x:f>IF(ISNUMBER(AA128),IF('Scoring Setup'!$L$13=1,1-'Scoring Setup'!$B$5*(1-MAX(0,MIN(1,(AA128-'Scoring Setup'!$K$13)/(100-'Scoring Setup'!$K$13)))),1),"")</x:f>
        <x:v>0.8672891455249094</x:v>
      </x:c>
      <x:c r="AT128" s="27" t="n">
        <x:f>IF(ISNUMBER(AB128),IF('Scoring Setup'!$L$14=1,1-'Scoring Setup'!$B$5*(1-MAX(0,MIN(1,(AB128-'Scoring Setup'!$K$14)/(100-'Scoring Setup'!$K$14)))),1),"")</x:f>
        <x:v>1</x:v>
      </x:c>
      <x:c r="AU128" s="27" t="n">
        <x:f>IF(ISNUMBER(AC128),IF('Scoring Setup'!$L$15=1,1-'Scoring Setup'!$B$5*(1-MAX(0,MIN(1,(AC128-'Scoring Setup'!$K$15)/(100-'Scoring Setup'!$K$15)))),1),"")</x:f>
        <x:v>0.9999103139013453</x:v>
      </x:c>
      <x:c r="AV128" s="27" t="n">
        <x:f>IF(ISNUMBER(AD128),IF('Scoring Setup'!$L$16=1,1-'Scoring Setup'!$B$5*(1-MAX(0,MIN(1,(AD128-'Scoring Setup'!$K$16)/(100-'Scoring Setup'!$K$16)))),1),"")</x:f>
        <x:v>0.8</x:v>
      </x:c>
      <x:c r="AW128" s="27" t="n">
        <x:f>IF(ISNUMBER(AE128),IF('Scoring Setup'!$L$17=1,1-'Scoring Setup'!$B$5*(1-MAX(0,MIN(1,(AE128-'Scoring Setup'!$K$17)/(100-'Scoring Setup'!$K$17)))),1),"")</x:f>
        <x:v>0.80286010675</x:v>
      </x:c>
      <x:c r="AX128" s="27" t="n">
        <x:f>IF(ISNUMBER(AF128),IF('Scoring Setup'!$L$18=1,1-'Scoring Setup'!$B$5*(1-MAX(0,MIN(1,(AF128-'Scoring Setup'!$K$18)/(100-'Scoring Setup'!$K$18)))),1),"")</x:f>
        <x:v>0.8689949016466806</x:v>
      </x:c>
      <x:c r="AY128" s="27" t="n">
        <x:f>IF(ISNUMBER(AG128),IF('Scoring Setup'!$L$19=1,1-'Scoring Setup'!$B$5*(1-MAX(0,MIN(1,(AG128-'Scoring Setup'!$K$19)/(100-'Scoring Setup'!$K$19)))),1),"")</x:f>
        <x:v>0.9353777777777778</x:v>
      </x:c>
      <x:c r="AZ128" s="27" t="n">
        <x:f>IF(ISNUMBER(AH128),IF('Scoring Setup'!$L$20=1,1-'Scoring Setup'!$B$5*(1-MAX(0,MIN(1,(AH128-'Scoring Setup'!$K$20)/(100-'Scoring Setup'!$K$20)))),1),"")</x:f>
        <x:v>1</x:v>
      </x:c>
      <x:c r="BA128" s="27" t="n">
        <x:f>IF(ISNUMBER(AI128),IF('Scoring Setup'!$L$21=1,1-'Scoring Setup'!$B$5*(1-MAX(0,MIN(1,(AI128-'Scoring Setup'!$K$21)/(100-'Scoring Setup'!$K$21)))),1),"")</x:f>
        <x:v>1</x:v>
      </x:c>
      <x:c r="BB128" s="27" t="n">
        <x:f>IF(ISNUMBER(AJ128),IF('Scoring Setup'!$L$22=1,1-'Scoring Setup'!$B$5*(1-MAX(0,MIN(1,(AJ128-'Scoring Setup'!$K$22)/(100-'Scoring Setup'!$K$22)))),1),"")</x:f>
        <x:v>1</x:v>
      </x:c>
      <x:c r="BC128" s="27" t="n">
        <x:f>IF(ISNUMBER(AK128),IF('Scoring Setup'!$L$23=1,1-'Scoring Setup'!$B$5*(1-MAX(0,MIN(1,(AK128-'Scoring Setup'!$K$23)/(100-'Scoring Setup'!$K$23)))),1),"")</x:f>
        <x:v>0.9871064516399253</x:v>
      </x:c>
      <x:c r="BD128" s="27" t="n">
        <x:f>IF(ISNUMBER(AL128),IF('Scoring Setup'!$L$24=1,1-'Scoring Setup'!$B$5*(1-MAX(0,MIN(1,(AL128-'Scoring Setup'!$K$24)/(100-'Scoring Setup'!$K$24)))),1),"")</x:f>
        <x:v>0.9094545454545454</x:v>
      </x:c>
      <x:c r="BE128" s="27" t="n">
        <x:f>IF(ISNUMBER(AM128),IF('Scoring Setup'!$L$25=1,1-'Scoring Setup'!$B$5*(1-MAX(0,MIN(1,(AM128-'Scoring Setup'!$K$25)/(100-'Scoring Setup'!$K$25)))),1),"")</x:f>
        <x:v>0.8549228700052378</x:v>
      </x:c>
      <x:c r="BF128" s="27" t="n">
        <x:f>IF(ISNUMBER(AN128),IF('Scoring Setup'!$L$26=1,1-'Scoring Setup'!$B$5*(1-MAX(0,MIN(1,(AN128-'Scoring Setup'!$K$26)/(100-'Scoring Setup'!$K$26)))),1),"")</x:f>
        <x:v>0.977621005370185</x:v>
      </x:c>
      <x:c r="BG128" s="34" t="n">
        <x:f>IF(COUNT(W128,X128)=2,AVERAGE(W128,X128),"")</x:f>
        <x:v>74.48673974540316</x:v>
      </x:c>
      <x:c r="BH128" s="34" t="n">
        <x:f>IF(COUNT(Y128,Z128)=2,AVERAGE(Y128,Z128),"")</x:f>
        <x:v>63.861780706728744</x:v>
      </x:c>
      <x:c r="BI128" s="34" t="n">
        <x:f>IF(COUNT(AA128,AB128,AC128)=3,AVERAGE(AA128,AB128,AC128),"")</x:f>
        <x:v>77.86657657104244</x:v>
      </x:c>
      <x:c r="BJ128" s="34" t="n">
        <x:f>IF(COUNT(AD128,AE128)=2,AVERAGE(AD128,AE128),"")</x:f>
        <x:v>0.7150266874999993</x:v>
      </x:c>
      <x:c r="BK128" s="34" t="n">
        <x:f>IF(COUNT(AF128,AG128)=2,AVERAGE(AF128,AG128),"")</x:f>
        <x:v>51.0931698561146</x:v>
      </x:c>
      <x:c r="BL128" s="34" t="n">
        <x:f>IF(COUNT(AH128,AI128)=2,AVERAGE(AH128,AI128),"")</x:f>
        <x:v>100</x:v>
      </x:c>
      <x:c r="BM128" s="34" t="n">
        <x:f>IF(COUNT(AJ128,AK128)=2,AVERAGE(AJ128,AK128),"")</x:f>
        <x:v>96.77661290998131</x:v>
      </x:c>
      <x:c r="BN128" s="34" t="n">
        <x:f>IF(COUNT(AL128,AM128,AN128)=3,AVERAGE(AL128,AM128,AN128),"")</x:f>
        <x:v>56.999736804994704</x:v>
      </x:c>
      <x:c r="BO128" s="35" t="n">
        <x:f>IF(AND(COUNT(BG128:BN128)=8,ABS('Scoring Setup'!$C$17-1)&lt;0.000001),BG128*'Scoring Setup'!$C$9+BH128*'Scoring Setup'!$C$10+BI128*'Scoring Setup'!$C$11+BJ128*'Scoring Setup'!$C$12+BK128*'Scoring Setup'!$C$13+BL128*'Scoring Setup'!$C$14+BM128*'Scoring Setup'!$C$15+BN128*'Scoring Setup'!$C$16,"")</x:f>
        <x:v>60.12725911434924</x:v>
      </x:c>
      <x:c r="BP128" s="36" t="n">
        <x:f>IF(COUNT(AO128:BF128)=18,MIN(AO128:BF128),"")</x:f>
        <x:v>0.8</x:v>
      </x:c>
      <x:c r="BQ128" s="35" t="n">
        <x:f>IF(AND(ISNUMBER(BO128),ISNUMBER(BP128)),BO128*BP128,"")</x:f>
        <x:v>48.101807291479396</x:v>
      </x:c>
      <x:c r="BR128" s="17" t="str">
        <x:f>IF(COUNT(AO128:BF128)=18,INDEX('Scoring Setup'!$F$9:$F$26,MATCH(MIN(AO128:BF128),AO128:BF128,0),1),"")</x:f>
        <x:v>商业光纤100/20覆盖率</x:v>
      </x:c>
    </x:row>
    <x:row r="129">
      <x:c r="A129" s="28" t="str">
        <x:v>51760</x:v>
      </x:c>
      <x:c r="B129" s="28" t="str">
        <x:v>Richmond city</x:v>
      </x:c>
      <x:c r="C129" s="28" t="str">
        <x:v>VA</x:v>
      </x:c>
      <x:c r="D129" s="31" t="n">
        <x:v>155.205068</x:v>
      </x:c>
      <x:c r="E129" s="32" t="n">
        <x:v>0.177</x:v>
      </x:c>
      <x:c r="F129" s="32" t="n">
        <x:v>0.067759900990099</x:v>
      </x:c>
      <x:c r="G129" s="32" t="n">
        <x:v>2.454005571426488</x:v>
      </x:c>
      <x:c r="H129" s="32" t="n">
        <x:v>2.7494100146904987</x:v>
      </x:c>
      <x:c r="I129" s="32" t="n">
        <x:v>0.1995100317274537</x:v>
      </x:c>
      <x:c r="J129" s="32" t="n">
        <x:v>0.010788691196866729</x:v>
      </x:c>
      <x:c r="K129" s="32" t="n">
        <x:v>0.024050901621944152</x:v>
      </x:c>
      <x:c r="L129" s="32" t="n">
        <x:v>0.68239254</x:v>
      </x:c>
      <x:c r="M129" s="32" t="n">
        <x:v>0.00331071</x:v>
      </x:c>
      <x:c r="N129" s="32" t="n">
        <x:v>130766</x:v>
      </x:c>
      <x:c r="O129" s="32" t="n">
        <x:v>0.8333</x:v>
      </x:c>
      <x:c r="P129" s="32" t="n">
        <x:v>1343.370235188802</x:v>
      </x:c>
      <x:c r="Q129" s="32" t="n">
        <x:v>30.38526859283447</x:v>
      </x:c>
      <x:c r="R129" s="32" t="n">
        <x:v>2.0158835369915202</x:v>
      </x:c>
      <x:c r="S129" s="32" t="n">
        <x:v>0.009147783595810519</x:v>
      </x:c>
      <x:c r="T129" s="32" t="n">
        <x:v>89.9</x:v>
      </x:c>
      <x:c r="U129" s="32" t="n">
        <x:v>245.07712999476223</x:v>
      </x:c>
      <x:c r="V129" s="32" t="n">
        <x:v>244.75798925963002</x:v>
      </x:c>
      <x:c r="W129" s="33" t="n">
        <x:f>IF(ISNUMBER(E129),100*MAX(0,MIN(1,('Anchors'!$H$6-E129)/('Anchors'!$H$6-'Anchors'!$G$6))),"")</x:f>
        <x:v>100</x:v>
      </x:c>
      <x:c r="X129" s="33" t="n">
        <x:f>IF(ISNUMBER(F129),100*MAX(0,MIN(1,('Anchors'!$H$7-F129)/('Anchors'!$H$7-'Anchors'!$G$7))),"")</x:f>
        <x:v>100</x:v>
      </x:c>
      <x:c r="Y129" s="33" t="n">
        <x:f>IF(ISNUMBER(G129),100*MAX(0,MIN(1,('Anchors'!$H$8-G129)/('Anchors'!$H$8-'Anchors'!$G$8))),"")</x:f>
        <x:v>51.533147619117074</x:v>
      </x:c>
      <x:c r="Z129" s="33" t="n">
        <x:f>IF(ISNUMBER(H129),100*MAX(0,MIN(1,('Anchors'!$H$9-H129)/('Anchors'!$H$9-'Anchors'!$G$9))),"")</x:f>
        <x:v>41.68633284365004</x:v>
      </x:c>
      <x:c r="AA129" s="33" t="n">
        <x:f>IF(ISNUMBER(I129),100*MAX(0,MIN(1,(I129-'Anchors'!$H$10)/('Anchors'!$G$10-'Anchors'!$H$10))),"")</x:f>
        <x:v>0</x:v>
      </x:c>
      <x:c r="AB129" s="33" t="n">
        <x:f>IF(ISNUMBER(J129),100*MAX(0,MIN(1,('Anchors'!$H$11-J129)/('Anchors'!$H$11-'Anchors'!$G$11))),"")</x:f>
        <x:v>95.68452352125331</x:v>
      </x:c>
      <x:c r="AC129" s="33" t="n">
        <x:f>IF(ISNUMBER(K129),100*MAX(0,MIN(1,('Anchors'!$H$12-K129)/('Anchors'!$H$12-'Anchors'!$G$12))),"")</x:f>
        <x:v>93.98727459451396</x:v>
      </x:c>
      <x:c r="AD129" s="33" t="n">
        <x:f>IF(ISNUMBER(L129),100*MAX(0,MIN(1,(L129-'Anchors'!$H$13)/('Anchors'!$G$13-'Anchors'!$H$13))),"")</x:f>
        <x:v>68.91322000000001</x:v>
      </x:c>
      <x:c r="AE129" s="33" t="n">
        <x:f>IF(ISNUMBER(M129),100*MAX(0,MIN(1,(M129-'Anchors'!$H$14)/('Anchors'!$G$14-'Anchors'!$H$14))),"")</x:f>
        <x:v>0</x:v>
      </x:c>
      <x:c r="AF129" s="33" t="n">
        <x:f>IF(ISNUMBER(N129),100*MAX(0,MIN(1,(LN(1+N129)-LN(1+'Anchors'!$H$15))/(LN(1+'Anchors'!$G$15)-LN(1+'Anchors'!$H$15)))),"")</x:f>
        <x:v>96.82128772115054</x:v>
      </x:c>
      <x:c r="AG129" s="33" t="n">
        <x:f>IF(ISNUMBER(O129),100*MAX(0,MIN(1,('Anchors'!$H$16-O129)/('Anchors'!$H$16-'Anchors'!$G$16))),"")</x:f>
        <x:v>12.96666666666666</x:v>
      </x:c>
      <x:c r="AH129" s="33" t="n">
        <x:f>IF(ISNUMBER(P129),100*MAX(0,MIN(1,('Anchors'!$H$17-P129)/('Anchors'!$H$17-'Anchors'!$G$17))),"")</x:f>
        <x:v>57.10865098741319</x:v>
      </x:c>
      <x:c r="AI129" s="33" t="n">
        <x:f>IF(ISNUMBER(Q129),100*MAX(0,MIN(1,('Anchors'!$H$18-Q129)/('Anchors'!$H$18-'Anchors'!$G$18))),"")</x:f>
        <x:v>63.73533058166504</x:v>
      </x:c>
      <x:c r="AJ129" s="33" t="n">
        <x:f>IF(ISNUMBER(R129),100*MAX(0,MIN(1,('Anchors'!$H$19-R129)/('Anchors'!$H$19-'Anchors'!$G$19))),"")</x:f>
        <x:v>100</x:v>
      </x:c>
      <x:c r="AK129" s="33" t="n">
        <x:f>IF(ISNUMBER(S129),100*MAX(0,MIN(1,('Anchors'!$H$20-S129)/('Anchors'!$H$20-'Anchors'!$G$20))),"")</x:f>
        <x:v>100</x:v>
      </x:c>
      <x:c r="AL129" s="33" t="n">
        <x:f>IF(ISNUMBER(T129),100*MAX(0,MIN(1,('Anchors'!$H$21-T129)/('Anchors'!$H$21-'Anchors'!$G$21))),"")</x:f>
        <x:v>54.72727272727271</x:v>
      </x:c>
      <x:c r="AM129" s="33" t="n">
        <x:f>IF(ISNUMBER(U129),100*MAX(0,MIN(1,('Anchors'!$H$22-U129)/('Anchors'!$H$22-'Anchors'!$G$22))),"")</x:f>
        <x:v>27.461435002618884</x:v>
      </x:c>
      <x:c r="AN129" s="33" t="n">
        <x:f>IF(ISNUMBER(V129),100*MAX(0,MIN(1,('Anchors'!$H$23-V129)/('Anchors'!$H$23-'Anchors'!$G$23))),"")</x:f>
        <x:v>88.8105026850925</x:v>
      </x:c>
      <x:c r="AO129" s="27" t="n">
        <x:f>IF(ISNUMBER(W129),IF('Scoring Setup'!$L$9=1,1-'Scoring Setup'!$B$5*(1-MAX(0,MIN(1,(W129-'Scoring Setup'!$K$9)/(100-'Scoring Setup'!$K$9)))),1),"")</x:f>
        <x:v>1</x:v>
      </x:c>
      <x:c r="AP129" s="27" t="n">
        <x:f>IF(ISNUMBER(X129),IF('Scoring Setup'!$L$10=1,1-'Scoring Setup'!$B$5*(1-MAX(0,MIN(1,(X129-'Scoring Setup'!$K$10)/(100-'Scoring Setup'!$K$10)))),1),"")</x:f>
        <x:v>1</x:v>
      </x:c>
      <x:c r="AQ129" s="27" t="n">
        <x:f>IF(ISNUMBER(Y129),IF('Scoring Setup'!$L$11=1,1-'Scoring Setup'!$B$5*(1-MAX(0,MIN(1,(Y129-'Scoring Setup'!$K$11)/(100-'Scoring Setup'!$K$11)))),1),"")</x:f>
        <x:v>0.9030662952382341</x:v>
      </x:c>
      <x:c r="AR129" s="27" t="n">
        <x:f>IF(ISNUMBER(Z129),IF('Scoring Setup'!$L$12=1,1-'Scoring Setup'!$B$5*(1-MAX(0,MIN(1,(Z129-'Scoring Setup'!$K$12)/(100-'Scoring Setup'!$K$12)))),1),"")</x:f>
        <x:v>0.8833726656873001</x:v>
      </x:c>
      <x:c r="AS129" s="27" t="n">
        <x:f>IF(ISNUMBER(AA129),IF('Scoring Setup'!$L$13=1,1-'Scoring Setup'!$B$5*(1-MAX(0,MIN(1,(AA129-'Scoring Setup'!$K$13)/(100-'Scoring Setup'!$K$13)))),1),"")</x:f>
        <x:v>0.8</x:v>
      </x:c>
      <x:c r="AT129" s="27" t="n">
        <x:f>IF(ISNUMBER(AB129),IF('Scoring Setup'!$L$14=1,1-'Scoring Setup'!$B$5*(1-MAX(0,MIN(1,(AB129-'Scoring Setup'!$K$14)/(100-'Scoring Setup'!$K$14)))),1),"")</x:f>
        <x:v>0.9913690470425066</x:v>
      </x:c>
      <x:c r="AU129" s="27" t="n">
        <x:f>IF(ISNUMBER(AC129),IF('Scoring Setup'!$L$15=1,1-'Scoring Setup'!$B$5*(1-MAX(0,MIN(1,(AC129-'Scoring Setup'!$K$15)/(100-'Scoring Setup'!$K$15)))),1),"")</x:f>
        <x:v>0.9879745491890279</x:v>
      </x:c>
      <x:c r="AV129" s="27" t="n">
        <x:f>IF(ISNUMBER(AD129),IF('Scoring Setup'!$L$16=1,1-'Scoring Setup'!$B$5*(1-MAX(0,MIN(1,(AD129-'Scoring Setup'!$K$16)/(100-'Scoring Setup'!$K$16)))),1),"")</x:f>
        <x:v>0.93782644</x:v>
      </x:c>
      <x:c r="AW129" s="27" t="n">
        <x:f>IF(ISNUMBER(AE129),IF('Scoring Setup'!$L$17=1,1-'Scoring Setup'!$B$5*(1-MAX(0,MIN(1,(AE129-'Scoring Setup'!$K$17)/(100-'Scoring Setup'!$K$17)))),1),"")</x:f>
        <x:v>0.8</x:v>
      </x:c>
      <x:c r="AX129" s="27" t="n">
        <x:f>IF(ISNUMBER(AF129),IF('Scoring Setup'!$L$18=1,1-'Scoring Setup'!$B$5*(1-MAX(0,MIN(1,(AF129-'Scoring Setup'!$K$18)/(100-'Scoring Setup'!$K$18)))),1),"")</x:f>
        <x:v>0.9936425754423011</x:v>
      </x:c>
      <x:c r="AY129" s="27" t="n">
        <x:f>IF(ISNUMBER(AG129),IF('Scoring Setup'!$L$19=1,1-'Scoring Setup'!$B$5*(1-MAX(0,MIN(1,(AG129-'Scoring Setup'!$K$19)/(100-'Scoring Setup'!$K$19)))),1),"")</x:f>
        <x:v>0.8259333333333333</x:v>
      </x:c>
      <x:c r="AZ129" s="27" t="n">
        <x:f>IF(ISNUMBER(AH129),IF('Scoring Setup'!$L$20=1,1-'Scoring Setup'!$B$5*(1-MAX(0,MIN(1,(AH129-'Scoring Setup'!$K$20)/(100-'Scoring Setup'!$K$20)))),1),"")</x:f>
        <x:v>0.9142173019748263</x:v>
      </x:c>
      <x:c r="BA129" s="27" t="n">
        <x:f>IF(ISNUMBER(AI129),IF('Scoring Setup'!$L$21=1,1-'Scoring Setup'!$B$5*(1-MAX(0,MIN(1,(AI129-'Scoring Setup'!$K$21)/(100-'Scoring Setup'!$K$21)))),1),"")</x:f>
        <x:v>0.9274706611633301</x:v>
      </x:c>
      <x:c r="BB129" s="27" t="n">
        <x:f>IF(ISNUMBER(AJ129),IF('Scoring Setup'!$L$22=1,1-'Scoring Setup'!$B$5*(1-MAX(0,MIN(1,(AJ129-'Scoring Setup'!$K$22)/(100-'Scoring Setup'!$K$22)))),1),"")</x:f>
        <x:v>1</x:v>
      </x:c>
      <x:c r="BC129" s="27" t="n">
        <x:f>IF(ISNUMBER(AK129),IF('Scoring Setup'!$L$23=1,1-'Scoring Setup'!$B$5*(1-MAX(0,MIN(1,(AK129-'Scoring Setup'!$K$23)/(100-'Scoring Setup'!$K$23)))),1),"")</x:f>
        <x:v>1</x:v>
      </x:c>
      <x:c r="BD129" s="27" t="n">
        <x:f>IF(ISNUMBER(AL129),IF('Scoring Setup'!$L$24=1,1-'Scoring Setup'!$B$5*(1-MAX(0,MIN(1,(AL129-'Scoring Setup'!$K$24)/(100-'Scoring Setup'!$K$24)))),1),"")</x:f>
        <x:v>0.9094545454545454</x:v>
      </x:c>
      <x:c r="BE129" s="27" t="n">
        <x:f>IF(ISNUMBER(AM129),IF('Scoring Setup'!$L$25=1,1-'Scoring Setup'!$B$5*(1-MAX(0,MIN(1,(AM129-'Scoring Setup'!$K$25)/(100-'Scoring Setup'!$K$25)))),1),"")</x:f>
        <x:v>0.8549228700052378</x:v>
      </x:c>
      <x:c r="BF129" s="27" t="n">
        <x:f>IF(ISNUMBER(AN129),IF('Scoring Setup'!$L$26=1,1-'Scoring Setup'!$B$5*(1-MAX(0,MIN(1,(AN129-'Scoring Setup'!$K$26)/(100-'Scoring Setup'!$K$26)))),1),"")</x:f>
        <x:v>0.977621005370185</x:v>
      </x:c>
      <x:c r="BG129" s="34" t="n">
        <x:f>IF(COUNT(W129,X129)=2,AVERAGE(W129,X129),"")</x:f>
        <x:v>100</x:v>
      </x:c>
      <x:c r="BH129" s="34" t="n">
        <x:f>IF(COUNT(Y129,Z129)=2,AVERAGE(Y129,Z129),"")</x:f>
        <x:v>46.609740231383554</x:v>
      </x:c>
      <x:c r="BI129" s="34" t="n">
        <x:f>IF(COUNT(AA129,AB129,AC129)=3,AVERAGE(AA129,AB129,AC129),"")</x:f>
        <x:v>63.223932705255756</x:v>
      </x:c>
      <x:c r="BJ129" s="34" t="n">
        <x:f>IF(COUNT(AD129,AE129)=2,AVERAGE(AD129,AE129),"")</x:f>
        <x:v>34.456610000000005</x:v>
      </x:c>
      <x:c r="BK129" s="34" t="n">
        <x:f>IF(COUNT(AF129,AG129)=2,AVERAGE(AF129,AG129),"")</x:f>
        <x:v>54.8939771939086</x:v>
      </x:c>
      <x:c r="BL129" s="34" t="n">
        <x:f>IF(COUNT(AH129,AI129)=2,AVERAGE(AH129,AI129),"")</x:f>
        <x:v>60.42199078453912</x:v>
      </x:c>
      <x:c r="BM129" s="34" t="n">
        <x:f>IF(COUNT(AJ129,AK129)=2,AVERAGE(AJ129,AK129),"")</x:f>
        <x:v>100</x:v>
      </x:c>
      <x:c r="BN129" s="34" t="n">
        <x:f>IF(COUNT(AL129,AM129,AN129)=3,AVERAGE(AL129,AM129,AN129),"")</x:f>
        <x:v>56.999736804994704</x:v>
      </x:c>
      <x:c r="BO129" s="35" t="n">
        <x:f>IF(AND(COUNT(BG129:BN129)=8,ABS('Scoring Setup'!$C$17-1)&lt;0.000001),BG129*'Scoring Setup'!$C$9+BH129*'Scoring Setup'!$C$10+BI129*'Scoring Setup'!$C$11+BJ129*'Scoring Setup'!$C$12+BK129*'Scoring Setup'!$C$13+BL129*'Scoring Setup'!$C$14+BM129*'Scoring Setup'!$C$15+BN129*'Scoring Setup'!$C$16,"")</x:f>
        <x:v>59.700420616918514</x:v>
      </x:c>
      <x:c r="BP129" s="36" t="n">
        <x:f>IF(COUNT(AO129:BF129)=18,MIN(AO129:BF129),"")</x:f>
        <x:v>0.8</x:v>
      </x:c>
      <x:c r="BQ129" s="35" t="n">
        <x:f>IF(AND(ISNUMBER(BO129),ISNUMBER(BP129)),BO129*BP129,"")</x:f>
        <x:v>47.760336493534815</x:v>
      </x:c>
      <x:c r="BR129" s="17" t="str">
        <x:f>IF(COUNT(AO129:BF129)=18,INDEX('Scoring Setup'!$F$9:$F$26,MATCH(MIN(AO129:BF129),AO129:BF129,0),1),"")</x:f>
        <x:v>低不透水土地比例</x:v>
      </x:c>
    </x:row>
    <x:row r="130">
      <x:c r="A130" s="28" t="str">
        <x:v>51770</x:v>
      </x:c>
      <x:c r="B130" s="28" t="str">
        <x:v>Roanoke city</x:v>
      </x:c>
      <x:c r="C130" s="28" t="str">
        <x:v>VA</x:v>
      </x:c>
      <x:c r="D130" s="31" t="n">
        <x:v>110.129888</x:v>
      </x:c>
      <x:c r="E130" s="32" t="n">
        <x:v>0.399</x:v>
      </x:c>
      <x:c r="F130" s="32" t="n">
        <x:v>0.42821782178217804</x:v>
      </x:c>
      <x:c r="G130" s="32" t="n">
        <x:v>2.7697299319853768</x:v>
      </x:c>
      <x:c r="H130" s="32" t="n">
        <x:v>3.155046543</x:v>
      </x:c>
      <x:c r="I130" s="32" t="n">
        <x:v>0.24054957718589212</x:v>
      </x:c>
      <x:c r="J130" s="32" t="n">
        <x:v>0</x:v>
      </x:c>
      <x:c r="K130" s="32" t="n">
        <x:v>0</x:v>
      </x:c>
      <x:c r="L130" s="32" t="n">
        <x:v>0.70265169</x:v>
      </x:c>
      <x:c r="M130" s="32" t="n">
        <x:v>0.6861272</x:v>
      </x:c>
      <x:c r="N130" s="32" t="n">
        <x:v>48738</x:v>
      </x:c>
      <x:c r="O130" s="32" t="n">
        <x:v>0.8521</x:v>
      </x:c>
      <x:c r="P130" s="32" t="n">
        <x:v>1157.9026692708333</x:v>
      </x:c>
      <x:c r="Q130" s="32" t="n">
        <x:v>22.97145347595215</x:v>
      </x:c>
      <x:c r="R130" s="32" t="n">
        <x:v>1.792493092527808</x:v>
      </x:c>
      <x:c r="S130" s="32" t="n">
        <x:v>0.17552854364318132</x:v>
      </x:c>
      <x:c r="T130" s="32" t="n">
        <x:v>89.9</x:v>
      </x:c>
      <x:c r="U130" s="32" t="n">
        <x:v>245.07712999476223</x:v>
      </x:c>
      <x:c r="V130" s="32" t="n">
        <x:v>244.75798925963002</x:v>
      </x:c>
      <x:c r="W130" s="33" t="n">
        <x:f>IF(ISNUMBER(E130),100*MAX(0,MIN(1,('Anchors'!$H$6-E130)/('Anchors'!$H$6-'Anchors'!$G$6))),"")</x:f>
        <x:v>71.57142857142857</x:v>
      </x:c>
      <x:c r="X130" s="33" t="n">
        <x:f>IF(ISNUMBER(F130),100*MAX(0,MIN(1,('Anchors'!$H$7-F130)/('Anchors'!$H$7-'Anchors'!$G$7))),"")</x:f>
        <x:v>53.11173974540314</x:v>
      </x:c>
      <x:c r="Y130" s="33" t="n">
        <x:f>IF(ISNUMBER(G130),100*MAX(0,MIN(1,('Anchors'!$H$8-G130)/('Anchors'!$H$8-'Anchors'!$G$8))),"")</x:f>
        <x:v>41.00900226715411</x:v>
      </x:c>
      <x:c r="Z130" s="33" t="n">
        <x:f>IF(ISNUMBER(H130),100*MAX(0,MIN(1,('Anchors'!$H$9-H130)/('Anchors'!$H$9-'Anchors'!$G$9))),"")</x:f>
        <x:v>28.16511523333333</x:v>
      </x:c>
      <x:c r="AA130" s="33" t="n">
        <x:f>IF(ISNUMBER(I130),100*MAX(0,MIN(1,(I130-'Anchors'!$H$10)/('Anchors'!$G$10-'Anchors'!$H$10))),"")</x:f>
        <x:v>0</x:v>
      </x:c>
      <x:c r="AB130" s="33" t="n">
        <x:f>IF(ISNUMBER(J130),100*MAX(0,MIN(1,('Anchors'!$H$11-J130)/('Anchors'!$H$11-'Anchors'!$G$11))),"")</x:f>
        <x:v>100</x:v>
      </x:c>
      <x:c r="AC130" s="33" t="n">
        <x:f>IF(ISNUMBER(K130),100*MAX(0,MIN(1,('Anchors'!$H$12-K130)/('Anchors'!$H$12-'Anchors'!$G$12))),"")</x:f>
        <x:v>100</x:v>
      </x:c>
      <x:c r="AD130" s="33" t="n">
        <x:f>IF(ISNUMBER(L130),100*MAX(0,MIN(1,(L130-'Anchors'!$H$13)/('Anchors'!$G$13-'Anchors'!$H$13))),"")</x:f>
        <x:v>71.80738428571429</x:v>
      </x:c>
      <x:c r="AE130" s="33" t="n">
        <x:f>IF(ISNUMBER(M130),100*MAX(0,MIN(1,(M130-'Anchors'!$H$14)/('Anchors'!$G$14-'Anchors'!$H$14))),"")</x:f>
        <x:v>73.2659</x:v>
      </x:c>
      <x:c r="AF130" s="33" t="n">
        <x:f>IF(ISNUMBER(N130),100*MAX(0,MIN(1,(LN(1+N130)-LN(1+'Anchors'!$H$15))/(LN(1+'Anchors'!$G$15)-LN(1+'Anchors'!$H$15)))),"")</x:f>
        <x:v>73.95960721554223</x:v>
      </x:c>
      <x:c r="AG130" s="33" t="n">
        <x:f>IF(ISNUMBER(O130),100*MAX(0,MIN(1,('Anchors'!$H$16-O130)/('Anchors'!$H$16-'Anchors'!$G$16))),"")</x:f>
        <x:v>10.877777777777778</x:v>
      </x:c>
      <x:c r="AH130" s="33" t="n">
        <x:f>IF(ISNUMBER(P130),100*MAX(0,MIN(1,('Anchors'!$H$17-P130)/('Anchors'!$H$17-'Anchors'!$G$17))),"")</x:f>
        <x:v>69.47315538194445</x:v>
      </x:c>
      <x:c r="AI130" s="33" t="n">
        <x:f>IF(ISNUMBER(Q130),100*MAX(0,MIN(1,('Anchors'!$H$18-Q130)/('Anchors'!$H$18-'Anchors'!$G$18))),"")</x:f>
        <x:v>74.32649503435408</x:v>
      </x:c>
      <x:c r="AJ130" s="33" t="n">
        <x:f>IF(ISNUMBER(R130),100*MAX(0,MIN(1,('Anchors'!$H$19-R130)/('Anchors'!$H$19-'Anchors'!$G$19))),"")</x:f>
        <x:v>100</x:v>
      </x:c>
      <x:c r="AK130" s="33" t="n">
        <x:f>IF(ISNUMBER(S130),100*MAX(0,MIN(1,('Anchors'!$H$20-S130)/('Anchors'!$H$20-'Anchors'!$G$20))),"")</x:f>
        <x:v>100</x:v>
      </x:c>
      <x:c r="AL130" s="33" t="n">
        <x:f>IF(ISNUMBER(T130),100*MAX(0,MIN(1,('Anchors'!$H$21-T130)/('Anchors'!$H$21-'Anchors'!$G$21))),"")</x:f>
        <x:v>54.72727272727271</x:v>
      </x:c>
      <x:c r="AM130" s="33" t="n">
        <x:f>IF(ISNUMBER(U130),100*MAX(0,MIN(1,('Anchors'!$H$22-U130)/('Anchors'!$H$22-'Anchors'!$G$22))),"")</x:f>
        <x:v>27.461435002618884</x:v>
      </x:c>
      <x:c r="AN130" s="33" t="n">
        <x:f>IF(ISNUMBER(V130),100*MAX(0,MIN(1,('Anchors'!$H$23-V130)/('Anchors'!$H$23-'Anchors'!$G$23))),"")</x:f>
        <x:v>88.8105026850925</x:v>
      </x:c>
      <x:c r="AO130" s="27" t="n">
        <x:f>IF(ISNUMBER(W130),IF('Scoring Setup'!$L$9=1,1-'Scoring Setup'!$B$5*(1-MAX(0,MIN(1,(W130-'Scoring Setup'!$K$9)/(100-'Scoring Setup'!$K$9)))),1),"")</x:f>
        <x:v>0.9431428571428572</x:v>
      </x:c>
      <x:c r="AP130" s="27" t="n">
        <x:f>IF(ISNUMBER(X130),IF('Scoring Setup'!$L$10=1,1-'Scoring Setup'!$B$5*(1-MAX(0,MIN(1,(X130-'Scoring Setup'!$K$10)/(100-'Scoring Setup'!$K$10)))),1),"")</x:f>
        <x:v>0.9062234794908063</x:v>
      </x:c>
      <x:c r="AQ130" s="27" t="n">
        <x:f>IF(ISNUMBER(Y130),IF('Scoring Setup'!$L$11=1,1-'Scoring Setup'!$B$5*(1-MAX(0,MIN(1,(Y130-'Scoring Setup'!$K$11)/(100-'Scoring Setup'!$K$11)))),1),"")</x:f>
        <x:v>0.8820180045343082</x:v>
      </x:c>
      <x:c r="AR130" s="27" t="n">
        <x:f>IF(ISNUMBER(Z130),IF('Scoring Setup'!$L$12=1,1-'Scoring Setup'!$B$5*(1-MAX(0,MIN(1,(Z130-'Scoring Setup'!$K$12)/(100-'Scoring Setup'!$K$12)))),1),"")</x:f>
        <x:v>0.8563302304666667</x:v>
      </x:c>
      <x:c r="AS130" s="27" t="n">
        <x:f>IF(ISNUMBER(AA130),IF('Scoring Setup'!$L$13=1,1-'Scoring Setup'!$B$5*(1-MAX(0,MIN(1,(AA130-'Scoring Setup'!$K$13)/(100-'Scoring Setup'!$K$13)))),1),"")</x:f>
        <x:v>0.8</x:v>
      </x:c>
      <x:c r="AT130" s="27" t="n">
        <x:f>IF(ISNUMBER(AB130),IF('Scoring Setup'!$L$14=1,1-'Scoring Setup'!$B$5*(1-MAX(0,MIN(1,(AB130-'Scoring Setup'!$K$14)/(100-'Scoring Setup'!$K$14)))),1),"")</x:f>
        <x:v>1</x:v>
      </x:c>
      <x:c r="AU130" s="27" t="n">
        <x:f>IF(ISNUMBER(AC130),IF('Scoring Setup'!$L$15=1,1-'Scoring Setup'!$B$5*(1-MAX(0,MIN(1,(AC130-'Scoring Setup'!$K$15)/(100-'Scoring Setup'!$K$15)))),1),"")</x:f>
        <x:v>1</x:v>
      </x:c>
      <x:c r="AV130" s="27" t="n">
        <x:f>IF(ISNUMBER(AD130),IF('Scoring Setup'!$L$16=1,1-'Scoring Setup'!$B$5*(1-MAX(0,MIN(1,(AD130-'Scoring Setup'!$K$16)/(100-'Scoring Setup'!$K$16)))),1),"")</x:f>
        <x:v>0.9436147685714286</x:v>
      </x:c>
      <x:c r="AW130" s="27" t="n">
        <x:f>IF(ISNUMBER(AE130),IF('Scoring Setup'!$L$17=1,1-'Scoring Setup'!$B$5*(1-MAX(0,MIN(1,(AE130-'Scoring Setup'!$K$17)/(100-'Scoring Setup'!$K$17)))),1),"")</x:f>
        <x:v>0.9465318</x:v>
      </x:c>
      <x:c r="AX130" s="27" t="n">
        <x:f>IF(ISNUMBER(AF130),IF('Scoring Setup'!$L$18=1,1-'Scoring Setup'!$B$5*(1-MAX(0,MIN(1,(AF130-'Scoring Setup'!$K$18)/(100-'Scoring Setup'!$K$18)))),1),"")</x:f>
        <x:v>0.9479192144310845</x:v>
      </x:c>
      <x:c r="AY130" s="27" t="n">
        <x:f>IF(ISNUMBER(AG130),IF('Scoring Setup'!$L$19=1,1-'Scoring Setup'!$B$5*(1-MAX(0,MIN(1,(AG130-'Scoring Setup'!$K$19)/(100-'Scoring Setup'!$K$19)))),1),"")</x:f>
        <x:v>0.8217555555555556</x:v>
      </x:c>
      <x:c r="AZ130" s="27" t="n">
        <x:f>IF(ISNUMBER(AH130),IF('Scoring Setup'!$L$20=1,1-'Scoring Setup'!$B$5*(1-MAX(0,MIN(1,(AH130-'Scoring Setup'!$K$20)/(100-'Scoring Setup'!$K$20)))),1),"")</x:f>
        <x:v>0.9389463107638889</x:v>
      </x:c>
      <x:c r="BA130" s="27" t="n">
        <x:f>IF(ISNUMBER(AI130),IF('Scoring Setup'!$L$21=1,1-'Scoring Setup'!$B$5*(1-MAX(0,MIN(1,(AI130-'Scoring Setup'!$K$21)/(100-'Scoring Setup'!$K$21)))),1),"")</x:f>
        <x:v>0.9486529900687082</x:v>
      </x:c>
      <x:c r="BB130" s="27" t="n">
        <x:f>IF(ISNUMBER(AJ130),IF('Scoring Setup'!$L$22=1,1-'Scoring Setup'!$B$5*(1-MAX(0,MIN(1,(AJ130-'Scoring Setup'!$K$22)/(100-'Scoring Setup'!$K$22)))),1),"")</x:f>
        <x:v>1</x:v>
      </x:c>
      <x:c r="BC130" s="27" t="n">
        <x:f>IF(ISNUMBER(AK130),IF('Scoring Setup'!$L$23=1,1-'Scoring Setup'!$B$5*(1-MAX(0,MIN(1,(AK130-'Scoring Setup'!$K$23)/(100-'Scoring Setup'!$K$23)))),1),"")</x:f>
        <x:v>1</x:v>
      </x:c>
      <x:c r="BD130" s="27" t="n">
        <x:f>IF(ISNUMBER(AL130),IF('Scoring Setup'!$L$24=1,1-'Scoring Setup'!$B$5*(1-MAX(0,MIN(1,(AL130-'Scoring Setup'!$K$24)/(100-'Scoring Setup'!$K$24)))),1),"")</x:f>
        <x:v>0.9094545454545454</x:v>
      </x:c>
      <x:c r="BE130" s="27" t="n">
        <x:f>IF(ISNUMBER(AM130),IF('Scoring Setup'!$L$25=1,1-'Scoring Setup'!$B$5*(1-MAX(0,MIN(1,(AM130-'Scoring Setup'!$K$25)/(100-'Scoring Setup'!$K$25)))),1),"")</x:f>
        <x:v>0.8549228700052378</x:v>
      </x:c>
      <x:c r="BF130" s="27" t="n">
        <x:f>IF(ISNUMBER(AN130),IF('Scoring Setup'!$L$26=1,1-'Scoring Setup'!$B$5*(1-MAX(0,MIN(1,(AN130-'Scoring Setup'!$K$26)/(100-'Scoring Setup'!$K$26)))),1),"")</x:f>
        <x:v>0.977621005370185</x:v>
      </x:c>
      <x:c r="BG130" s="34" t="n">
        <x:f>IF(COUNT(W130,X130)=2,AVERAGE(W130,X130),"")</x:f>
        <x:v>62.341584158415856</x:v>
      </x:c>
      <x:c r="BH130" s="34" t="n">
        <x:f>IF(COUNT(Y130,Z130)=2,AVERAGE(Y130,Z130),"")</x:f>
        <x:v>34.58705875024372</x:v>
      </x:c>
      <x:c r="BI130" s="34" t="n">
        <x:f>IF(COUNT(AA130,AB130,AC130)=3,AVERAGE(AA130,AB130,AC130),"")</x:f>
        <x:v>66.66666666666667</x:v>
      </x:c>
      <x:c r="BJ130" s="34" t="n">
        <x:f>IF(COUNT(AD130,AE130)=2,AVERAGE(AD130,AE130),"")</x:f>
        <x:v>72.53664214285715</x:v>
      </x:c>
      <x:c r="BK130" s="34" t="n">
        <x:f>IF(COUNT(AF130,AG130)=2,AVERAGE(AF130,AG130),"")</x:f>
        <x:v>42.41869249666001</x:v>
      </x:c>
      <x:c r="BL130" s="34" t="n">
        <x:f>IF(COUNT(AH130,AI130)=2,AVERAGE(AH130,AI130),"")</x:f>
        <x:v>71.89982520814927</x:v>
      </x:c>
      <x:c r="BM130" s="34" t="n">
        <x:f>IF(COUNT(AJ130,AK130)=2,AVERAGE(AJ130,AK130),"")</x:f>
        <x:v>100</x:v>
      </x:c>
      <x:c r="BN130" s="34" t="n">
        <x:f>IF(COUNT(AL130,AM130,AN130)=3,AVERAGE(AL130,AM130,AN130),"")</x:f>
        <x:v>56.999736804994704</x:v>
      </x:c>
      <x:c r="BO130" s="35" t="n">
        <x:f>IF(AND(COUNT(BG130:BN130)=8,ABS('Scoring Setup'!$C$17-1)&lt;0.000001),BG130*'Scoring Setup'!$C$9+BH130*'Scoring Setup'!$C$10+BI130*'Scoring Setup'!$C$11+BJ130*'Scoring Setup'!$C$12+BK130*'Scoring Setup'!$C$13+BL130*'Scoring Setup'!$C$14+BM130*'Scoring Setup'!$C$15+BN130*'Scoring Setup'!$C$16,"")</x:f>
        <x:v>57.00868259841459</x:v>
      </x:c>
      <x:c r="BP130" s="36" t="n">
        <x:f>IF(COUNT(AO130:BF130)=18,MIN(AO130:BF130),"")</x:f>
        <x:v>0.8</x:v>
      </x:c>
      <x:c r="BQ130" s="35" t="n">
        <x:f>IF(AND(ISNUMBER(BO130),ISNUMBER(BP130)),BO130*BP130,"")</x:f>
        <x:v>45.606946078731674</x:v>
      </x:c>
      <x:c r="BR130" s="17" t="str">
        <x:f>IF(COUNT(AO130:BF130)=18,INDEX('Scoring Setup'!$F$9:$F$26,MATCH(MIN(AO130:BF130),AO130:BF130,0),1),"")</x:f>
        <x:v>低不透水土地比例</x:v>
      </x:c>
    </x:row>
    <x:row r="131">
      <x:c r="A131" s="28" t="str">
        <x:v>51775</x:v>
      </x:c>
      <x:c r="B131" s="28" t="str">
        <x:v>Salem city</x:v>
      </x:c>
      <x:c r="C131" s="28" t="str">
        <x:v>VA</x:v>
      </x:c>
      <x:c r="D131" s="31" t="n">
        <x:v>37.597966</x:v>
      </x:c>
      <x:c r="E131" s="32" t="n">
        <x:v>0.462</x:v>
      </x:c>
      <x:c r="F131" s="32" t="n">
        <x:v>0.608910891089109</x:v>
      </x:c>
      <x:c r="G131" s="32" t="n">
        <x:v>2.7697299319853763</x:v>
      </x:c>
      <x:c r="H131" s="32" t="n">
        <x:v>3.155046543</x:v>
      </x:c>
      <x:c r="I131" s="32" t="n">
        <x:v>0.25792349726775954</x:v>
      </x:c>
      <x:c r="J131" s="32" t="n">
        <x:v>0</x:v>
      </x:c>
      <x:c r="K131" s="32" t="n">
        <x:v>0</x:v>
      </x:c>
      <x:c r="L131" s="32" t="n">
        <x:v>0.747789706</x:v>
      </x:c>
      <x:c r="M131" s="32" t="n">
        <x:v>0.743211241</x:v>
      </x:c>
      <x:c r="N131" s="32" t="n">
        <x:v>13413</x:v>
      </x:c>
      <x:c r="O131" s="32" t="n">
        <x:v>0.3248</x:v>
      </x:c>
      <x:c r="P131" s="32" t="n">
        <x:v>1116.765242513021</x:v>
      </x:c>
      <x:c r="Q131" s="32" t="n">
        <x:v>20.404090245564777</x:v>
      </x:c>
      <x:c r="R131" s="32" t="n">
        <x:v>2.63053205718924</x:v>
      </x:c>
      <x:c r="S131" s="32" t="n">
        <x:v>0.2665666362461617</x:v>
      </x:c>
      <x:c r="T131" s="32" t="n">
        <x:v>89.9</x:v>
      </x:c>
      <x:c r="U131" s="32" t="n">
        <x:v>245.07712999476223</x:v>
      </x:c>
      <x:c r="V131" s="32" t="n">
        <x:v>244.75798925963002</x:v>
      </x:c>
      <x:c r="W131" s="33" t="n">
        <x:f>IF(ISNUMBER(E131),100*MAX(0,MIN(1,('Anchors'!$H$6-E131)/('Anchors'!$H$6-'Anchors'!$G$6))),"")</x:f>
        <x:v>62.57142857142858</x:v>
      </x:c>
      <x:c r="X131" s="33" t="n">
        <x:f>IF(ISNUMBER(F131),100*MAX(0,MIN(1,('Anchors'!$H$7-F131)/('Anchors'!$H$7-'Anchors'!$G$7))),"")</x:f>
        <x:v>27.298444130127287</x:v>
      </x:c>
      <x:c r="Y131" s="33" t="n">
        <x:f>IF(ISNUMBER(G131),100*MAX(0,MIN(1,('Anchors'!$H$8-G131)/('Anchors'!$H$8-'Anchors'!$G$8))),"")</x:f>
        <x:v>41.00900226715412</x:v>
      </x:c>
      <x:c r="Z131" s="33" t="n">
        <x:f>IF(ISNUMBER(H131),100*MAX(0,MIN(1,('Anchors'!$H$9-H131)/('Anchors'!$H$9-'Anchors'!$G$9))),"")</x:f>
        <x:v>28.16511523333333</x:v>
      </x:c>
      <x:c r="AA131" s="33" t="n">
        <x:f>IF(ISNUMBER(I131),100*MAX(0,MIN(1,(I131-'Anchors'!$H$10)/('Anchors'!$G$10-'Anchors'!$H$10))),"")</x:f>
        <x:v>1.0854105846245943</x:v>
      </x:c>
      <x:c r="AB131" s="33" t="n">
        <x:f>IF(ISNUMBER(J131),100*MAX(0,MIN(1,('Anchors'!$H$11-J131)/('Anchors'!$H$11-'Anchors'!$G$11))),"")</x:f>
        <x:v>100</x:v>
      </x:c>
      <x:c r="AC131" s="33" t="n">
        <x:f>IF(ISNUMBER(K131),100*MAX(0,MIN(1,('Anchors'!$H$12-K131)/('Anchors'!$H$12-'Anchors'!$G$12))),"")</x:f>
        <x:v>100</x:v>
      </x:c>
      <x:c r="AD131" s="33" t="n">
        <x:f>IF(ISNUMBER(L131),100*MAX(0,MIN(1,(L131-'Anchors'!$H$13)/('Anchors'!$G$13-'Anchors'!$H$13))),"")</x:f>
        <x:v>78.25567228571431</x:v>
      </x:c>
      <x:c r="AE131" s="33" t="n">
        <x:f>IF(ISNUMBER(M131),100*MAX(0,MIN(1,(M131-'Anchors'!$H$14)/('Anchors'!$G$14-'Anchors'!$H$14))),"")</x:f>
        <x:v>80.401405125</x:v>
      </x:c>
      <x:c r="AF131" s="33" t="n">
        <x:f>IF(ISNUMBER(N131),100*MAX(0,MIN(1,(LN(1+N131)-LN(1+'Anchors'!$H$15))/(LN(1+'Anchors'!$G$15)-LN(1+'Anchors'!$H$15)))),"")</x:f>
        <x:v>44.07352623490392</x:v>
      </x:c>
      <x:c r="AG131" s="33" t="n">
        <x:f>IF(ISNUMBER(O131),100*MAX(0,MIN(1,('Anchors'!$H$16-O131)/('Anchors'!$H$16-'Anchors'!$G$16))),"")</x:f>
        <x:v>69.46666666666668</x:v>
      </x:c>
      <x:c r="AH131" s="33" t="n">
        <x:f>IF(ISNUMBER(P131),100*MAX(0,MIN(1,('Anchors'!$H$17-P131)/('Anchors'!$H$17-'Anchors'!$G$17))),"")</x:f>
        <x:v>72.21565049913194</x:v>
      </x:c>
      <x:c r="AI131" s="33" t="n">
        <x:f>IF(ISNUMBER(Q131),100*MAX(0,MIN(1,('Anchors'!$H$18-Q131)/('Anchors'!$H$18-'Anchors'!$G$18))),"")</x:f>
        <x:v>77.99415679205032</x:v>
      </x:c>
      <x:c r="AJ131" s="33" t="n">
        <x:f>IF(ISNUMBER(R131),100*MAX(0,MIN(1,('Anchors'!$H$19-R131)/('Anchors'!$H$19-'Anchors'!$G$19))),"")</x:f>
        <x:v>100</x:v>
      </x:c>
      <x:c r="AK131" s="33" t="n">
        <x:f>IF(ISNUMBER(S131),100*MAX(0,MIN(1,('Anchors'!$H$20-S131)/('Anchors'!$H$20-'Anchors'!$G$20))),"")</x:f>
        <x:v>100</x:v>
      </x:c>
      <x:c r="AL131" s="33" t="n">
        <x:f>IF(ISNUMBER(T131),100*MAX(0,MIN(1,('Anchors'!$H$21-T131)/('Anchors'!$H$21-'Anchors'!$G$21))),"")</x:f>
        <x:v>54.72727272727271</x:v>
      </x:c>
      <x:c r="AM131" s="33" t="n">
        <x:f>IF(ISNUMBER(U131),100*MAX(0,MIN(1,('Anchors'!$H$22-U131)/('Anchors'!$H$22-'Anchors'!$G$22))),"")</x:f>
        <x:v>27.461435002618884</x:v>
      </x:c>
      <x:c r="AN131" s="33" t="n">
        <x:f>IF(ISNUMBER(V131),100*MAX(0,MIN(1,('Anchors'!$H$23-V131)/('Anchors'!$H$23-'Anchors'!$G$23))),"")</x:f>
        <x:v>88.8105026850925</x:v>
      </x:c>
      <x:c r="AO131" s="27" t="n">
        <x:f>IF(ISNUMBER(W131),IF('Scoring Setup'!$L$9=1,1-'Scoring Setup'!$B$5*(1-MAX(0,MIN(1,(W131-'Scoring Setup'!$K$9)/(100-'Scoring Setup'!$K$9)))),1),"")</x:f>
        <x:v>0.9251428571428572</x:v>
      </x:c>
      <x:c r="AP131" s="27" t="n">
        <x:f>IF(ISNUMBER(X131),IF('Scoring Setup'!$L$10=1,1-'Scoring Setup'!$B$5*(1-MAX(0,MIN(1,(X131-'Scoring Setup'!$K$10)/(100-'Scoring Setup'!$K$10)))),1),"")</x:f>
        <x:v>0.8545968882602546</x:v>
      </x:c>
      <x:c r="AQ131" s="27" t="n">
        <x:f>IF(ISNUMBER(Y131),IF('Scoring Setup'!$L$11=1,1-'Scoring Setup'!$B$5*(1-MAX(0,MIN(1,(Y131-'Scoring Setup'!$K$11)/(100-'Scoring Setup'!$K$11)))),1),"")</x:f>
        <x:v>0.8820180045343082</x:v>
      </x:c>
      <x:c r="AR131" s="27" t="n">
        <x:f>IF(ISNUMBER(Z131),IF('Scoring Setup'!$L$12=1,1-'Scoring Setup'!$B$5*(1-MAX(0,MIN(1,(Z131-'Scoring Setup'!$K$12)/(100-'Scoring Setup'!$K$12)))),1),"")</x:f>
        <x:v>0.8563302304666667</x:v>
      </x:c>
      <x:c r="AS131" s="27" t="n">
        <x:f>IF(ISNUMBER(AA131),IF('Scoring Setup'!$L$13=1,1-'Scoring Setup'!$B$5*(1-MAX(0,MIN(1,(AA131-'Scoring Setup'!$K$13)/(100-'Scoring Setup'!$K$13)))),1),"")</x:f>
        <x:v>0.8021708211692492</x:v>
      </x:c>
      <x:c r="AT131" s="27" t="n">
        <x:f>IF(ISNUMBER(AB131),IF('Scoring Setup'!$L$14=1,1-'Scoring Setup'!$B$5*(1-MAX(0,MIN(1,(AB131-'Scoring Setup'!$K$14)/(100-'Scoring Setup'!$K$14)))),1),"")</x:f>
        <x:v>1</x:v>
      </x:c>
      <x:c r="AU131" s="27" t="n">
        <x:f>IF(ISNUMBER(AC131),IF('Scoring Setup'!$L$15=1,1-'Scoring Setup'!$B$5*(1-MAX(0,MIN(1,(AC131-'Scoring Setup'!$K$15)/(100-'Scoring Setup'!$K$15)))),1),"")</x:f>
        <x:v>1</x:v>
      </x:c>
      <x:c r="AV131" s="27" t="n">
        <x:f>IF(ISNUMBER(AD131),IF('Scoring Setup'!$L$16=1,1-'Scoring Setup'!$B$5*(1-MAX(0,MIN(1,(AD131-'Scoring Setup'!$K$16)/(100-'Scoring Setup'!$K$16)))),1),"")</x:f>
        <x:v>0.9565113445714286</x:v>
      </x:c>
      <x:c r="AW131" s="27" t="n">
        <x:f>IF(ISNUMBER(AE131),IF('Scoring Setup'!$L$17=1,1-'Scoring Setup'!$B$5*(1-MAX(0,MIN(1,(AE131-'Scoring Setup'!$K$17)/(100-'Scoring Setup'!$K$17)))),1),"")</x:f>
        <x:v>0.96080281025</x:v>
      </x:c>
      <x:c r="AX131" s="27" t="n">
        <x:f>IF(ISNUMBER(AF131),IF('Scoring Setup'!$L$18=1,1-'Scoring Setup'!$B$5*(1-MAX(0,MIN(1,(AF131-'Scoring Setup'!$K$18)/(100-'Scoring Setup'!$K$18)))),1),"")</x:f>
        <x:v>0.8881470524698079</x:v>
      </x:c>
      <x:c r="AY131" s="27" t="n">
        <x:f>IF(ISNUMBER(AG131),IF('Scoring Setup'!$L$19=1,1-'Scoring Setup'!$B$5*(1-MAX(0,MIN(1,(AG131-'Scoring Setup'!$K$19)/(100-'Scoring Setup'!$K$19)))),1),"")</x:f>
        <x:v>0.9389333333333334</x:v>
      </x:c>
      <x:c r="AZ131" s="27" t="n">
        <x:f>IF(ISNUMBER(AH131),IF('Scoring Setup'!$L$20=1,1-'Scoring Setup'!$B$5*(1-MAX(0,MIN(1,(AH131-'Scoring Setup'!$K$20)/(100-'Scoring Setup'!$K$20)))),1),"")</x:f>
        <x:v>0.9444313009982639</x:v>
      </x:c>
      <x:c r="BA131" s="27" t="n">
        <x:f>IF(ISNUMBER(AI131),IF('Scoring Setup'!$L$21=1,1-'Scoring Setup'!$B$5*(1-MAX(0,MIN(1,(AI131-'Scoring Setup'!$K$21)/(100-'Scoring Setup'!$K$21)))),1),"")</x:f>
        <x:v>0.9559883135841006</x:v>
      </x:c>
      <x:c r="BB131" s="27" t="n">
        <x:f>IF(ISNUMBER(AJ131),IF('Scoring Setup'!$L$22=1,1-'Scoring Setup'!$B$5*(1-MAX(0,MIN(1,(AJ131-'Scoring Setup'!$K$22)/(100-'Scoring Setup'!$K$22)))),1),"")</x:f>
        <x:v>1</x:v>
      </x:c>
      <x:c r="BC131" s="27" t="n">
        <x:f>IF(ISNUMBER(AK131),IF('Scoring Setup'!$L$23=1,1-'Scoring Setup'!$B$5*(1-MAX(0,MIN(1,(AK131-'Scoring Setup'!$K$23)/(100-'Scoring Setup'!$K$23)))),1),"")</x:f>
        <x:v>1</x:v>
      </x:c>
      <x:c r="BD131" s="27" t="n">
        <x:f>IF(ISNUMBER(AL131),IF('Scoring Setup'!$L$24=1,1-'Scoring Setup'!$B$5*(1-MAX(0,MIN(1,(AL131-'Scoring Setup'!$K$24)/(100-'Scoring Setup'!$K$24)))),1),"")</x:f>
        <x:v>0.9094545454545454</x:v>
      </x:c>
      <x:c r="BE131" s="27" t="n">
        <x:f>IF(ISNUMBER(AM131),IF('Scoring Setup'!$L$25=1,1-'Scoring Setup'!$B$5*(1-MAX(0,MIN(1,(AM131-'Scoring Setup'!$K$25)/(100-'Scoring Setup'!$K$25)))),1),"")</x:f>
        <x:v>0.8549228700052378</x:v>
      </x:c>
      <x:c r="BF131" s="27" t="n">
        <x:f>IF(ISNUMBER(AN131),IF('Scoring Setup'!$L$26=1,1-'Scoring Setup'!$B$5*(1-MAX(0,MIN(1,(AN131-'Scoring Setup'!$K$26)/(100-'Scoring Setup'!$K$26)))),1),"")</x:f>
        <x:v>0.977621005370185</x:v>
      </x:c>
      <x:c r="BG131" s="34" t="n">
        <x:f>IF(COUNT(W131,X131)=2,AVERAGE(W131,X131),"")</x:f>
        <x:v>44.93493635077793</x:v>
      </x:c>
      <x:c r="BH131" s="34" t="n">
        <x:f>IF(COUNT(Y131,Z131)=2,AVERAGE(Y131,Z131),"")</x:f>
        <x:v>34.58705875024373</x:v>
      </x:c>
      <x:c r="BI131" s="34" t="n">
        <x:f>IF(COUNT(AA131,AB131,AC131)=3,AVERAGE(AA131,AB131,AC131),"")</x:f>
        <x:v>67.02847019487486</x:v>
      </x:c>
      <x:c r="BJ131" s="34" t="n">
        <x:f>IF(COUNT(AD131,AE131)=2,AVERAGE(AD131,AE131),"")</x:f>
        <x:v>79.32853870535715</x:v>
      </x:c>
      <x:c r="BK131" s="34" t="n">
        <x:f>IF(COUNT(AF131,AG131)=2,AVERAGE(AF131,AG131),"")</x:f>
        <x:v>56.7700964507853</x:v>
      </x:c>
      <x:c r="BL131" s="34" t="n">
        <x:f>IF(COUNT(AH131,AI131)=2,AVERAGE(AH131,AI131),"")</x:f>
        <x:v>75.10490364559112</x:v>
      </x:c>
      <x:c r="BM131" s="34" t="n">
        <x:f>IF(COUNT(AJ131,AK131)=2,AVERAGE(AJ131,AK131),"")</x:f>
        <x:v>100</x:v>
      </x:c>
      <x:c r="BN131" s="34" t="n">
        <x:f>IF(COUNT(AL131,AM131,AN131)=3,AVERAGE(AL131,AM131,AN131),"")</x:f>
        <x:v>56.999736804994704</x:v>
      </x:c>
      <x:c r="BO131" s="35" t="n">
        <x:f>IF(AND(COUNT(BG131:BN131)=8,ABS('Scoring Setup'!$C$17-1)&lt;0.000001),BG131*'Scoring Setup'!$C$9+BH131*'Scoring Setup'!$C$10+BI131*'Scoring Setup'!$C$11+BJ131*'Scoring Setup'!$C$12+BK131*'Scoring Setup'!$C$13+BL131*'Scoring Setup'!$C$14+BM131*'Scoring Setup'!$C$15+BN131*'Scoring Setup'!$C$16,"")</x:f>
        <x:v>57.57878214400624</x:v>
      </x:c>
      <x:c r="BP131" s="36" t="n">
        <x:f>IF(COUNT(AO131:BF131)=18,MIN(AO131:BF131),"")</x:f>
        <x:v>0.8021708211692492</x:v>
      </x:c>
      <x:c r="BQ131" s="35" t="n">
        <x:f>IF(AND(ISNUMBER(BO131),ISNUMBER(BP131)),BO131*BP131,"")</x:f>
        <x:v>46.18801895438279</x:v>
      </x:c>
      <x:c r="BR131" s="17" t="str">
        <x:f>IF(COUNT(AO131:BF131)=18,INDEX('Scoring Setup'!$F$9:$F$26,MATCH(MIN(AO131:BF131),AO131:BF131,0),1),"")</x:f>
        <x:v>低不透水土地比例</x:v>
      </x:c>
    </x:row>
    <x:row r="132">
      <x:c r="A132" s="28" t="str">
        <x:v>51790</x:v>
      </x:c>
      <x:c r="B132" s="28" t="str">
        <x:v>Staunton city</x:v>
      </x:c>
      <x:c r="C132" s="28" t="str">
        <x:v>VA</x:v>
      </x:c>
      <x:c r="D132" s="31" t="n">
        <x:v>51.593818</x:v>
      </x:c>
      <x:c r="E132" s="32" t="n">
        <x:v>0.456</x:v>
      </x:c>
      <x:c r="F132" s="32" t="n">
        <x:v>0.351485148514851</x:v>
      </x:c>
      <x:c r="G132" s="32" t="n">
        <x:v>2.819704746608247</x:v>
      </x:c>
      <x:c r="H132" s="32" t="n">
        <x:v>3.067942118</x:v>
      </x:c>
      <x:c r="I132" s="32" t="n">
        <x:v>0.5298646553676253</x:v>
      </x:c>
      <x:c r="J132" s="32" t="n">
        <x:v>0</x:v>
      </x:c>
      <x:c r="K132" s="32" t="n">
        <x:v>0</x:v>
      </x:c>
      <x:c r="L132" s="32" t="n">
        <x:v>0.786426573</x:v>
      </x:c>
      <x:c r="M132" s="32" t="n">
        <x:v>0.786067867</x:v>
      </x:c>
      <x:c r="N132" s="32" t="n">
        <x:v>13273</x:v>
      </x:c>
      <x:c r="O132" s="32" t="n">
        <x:v>0.6048</x:v>
      </x:c>
      <x:c r="P132" s="32" t="n">
        <x:v>799.9847106933594</x:v>
      </x:c>
      <x:c r="Q132" s="32" t="n">
        <x:v>11.168731768925984</x:v>
      </x:c>
      <x:c r="R132" s="32" t="n">
        <x:v>3.912237975464496</x:v>
      </x:c>
      <x:c r="S132" s="32" t="n">
        <x:v>0.6667416945151187</x:v>
      </x:c>
      <x:c r="T132" s="32" t="n">
        <x:v>89.9</x:v>
      </x:c>
      <x:c r="U132" s="32" t="n">
        <x:v>245.07712999476223</x:v>
      </x:c>
      <x:c r="V132" s="32" t="n">
        <x:v>244.75798925963002</x:v>
      </x:c>
      <x:c r="W132" s="33" t="n">
        <x:f>IF(ISNUMBER(E132),100*MAX(0,MIN(1,('Anchors'!$H$6-E132)/('Anchors'!$H$6-'Anchors'!$G$6))),"")</x:f>
        <x:v>63.42857142857143</x:v>
      </x:c>
      <x:c r="X132" s="33" t="n">
        <x:f>IF(ISNUMBER(F132),100*MAX(0,MIN(1,('Anchors'!$H$7-F132)/('Anchors'!$H$7-'Anchors'!$G$7))),"")</x:f>
        <x:v>64.07355021216415</x:v>
      </x:c>
      <x:c r="Y132" s="33" t="n">
        <x:f>IF(ISNUMBER(G132),100*MAX(0,MIN(1,('Anchors'!$H$8-G132)/('Anchors'!$H$8-'Anchors'!$G$8))),"")</x:f>
        <x:v>39.34317511305843</x:v>
      </x:c>
      <x:c r="Z132" s="33" t="n">
        <x:f>IF(ISNUMBER(H132),100*MAX(0,MIN(1,('Anchors'!$H$9-H132)/('Anchors'!$H$9-'Anchors'!$G$9))),"")</x:f>
        <x:v>31.06859606666667</x:v>
      </x:c>
      <x:c r="AA132" s="33" t="n">
        <x:f>IF(ISNUMBER(I132),100*MAX(0,MIN(1,(I132-'Anchors'!$H$10)/('Anchors'!$G$10-'Anchors'!$H$10))),"")</x:f>
        <x:v>38.337624022962366</x:v>
      </x:c>
      <x:c r="AB132" s="33" t="n">
        <x:f>IF(ISNUMBER(J132),100*MAX(0,MIN(1,('Anchors'!$H$11-J132)/('Anchors'!$H$11-'Anchors'!$G$11))),"")</x:f>
        <x:v>100</x:v>
      </x:c>
      <x:c r="AC132" s="33" t="n">
        <x:f>IF(ISNUMBER(K132),100*MAX(0,MIN(1,('Anchors'!$H$12-K132)/('Anchors'!$H$12-'Anchors'!$G$12))),"")</x:f>
        <x:v>100</x:v>
      </x:c>
      <x:c r="AD132" s="33" t="n">
        <x:f>IF(ISNUMBER(L132),100*MAX(0,MIN(1,(L132-'Anchors'!$H$13)/('Anchors'!$G$13-'Anchors'!$H$13))),"")</x:f>
        <x:v>83.77522471428573</x:v>
      </x:c>
      <x:c r="AE132" s="33" t="n">
        <x:f>IF(ISNUMBER(M132),100*MAX(0,MIN(1,(M132-'Anchors'!$H$14)/('Anchors'!$G$14-'Anchors'!$H$14))),"")</x:f>
        <x:v>85.758483375</x:v>
      </x:c>
      <x:c r="AF132" s="33" t="n">
        <x:f>IF(ISNUMBER(N132),100*MAX(0,MIN(1,(LN(1+N132)-LN(1+'Anchors'!$H$15))/(LN(1+'Anchors'!$G$15)-LN(1+'Anchors'!$H$15)))),"")</x:f>
        <x:v>43.83049368137177</x:v>
      </x:c>
      <x:c r="AG132" s="33" t="n">
        <x:f>IF(ISNUMBER(O132),100*MAX(0,MIN(1,('Anchors'!$H$16-O132)/('Anchors'!$H$16-'Anchors'!$G$16))),"")</x:f>
        <x:v>38.355555555555554</x:v>
      </x:c>
      <x:c r="AH132" s="33" t="n">
        <x:f>IF(ISNUMBER(P132),100*MAX(0,MIN(1,('Anchors'!$H$17-P132)/('Anchors'!$H$17-'Anchors'!$G$17))),"")</x:f>
        <x:v>93.3343526204427</x:v>
      </x:c>
      <x:c r="AI132" s="33" t="n">
        <x:f>IF(ISNUMBER(Q132),100*MAX(0,MIN(1,('Anchors'!$H$18-Q132)/('Anchors'!$H$18-'Anchors'!$G$18))),"")</x:f>
        <x:v>91.18752604439145</x:v>
      </x:c>
      <x:c r="AJ132" s="33" t="n">
        <x:f>IF(ISNUMBER(R132),100*MAX(0,MIN(1,('Anchors'!$H$19-R132)/('Anchors'!$H$19-'Anchors'!$G$19))),"")</x:f>
        <x:v>100</x:v>
      </x:c>
      <x:c r="AK132" s="33" t="n">
        <x:f>IF(ISNUMBER(S132),100*MAX(0,MIN(1,('Anchors'!$H$20-S132)/('Anchors'!$H$20-'Anchors'!$G$20))),"")</x:f>
        <x:v>100</x:v>
      </x:c>
      <x:c r="AL132" s="33" t="n">
        <x:f>IF(ISNUMBER(T132),100*MAX(0,MIN(1,('Anchors'!$H$21-T132)/('Anchors'!$H$21-'Anchors'!$G$21))),"")</x:f>
        <x:v>54.72727272727271</x:v>
      </x:c>
      <x:c r="AM132" s="33" t="n">
        <x:f>IF(ISNUMBER(U132),100*MAX(0,MIN(1,('Anchors'!$H$22-U132)/('Anchors'!$H$22-'Anchors'!$G$22))),"")</x:f>
        <x:v>27.461435002618884</x:v>
      </x:c>
      <x:c r="AN132" s="33" t="n">
        <x:f>IF(ISNUMBER(V132),100*MAX(0,MIN(1,('Anchors'!$H$23-V132)/('Anchors'!$H$23-'Anchors'!$G$23))),"")</x:f>
        <x:v>88.8105026850925</x:v>
      </x:c>
      <x:c r="AO132" s="27" t="n">
        <x:f>IF(ISNUMBER(W132),IF('Scoring Setup'!$L$9=1,1-'Scoring Setup'!$B$5*(1-MAX(0,MIN(1,(W132-'Scoring Setup'!$K$9)/(100-'Scoring Setup'!$K$9)))),1),"")</x:f>
        <x:v>0.9268571428571428</x:v>
      </x:c>
      <x:c r="AP132" s="27" t="n">
        <x:f>IF(ISNUMBER(X132),IF('Scoring Setup'!$L$10=1,1-'Scoring Setup'!$B$5*(1-MAX(0,MIN(1,(X132-'Scoring Setup'!$K$10)/(100-'Scoring Setup'!$K$10)))),1),"")</x:f>
        <x:v>0.9281471004243284</x:v>
      </x:c>
      <x:c r="AQ132" s="27" t="n">
        <x:f>IF(ISNUMBER(Y132),IF('Scoring Setup'!$L$11=1,1-'Scoring Setup'!$B$5*(1-MAX(0,MIN(1,(Y132-'Scoring Setup'!$K$11)/(100-'Scoring Setup'!$K$11)))),1),"")</x:f>
        <x:v>0.8786863502261169</x:v>
      </x:c>
      <x:c r="AR132" s="27" t="n">
        <x:f>IF(ISNUMBER(Z132),IF('Scoring Setup'!$L$12=1,1-'Scoring Setup'!$B$5*(1-MAX(0,MIN(1,(Z132-'Scoring Setup'!$K$12)/(100-'Scoring Setup'!$K$12)))),1),"")</x:f>
        <x:v>0.8621371921333334</x:v>
      </x:c>
      <x:c r="AS132" s="27" t="n">
        <x:f>IF(ISNUMBER(AA132),IF('Scoring Setup'!$L$13=1,1-'Scoring Setup'!$B$5*(1-MAX(0,MIN(1,(AA132-'Scoring Setup'!$K$13)/(100-'Scoring Setup'!$K$13)))),1),"")</x:f>
        <x:v>0.8766752480459248</x:v>
      </x:c>
      <x:c r="AT132" s="27" t="n">
        <x:f>IF(ISNUMBER(AB132),IF('Scoring Setup'!$L$14=1,1-'Scoring Setup'!$B$5*(1-MAX(0,MIN(1,(AB132-'Scoring Setup'!$K$14)/(100-'Scoring Setup'!$K$14)))),1),"")</x:f>
        <x:v>1</x:v>
      </x:c>
      <x:c r="AU132" s="27" t="n">
        <x:f>IF(ISNUMBER(AC132),IF('Scoring Setup'!$L$15=1,1-'Scoring Setup'!$B$5*(1-MAX(0,MIN(1,(AC132-'Scoring Setup'!$K$15)/(100-'Scoring Setup'!$K$15)))),1),"")</x:f>
        <x:v>1</x:v>
      </x:c>
      <x:c r="AV132" s="27" t="n">
        <x:f>IF(ISNUMBER(AD132),IF('Scoring Setup'!$L$16=1,1-'Scoring Setup'!$B$5*(1-MAX(0,MIN(1,(AD132-'Scoring Setup'!$K$16)/(100-'Scoring Setup'!$K$16)))),1),"")</x:f>
        <x:v>0.9675504494285715</x:v>
      </x:c>
      <x:c r="AW132" s="27" t="n">
        <x:f>IF(ISNUMBER(AE132),IF('Scoring Setup'!$L$17=1,1-'Scoring Setup'!$B$5*(1-MAX(0,MIN(1,(AE132-'Scoring Setup'!$K$17)/(100-'Scoring Setup'!$K$17)))),1),"")</x:f>
        <x:v>0.97151696675</x:v>
      </x:c>
      <x:c r="AX132" s="27" t="n">
        <x:f>IF(ISNUMBER(AF132),IF('Scoring Setup'!$L$18=1,1-'Scoring Setup'!$B$5*(1-MAX(0,MIN(1,(AF132-'Scoring Setup'!$K$18)/(100-'Scoring Setup'!$K$18)))),1),"")</x:f>
        <x:v>0.8876609873627436</x:v>
      </x:c>
      <x:c r="AY132" s="27" t="n">
        <x:f>IF(ISNUMBER(AG132),IF('Scoring Setup'!$L$19=1,1-'Scoring Setup'!$B$5*(1-MAX(0,MIN(1,(AG132-'Scoring Setup'!$K$19)/(100-'Scoring Setup'!$K$19)))),1),"")</x:f>
        <x:v>0.8767111111111111</x:v>
      </x:c>
      <x:c r="AZ132" s="27" t="n">
        <x:f>IF(ISNUMBER(AH132),IF('Scoring Setup'!$L$20=1,1-'Scoring Setup'!$B$5*(1-MAX(0,MIN(1,(AH132-'Scoring Setup'!$K$20)/(100-'Scoring Setup'!$K$20)))),1),"")</x:f>
        <x:v>0.9866687052408853</x:v>
      </x:c>
      <x:c r="BA132" s="27" t="n">
        <x:f>IF(ISNUMBER(AI132),IF('Scoring Setup'!$L$21=1,1-'Scoring Setup'!$B$5*(1-MAX(0,MIN(1,(AI132-'Scoring Setup'!$K$21)/(100-'Scoring Setup'!$K$21)))),1),"")</x:f>
        <x:v>0.9823750520887828</x:v>
      </x:c>
      <x:c r="BB132" s="27" t="n">
        <x:f>IF(ISNUMBER(AJ132),IF('Scoring Setup'!$L$22=1,1-'Scoring Setup'!$B$5*(1-MAX(0,MIN(1,(AJ132-'Scoring Setup'!$K$22)/(100-'Scoring Setup'!$K$22)))),1),"")</x:f>
        <x:v>1</x:v>
      </x:c>
      <x:c r="BC132" s="27" t="n">
        <x:f>IF(ISNUMBER(AK132),IF('Scoring Setup'!$L$23=1,1-'Scoring Setup'!$B$5*(1-MAX(0,MIN(1,(AK132-'Scoring Setup'!$K$23)/(100-'Scoring Setup'!$K$23)))),1),"")</x:f>
        <x:v>1</x:v>
      </x:c>
      <x:c r="BD132" s="27" t="n">
        <x:f>IF(ISNUMBER(AL132),IF('Scoring Setup'!$L$24=1,1-'Scoring Setup'!$B$5*(1-MAX(0,MIN(1,(AL132-'Scoring Setup'!$K$24)/(100-'Scoring Setup'!$K$24)))),1),"")</x:f>
        <x:v>0.9094545454545454</x:v>
      </x:c>
      <x:c r="BE132" s="27" t="n">
        <x:f>IF(ISNUMBER(AM132),IF('Scoring Setup'!$L$25=1,1-'Scoring Setup'!$B$5*(1-MAX(0,MIN(1,(AM132-'Scoring Setup'!$K$25)/(100-'Scoring Setup'!$K$25)))),1),"")</x:f>
        <x:v>0.8549228700052378</x:v>
      </x:c>
      <x:c r="BF132" s="27" t="n">
        <x:f>IF(ISNUMBER(AN132),IF('Scoring Setup'!$L$26=1,1-'Scoring Setup'!$B$5*(1-MAX(0,MIN(1,(AN132-'Scoring Setup'!$K$26)/(100-'Scoring Setup'!$K$26)))),1),"")</x:f>
        <x:v>0.977621005370185</x:v>
      </x:c>
      <x:c r="BG132" s="34" t="n">
        <x:f>IF(COUNT(W132,X132)=2,AVERAGE(W132,X132),"")</x:f>
        <x:v>63.75106082036779</x:v>
      </x:c>
      <x:c r="BH132" s="34" t="n">
        <x:f>IF(COUNT(Y132,Z132)=2,AVERAGE(Y132,Z132),"")</x:f>
        <x:v>35.20588558986255</x:v>
      </x:c>
      <x:c r="BI132" s="34" t="n">
        <x:f>IF(COUNT(AA132,AB132,AC132)=3,AVERAGE(AA132,AB132,AC132),"")</x:f>
        <x:v>79.44587467432079</x:v>
      </x:c>
      <x:c r="BJ132" s="34" t="n">
        <x:f>IF(COUNT(AD132,AE132)=2,AVERAGE(AD132,AE132),"")</x:f>
        <x:v>84.76685404464286</x:v>
      </x:c>
      <x:c r="BK132" s="34" t="n">
        <x:f>IF(COUNT(AF132,AG132)=2,AVERAGE(AF132,AG132),"")</x:f>
        <x:v>41.09302461846366</x:v>
      </x:c>
      <x:c r="BL132" s="34" t="n">
        <x:f>IF(COUNT(AH132,AI132)=2,AVERAGE(AH132,AI132),"")</x:f>
        <x:v>92.26093933241708</x:v>
      </x:c>
      <x:c r="BM132" s="34" t="n">
        <x:f>IF(COUNT(AJ132,AK132)=2,AVERAGE(AJ132,AK132),"")</x:f>
        <x:v>100</x:v>
      </x:c>
      <x:c r="BN132" s="34" t="n">
        <x:f>IF(COUNT(AL132,AM132,AN132)=3,AVERAGE(AL132,AM132,AN132),"")</x:f>
        <x:v>56.999736804994704</x:v>
      </x:c>
      <x:c r="BO132" s="35" t="n">
        <x:f>IF(AND(COUNT(BG132:BN132)=8,ABS('Scoring Setup'!$C$17-1)&lt;0.000001),BG132*'Scoring Setup'!$C$9+BH132*'Scoring Setup'!$C$10+BI132*'Scoring Setup'!$C$11+BJ132*'Scoring Setup'!$C$12+BK132*'Scoring Setup'!$C$13+BL132*'Scoring Setup'!$C$14+BM132*'Scoring Setup'!$C$15+BN132*'Scoring Setup'!$C$16,"")</x:f>
        <x:v>60.65982654187129</x:v>
      </x:c>
      <x:c r="BP132" s="36" t="n">
        <x:f>IF(COUNT(AO132:BF132)=18,MIN(AO132:BF132),"")</x:f>
        <x:v>0.8549228700052378</x:v>
      </x:c>
      <x:c r="BQ132" s="35" t="n">
        <x:f>IF(AND(ISNUMBER(BO132),ISNUMBER(BP132)),BO132*BP132,"")</x:f>
        <x:v>51.859473001196505</x:v>
      </x:c>
      <x:c r="BR132" s="17" t="str">
        <x:f>IF(COUNT(AO132:BF132)=18,INDEX('Scoring Setup'!$F$9:$F$26,MATCH(MIN(AO132:BF132),AO132:BF132,0),1),"")</x:f>
        <x:v>州SAIDI不含重大事件日</x:v>
      </x:c>
    </x:row>
    <x:row r="133">
      <x:c r="A133" s="28" t="str">
        <x:v>51800</x:v>
      </x:c>
      <x:c r="B133" s="28" t="str">
        <x:v>Suffolk city</x:v>
      </x:c>
      <x:c r="C133" s="28" t="str">
        <x:v>VA</x:v>
      </x:c>
      <x:c r="D133" s="31" t="n">
        <x:v>1033.837944</x:v>
      </x:c>
      <x:c r="E133" s="32" t="n">
        <x:v>0.384</x:v>
      </x:c>
      <x:c r="F133" s="32" t="n">
        <x:v>0.0758044554455445</x:v>
      </x:c>
      <x:c r="G133" s="32" t="n">
        <x:v>2.3267364345799213</x:v>
      </x:c>
      <x:c r="H133" s="32" t="n">
        <x:v>2.7078319527527874</x:v>
      </x:c>
      <x:c r="I133" s="32" t="n">
        <x:v>0.8737804555050249</x:v>
      </x:c>
      <x:c r="J133" s="32" t="n">
        <x:v>0.15166887410331995</x:v>
      </x:c>
      <x:c r="K133" s="32" t="n">
        <x:v>0.3493843552685625</x:v>
      </x:c>
      <x:c r="L133" s="32" t="n">
        <x:v>0.647566651</x:v>
      </x:c>
      <x:c r="M133" s="32" t="n">
        <x:v>0.605401644</x:v>
      </x:c>
      <x:c r="N133" s="32" t="n">
        <x:v>50564</x:v>
      </x:c>
      <x:c r="O133" s="32" t="n">
        <x:v>0.4788</x:v>
      </x:c>
      <x:c r="P133" s="32" t="n">
        <x:v>1388.1778076171877</x:v>
      </x:c>
      <x:c r="Q133" s="32" t="n">
        <x:v>24.930801836649575</x:v>
      </x:c>
      <x:c r="R133" s="32" t="n">
        <x:v>21.279565742207165</x:v>
      </x:c>
      <x:c r="S133" s="32" t="n">
        <x:v>1.0286922491371366</x:v>
      </x:c>
      <x:c r="T133" s="32" t="n">
        <x:v>89.9</x:v>
      </x:c>
      <x:c r="U133" s="32" t="n">
        <x:v>245.07712999476223</x:v>
      </x:c>
      <x:c r="V133" s="32" t="n">
        <x:v>244.75798925963002</x:v>
      </x:c>
      <x:c r="W133" s="33" t="n">
        <x:f>IF(ISNUMBER(E133),100*MAX(0,MIN(1,('Anchors'!$H$6-E133)/('Anchors'!$H$6-'Anchors'!$G$6))),"")</x:f>
        <x:v>73.71428571428572</x:v>
      </x:c>
      <x:c r="X133" s="33" t="n">
        <x:f>IF(ISNUMBER(F133),100*MAX(0,MIN(1,('Anchors'!$H$7-F133)/('Anchors'!$H$7-'Anchors'!$G$7))),"")</x:f>
        <x:v>100</x:v>
      </x:c>
      <x:c r="Y133" s="33" t="n">
        <x:f>IF(ISNUMBER(G133),100*MAX(0,MIN(1,('Anchors'!$H$8-G133)/('Anchors'!$H$8-'Anchors'!$G$8))),"")</x:f>
        <x:v>55.77545218066929</x:v>
      </x:c>
      <x:c r="Z133" s="33" t="n">
        <x:f>IF(ISNUMBER(H133),100*MAX(0,MIN(1,('Anchors'!$H$9-H133)/('Anchors'!$H$9-'Anchors'!$G$9))),"")</x:f>
        <x:v>43.07226824157375</x:v>
      </x:c>
      <x:c r="AA133" s="33" t="n">
        <x:f>IF(ISNUMBER(I133),100*MAX(0,MIN(1,(I133-'Anchors'!$H$10)/('Anchors'!$G$10-'Anchors'!$H$10))),"")</x:f>
        <x:v>85.44937746644177</x:v>
      </x:c>
      <x:c r="AB133" s="33" t="n">
        <x:f>IF(ISNUMBER(J133),100*MAX(0,MIN(1,('Anchors'!$H$11-J133)/('Anchors'!$H$11-'Anchors'!$G$11))),"")</x:f>
        <x:v>39.33245035867202</x:v>
      </x:c>
      <x:c r="AC133" s="33" t="n">
        <x:f>IF(ISNUMBER(K133),100*MAX(0,MIN(1,('Anchors'!$H$12-K133)/('Anchors'!$H$12-'Anchors'!$G$12))),"")</x:f>
        <x:v>12.653911182859384</x:v>
      </x:c>
      <x:c r="AD133" s="33" t="n">
        <x:f>IF(ISNUMBER(L133),100*MAX(0,MIN(1,(L133-'Anchors'!$H$13)/('Anchors'!$G$13-'Anchors'!$H$13))),"")</x:f>
        <x:v>63.93809300000001</x:v>
      </x:c>
      <x:c r="AE133" s="33" t="n">
        <x:f>IF(ISNUMBER(M133),100*MAX(0,MIN(1,(M133-'Anchors'!$H$14)/('Anchors'!$G$14-'Anchors'!$H$14))),"")</x:f>
        <x:v>63.1752055</x:v>
      </x:c>
      <x:c r="AF133" s="33" t="n">
        <x:f>IF(ISNUMBER(N133),100*MAX(0,MIN(1,(LN(1+N133)-LN(1+'Anchors'!$H$15))/(LN(1+'Anchors'!$G$15)-LN(1+'Anchors'!$H$15)))),"")</x:f>
        <x:v>74.81159122768229</x:v>
      </x:c>
      <x:c r="AG133" s="33" t="n">
        <x:f>IF(ISNUMBER(O133),100*MAX(0,MIN(1,('Anchors'!$H$16-O133)/('Anchors'!$H$16-'Anchors'!$G$16))),"")</x:f>
        <x:v>52.355555555555554</x:v>
      </x:c>
      <x:c r="AH133" s="33" t="n">
        <x:f>IF(ISNUMBER(P133),100*MAX(0,MIN(1,('Anchors'!$H$17-P133)/('Anchors'!$H$17-'Anchors'!$G$17))),"")</x:f>
        <x:v>54.12147949218748</x:v>
      </x:c>
      <x:c r="AI133" s="33" t="n">
        <x:f>IF(ISNUMBER(Q133),100*MAX(0,MIN(1,('Anchors'!$H$18-Q133)/('Anchors'!$H$18-'Anchors'!$G$18))),"")</x:f>
        <x:v>71.52742594764347</x:v>
      </x:c>
      <x:c r="AJ133" s="33" t="n">
        <x:f>IF(ISNUMBER(R133),100*MAX(0,MIN(1,('Anchors'!$H$19-R133)/('Anchors'!$H$19-'Anchors'!$G$19))),"")</x:f>
        <x:v>63.823187239539635</x:v>
      </x:c>
      <x:c r="AK133" s="33" t="n">
        <x:f>IF(ISNUMBER(S133),100*MAX(0,MIN(1,('Anchors'!$H$20-S133)/('Anchors'!$H$20-'Anchors'!$G$20))),"")</x:f>
        <x:v>99.84898816243613</x:v>
      </x:c>
      <x:c r="AL133" s="33" t="n">
        <x:f>IF(ISNUMBER(T133),100*MAX(0,MIN(1,('Anchors'!$H$21-T133)/('Anchors'!$H$21-'Anchors'!$G$21))),"")</x:f>
        <x:v>54.72727272727271</x:v>
      </x:c>
      <x:c r="AM133" s="33" t="n">
        <x:f>IF(ISNUMBER(U133),100*MAX(0,MIN(1,('Anchors'!$H$22-U133)/('Anchors'!$H$22-'Anchors'!$G$22))),"")</x:f>
        <x:v>27.461435002618884</x:v>
      </x:c>
      <x:c r="AN133" s="33" t="n">
        <x:f>IF(ISNUMBER(V133),100*MAX(0,MIN(1,('Anchors'!$H$23-V133)/('Anchors'!$H$23-'Anchors'!$G$23))),"")</x:f>
        <x:v>88.8105026850925</x:v>
      </x:c>
      <x:c r="AO133" s="27" t="n">
        <x:f>IF(ISNUMBER(W133),IF('Scoring Setup'!$L$9=1,1-'Scoring Setup'!$B$5*(1-MAX(0,MIN(1,(W133-'Scoring Setup'!$K$9)/(100-'Scoring Setup'!$K$9)))),1),"")</x:f>
        <x:v>0.9474285714285714</x:v>
      </x:c>
      <x:c r="AP133" s="27" t="n">
        <x:f>IF(ISNUMBER(X133),IF('Scoring Setup'!$L$10=1,1-'Scoring Setup'!$B$5*(1-MAX(0,MIN(1,(X133-'Scoring Setup'!$K$10)/(100-'Scoring Setup'!$K$10)))),1),"")</x:f>
        <x:v>1</x:v>
      </x:c>
      <x:c r="AQ133" s="27" t="n">
        <x:f>IF(ISNUMBER(Y133),IF('Scoring Setup'!$L$11=1,1-'Scoring Setup'!$B$5*(1-MAX(0,MIN(1,(Y133-'Scoring Setup'!$K$11)/(100-'Scoring Setup'!$K$11)))),1),"")</x:f>
        <x:v>0.9115509043613386</x:v>
      </x:c>
      <x:c r="AR133" s="27" t="n">
        <x:f>IF(ISNUMBER(Z133),IF('Scoring Setup'!$L$12=1,1-'Scoring Setup'!$B$5*(1-MAX(0,MIN(1,(Z133-'Scoring Setup'!$K$12)/(100-'Scoring Setup'!$K$12)))),1),"")</x:f>
        <x:v>0.8861445364831475</x:v>
      </x:c>
      <x:c r="AS133" s="27" t="n">
        <x:f>IF(ISNUMBER(AA133),IF('Scoring Setup'!$L$13=1,1-'Scoring Setup'!$B$5*(1-MAX(0,MIN(1,(AA133-'Scoring Setup'!$K$13)/(100-'Scoring Setup'!$K$13)))),1),"")</x:f>
        <x:v>0.9708987549328836</x:v>
      </x:c>
      <x:c r="AT133" s="27" t="n">
        <x:f>IF(ISNUMBER(AB133),IF('Scoring Setup'!$L$14=1,1-'Scoring Setup'!$B$5*(1-MAX(0,MIN(1,(AB133-'Scoring Setup'!$K$14)/(100-'Scoring Setup'!$K$14)))),1),"")</x:f>
        <x:v>0.878664900717344</x:v>
      </x:c>
      <x:c r="AU133" s="27" t="n">
        <x:f>IF(ISNUMBER(AC133),IF('Scoring Setup'!$L$15=1,1-'Scoring Setup'!$B$5*(1-MAX(0,MIN(1,(AC133-'Scoring Setup'!$K$15)/(100-'Scoring Setup'!$K$15)))),1),"")</x:f>
        <x:v>0.8253078223657188</x:v>
      </x:c>
      <x:c r="AV133" s="27" t="n">
        <x:f>IF(ISNUMBER(AD133),IF('Scoring Setup'!$L$16=1,1-'Scoring Setup'!$B$5*(1-MAX(0,MIN(1,(AD133-'Scoring Setup'!$K$16)/(100-'Scoring Setup'!$K$16)))),1),"")</x:f>
        <x:v>0.927876186</x:v>
      </x:c>
      <x:c r="AW133" s="27" t="n">
        <x:f>IF(ISNUMBER(AE133),IF('Scoring Setup'!$L$17=1,1-'Scoring Setup'!$B$5*(1-MAX(0,MIN(1,(AE133-'Scoring Setup'!$K$17)/(100-'Scoring Setup'!$K$17)))),1),"")</x:f>
        <x:v>0.926350411</x:v>
      </x:c>
      <x:c r="AX133" s="27" t="n">
        <x:f>IF(ISNUMBER(AF133),IF('Scoring Setup'!$L$18=1,1-'Scoring Setup'!$B$5*(1-MAX(0,MIN(1,(AF133-'Scoring Setup'!$K$18)/(100-'Scoring Setup'!$K$18)))),1),"")</x:f>
        <x:v>0.9496231824553646</x:v>
      </x:c>
      <x:c r="AY133" s="27" t="n">
        <x:f>IF(ISNUMBER(AG133),IF('Scoring Setup'!$L$19=1,1-'Scoring Setup'!$B$5*(1-MAX(0,MIN(1,(AG133-'Scoring Setup'!$K$19)/(100-'Scoring Setup'!$K$19)))),1),"")</x:f>
        <x:v>0.9047111111111111</x:v>
      </x:c>
      <x:c r="AZ133" s="27" t="n">
        <x:f>IF(ISNUMBER(AH133),IF('Scoring Setup'!$L$20=1,1-'Scoring Setup'!$B$5*(1-MAX(0,MIN(1,(AH133-'Scoring Setup'!$K$20)/(100-'Scoring Setup'!$K$20)))),1),"")</x:f>
        <x:v>0.908242958984375</x:v>
      </x:c>
      <x:c r="BA133" s="27" t="n">
        <x:f>IF(ISNUMBER(AI133),IF('Scoring Setup'!$L$21=1,1-'Scoring Setup'!$B$5*(1-MAX(0,MIN(1,(AI133-'Scoring Setup'!$K$21)/(100-'Scoring Setup'!$K$21)))),1),"")</x:f>
        <x:v>0.9430548518952869</x:v>
      </x:c>
      <x:c r="BB133" s="27" t="n">
        <x:f>IF(ISNUMBER(AJ133),IF('Scoring Setup'!$L$22=1,1-'Scoring Setup'!$B$5*(1-MAX(0,MIN(1,(AJ133-'Scoring Setup'!$K$22)/(100-'Scoring Setup'!$K$22)))),1),"")</x:f>
        <x:v>0.9276463744790793</x:v>
      </x:c>
      <x:c r="BC133" s="27" t="n">
        <x:f>IF(ISNUMBER(AK133),IF('Scoring Setup'!$L$23=1,1-'Scoring Setup'!$B$5*(1-MAX(0,MIN(1,(AK133-'Scoring Setup'!$K$23)/(100-'Scoring Setup'!$K$23)))),1),"")</x:f>
        <x:v>0.9996979763248722</x:v>
      </x:c>
      <x:c r="BD133" s="27" t="n">
        <x:f>IF(ISNUMBER(AL133),IF('Scoring Setup'!$L$24=1,1-'Scoring Setup'!$B$5*(1-MAX(0,MIN(1,(AL133-'Scoring Setup'!$K$24)/(100-'Scoring Setup'!$K$24)))),1),"")</x:f>
        <x:v>0.9094545454545454</x:v>
      </x:c>
      <x:c r="BE133" s="27" t="n">
        <x:f>IF(ISNUMBER(AM133),IF('Scoring Setup'!$L$25=1,1-'Scoring Setup'!$B$5*(1-MAX(0,MIN(1,(AM133-'Scoring Setup'!$K$25)/(100-'Scoring Setup'!$K$25)))),1),"")</x:f>
        <x:v>0.8549228700052378</x:v>
      </x:c>
      <x:c r="BF133" s="27" t="n">
        <x:f>IF(ISNUMBER(AN133),IF('Scoring Setup'!$L$26=1,1-'Scoring Setup'!$B$5*(1-MAX(0,MIN(1,(AN133-'Scoring Setup'!$K$26)/(100-'Scoring Setup'!$K$26)))),1),"")</x:f>
        <x:v>0.977621005370185</x:v>
      </x:c>
      <x:c r="BG133" s="34" t="n">
        <x:f>IF(COUNT(W133,X133)=2,AVERAGE(W133,X133),"")</x:f>
        <x:v>86.85714285714286</x:v>
      </x:c>
      <x:c r="BH133" s="34" t="n">
        <x:f>IF(COUNT(Y133,Z133)=2,AVERAGE(Y133,Z133),"")</x:f>
        <x:v>49.42386021112152</x:v>
      </x:c>
      <x:c r="BI133" s="34" t="n">
        <x:f>IF(COUNT(AA133,AB133,AC133)=3,AVERAGE(AA133,AB133,AC133),"")</x:f>
        <x:v>45.811913002657725</x:v>
      </x:c>
      <x:c r="BJ133" s="34" t="n">
        <x:f>IF(COUNT(AD133,AE133)=2,AVERAGE(AD133,AE133),"")</x:f>
        <x:v>63.55664925000001</x:v>
      </x:c>
      <x:c r="BK133" s="34" t="n">
        <x:f>IF(COUNT(AF133,AG133)=2,AVERAGE(AF133,AG133),"")</x:f>
        <x:v>63.58357339161892</x:v>
      </x:c>
      <x:c r="BL133" s="34" t="n">
        <x:f>IF(COUNT(AH133,AI133)=2,AVERAGE(AH133,AI133),"")</x:f>
        <x:v>62.82445271991547</x:v>
      </x:c>
      <x:c r="BM133" s="34" t="n">
        <x:f>IF(COUNT(AJ133,AK133)=2,AVERAGE(AJ133,AK133),"")</x:f>
        <x:v>81.83608770098789</x:v>
      </x:c>
      <x:c r="BN133" s="34" t="n">
        <x:f>IF(COUNT(AL133,AM133,AN133)=3,AVERAGE(AL133,AM133,AN133),"")</x:f>
        <x:v>56.999736804994704</x:v>
      </x:c>
      <x:c r="BO133" s="35" t="n">
        <x:f>IF(AND(COUNT(BG133:BN133)=8,ABS('Scoring Setup'!$C$17-1)&lt;0.000001),BG133*'Scoring Setup'!$C$9+BH133*'Scoring Setup'!$C$10+BI133*'Scoring Setup'!$C$11+BJ133*'Scoring Setup'!$C$12+BK133*'Scoring Setup'!$C$13+BL133*'Scoring Setup'!$C$14+BM133*'Scoring Setup'!$C$15+BN133*'Scoring Setup'!$C$16,"")</x:f>
        <x:v>60.19864795490984</x:v>
      </x:c>
      <x:c r="BP133" s="36" t="n">
        <x:f>IF(COUNT(AO133:BF133)=18,MIN(AO133:BF133),"")</x:f>
        <x:v>0.8253078223657188</x:v>
      </x:c>
      <x:c r="BQ133" s="35" t="n">
        <x:f>IF(AND(ISNUMBER(BO133),ISNUMBER(BP133)),BO133*BP133,"")</x:f>
        <x:v>49.682415053027164</x:v>
      </x:c>
      <x:c r="BR133" s="17" t="str">
        <x:f>IF(COUNT(AO133:BF133)=18,INDEX('Scoring Setup'!$F$9:$F$26,MATCH(MIN(AO133:BF133),AO133:BF133,0),1),"")</x:f>
        <x:v>湿地陆地比例</x:v>
      </x:c>
    </x:row>
    <x:row r="134">
      <x:c r="A134" s="28" t="str">
        <x:v>51810</x:v>
      </x:c>
      <x:c r="B134" s="28" t="str">
        <x:v>Virginia Beach city</x:v>
      </x:c>
      <x:c r="C134" s="28" t="str">
        <x:v>VA</x:v>
      </x:c>
      <x:c r="D134" s="31" t="n">
        <x:v>633.821986</x:v>
      </x:c>
      <x:c r="E134" s="32" t="n">
        <x:v>0.586</x:v>
      </x:c>
      <x:c r="F134" s="32" t="n">
        <x:v>0.00618811881188119</x:v>
      </x:c>
      <x:c r="G134" s="32" t="n">
        <x:v>2.193390776865507</x:v>
      </x:c>
      <x:c r="H134" s="32" t="n">
        <x:v>2.6624983145479337</x:v>
      </x:c>
      <x:c r="I134" s="32" t="n">
        <x:v>0.5424224496389445</x:v>
      </x:c>
      <x:c r="J134" s="32" t="n">
        <x:v>0.16445957159577984</x:v>
      </x:c>
      <x:c r="K134" s="32" t="n">
        <x:v>0.31648967044156046</x:v>
      </x:c>
      <x:c r="L134" s="32" t="n">
        <x:v>0.628000657</x:v>
      </x:c>
      <x:c r="M134" s="32" t="n">
        <x:v>0.009655232</x:v>
      </x:c>
      <x:c r="N134" s="32" t="n">
        <x:v>233058</x:v>
      </x:c>
      <x:c r="O134" s="32" t="n">
        <x:v>0.307</x:v>
      </x:c>
      <x:c r="P134" s="32" t="n">
        <x:v>1525.9467814127604</x:v>
      </x:c>
      <x:c r="Q134" s="32" t="n">
        <x:v>21.20953070322673</x:v>
      </x:c>
      <x:c r="R134" s="32" t="n">
        <x:v>6.924662061595166</x:v>
      </x:c>
      <x:c r="S134" s="32" t="n">
        <x:v>2.745419379162609</x:v>
      </x:c>
      <x:c r="T134" s="32" t="n">
        <x:v>89.9</x:v>
      </x:c>
      <x:c r="U134" s="32" t="n">
        <x:v>245.07712999476223</x:v>
      </x:c>
      <x:c r="V134" s="32" t="n">
        <x:v>244.75798925963002</x:v>
      </x:c>
      <x:c r="W134" s="33" t="n">
        <x:f>IF(ISNUMBER(E134),100*MAX(0,MIN(1,('Anchors'!$H$6-E134)/('Anchors'!$H$6-'Anchors'!$G$6))),"")</x:f>
        <x:v>44.85714285714287</x:v>
      </x:c>
      <x:c r="X134" s="33" t="n">
        <x:f>IF(ISNUMBER(F134),100*MAX(0,MIN(1,('Anchors'!$H$7-F134)/('Anchors'!$H$7-'Anchors'!$G$7))),"")</x:f>
        <x:v>100</x:v>
      </x:c>
      <x:c r="Y134" s="33" t="n">
        <x:f>IF(ISNUMBER(G134),100*MAX(0,MIN(1,('Anchors'!$H$8-G134)/('Anchors'!$H$8-'Anchors'!$G$8))),"")</x:f>
        <x:v>60.22030743781643</x:v>
      </x:c>
      <x:c r="Z134" s="33" t="n">
        <x:f>IF(ISNUMBER(H134),100*MAX(0,MIN(1,('Anchors'!$H$9-H134)/('Anchors'!$H$9-'Anchors'!$G$9))),"")</x:f>
        <x:v>44.58338951506888</x:v>
      </x:c>
      <x:c r="AA134" s="33" t="n">
        <x:f>IF(ISNUMBER(I134),100*MAX(0,MIN(1,(I134-'Anchors'!$H$10)/('Anchors'!$G$10-'Anchors'!$H$10))),"")</x:f>
        <x:v>40.05786981355404</x:v>
      </x:c>
      <x:c r="AB134" s="33" t="n">
        <x:f>IF(ISNUMBER(J134),100*MAX(0,MIN(1,('Anchors'!$H$11-J134)/('Anchors'!$H$11-'Anchors'!$G$11))),"")</x:f>
        <x:v>34.21617136168806</x:v>
      </x:c>
      <x:c r="AC134" s="33" t="n">
        <x:f>IF(ISNUMBER(K134),100*MAX(0,MIN(1,('Anchors'!$H$12-K134)/('Anchors'!$H$12-'Anchors'!$G$12))),"")</x:f>
        <x:v>20.87758238960989</x:v>
      </x:c>
      <x:c r="AD134" s="33" t="n">
        <x:f>IF(ISNUMBER(L134),100*MAX(0,MIN(1,(L134-'Anchors'!$H$13)/('Anchors'!$G$13-'Anchors'!$H$13))),"")</x:f>
        <x:v>61.142951000000004</x:v>
      </x:c>
      <x:c r="AE134" s="33" t="n">
        <x:f>IF(ISNUMBER(M134),100*MAX(0,MIN(1,(M134-'Anchors'!$H$14)/('Anchors'!$G$14-'Anchors'!$H$14))),"")</x:f>
        <x:v>0</x:v>
      </x:c>
      <x:c r="AF134" s="33" t="n">
        <x:f>IF(ISNUMBER(N134),100*MAX(0,MIN(1,(LN(1+N134)-LN(1+'Anchors'!$H$15))/(LN(1+'Anchors'!$G$15)-LN(1+'Anchors'!$H$15)))),"")</x:f>
        <x:v>100</x:v>
      </x:c>
      <x:c r="AG134" s="33" t="n">
        <x:f>IF(ISNUMBER(O134),100*MAX(0,MIN(1,('Anchors'!$H$16-O134)/('Anchors'!$H$16-'Anchors'!$G$16))),"")</x:f>
        <x:v>71.44444444444446</x:v>
      </x:c>
      <x:c r="AH134" s="33" t="n">
        <x:f>IF(ISNUMBER(P134),100*MAX(0,MIN(1,('Anchors'!$H$17-P134)/('Anchors'!$H$17-'Anchors'!$G$17))),"")</x:f>
        <x:v>44.93688123914931</x:v>
      </x:c>
      <x:c r="AI134" s="33" t="n">
        <x:f>IF(ISNUMBER(Q134),100*MAX(0,MIN(1,('Anchors'!$H$18-Q134)/('Anchors'!$H$18-'Anchors'!$G$18))),"")</x:f>
        <x:v>76.84352756681895</x:v>
      </x:c>
      <x:c r="AJ134" s="33" t="n">
        <x:f>IF(ISNUMBER(R134),100*MAX(0,MIN(1,('Anchors'!$H$19-R134)/('Anchors'!$H$19-'Anchors'!$G$19))),"")</x:f>
        <x:v>95.72297319645519</x:v>
      </x:c>
      <x:c r="AK134" s="33" t="n">
        <x:f>IF(ISNUMBER(S134),100*MAX(0,MIN(1,('Anchors'!$H$20-S134)/('Anchors'!$H$20-'Anchors'!$G$20))),"")</x:f>
        <x:v>90.81358221493365</x:v>
      </x:c>
      <x:c r="AL134" s="33" t="n">
        <x:f>IF(ISNUMBER(T134),100*MAX(0,MIN(1,('Anchors'!$H$21-T134)/('Anchors'!$H$21-'Anchors'!$G$21))),"")</x:f>
        <x:v>54.72727272727271</x:v>
      </x:c>
      <x:c r="AM134" s="33" t="n">
        <x:f>IF(ISNUMBER(U134),100*MAX(0,MIN(1,('Anchors'!$H$22-U134)/('Anchors'!$H$22-'Anchors'!$G$22))),"")</x:f>
        <x:v>27.461435002618884</x:v>
      </x:c>
      <x:c r="AN134" s="33" t="n">
        <x:f>IF(ISNUMBER(V134),100*MAX(0,MIN(1,('Anchors'!$H$23-V134)/('Anchors'!$H$23-'Anchors'!$G$23))),"")</x:f>
        <x:v>88.8105026850925</x:v>
      </x:c>
      <x:c r="AO134" s="27" t="n">
        <x:f>IF(ISNUMBER(W134),IF('Scoring Setup'!$L$9=1,1-'Scoring Setup'!$B$5*(1-MAX(0,MIN(1,(W134-'Scoring Setup'!$K$9)/(100-'Scoring Setup'!$K$9)))),1),"")</x:f>
        <x:v>0.8897142857142857</x:v>
      </x:c>
      <x:c r="AP134" s="27" t="n">
        <x:f>IF(ISNUMBER(X134),IF('Scoring Setup'!$L$10=1,1-'Scoring Setup'!$B$5*(1-MAX(0,MIN(1,(X134-'Scoring Setup'!$K$10)/(100-'Scoring Setup'!$K$10)))),1),"")</x:f>
        <x:v>1</x:v>
      </x:c>
      <x:c r="AQ134" s="27" t="n">
        <x:f>IF(ISNUMBER(Y134),IF('Scoring Setup'!$L$11=1,1-'Scoring Setup'!$B$5*(1-MAX(0,MIN(1,(Y134-'Scoring Setup'!$K$11)/(100-'Scoring Setup'!$K$11)))),1),"")</x:f>
        <x:v>0.9204406148756329</x:v>
      </x:c>
      <x:c r="AR134" s="27" t="n">
        <x:f>IF(ISNUMBER(Z134),IF('Scoring Setup'!$L$12=1,1-'Scoring Setup'!$B$5*(1-MAX(0,MIN(1,(Z134-'Scoring Setup'!$K$12)/(100-'Scoring Setup'!$K$12)))),1),"")</x:f>
        <x:v>0.8891667790301377</x:v>
      </x:c>
      <x:c r="AS134" s="27" t="n">
        <x:f>IF(ISNUMBER(AA134),IF('Scoring Setup'!$L$13=1,1-'Scoring Setup'!$B$5*(1-MAX(0,MIN(1,(AA134-'Scoring Setup'!$K$13)/(100-'Scoring Setup'!$K$13)))),1),"")</x:f>
        <x:v>0.8801157396271081</x:v>
      </x:c>
      <x:c r="AT134" s="27" t="n">
        <x:f>IF(ISNUMBER(AB134),IF('Scoring Setup'!$L$14=1,1-'Scoring Setup'!$B$5*(1-MAX(0,MIN(1,(AB134-'Scoring Setup'!$K$14)/(100-'Scoring Setup'!$K$14)))),1),"")</x:f>
        <x:v>0.8684323427233761</x:v>
      </x:c>
      <x:c r="AU134" s="27" t="n">
        <x:f>IF(ISNUMBER(AC134),IF('Scoring Setup'!$L$15=1,1-'Scoring Setup'!$B$5*(1-MAX(0,MIN(1,(AC134-'Scoring Setup'!$K$15)/(100-'Scoring Setup'!$K$15)))),1),"")</x:f>
        <x:v>0.8417551647792197</x:v>
      </x:c>
      <x:c r="AV134" s="27" t="n">
        <x:f>IF(ISNUMBER(AD134),IF('Scoring Setup'!$L$16=1,1-'Scoring Setup'!$B$5*(1-MAX(0,MIN(1,(AD134-'Scoring Setup'!$K$16)/(100-'Scoring Setup'!$K$16)))),1),"")</x:f>
        <x:v>0.922285902</x:v>
      </x:c>
      <x:c r="AW134" s="27" t="n">
        <x:f>IF(ISNUMBER(AE134),IF('Scoring Setup'!$L$17=1,1-'Scoring Setup'!$B$5*(1-MAX(0,MIN(1,(AE134-'Scoring Setup'!$K$17)/(100-'Scoring Setup'!$K$17)))),1),"")</x:f>
        <x:v>0.8</x:v>
      </x:c>
      <x:c r="AX134" s="27" t="n">
        <x:f>IF(ISNUMBER(AF134),IF('Scoring Setup'!$L$18=1,1-'Scoring Setup'!$B$5*(1-MAX(0,MIN(1,(AF134-'Scoring Setup'!$K$18)/(100-'Scoring Setup'!$K$18)))),1),"")</x:f>
        <x:v>1</x:v>
      </x:c>
      <x:c r="AY134" s="27" t="n">
        <x:f>IF(ISNUMBER(AG134),IF('Scoring Setup'!$L$19=1,1-'Scoring Setup'!$B$5*(1-MAX(0,MIN(1,(AG134-'Scoring Setup'!$K$19)/(100-'Scoring Setup'!$K$19)))),1),"")</x:f>
        <x:v>0.9428888888888889</x:v>
      </x:c>
      <x:c r="AZ134" s="27" t="n">
        <x:f>IF(ISNUMBER(AH134),IF('Scoring Setup'!$L$20=1,1-'Scoring Setup'!$B$5*(1-MAX(0,MIN(1,(AH134-'Scoring Setup'!$K$20)/(100-'Scoring Setup'!$K$20)))),1),"")</x:f>
        <x:v>0.8898737624782986</x:v>
      </x:c>
      <x:c r="BA134" s="27" t="n">
        <x:f>IF(ISNUMBER(AI134),IF('Scoring Setup'!$L$21=1,1-'Scoring Setup'!$B$5*(1-MAX(0,MIN(1,(AI134-'Scoring Setup'!$K$21)/(100-'Scoring Setup'!$K$21)))),1),"")</x:f>
        <x:v>0.9536870551336379</x:v>
      </x:c>
      <x:c r="BB134" s="27" t="n">
        <x:f>IF(ISNUMBER(AJ134),IF('Scoring Setup'!$L$22=1,1-'Scoring Setup'!$B$5*(1-MAX(0,MIN(1,(AJ134-'Scoring Setup'!$K$22)/(100-'Scoring Setup'!$K$22)))),1),"")</x:f>
        <x:v>0.9914459463929104</x:v>
      </x:c>
      <x:c r="BC134" s="27" t="n">
        <x:f>IF(ISNUMBER(AK134),IF('Scoring Setup'!$L$23=1,1-'Scoring Setup'!$B$5*(1-MAX(0,MIN(1,(AK134-'Scoring Setup'!$K$23)/(100-'Scoring Setup'!$K$23)))),1),"")</x:f>
        <x:v>0.9816271644298673</x:v>
      </x:c>
      <x:c r="BD134" s="27" t="n">
        <x:f>IF(ISNUMBER(AL134),IF('Scoring Setup'!$L$24=1,1-'Scoring Setup'!$B$5*(1-MAX(0,MIN(1,(AL134-'Scoring Setup'!$K$24)/(100-'Scoring Setup'!$K$24)))),1),"")</x:f>
        <x:v>0.9094545454545454</x:v>
      </x:c>
      <x:c r="BE134" s="27" t="n">
        <x:f>IF(ISNUMBER(AM134),IF('Scoring Setup'!$L$25=1,1-'Scoring Setup'!$B$5*(1-MAX(0,MIN(1,(AM134-'Scoring Setup'!$K$25)/(100-'Scoring Setup'!$K$25)))),1),"")</x:f>
        <x:v>0.8549228700052378</x:v>
      </x:c>
      <x:c r="BF134" s="27" t="n">
        <x:f>IF(ISNUMBER(AN134),IF('Scoring Setup'!$L$26=1,1-'Scoring Setup'!$B$5*(1-MAX(0,MIN(1,(AN134-'Scoring Setup'!$K$26)/(100-'Scoring Setup'!$K$26)))),1),"")</x:f>
        <x:v>0.977621005370185</x:v>
      </x:c>
      <x:c r="BG134" s="34" t="n">
        <x:f>IF(COUNT(W134,X134)=2,AVERAGE(W134,X134),"")</x:f>
        <x:v>72.42857142857143</x:v>
      </x:c>
      <x:c r="BH134" s="34" t="n">
        <x:f>IF(COUNT(Y134,Z134)=2,AVERAGE(Y134,Z134),"")</x:f>
        <x:v>52.40184847644265</x:v>
      </x:c>
      <x:c r="BI134" s="34" t="n">
        <x:f>IF(COUNT(AA134,AB134,AC134)=3,AVERAGE(AA134,AB134,AC134),"")</x:f>
        <x:v>31.71720785495067</x:v>
      </x:c>
      <x:c r="BJ134" s="34" t="n">
        <x:f>IF(COUNT(AD134,AE134)=2,AVERAGE(AD134,AE134),"")</x:f>
        <x:v>30.571475500000002</x:v>
      </x:c>
      <x:c r="BK134" s="34" t="n">
        <x:f>IF(COUNT(AF134,AG134)=2,AVERAGE(AF134,AG134),"")</x:f>
        <x:v>85.72222222222223</x:v>
      </x:c>
      <x:c r="BL134" s="34" t="n">
        <x:f>IF(COUNT(AH134,AI134)=2,AVERAGE(AH134,AI134),"")</x:f>
        <x:v>60.890204402984125</x:v>
      </x:c>
      <x:c r="BM134" s="34" t="n">
        <x:f>IF(COUNT(AJ134,AK134)=2,AVERAGE(AJ134,AK134),"")</x:f>
        <x:v>93.26827770569442</x:v>
      </x:c>
      <x:c r="BN134" s="34" t="n">
        <x:f>IF(COUNT(AL134,AM134,AN134)=3,AVERAGE(AL134,AM134,AN134),"")</x:f>
        <x:v>56.999736804994704</x:v>
      </x:c>
      <x:c r="BO134" s="35" t="n">
        <x:f>IF(AND(COUNT(BG134:BN134)=8,ABS('Scoring Setup'!$C$17-1)&lt;0.000001),BG134*'Scoring Setup'!$C$9+BH134*'Scoring Setup'!$C$10+BI134*'Scoring Setup'!$C$11+BJ134*'Scoring Setup'!$C$12+BK134*'Scoring Setup'!$C$13+BL134*'Scoring Setup'!$C$14+BM134*'Scoring Setup'!$C$15+BN134*'Scoring Setup'!$C$16,"")</x:f>
        <x:v>57.3321625427953</x:v>
      </x:c>
      <x:c r="BP134" s="36" t="n">
        <x:f>IF(COUNT(AO134:BF134)=18,MIN(AO134:BF134),"")</x:f>
        <x:v>0.8</x:v>
      </x:c>
      <x:c r="BQ134" s="35" t="n">
        <x:f>IF(AND(ISNUMBER(BO134),ISNUMBER(BP134)),BO134*BP134,"")</x:f>
        <x:v>45.86573003423624</x:v>
      </x:c>
      <x:c r="BR134" s="17" t="str">
        <x:f>IF(COUNT(AO134:BF134)=18,INDEX('Scoring Setup'!$F$9:$F$26,MATCH(MIN(AO134:BF134),AO134:BF134,0),1),"")</x:f>
        <x:v>商业光纤1000/100覆盖率</x:v>
      </x:c>
    </x:row>
    <x:row r="135">
      <x:c r="A135" s="28" t="str">
        <x:v>51820</x:v>
      </x:c>
      <x:c r="B135" s="28" t="str">
        <x:v>Waynesboro city</x:v>
      </x:c>
      <x:c r="C135" s="28" t="str">
        <x:v>VA</x:v>
      </x:c>
      <x:c r="D135" s="31" t="n">
        <x:v>38.771594</x:v>
      </x:c>
      <x:c r="E135" s="32" t="n">
        <x:v>0.465</x:v>
      </x:c>
      <x:c r="F135" s="32" t="n">
        <x:v>0.666460396039604</x:v>
      </x:c>
      <x:c r="G135" s="32" t="n">
        <x:v>2.819704746608247</x:v>
      </x:c>
      <x:c r="H135" s="32" t="n">
        <x:v>3.067942118</x:v>
      </x:c>
      <x:c r="I135" s="32" t="n">
        <x:v>0.42565966550875334</x:v>
      </x:c>
      <x:c r="J135" s="32" t="n">
        <x:v>0</x:v>
      </x:c>
      <x:c r="K135" s="32" t="n">
        <x:v>0.0008511813016172444</x:v>
      </x:c>
      <x:c r="L135" s="32" t="n">
        <x:v>0.099031765</x:v>
      </x:c>
      <x:c r="M135" s="32" t="n">
        <x:v>0.098946832</x:v>
      </x:c>
      <x:c r="N135" s="32" t="n">
        <x:v>12120</x:v>
      </x:c>
      <x:c r="O135" s="32" t="n">
        <x:v>0.7601</x:v>
      </x:c>
      <x:c r="P135" s="32" t="n">
        <x:v>845.9502115885417</x:v>
      </x:c>
      <x:c r="Q135" s="32" t="n">
        <x:v>12.169993241628012</x:v>
      </x:c>
      <x:c r="R135" s="32" t="n">
        <x:v>2.0699008928427536</x:v>
      </x:c>
      <x:c r="S135" s="32" t="n">
        <x:v>0.9798070553215869</x:v>
      </x:c>
      <x:c r="T135" s="32" t="n">
        <x:v>89.9</x:v>
      </x:c>
      <x:c r="U135" s="32" t="n">
        <x:v>245.07712999476223</x:v>
      </x:c>
      <x:c r="V135" s="32" t="n">
        <x:v>244.75798925963002</x:v>
      </x:c>
      <x:c r="W135" s="33" t="n">
        <x:f>IF(ISNUMBER(E135),100*MAX(0,MIN(1,('Anchors'!$H$6-E135)/('Anchors'!$H$6-'Anchors'!$G$6))),"")</x:f>
        <x:v>62.142857142857146</x:v>
      </x:c>
      <x:c r="X135" s="33" t="n">
        <x:f>IF(ISNUMBER(F135),100*MAX(0,MIN(1,('Anchors'!$H$7-F135)/('Anchors'!$H$7-'Anchors'!$G$7))),"")</x:f>
        <x:v>19.07708628005657</x:v>
      </x:c>
      <x:c r="Y135" s="33" t="n">
        <x:f>IF(ISNUMBER(G135),100*MAX(0,MIN(1,('Anchors'!$H$8-G135)/('Anchors'!$H$8-'Anchors'!$G$8))),"")</x:f>
        <x:v>39.34317511305843</x:v>
      </x:c>
      <x:c r="Z135" s="33" t="n">
        <x:f>IF(ISNUMBER(H135),100*MAX(0,MIN(1,('Anchors'!$H$9-H135)/('Anchors'!$H$9-'Anchors'!$G$9))),"")</x:f>
        <x:v>31.06859606666667</x:v>
      </x:c>
      <x:c r="AA135" s="33" t="n">
        <x:f>IF(ISNUMBER(I135),100*MAX(0,MIN(1,(I135-'Anchors'!$H$10)/('Anchors'!$G$10-'Anchors'!$H$10))),"")</x:f>
        <x:v>24.06296787791142</x:v>
      </x:c>
      <x:c r="AB135" s="33" t="n">
        <x:f>IF(ISNUMBER(J135),100*MAX(0,MIN(1,('Anchors'!$H$11-J135)/('Anchors'!$H$11-'Anchors'!$G$11))),"")</x:f>
        <x:v>100</x:v>
      </x:c>
      <x:c r="AC135" s="33" t="n">
        <x:f>IF(ISNUMBER(K135),100*MAX(0,MIN(1,('Anchors'!$H$12-K135)/('Anchors'!$H$12-'Anchors'!$G$12))),"")</x:f>
        <x:v>99.78720467459569</x:v>
      </x:c>
      <x:c r="AD135" s="33" t="n">
        <x:f>IF(ISNUMBER(L135),100*MAX(0,MIN(1,(L135-'Anchors'!$H$13)/('Anchors'!$G$13-'Anchors'!$H$13))),"")</x:f>
        <x:v>0</x:v>
      </x:c>
      <x:c r="AE135" s="33" t="n">
        <x:f>IF(ISNUMBER(M135),100*MAX(0,MIN(1,(M135-'Anchors'!$H$14)/('Anchors'!$G$14-'Anchors'!$H$14))),"")</x:f>
        <x:v>0</x:v>
      </x:c>
      <x:c r="AF135" s="33" t="n">
        <x:f>IF(ISNUMBER(N135),100*MAX(0,MIN(1,(LN(1+N135)-LN(1+'Anchors'!$H$15))/(LN(1+'Anchors'!$G$15)-LN(1+'Anchors'!$H$15)))),"")</x:f>
        <x:v>41.725609352525666</x:v>
      </x:c>
      <x:c r="AG135" s="33" t="n">
        <x:f>IF(ISNUMBER(O135),100*MAX(0,MIN(1,('Anchors'!$H$16-O135)/('Anchors'!$H$16-'Anchors'!$G$16))),"")</x:f>
        <x:v>21.099999999999998</x:v>
      </x:c>
      <x:c r="AH135" s="33" t="n">
        <x:f>IF(ISNUMBER(P135),100*MAX(0,MIN(1,('Anchors'!$H$17-P135)/('Anchors'!$H$17-'Anchors'!$G$17))),"")</x:f>
        <x:v>90.26998589409723</x:v>
      </x:c>
      <x:c r="AI135" s="33" t="n">
        <x:f>IF(ISNUMBER(Q135),100*MAX(0,MIN(1,('Anchors'!$H$18-Q135)/('Anchors'!$H$18-'Anchors'!$G$18))),"")</x:f>
        <x:v>89.75715251195999</x:v>
      </x:c>
      <x:c r="AJ135" s="33" t="n">
        <x:f>IF(ISNUMBER(R135),100*MAX(0,MIN(1,('Anchors'!$H$19-R135)/('Anchors'!$H$19-'Anchors'!$G$19))),"")</x:f>
        <x:v>100</x:v>
      </x:c>
      <x:c r="AK135" s="33" t="n">
        <x:f>IF(ISNUMBER(S135),100*MAX(0,MIN(1,('Anchors'!$H$20-S135)/('Anchors'!$H$20-'Anchors'!$G$20))),"")</x:f>
        <x:v>100</x:v>
      </x:c>
      <x:c r="AL135" s="33" t="n">
        <x:f>IF(ISNUMBER(T135),100*MAX(0,MIN(1,('Anchors'!$H$21-T135)/('Anchors'!$H$21-'Anchors'!$G$21))),"")</x:f>
        <x:v>54.72727272727271</x:v>
      </x:c>
      <x:c r="AM135" s="33" t="n">
        <x:f>IF(ISNUMBER(U135),100*MAX(0,MIN(1,('Anchors'!$H$22-U135)/('Anchors'!$H$22-'Anchors'!$G$22))),"")</x:f>
        <x:v>27.461435002618884</x:v>
      </x:c>
      <x:c r="AN135" s="33" t="n">
        <x:f>IF(ISNUMBER(V135),100*MAX(0,MIN(1,('Anchors'!$H$23-V135)/('Anchors'!$H$23-'Anchors'!$G$23))),"")</x:f>
        <x:v>88.8105026850925</x:v>
      </x:c>
      <x:c r="AO135" s="27" t="n">
        <x:f>IF(ISNUMBER(W135),IF('Scoring Setup'!$L$9=1,1-'Scoring Setup'!$B$5*(1-MAX(0,MIN(1,(W135-'Scoring Setup'!$K$9)/(100-'Scoring Setup'!$K$9)))),1),"")</x:f>
        <x:v>0.9242857142857143</x:v>
      </x:c>
      <x:c r="AP135" s="27" t="n">
        <x:f>IF(ISNUMBER(X135),IF('Scoring Setup'!$L$10=1,1-'Scoring Setup'!$B$5*(1-MAX(0,MIN(1,(X135-'Scoring Setup'!$K$10)/(100-'Scoring Setup'!$K$10)))),1),"")</x:f>
        <x:v>0.8381541725601132</x:v>
      </x:c>
      <x:c r="AQ135" s="27" t="n">
        <x:f>IF(ISNUMBER(Y135),IF('Scoring Setup'!$L$11=1,1-'Scoring Setup'!$B$5*(1-MAX(0,MIN(1,(Y135-'Scoring Setup'!$K$11)/(100-'Scoring Setup'!$K$11)))),1),"")</x:f>
        <x:v>0.8786863502261169</x:v>
      </x:c>
      <x:c r="AR135" s="27" t="n">
        <x:f>IF(ISNUMBER(Z135),IF('Scoring Setup'!$L$12=1,1-'Scoring Setup'!$B$5*(1-MAX(0,MIN(1,(Z135-'Scoring Setup'!$K$12)/(100-'Scoring Setup'!$K$12)))),1),"")</x:f>
        <x:v>0.8621371921333334</x:v>
      </x:c>
      <x:c r="AS135" s="27" t="n">
        <x:f>IF(ISNUMBER(AA135),IF('Scoring Setup'!$L$13=1,1-'Scoring Setup'!$B$5*(1-MAX(0,MIN(1,(AA135-'Scoring Setup'!$K$13)/(100-'Scoring Setup'!$K$13)))),1),"")</x:f>
        <x:v>0.8481259357558228</x:v>
      </x:c>
      <x:c r="AT135" s="27" t="n">
        <x:f>IF(ISNUMBER(AB135),IF('Scoring Setup'!$L$14=1,1-'Scoring Setup'!$B$5*(1-MAX(0,MIN(1,(AB135-'Scoring Setup'!$K$14)/(100-'Scoring Setup'!$K$14)))),1),"")</x:f>
        <x:v>1</x:v>
      </x:c>
      <x:c r="AU135" s="27" t="n">
        <x:f>IF(ISNUMBER(AC135),IF('Scoring Setup'!$L$15=1,1-'Scoring Setup'!$B$5*(1-MAX(0,MIN(1,(AC135-'Scoring Setup'!$K$15)/(100-'Scoring Setup'!$K$15)))),1),"")</x:f>
        <x:v>0.9995744093491914</x:v>
      </x:c>
      <x:c r="AV135" s="27" t="n">
        <x:f>IF(ISNUMBER(AD135),IF('Scoring Setup'!$L$16=1,1-'Scoring Setup'!$B$5*(1-MAX(0,MIN(1,(AD135-'Scoring Setup'!$K$16)/(100-'Scoring Setup'!$K$16)))),1),"")</x:f>
        <x:v>0.8</x:v>
      </x:c>
      <x:c r="AW135" s="27" t="n">
        <x:f>IF(ISNUMBER(AE135),IF('Scoring Setup'!$L$17=1,1-'Scoring Setup'!$B$5*(1-MAX(0,MIN(1,(AE135-'Scoring Setup'!$K$17)/(100-'Scoring Setup'!$K$17)))),1),"")</x:f>
        <x:v>0.8</x:v>
      </x:c>
      <x:c r="AX135" s="27" t="n">
        <x:f>IF(ISNUMBER(AF135),IF('Scoring Setup'!$L$18=1,1-'Scoring Setup'!$B$5*(1-MAX(0,MIN(1,(AF135-'Scoring Setup'!$K$18)/(100-'Scoring Setup'!$K$18)))),1),"")</x:f>
        <x:v>0.8834512187050514</x:v>
      </x:c>
      <x:c r="AY135" s="27" t="n">
        <x:f>IF(ISNUMBER(AG135),IF('Scoring Setup'!$L$19=1,1-'Scoring Setup'!$B$5*(1-MAX(0,MIN(1,(AG135-'Scoring Setup'!$K$19)/(100-'Scoring Setup'!$K$19)))),1),"")</x:f>
        <x:v>0.8422</x:v>
      </x:c>
      <x:c r="AZ135" s="27" t="n">
        <x:f>IF(ISNUMBER(AH135),IF('Scoring Setup'!$L$20=1,1-'Scoring Setup'!$B$5*(1-MAX(0,MIN(1,(AH135-'Scoring Setup'!$K$20)/(100-'Scoring Setup'!$K$20)))),1),"")</x:f>
        <x:v>0.9805399717881944</x:v>
      </x:c>
      <x:c r="BA135" s="27" t="n">
        <x:f>IF(ISNUMBER(AI135),IF('Scoring Setup'!$L$21=1,1-'Scoring Setup'!$B$5*(1-MAX(0,MIN(1,(AI135-'Scoring Setup'!$K$21)/(100-'Scoring Setup'!$K$21)))),1),"")</x:f>
        <x:v>0.97951430502392</x:v>
      </x:c>
      <x:c r="BB135" s="27" t="n">
        <x:f>IF(ISNUMBER(AJ135),IF('Scoring Setup'!$L$22=1,1-'Scoring Setup'!$B$5*(1-MAX(0,MIN(1,(AJ135-'Scoring Setup'!$K$22)/(100-'Scoring Setup'!$K$22)))),1),"")</x:f>
        <x:v>1</x:v>
      </x:c>
      <x:c r="BC135" s="27" t="n">
        <x:f>IF(ISNUMBER(AK135),IF('Scoring Setup'!$L$23=1,1-'Scoring Setup'!$B$5*(1-MAX(0,MIN(1,(AK135-'Scoring Setup'!$K$23)/(100-'Scoring Setup'!$K$23)))),1),"")</x:f>
        <x:v>1</x:v>
      </x:c>
      <x:c r="BD135" s="27" t="n">
        <x:f>IF(ISNUMBER(AL135),IF('Scoring Setup'!$L$24=1,1-'Scoring Setup'!$B$5*(1-MAX(0,MIN(1,(AL135-'Scoring Setup'!$K$24)/(100-'Scoring Setup'!$K$24)))),1),"")</x:f>
        <x:v>0.9094545454545454</x:v>
      </x:c>
      <x:c r="BE135" s="27" t="n">
        <x:f>IF(ISNUMBER(AM135),IF('Scoring Setup'!$L$25=1,1-'Scoring Setup'!$B$5*(1-MAX(0,MIN(1,(AM135-'Scoring Setup'!$K$25)/(100-'Scoring Setup'!$K$25)))),1),"")</x:f>
        <x:v>0.8549228700052378</x:v>
      </x:c>
      <x:c r="BF135" s="27" t="n">
        <x:f>IF(ISNUMBER(AN135),IF('Scoring Setup'!$L$26=1,1-'Scoring Setup'!$B$5*(1-MAX(0,MIN(1,(AN135-'Scoring Setup'!$K$26)/(100-'Scoring Setup'!$K$26)))),1),"")</x:f>
        <x:v>0.977621005370185</x:v>
      </x:c>
      <x:c r="BG135" s="34" t="n">
        <x:f>IF(COUNT(W135,X135)=2,AVERAGE(W135,X135),"")</x:f>
        <x:v>40.60997171145686</x:v>
      </x:c>
      <x:c r="BH135" s="34" t="n">
        <x:f>IF(COUNT(Y135,Z135)=2,AVERAGE(Y135,Z135),"")</x:f>
        <x:v>35.20588558986255</x:v>
      </x:c>
      <x:c r="BI135" s="34" t="n">
        <x:f>IF(COUNT(AA135,AB135,AC135)=3,AVERAGE(AA135,AB135,AC135),"")</x:f>
        <x:v>74.61672418416903</x:v>
      </x:c>
      <x:c r="BJ135" s="34" t="n">
        <x:f>IF(COUNT(AD135,AE135)=2,AVERAGE(AD135,AE135),"")</x:f>
        <x:v>0</x:v>
      </x:c>
      <x:c r="BK135" s="34" t="n">
        <x:f>IF(COUNT(AF135,AG135)=2,AVERAGE(AF135,AG135),"")</x:f>
        <x:v>31.41280467626283</x:v>
      </x:c>
      <x:c r="BL135" s="34" t="n">
        <x:f>IF(COUNT(AH135,AI135)=2,AVERAGE(AH135,AI135),"")</x:f>
        <x:v>90.01356920302861</x:v>
      </x:c>
      <x:c r="BM135" s="34" t="n">
        <x:f>IF(COUNT(AJ135,AK135)=2,AVERAGE(AJ135,AK135),"")</x:f>
        <x:v>100</x:v>
      </x:c>
      <x:c r="BN135" s="34" t="n">
        <x:f>IF(COUNT(AL135,AM135,AN135)=3,AVERAGE(AL135,AM135,AN135),"")</x:f>
        <x:v>56.999736804994704</x:v>
      </x:c>
      <x:c r="BO135" s="35" t="n">
        <x:f>IF(AND(COUNT(BG135:BN135)=8,ABS('Scoring Setup'!$C$17-1)&lt;0.000001),BG135*'Scoring Setup'!$C$9+BH135*'Scoring Setup'!$C$10+BI135*'Scoring Setup'!$C$11+BJ135*'Scoring Setup'!$C$12+BK135*'Scoring Setup'!$C$13+BL135*'Scoring Setup'!$C$14+BM135*'Scoring Setup'!$C$15+BN135*'Scoring Setup'!$C$16,"")</x:f>
        <x:v>48.305726676811226</x:v>
      </x:c>
      <x:c r="BP135" s="36" t="n">
        <x:f>IF(COUNT(AO135:BF135)=18,MIN(AO135:BF135),"")</x:f>
        <x:v>0.8</x:v>
      </x:c>
      <x:c r="BQ135" s="35" t="n">
        <x:f>IF(AND(ISNUMBER(BO135),ISNUMBER(BP135)),BO135*BP135,"")</x:f>
        <x:v>38.64458134144898</x:v>
      </x:c>
      <x:c r="BR135" s="17" t="str">
        <x:f>IF(COUNT(AO135:BF135)=18,INDEX('Scoring Setup'!$F$9:$F$26,MATCH(MIN(AO135:BF135),AO135:BF135,0),1),"")</x:f>
        <x:v>商业光纤100/20覆盖率</x:v>
      </x:c>
    </x:row>
    <x:row r="136">
      <x:c r="A136" s="28" t="str">
        <x:v>51830</x:v>
      </x:c>
      <x:c r="B136" s="28" t="str">
        <x:v>Williamsburg city</x:v>
      </x:c>
      <x:c r="C136" s="28" t="str">
        <x:v>VA</x:v>
      </x:c>
      <x:c r="D136" s="31" t="n">
        <x:v>23.149768</x:v>
      </x:c>
      <x:c r="E136" s="32" t="n">
        <x:v>0.313</x:v>
      </x:c>
      <x:c r="F136" s="32" t="n">
        <x:v>0.03125</x:v>
      </x:c>
      <x:c r="G136" s="32" t="n">
        <x:v>3.8028479710721674</x:v>
      </x:c>
      <x:c r="H136" s="32" t="n">
        <x:v>4.054554194</x:v>
      </x:c>
      <x:c r="I136" s="32" t="n">
        <x:v>0.5456482162915908</x:v>
      </x:c>
      <x:c r="J136" s="32" t="n">
        <x:v>0</x:v>
      </x:c>
      <x:c r="K136" s="32" t="n">
        <x:v>0.07096099469341907</x:v>
      </x:c>
      <x:c r="L136" s="32" t="n">
        <x:v>0.483075071</x:v>
      </x:c>
      <x:c r="M136" s="32" t="n">
        <x:v>0.388897247</x:v>
      </x:c>
      <x:c r="N136" s="32" t="n">
        <x:v>7135</x:v>
      </x:c>
      <x:c r="O136" s="32" t="n">
        <x:v>0.3802</x:v>
      </x:c>
      <x:c r="P136" s="32" t="n">
        <x:v>1370.7797485351562</x:v>
      </x:c>
      <x:c r="Q136" s="32" t="n">
        <x:v>27.610490163167317</x:v>
      </x:c>
      <x:c r="R136" s="32" t="n">
        <x:v>3.8015386819202903</x:v>
      </x:c>
      <x:c r="S136" s="32" t="n">
        <x:v>0.7580951224007243</x:v>
      </x:c>
      <x:c r="T136" s="32" t="n">
        <x:v>89.9</x:v>
      </x:c>
      <x:c r="U136" s="32" t="n">
        <x:v>245.07712999476223</x:v>
      </x:c>
      <x:c r="V136" s="32" t="n">
        <x:v>244.75798925963002</x:v>
      </x:c>
      <x:c r="W136" s="33" t="n">
        <x:f>IF(ISNUMBER(E136),100*MAX(0,MIN(1,('Anchors'!$H$6-E136)/('Anchors'!$H$6-'Anchors'!$G$6))),"")</x:f>
        <x:v>83.85714285714285</x:v>
      </x:c>
      <x:c r="X136" s="33" t="n">
        <x:f>IF(ISNUMBER(F136),100*MAX(0,MIN(1,('Anchors'!$H$7-F136)/('Anchors'!$H$7-'Anchors'!$G$7))),"")</x:f>
        <x:v>100</x:v>
      </x:c>
      <x:c r="Y136" s="33" t="n">
        <x:f>IF(ISNUMBER(G136),100*MAX(0,MIN(1,('Anchors'!$H$8-G136)/('Anchors'!$H$8-'Anchors'!$G$8))),"")</x:f>
        <x:v>6.571734297594419</x:v>
      </x:c>
      <x:c r="Z136" s="33" t="n">
        <x:f>IF(ISNUMBER(H136),100*MAX(0,MIN(1,('Anchors'!$H$9-H136)/('Anchors'!$H$9-'Anchors'!$G$9))),"")</x:f>
        <x:v>0</x:v>
      </x:c>
      <x:c r="AA136" s="33" t="n">
        <x:f>IF(ISNUMBER(I136),100*MAX(0,MIN(1,(I136-'Anchors'!$H$10)/('Anchors'!$G$10-'Anchors'!$H$10))),"")</x:f>
        <x:v>40.4997556563823</x:v>
      </x:c>
      <x:c r="AB136" s="33" t="n">
        <x:f>IF(ISNUMBER(J136),100*MAX(0,MIN(1,('Anchors'!$H$11-J136)/('Anchors'!$H$11-'Anchors'!$G$11))),"")</x:f>
        <x:v>100</x:v>
      </x:c>
      <x:c r="AC136" s="33" t="n">
        <x:f>IF(ISNUMBER(K136),100*MAX(0,MIN(1,('Anchors'!$H$12-K136)/('Anchors'!$H$12-'Anchors'!$G$12))),"")</x:f>
        <x:v>82.25975132664523</x:v>
      </x:c>
      <x:c r="AD136" s="33" t="n">
        <x:f>IF(ISNUMBER(L136),100*MAX(0,MIN(1,(L136-'Anchors'!$H$13)/('Anchors'!$G$13-'Anchors'!$H$13))),"")</x:f>
        <x:v>40.43929585714286</x:v>
      </x:c>
      <x:c r="AE136" s="33" t="n">
        <x:f>IF(ISNUMBER(M136),100*MAX(0,MIN(1,(M136-'Anchors'!$H$14)/('Anchors'!$G$14-'Anchors'!$H$14))),"")</x:f>
        <x:v>36.112155875</x:v>
      </x:c>
      <x:c r="AF136" s="33" t="n">
        <x:f>IF(ISNUMBER(N136),100*MAX(0,MIN(1,(LN(1+N136)-LN(1+'Anchors'!$H$15))/(LN(1+'Anchors'!$G$15)-LN(1+'Anchors'!$H$15)))),"")</x:f>
        <x:v>29.45348251772239</x:v>
      </x:c>
      <x:c r="AG136" s="33" t="n">
        <x:f>IF(ISNUMBER(O136),100*MAX(0,MIN(1,('Anchors'!$H$16-O136)/('Anchors'!$H$16-'Anchors'!$G$16))),"")</x:f>
        <x:v>63.31111111111112</x:v>
      </x:c>
      <x:c r="AH136" s="33" t="n">
        <x:f>IF(ISNUMBER(P136),100*MAX(0,MIN(1,('Anchors'!$H$17-P136)/('Anchors'!$H$17-'Anchors'!$G$17))),"")</x:f>
        <x:v>55.28135009765626</x:v>
      </x:c>
      <x:c r="AI136" s="33" t="n">
        <x:f>IF(ISNUMBER(Q136),100*MAX(0,MIN(1,('Anchors'!$H$18-Q136)/('Anchors'!$H$18-'Anchors'!$G$18))),"")</x:f>
        <x:v>67.69929976690385</x:v>
      </x:c>
      <x:c r="AJ136" s="33" t="n">
        <x:f>IF(ISNUMBER(R136),100*MAX(0,MIN(1,('Anchors'!$H$19-R136)/('Anchors'!$H$19-'Anchors'!$G$19))),"")</x:f>
        <x:v>100</x:v>
      </x:c>
      <x:c r="AK136" s="33" t="n">
        <x:f>IF(ISNUMBER(S136),100*MAX(0,MIN(1,('Anchors'!$H$20-S136)/('Anchors'!$H$20-'Anchors'!$G$20))),"")</x:f>
        <x:v>100</x:v>
      </x:c>
      <x:c r="AL136" s="33" t="n">
        <x:f>IF(ISNUMBER(T136),100*MAX(0,MIN(1,('Anchors'!$H$21-T136)/('Anchors'!$H$21-'Anchors'!$G$21))),"")</x:f>
        <x:v>54.72727272727271</x:v>
      </x:c>
      <x:c r="AM136" s="33" t="n">
        <x:f>IF(ISNUMBER(U136),100*MAX(0,MIN(1,('Anchors'!$H$22-U136)/('Anchors'!$H$22-'Anchors'!$G$22))),"")</x:f>
        <x:v>27.461435002618884</x:v>
      </x:c>
      <x:c r="AN136" s="33" t="n">
        <x:f>IF(ISNUMBER(V136),100*MAX(0,MIN(1,('Anchors'!$H$23-V136)/('Anchors'!$H$23-'Anchors'!$G$23))),"")</x:f>
        <x:v>88.8105026850925</x:v>
      </x:c>
      <x:c r="AO136" s="27" t="n">
        <x:f>IF(ISNUMBER(W136),IF('Scoring Setup'!$L$9=1,1-'Scoring Setup'!$B$5*(1-MAX(0,MIN(1,(W136-'Scoring Setup'!$K$9)/(100-'Scoring Setup'!$K$9)))),1),"")</x:f>
        <x:v>0.9677142857142857</x:v>
      </x:c>
      <x:c r="AP136" s="27" t="n">
        <x:f>IF(ISNUMBER(X136),IF('Scoring Setup'!$L$10=1,1-'Scoring Setup'!$B$5*(1-MAX(0,MIN(1,(X136-'Scoring Setup'!$K$10)/(100-'Scoring Setup'!$K$10)))),1),"")</x:f>
        <x:v>1</x:v>
      </x:c>
      <x:c r="AQ136" s="27" t="n">
        <x:f>IF(ISNUMBER(Y136),IF('Scoring Setup'!$L$11=1,1-'Scoring Setup'!$B$5*(1-MAX(0,MIN(1,(Y136-'Scoring Setup'!$K$11)/(100-'Scoring Setup'!$K$11)))),1),"")</x:f>
        <x:v>0.8131434685951888</x:v>
      </x:c>
      <x:c r="AR136" s="27" t="n">
        <x:f>IF(ISNUMBER(Z136),IF('Scoring Setup'!$L$12=1,1-'Scoring Setup'!$B$5*(1-MAX(0,MIN(1,(Z136-'Scoring Setup'!$K$12)/(100-'Scoring Setup'!$K$12)))),1),"")</x:f>
        <x:v>0.8</x:v>
      </x:c>
      <x:c r="AS136" s="27" t="n">
        <x:f>IF(ISNUMBER(AA136),IF('Scoring Setup'!$L$13=1,1-'Scoring Setup'!$B$5*(1-MAX(0,MIN(1,(AA136-'Scoring Setup'!$K$13)/(100-'Scoring Setup'!$K$13)))),1),"")</x:f>
        <x:v>0.8809995113127645</x:v>
      </x:c>
      <x:c r="AT136" s="27" t="n">
        <x:f>IF(ISNUMBER(AB136),IF('Scoring Setup'!$L$14=1,1-'Scoring Setup'!$B$5*(1-MAX(0,MIN(1,(AB136-'Scoring Setup'!$K$14)/(100-'Scoring Setup'!$K$14)))),1),"")</x:f>
        <x:v>1</x:v>
      </x:c>
      <x:c r="AU136" s="27" t="n">
        <x:f>IF(ISNUMBER(AC136),IF('Scoring Setup'!$L$15=1,1-'Scoring Setup'!$B$5*(1-MAX(0,MIN(1,(AC136-'Scoring Setup'!$K$15)/(100-'Scoring Setup'!$K$15)))),1),"")</x:f>
        <x:v>0.9645195026532905</x:v>
      </x:c>
      <x:c r="AV136" s="27" t="n">
        <x:f>IF(ISNUMBER(AD136),IF('Scoring Setup'!$L$16=1,1-'Scoring Setup'!$B$5*(1-MAX(0,MIN(1,(AD136-'Scoring Setup'!$K$16)/(100-'Scoring Setup'!$K$16)))),1),"")</x:f>
        <x:v>0.8808785917142857</x:v>
      </x:c>
      <x:c r="AW136" s="27" t="n">
        <x:f>IF(ISNUMBER(AE136),IF('Scoring Setup'!$L$17=1,1-'Scoring Setup'!$B$5*(1-MAX(0,MIN(1,(AE136-'Scoring Setup'!$K$17)/(100-'Scoring Setup'!$K$17)))),1),"")</x:f>
        <x:v>0.87222431175</x:v>
      </x:c>
      <x:c r="AX136" s="27" t="n">
        <x:f>IF(ISNUMBER(AF136),IF('Scoring Setup'!$L$18=1,1-'Scoring Setup'!$B$5*(1-MAX(0,MIN(1,(AF136-'Scoring Setup'!$K$18)/(100-'Scoring Setup'!$K$18)))),1),"")</x:f>
        <x:v>0.8589069650354448</x:v>
      </x:c>
      <x:c r="AY136" s="27" t="n">
        <x:f>IF(ISNUMBER(AG136),IF('Scoring Setup'!$L$19=1,1-'Scoring Setup'!$B$5*(1-MAX(0,MIN(1,(AG136-'Scoring Setup'!$K$19)/(100-'Scoring Setup'!$K$19)))),1),"")</x:f>
        <x:v>0.9266222222222222</x:v>
      </x:c>
      <x:c r="AZ136" s="27" t="n">
        <x:f>IF(ISNUMBER(AH136),IF('Scoring Setup'!$L$20=1,1-'Scoring Setup'!$B$5*(1-MAX(0,MIN(1,(AH136-'Scoring Setup'!$K$20)/(100-'Scoring Setup'!$K$20)))),1),"")</x:f>
        <x:v>0.9105627001953125</x:v>
      </x:c>
      <x:c r="BA136" s="27" t="n">
        <x:f>IF(ISNUMBER(AI136),IF('Scoring Setup'!$L$21=1,1-'Scoring Setup'!$B$5*(1-MAX(0,MIN(1,(AI136-'Scoring Setup'!$K$21)/(100-'Scoring Setup'!$K$21)))),1),"")</x:f>
        <x:v>0.9353985995338077</x:v>
      </x:c>
      <x:c r="BB136" s="27" t="n">
        <x:f>IF(ISNUMBER(AJ136),IF('Scoring Setup'!$L$22=1,1-'Scoring Setup'!$B$5*(1-MAX(0,MIN(1,(AJ136-'Scoring Setup'!$K$22)/(100-'Scoring Setup'!$K$22)))),1),"")</x:f>
        <x:v>1</x:v>
      </x:c>
      <x:c r="BC136" s="27" t="n">
        <x:f>IF(ISNUMBER(AK136),IF('Scoring Setup'!$L$23=1,1-'Scoring Setup'!$B$5*(1-MAX(0,MIN(1,(AK136-'Scoring Setup'!$K$23)/(100-'Scoring Setup'!$K$23)))),1),"")</x:f>
        <x:v>1</x:v>
      </x:c>
      <x:c r="BD136" s="27" t="n">
        <x:f>IF(ISNUMBER(AL136),IF('Scoring Setup'!$L$24=1,1-'Scoring Setup'!$B$5*(1-MAX(0,MIN(1,(AL136-'Scoring Setup'!$K$24)/(100-'Scoring Setup'!$K$24)))),1),"")</x:f>
        <x:v>0.9094545454545454</x:v>
      </x:c>
      <x:c r="BE136" s="27" t="n">
        <x:f>IF(ISNUMBER(AM136),IF('Scoring Setup'!$L$25=1,1-'Scoring Setup'!$B$5*(1-MAX(0,MIN(1,(AM136-'Scoring Setup'!$K$25)/(100-'Scoring Setup'!$K$25)))),1),"")</x:f>
        <x:v>0.8549228700052378</x:v>
      </x:c>
      <x:c r="BF136" s="27" t="n">
        <x:f>IF(ISNUMBER(AN136),IF('Scoring Setup'!$L$26=1,1-'Scoring Setup'!$B$5*(1-MAX(0,MIN(1,(AN136-'Scoring Setup'!$K$26)/(100-'Scoring Setup'!$K$26)))),1),"")</x:f>
        <x:v>0.977621005370185</x:v>
      </x:c>
      <x:c r="BG136" s="34" t="n">
        <x:f>IF(COUNT(W136,X136)=2,AVERAGE(W136,X136),"")</x:f>
        <x:v>91.92857142857142</x:v>
      </x:c>
      <x:c r="BH136" s="34" t="n">
        <x:f>IF(COUNT(Y136,Z136)=2,AVERAGE(Y136,Z136),"")</x:f>
        <x:v>3.2858671487972093</x:v>
      </x:c>
      <x:c r="BI136" s="34" t="n">
        <x:f>IF(COUNT(AA136,AB136,AC136)=3,AVERAGE(AA136,AB136,AC136),"")</x:f>
        <x:v>74.2531689943425</x:v>
      </x:c>
      <x:c r="BJ136" s="34" t="n">
        <x:f>IF(COUNT(AD136,AE136)=2,AVERAGE(AD136,AE136),"")</x:f>
        <x:v>38.275725866071426</x:v>
      </x:c>
      <x:c r="BK136" s="34" t="n">
        <x:f>IF(COUNT(AF136,AG136)=2,AVERAGE(AF136,AG136),"")</x:f>
        <x:v>46.382296814416755</x:v>
      </x:c>
      <x:c r="BL136" s="34" t="n">
        <x:f>IF(COUNT(AH136,AI136)=2,AVERAGE(AH136,AI136),"")</x:f>
        <x:v>61.49032493228005</x:v>
      </x:c>
      <x:c r="BM136" s="34" t="n">
        <x:f>IF(COUNT(AJ136,AK136)=2,AVERAGE(AJ136,AK136),"")</x:f>
        <x:v>100</x:v>
      </x:c>
      <x:c r="BN136" s="34" t="n">
        <x:f>IF(COUNT(AL136,AM136,AN136)=3,AVERAGE(AL136,AM136,AN136),"")</x:f>
        <x:v>56.999736804994704</x:v>
      </x:c>
      <x:c r="BO136" s="35" t="n">
        <x:f>IF(AND(COUNT(BG136:BN136)=8,ABS('Scoring Setup'!$C$17-1)&lt;0.000001),BG136*'Scoring Setup'!$C$9+BH136*'Scoring Setup'!$C$10+BI136*'Scoring Setup'!$C$11+BJ136*'Scoring Setup'!$C$12+BK136*'Scoring Setup'!$C$13+BL136*'Scoring Setup'!$C$14+BM136*'Scoring Setup'!$C$15+BN136*'Scoring Setup'!$C$16,"")</x:f>
        <x:v>50.915587028212066</x:v>
      </x:c>
      <x:c r="BP136" s="36" t="n">
        <x:f>IF(COUNT(AO136:BF136)=18,MIN(AO136:BF136),"")</x:f>
        <x:v>0.8</x:v>
      </x:c>
      <x:c r="BQ136" s="35" t="n">
        <x:f>IF(AND(ISNUMBER(BO136),ISNUMBER(BP136)),BO136*BP136,"")</x:f>
        <x:v>40.73246962256965</x:v>
      </x:c>
      <x:c r="BR136" s="17" t="str">
        <x:f>IF(COUNT(AO136:BF136)=18,INDEX('Scoring Setup'!$F$9:$F$26,MATCH(MIN(AO136:BF136),AO136:BF136,0),1),"")</x:f>
        <x:v>2050 BAU水压力</x:v>
      </x:c>
    </x:row>
    <x:row r="137">
      <x:c r="A137" s="28" t="str">
        <x:v>51840</x:v>
      </x:c>
      <x:c r="B137" s="28" t="str">
        <x:v>Winchester city</x:v>
      </x:c>
      <x:c r="C137" s="28" t="str">
        <x:v>VA</x:v>
      </x:c>
      <x:c r="D137" s="31" t="n">
        <x:v>23.809501</x:v>
      </x:c>
      <x:c r="E137" s="32" t="n">
        <x:v>0.3</x:v>
      </x:c>
      <x:c r="F137" s="32" t="n">
        <x:v>0.04424504950495051</x:v>
      </x:c>
      <x:c r="G137" s="32" t="n">
        <x:v>2.8177826710561424</x:v>
      </x:c>
      <x:c r="H137" s="32" t="n">
        <x:v>3.24617363</x:v>
      </x:c>
      <x:c r="I137" s="32" t="n">
        <x:v>0.13802593877243252</x:v>
      </x:c>
      <x:c r="J137" s="32" t="n">
        <x:v>0</x:v>
      </x:c>
      <x:c r="K137" s="32" t="n">
        <x:v>0.0003770170411702609</x:v>
      </x:c>
      <x:c r="L137" s="32" t="n">
        <x:v>0.733747804</x:v>
      </x:c>
      <x:c r="M137" s="32" t="n">
        <x:v>0.719556697</x:v>
      </x:c>
      <x:c r="N137" s="32" t="n">
        <x:v>14625</x:v>
      </x:c>
      <x:c r="O137" s="32" t="n">
        <x:v>0.9033</x:v>
      </x:c>
      <x:c r="P137" s="32" t="n">
        <x:v>893.673280843099</x:v>
      </x:c>
      <x:c r="Q137" s="32" t="n">
        <x:v>16.20895004272461</x:v>
      </x:c>
      <x:c r="R137" s="32" t="n">
        <x:v>2.059904116908261</x:v>
      </x:c>
      <x:c r="S137" s="32" t="n">
        <x:v>0.8109849372096721</x:v>
      </x:c>
      <x:c r="T137" s="32" t="n">
        <x:v>89.9</x:v>
      </x:c>
      <x:c r="U137" s="32" t="n">
        <x:v>245.07712999476223</x:v>
      </x:c>
      <x:c r="V137" s="32" t="n">
        <x:v>244.75798925963002</x:v>
      </x:c>
      <x:c r="W137" s="33" t="n">
        <x:f>IF(ISNUMBER(E137),100*MAX(0,MIN(1,('Anchors'!$H$6-E137)/('Anchors'!$H$6-'Anchors'!$G$6))),"")</x:f>
        <x:v>85.71428571428574</x:v>
      </x:c>
      <x:c r="X137" s="33" t="n">
        <x:f>IF(ISNUMBER(F137),100*MAX(0,MIN(1,('Anchors'!$H$7-F137)/('Anchors'!$H$7-'Anchors'!$G$7))),"")</x:f>
        <x:v>100</x:v>
      </x:c>
      <x:c r="Y137" s="33" t="n">
        <x:f>IF(ISNUMBER(G137),100*MAX(0,MIN(1,('Anchors'!$H$8-G137)/('Anchors'!$H$8-'Anchors'!$G$8))),"")</x:f>
        <x:v>39.40724429812859</x:v>
      </x:c>
      <x:c r="Z137" s="33" t="n">
        <x:f>IF(ISNUMBER(H137),100*MAX(0,MIN(1,('Anchors'!$H$9-H137)/('Anchors'!$H$9-'Anchors'!$G$9))),"")</x:f>
        <x:v>25.127545666666666</x:v>
      </x:c>
      <x:c r="AA137" s="33" t="n">
        <x:f>IF(ISNUMBER(I137),100*MAX(0,MIN(1,(I137-'Anchors'!$H$10)/('Anchors'!$G$10-'Anchors'!$H$10))),"")</x:f>
        <x:v>0</x:v>
      </x:c>
      <x:c r="AB137" s="33" t="n">
        <x:f>IF(ISNUMBER(J137),100*MAX(0,MIN(1,('Anchors'!$H$11-J137)/('Anchors'!$H$11-'Anchors'!$G$11))),"")</x:f>
        <x:v>100</x:v>
      </x:c>
      <x:c r="AC137" s="33" t="n">
        <x:f>IF(ISNUMBER(K137),100*MAX(0,MIN(1,('Anchors'!$H$12-K137)/('Anchors'!$H$12-'Anchors'!$G$12))),"")</x:f>
        <x:v>99.90574573970743</x:v>
      </x:c>
      <x:c r="AD137" s="33" t="n">
        <x:f>IF(ISNUMBER(L137),100*MAX(0,MIN(1,(L137-'Anchors'!$H$13)/('Anchors'!$G$13-'Anchors'!$H$13))),"")</x:f>
        <x:v>76.24968628571426</x:v>
      </x:c>
      <x:c r="AE137" s="33" t="n">
        <x:f>IF(ISNUMBER(M137),100*MAX(0,MIN(1,(M137-'Anchors'!$H$14)/('Anchors'!$G$14-'Anchors'!$H$14))),"")</x:f>
        <x:v>77.444587125</x:v>
      </x:c>
      <x:c r="AF137" s="33" t="n">
        <x:f>IF(ISNUMBER(N137),100*MAX(0,MIN(1,(LN(1+N137)-LN(1+'Anchors'!$H$15))/(LN(1+'Anchors'!$G$15)-LN(1+'Anchors'!$H$15)))),"")</x:f>
        <x:v>46.07727724856018</x:v>
      </x:c>
      <x:c r="AG137" s="33" t="n">
        <x:f>IF(ISNUMBER(O137),100*MAX(0,MIN(1,('Anchors'!$H$16-O137)/('Anchors'!$H$16-'Anchors'!$G$16))),"")</x:f>
        <x:v>5.1888888888888856</x:v>
      </x:c>
      <x:c r="AH137" s="33" t="n">
        <x:f>IF(ISNUMBER(P137),100*MAX(0,MIN(1,('Anchors'!$H$17-P137)/('Anchors'!$H$17-'Anchors'!$G$17))),"")</x:f>
        <x:v>87.08844794379341</x:v>
      </x:c>
      <x:c r="AI137" s="33" t="n">
        <x:f>IF(ISNUMBER(Q137),100*MAX(0,MIN(1,('Anchors'!$H$18-Q137)/('Anchors'!$H$18-'Anchors'!$G$18))),"")</x:f>
        <x:v>83.98721422467914</x:v>
      </x:c>
      <x:c r="AJ137" s="33" t="n">
        <x:f>IF(ISNUMBER(R137),100*MAX(0,MIN(1,('Anchors'!$H$19-R137)/('Anchors'!$H$19-'Anchors'!$G$19))),"")</x:f>
        <x:v>100</x:v>
      </x:c>
      <x:c r="AK137" s="33" t="n">
        <x:f>IF(ISNUMBER(S137),100*MAX(0,MIN(1,('Anchors'!$H$20-S137)/('Anchors'!$H$20-'Anchors'!$G$20))),"")</x:f>
        <x:v>100</x:v>
      </x:c>
      <x:c r="AL137" s="33" t="n">
        <x:f>IF(ISNUMBER(T137),100*MAX(0,MIN(1,('Anchors'!$H$21-T137)/('Anchors'!$H$21-'Anchors'!$G$21))),"")</x:f>
        <x:v>54.72727272727271</x:v>
      </x:c>
      <x:c r="AM137" s="33" t="n">
        <x:f>IF(ISNUMBER(U137),100*MAX(0,MIN(1,('Anchors'!$H$22-U137)/('Anchors'!$H$22-'Anchors'!$G$22))),"")</x:f>
        <x:v>27.461435002618884</x:v>
      </x:c>
      <x:c r="AN137" s="33" t="n">
        <x:f>IF(ISNUMBER(V137),100*MAX(0,MIN(1,('Anchors'!$H$23-V137)/('Anchors'!$H$23-'Anchors'!$G$23))),"")</x:f>
        <x:v>88.8105026850925</x:v>
      </x:c>
      <x:c r="AO137" s="27" t="n">
        <x:f>IF(ISNUMBER(W137),IF('Scoring Setup'!$L$9=1,1-'Scoring Setup'!$B$5*(1-MAX(0,MIN(1,(W137-'Scoring Setup'!$K$9)/(100-'Scoring Setup'!$K$9)))),1),"")</x:f>
        <x:v>0.9714285714285714</x:v>
      </x:c>
      <x:c r="AP137" s="27" t="n">
        <x:f>IF(ISNUMBER(X137),IF('Scoring Setup'!$L$10=1,1-'Scoring Setup'!$B$5*(1-MAX(0,MIN(1,(X137-'Scoring Setup'!$K$10)/(100-'Scoring Setup'!$K$10)))),1),"")</x:f>
        <x:v>1</x:v>
      </x:c>
      <x:c r="AQ137" s="27" t="n">
        <x:f>IF(ISNUMBER(Y137),IF('Scoring Setup'!$L$11=1,1-'Scoring Setup'!$B$5*(1-MAX(0,MIN(1,(Y137-'Scoring Setup'!$K$11)/(100-'Scoring Setup'!$K$11)))),1),"")</x:f>
        <x:v>0.8788144885962572</x:v>
      </x:c>
      <x:c r="AR137" s="27" t="n">
        <x:f>IF(ISNUMBER(Z137),IF('Scoring Setup'!$L$12=1,1-'Scoring Setup'!$B$5*(1-MAX(0,MIN(1,(Z137-'Scoring Setup'!$K$12)/(100-'Scoring Setup'!$K$12)))),1),"")</x:f>
        <x:v>0.8502550913333333</x:v>
      </x:c>
      <x:c r="AS137" s="27" t="n">
        <x:f>IF(ISNUMBER(AA137),IF('Scoring Setup'!$L$13=1,1-'Scoring Setup'!$B$5*(1-MAX(0,MIN(1,(AA137-'Scoring Setup'!$K$13)/(100-'Scoring Setup'!$K$13)))),1),"")</x:f>
        <x:v>0.8</x:v>
      </x:c>
      <x:c r="AT137" s="27" t="n">
        <x:f>IF(ISNUMBER(AB137),IF('Scoring Setup'!$L$14=1,1-'Scoring Setup'!$B$5*(1-MAX(0,MIN(1,(AB137-'Scoring Setup'!$K$14)/(100-'Scoring Setup'!$K$14)))),1),"")</x:f>
        <x:v>1</x:v>
      </x:c>
      <x:c r="AU137" s="27" t="n">
        <x:f>IF(ISNUMBER(AC137),IF('Scoring Setup'!$L$15=1,1-'Scoring Setup'!$B$5*(1-MAX(0,MIN(1,(AC137-'Scoring Setup'!$K$15)/(100-'Scoring Setup'!$K$15)))),1),"")</x:f>
        <x:v>0.9998114914794148</x:v>
      </x:c>
      <x:c r="AV137" s="27" t="n">
        <x:f>IF(ISNUMBER(AD137),IF('Scoring Setup'!$L$16=1,1-'Scoring Setup'!$B$5*(1-MAX(0,MIN(1,(AD137-'Scoring Setup'!$K$16)/(100-'Scoring Setup'!$K$16)))),1),"")</x:f>
        <x:v>0.9524993725714285</x:v>
      </x:c>
      <x:c r="AW137" s="27" t="n">
        <x:f>IF(ISNUMBER(AE137),IF('Scoring Setup'!$L$17=1,1-'Scoring Setup'!$B$5*(1-MAX(0,MIN(1,(AE137-'Scoring Setup'!$K$17)/(100-'Scoring Setup'!$K$17)))),1),"")</x:f>
        <x:v>0.95488917425</x:v>
      </x:c>
      <x:c r="AX137" s="27" t="n">
        <x:f>IF(ISNUMBER(AF137),IF('Scoring Setup'!$L$18=1,1-'Scoring Setup'!$B$5*(1-MAX(0,MIN(1,(AF137-'Scoring Setup'!$K$18)/(100-'Scoring Setup'!$K$18)))),1),"")</x:f>
        <x:v>0.8921545544971203</x:v>
      </x:c>
      <x:c r="AY137" s="27" t="n">
        <x:f>IF(ISNUMBER(AG137),IF('Scoring Setup'!$L$19=1,1-'Scoring Setup'!$B$5*(1-MAX(0,MIN(1,(AG137-'Scoring Setup'!$K$19)/(100-'Scoring Setup'!$K$19)))),1),"")</x:f>
        <x:v>0.8103777777777778</x:v>
      </x:c>
      <x:c r="AZ137" s="27" t="n">
        <x:f>IF(ISNUMBER(AH137),IF('Scoring Setup'!$L$20=1,1-'Scoring Setup'!$B$5*(1-MAX(0,MIN(1,(AH137-'Scoring Setup'!$K$20)/(100-'Scoring Setup'!$K$20)))),1),"")</x:f>
        <x:v>0.9741768958875868</x:v>
      </x:c>
      <x:c r="BA137" s="27" t="n">
        <x:f>IF(ISNUMBER(AI137),IF('Scoring Setup'!$L$21=1,1-'Scoring Setup'!$B$5*(1-MAX(0,MIN(1,(AI137-'Scoring Setup'!$K$21)/(100-'Scoring Setup'!$K$21)))),1),"")</x:f>
        <x:v>0.9679744284493583</x:v>
      </x:c>
      <x:c r="BB137" s="27" t="n">
        <x:f>IF(ISNUMBER(AJ137),IF('Scoring Setup'!$L$22=1,1-'Scoring Setup'!$B$5*(1-MAX(0,MIN(1,(AJ137-'Scoring Setup'!$K$22)/(100-'Scoring Setup'!$K$22)))),1),"")</x:f>
        <x:v>1</x:v>
      </x:c>
      <x:c r="BC137" s="27" t="n">
        <x:f>IF(ISNUMBER(AK137),IF('Scoring Setup'!$L$23=1,1-'Scoring Setup'!$B$5*(1-MAX(0,MIN(1,(AK137-'Scoring Setup'!$K$23)/(100-'Scoring Setup'!$K$23)))),1),"")</x:f>
        <x:v>1</x:v>
      </x:c>
      <x:c r="BD137" s="27" t="n">
        <x:f>IF(ISNUMBER(AL137),IF('Scoring Setup'!$L$24=1,1-'Scoring Setup'!$B$5*(1-MAX(0,MIN(1,(AL137-'Scoring Setup'!$K$24)/(100-'Scoring Setup'!$K$24)))),1),"")</x:f>
        <x:v>0.9094545454545454</x:v>
      </x:c>
      <x:c r="BE137" s="27" t="n">
        <x:f>IF(ISNUMBER(AM137),IF('Scoring Setup'!$L$25=1,1-'Scoring Setup'!$B$5*(1-MAX(0,MIN(1,(AM137-'Scoring Setup'!$K$25)/(100-'Scoring Setup'!$K$25)))),1),"")</x:f>
        <x:v>0.8549228700052378</x:v>
      </x:c>
      <x:c r="BF137" s="27" t="n">
        <x:f>IF(ISNUMBER(AN137),IF('Scoring Setup'!$L$26=1,1-'Scoring Setup'!$B$5*(1-MAX(0,MIN(1,(AN137-'Scoring Setup'!$K$26)/(100-'Scoring Setup'!$K$26)))),1),"")</x:f>
        <x:v>0.977621005370185</x:v>
      </x:c>
      <x:c r="BG137" s="34" t="n">
        <x:f>IF(COUNT(W137,X137)=2,AVERAGE(W137,X137),"")</x:f>
        <x:v>92.85714285714286</x:v>
      </x:c>
      <x:c r="BH137" s="34" t="n">
        <x:f>IF(COUNT(Y137,Z137)=2,AVERAGE(Y137,Z137),"")</x:f>
        <x:v>32.267394982397626</x:v>
      </x:c>
      <x:c r="BI137" s="34" t="n">
        <x:f>IF(COUNT(AA137,AB137,AC137)=3,AVERAGE(AA137,AB137,AC137),"")</x:f>
        <x:v>66.63524857990247</x:v>
      </x:c>
      <x:c r="BJ137" s="34" t="n">
        <x:f>IF(COUNT(AD137,AE137)=2,AVERAGE(AD137,AE137),"")</x:f>
        <x:v>76.84713670535713</x:v>
      </x:c>
      <x:c r="BK137" s="34" t="n">
        <x:f>IF(COUNT(AF137,AG137)=2,AVERAGE(AF137,AG137),"")</x:f>
        <x:v>25.63308306872453</x:v>
      </x:c>
      <x:c r="BL137" s="34" t="n">
        <x:f>IF(COUNT(AH137,AI137)=2,AVERAGE(AH137,AI137),"")</x:f>
        <x:v>85.53783108423627</x:v>
      </x:c>
      <x:c r="BM137" s="34" t="n">
        <x:f>IF(COUNT(AJ137,AK137)=2,AVERAGE(AJ137,AK137),"")</x:f>
        <x:v>100</x:v>
      </x:c>
      <x:c r="BN137" s="34" t="n">
        <x:f>IF(COUNT(AL137,AM137,AN137)=3,AVERAGE(AL137,AM137,AN137),"")</x:f>
        <x:v>56.999736804994704</x:v>
      </x:c>
      <x:c r="BO137" s="35" t="n">
        <x:f>IF(AND(COUNT(BG137:BN137)=8,ABS('Scoring Setup'!$C$17-1)&lt;0.000001),BG137*'Scoring Setup'!$C$9+BH137*'Scoring Setup'!$C$10+BI137*'Scoring Setup'!$C$11+BJ137*'Scoring Setup'!$C$12+BK137*'Scoring Setup'!$C$13+BL137*'Scoring Setup'!$C$14+BM137*'Scoring Setup'!$C$15+BN137*'Scoring Setup'!$C$16,"")</x:f>
        <x:v>59.02755271330245</x:v>
      </x:c>
      <x:c r="BP137" s="36" t="n">
        <x:f>IF(COUNT(AO137:BF137)=18,MIN(AO137:BF137),"")</x:f>
        <x:v>0.8</x:v>
      </x:c>
      <x:c r="BQ137" s="35" t="n">
        <x:f>IF(AND(ISNUMBER(BO137),ISNUMBER(BP137)),BO137*BP137,"")</x:f>
        <x:v>47.22204217064196</x:v>
      </x:c>
      <x:c r="BR137" s="17" t="str">
        <x:f>IF(COUNT(AO137:BF137)=18,INDEX('Scoring Setup'!$F$9:$F$26,MATCH(MIN(AO137:BF137),AO137:BF137,0),1),"")</x:f>
        <x:v>低不透水土地比例</x:v>
      </x:c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1:BR1"/>
    <x:mergeCell ref="A2:BR2"/>
  </x:mergeCells>
  <x:conditionalFormatting sqref="W5:AN13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O5:BF137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Q5:BQ13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c8d7991b52e49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9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8" hidden="0" customWidth="1"/>
    <x:col min="68" max="68" width="18" hidden="0" customWidth="1"/>
    <x:col min="69" max="69" width="18" hidden="0" customWidth="1"/>
    <x:col min="70" max="70" width="24" hidden="0" customWidth="1"/>
  </x:cols>
  <x:sheetData>
    <x:row r="1">
      <x:c r="A1" s="2" t="str">
        <x:v>Georgia: raw indicators, utility scores, margin factors, and adjusted suitability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3" t="str">
        <x:v>Version v0.3_va_ga_margin_demo. Customer weights and margin assumptions are editable on Scoring Setup.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 ht="48" customHeight="1">
      <x:c r="A4" s="8" t="str">
        <x:v>FIPS</x:v>
      </x:c>
      <x:c r="B4" s="8" t="str">
        <x:v>County / independent city</x:v>
      </x:c>
      <x:c r="C4" s="8" t="str">
        <x:v>State</x:v>
      </x:c>
      <x:c r="D4" s="8" t="str">
        <x:v>Land area km²</x:v>
      </x:c>
      <x:c r="E4" s="8" t="str">
        <x:v>野火全国百分位
fraction</x:v>
      </x:c>
      <x:c r="F4" s="8" t="str">
        <x:v>洪水损失率全国百分位
fraction</x:v>
      </x:c>
      <x:c r="G4" s="8" t="str">
        <x:v>基线水压力
index 0-5</x:v>
      </x:c>
      <x:c r="H4" s="8" t="str">
        <x:v>2050 BAU水压力
index 0-5</x:v>
      </x:c>
      <x:c r="I4" s="8" t="str">
        <x:v>低不透水土地比例
fraction</x:v>
      </x:c>
      <x:c r="J4" s="8" t="str">
        <x:v>GAP1/2保护地比例
fraction</x:v>
      </x:c>
      <x:c r="K4" s="8" t="str">
        <x:v>湿地陆地比例
fraction</x:v>
      </x:c>
      <x:c r="L4" s="8" t="str">
        <x:v>商业光纤100/20覆盖率
fraction</x:v>
      </x:c>
      <x:c r="M4" s="8" t="str">
        <x:v>商业光纤1000/100覆盖率
fraction</x:v>
      </x:c>
      <x:c r="N4" s="8" t="str">
        <x:v>劳动力人数
persons</x:v>
      </x:c>
      <x:c r="O4" s="8" t="str">
        <x:v>社会脆弱性百分位
fraction</x:v>
      </x:c>
      <x:c r="P4" s="8" t="str">
        <x:v>历史CDD65
degF_day/year</x:v>
      </x:c>
      <x:c r="Q4" s="8" t="str">
        <x:v>历史&gt;90°F天数
days/year</x:v>
      </x:c>
      <x:c r="R4" s="8" t="str">
        <x:v>到Interstate距离
km</x:v>
      </x:c>
      <x:c r="S4" s="8" t="str">
        <x:v>到铁路距离
km</x:v>
      </x:c>
      <x:c r="T4" s="8" t="str">
        <x:v>州工业电价
USD/MWh</x:v>
      </x:c>
      <x:c r="U4" s="8" t="str">
        <x:v>州SAIDI不含重大事件日
min/customer/year</x:v>
      </x:c>
      <x:c r="V4" s="8" t="str">
        <x:v>州电网CO2e强度
kgCO2e/MWh</x:v>
      </x:c>
      <x:c r="W4" s="8" t="str">
        <x:v>野火全国百分位
效用分0-100</x:v>
      </x:c>
      <x:c r="X4" s="8" t="str">
        <x:v>洪水损失率全国百分位
效用分0-100</x:v>
      </x:c>
      <x:c r="Y4" s="8" t="str">
        <x:v>基线水压力
效用分0-100</x:v>
      </x:c>
      <x:c r="Z4" s="8" t="str">
        <x:v>2050 BAU水压力
效用分0-100</x:v>
      </x:c>
      <x:c r="AA4" s="8" t="str">
        <x:v>低不透水土地比例
效用分0-100</x:v>
      </x:c>
      <x:c r="AB4" s="8" t="str">
        <x:v>GAP1/2保护地比例
效用分0-100</x:v>
      </x:c>
      <x:c r="AC4" s="8" t="str">
        <x:v>湿地陆地比例
效用分0-100</x:v>
      </x:c>
      <x:c r="AD4" s="8" t="str">
        <x:v>商业光纤100/20覆盖率
效用分0-100</x:v>
      </x:c>
      <x:c r="AE4" s="8" t="str">
        <x:v>商业光纤1000/100覆盖率
效用分0-100</x:v>
      </x:c>
      <x:c r="AF4" s="8" t="str">
        <x:v>劳动力人数
效用分0-100</x:v>
      </x:c>
      <x:c r="AG4" s="8" t="str">
        <x:v>社会脆弱性百分位
效用分0-100</x:v>
      </x:c>
      <x:c r="AH4" s="8" t="str">
        <x:v>历史CDD65
效用分0-100</x:v>
      </x:c>
      <x:c r="AI4" s="8" t="str">
        <x:v>历史&gt;90°F天数
效用分0-100</x:v>
      </x:c>
      <x:c r="AJ4" s="8" t="str">
        <x:v>到Interstate距离
效用分0-100</x:v>
      </x:c>
      <x:c r="AK4" s="8" t="str">
        <x:v>到铁路距离
效用分0-100</x:v>
      </x:c>
      <x:c r="AL4" s="8" t="str">
        <x:v>州工业电价
效用分0-100</x:v>
      </x:c>
      <x:c r="AM4" s="8" t="str">
        <x:v>州SAIDI不含重大事件日
效用分0-100</x:v>
      </x:c>
      <x:c r="AN4" s="8" t="str">
        <x:v>州电网CO2e强度
效用分0-100</x:v>
      </x:c>
      <x:c r="AO4" s="8" t="str">
        <x:v>野火全国百分位
边际惩罚因子</x:v>
      </x:c>
      <x:c r="AP4" s="8" t="str">
        <x:v>洪水损失率全国百分位
边际惩罚因子</x:v>
      </x:c>
      <x:c r="AQ4" s="8" t="str">
        <x:v>基线水压力
边际惩罚因子</x:v>
      </x:c>
      <x:c r="AR4" s="8" t="str">
        <x:v>2050 BAU水压力
边际惩罚因子</x:v>
      </x:c>
      <x:c r="AS4" s="8" t="str">
        <x:v>低不透水土地比例
边际惩罚因子</x:v>
      </x:c>
      <x:c r="AT4" s="8" t="str">
        <x:v>GAP1/2保护地比例
边际惩罚因子</x:v>
      </x:c>
      <x:c r="AU4" s="8" t="str">
        <x:v>湿地陆地比例
边际惩罚因子</x:v>
      </x:c>
      <x:c r="AV4" s="8" t="str">
        <x:v>商业光纤100/20覆盖率
边际惩罚因子</x:v>
      </x:c>
      <x:c r="AW4" s="8" t="str">
        <x:v>商业光纤1000/100覆盖率
边际惩罚因子</x:v>
      </x:c>
      <x:c r="AX4" s="8" t="str">
        <x:v>劳动力人数
边际惩罚因子</x:v>
      </x:c>
      <x:c r="AY4" s="8" t="str">
        <x:v>社会脆弱性百分位
边际惩罚因子</x:v>
      </x:c>
      <x:c r="AZ4" s="8" t="str">
        <x:v>历史CDD65
边际惩罚因子</x:v>
      </x:c>
      <x:c r="BA4" s="8" t="str">
        <x:v>历史&gt;90°F天数
边际惩罚因子</x:v>
      </x:c>
      <x:c r="BB4" s="8" t="str">
        <x:v>到Interstate距离
边际惩罚因子</x:v>
      </x:c>
      <x:c r="BC4" s="8" t="str">
        <x:v>到铁路距离
边际惩罚因子</x:v>
      </x:c>
      <x:c r="BD4" s="8" t="str">
        <x:v>州工业电价
边际惩罚因子</x:v>
      </x:c>
      <x:c r="BE4" s="8" t="str">
        <x:v>州SAIDI不含重大事件日
边际惩罚因子</x:v>
      </x:c>
      <x:c r="BF4" s="8" t="str">
        <x:v>州电网CO2e强度
边际惩罚因子</x:v>
      </x:c>
      <x:c r="BG4" s="8" t="str">
        <x:v>气候风险
维度分0-100</x:v>
      </x:c>
      <x:c r="BH4" s="8" t="str">
        <x:v>水资源
维度分0-100</x:v>
      </x:c>
      <x:c r="BI4" s="8" t="str">
        <x:v>土地与生态
维度分0-100</x:v>
      </x:c>
      <x:c r="BJ4" s="8" t="str">
        <x:v>光纤
维度分0-100</x:v>
      </x:c>
      <x:c r="BK4" s="8" t="str">
        <x:v>劳动力与社区
维度分0-100</x:v>
      </x:c>
      <x:c r="BL4" s="8" t="str">
        <x:v>冷却气候
维度分0-100</x:v>
      </x:c>
      <x:c r="BM4" s="8" t="str">
        <x:v>交通
维度分0-100</x:v>
      </x:c>
      <x:c r="BN4" s="8" t="str">
        <x:v>能源与碳
维度分0-100</x:v>
      </x:c>
      <x:c r="BO4" s="8" t="str">
        <x:v>Suitability
0-100</x:v>
      </x:c>
      <x:c r="BP4" s="8" t="str">
        <x:v>Overall margin
factor</x:v>
      </x:c>
      <x:c r="BQ4" s="8" t="str">
        <x:v>Margin-adjusted
suitability</x:v>
      </x:c>
      <x:c r="BR4" s="8" t="str">
        <x:v>Binding
indicator</x:v>
      </x:c>
    </x:row>
    <x:row r="5">
      <x:c r="A5" s="28" t="str">
        <x:v>13001</x:v>
      </x:c>
      <x:c r="B5" s="28" t="str">
        <x:v>Appling County</x:v>
      </x:c>
      <x:c r="C5" s="28" t="str">
        <x:v>GA</x:v>
      </x:c>
      <x:c r="D5" s="31" t="n">
        <x:v>1316.393793</x:v>
      </x:c>
      <x:c r="E5" s="32" t="n">
        <x:v>0.542</x:v>
      </x:c>
      <x:c r="F5" s="32" t="n">
        <x:v>0.23267326732673302</x:v>
      </x:c>
      <x:c r="G5" s="32" t="n">
        <x:v>0.7651955300472733</x:v>
      </x:c>
      <x:c r="H5" s="32" t="n">
        <x:v>0.7145068300168177</x:v>
      </x:c>
      <x:c r="I5" s="32" t="n">
        <x:v>0.9234443187604444</x:v>
      </x:c>
      <x:c r="J5" s="32" t="n">
        <x:v>0.025635483832204722</x:v>
      </x:c>
      <x:c r="K5" s="32" t="n">
        <x:v>0.29941391766141184</x:v>
      </x:c>
      <x:c r="L5" s="32" t="n">
        <x:v>0.633191748</x:v>
      </x:c>
      <x:c r="M5" s="32" t="n">
        <x:v>0.633191748</x:v>
      </x:c>
      <x:c r="N5" s="32" t="n">
        <x:v>8824</x:v>
      </x:c>
      <x:c r="O5" s="32" t="n">
        <x:v>0.9122</x:v>
      </x:c>
      <x:c r="P5" s="32" t="n">
        <x:v>2186.5702311197915</x:v>
      </x:c>
      <x:c r="Q5" s="32" t="n">
        <x:v>73.06198755900066</x:v>
      </x:c>
      <x:c r="R5" s="32" t="n">
        <x:v>71.25830095263419</x:v>
      </x:c>
      <x:c r="S5" s="32" t="n">
        <x:v>1.6896912720807074</x:v>
      </x:c>
      <x:c r="T5" s="32" t="n">
        <x:v>72.1</x:v>
      </x:c>
      <x:c r="U5" s="32" t="n">
        <x:v>211.4154781728841</x:v>
      </x:c>
      <x:c r="V5" s="32" t="n">
        <x:v>325.42757789465</x:v>
      </x:c>
      <x:c r="W5" s="33" t="n">
        <x:f>IF(ISNUMBER(E5),100*MAX(0,MIN(1,('Anchors'!$H$6-E5)/('Anchors'!$H$6-'Anchors'!$G$6))),"")</x:f>
        <x:v>51.142857142857146</x:v>
      </x:c>
      <x:c r="X5" s="33" t="n">
        <x:f>IF(ISNUMBER(F5),100*MAX(0,MIN(1,('Anchors'!$H$7-F5)/('Anchors'!$H$7-'Anchors'!$G$7))),"")</x:f>
        <x:v>81.046676096181</x:v>
      </x:c>
      <x:c r="Y5" s="33" t="n">
        <x:f>IF(ISNUMBER(G5),100*MAX(0,MIN(1,('Anchors'!$H$8-G5)/('Anchors'!$H$8-'Anchors'!$G$8))),"")</x:f>
        <x:v>100</x:v>
      </x:c>
      <x:c r="Z5" s="33" t="n">
        <x:f>IF(ISNUMBER(H5),100*MAX(0,MIN(1,('Anchors'!$H$9-H5)/('Anchors'!$H$9-'Anchors'!$G$9))),"")</x:f>
        <x:v>100</x:v>
      </x:c>
      <x:c r="AA5" s="33" t="n">
        <x:f>IF(ISNUMBER(I5),100*MAX(0,MIN(1,(I5-'Anchors'!$H$10)/('Anchors'!$G$10-'Anchors'!$H$10))),"")</x:f>
        <x:v>92.25264640554033</x:v>
      </x:c>
      <x:c r="AB5" s="33" t="n">
        <x:f>IF(ISNUMBER(J5),100*MAX(0,MIN(1,('Anchors'!$H$11-J5)/('Anchors'!$H$11-'Anchors'!$G$11))),"")</x:f>
        <x:v>89.74580646711811</x:v>
      </x:c>
      <x:c r="AC5" s="33" t="n">
        <x:f>IF(ISNUMBER(K5),100*MAX(0,MIN(1,('Anchors'!$H$12-K5)/('Anchors'!$H$12-'Anchors'!$G$12))),"")</x:f>
        <x:v>25.146520584647043</x:v>
      </x:c>
      <x:c r="AD5" s="33" t="n">
        <x:f>IF(ISNUMBER(L5),100*MAX(0,MIN(1,(L5-'Anchors'!$H$13)/('Anchors'!$G$13-'Anchors'!$H$13))),"")</x:f>
        <x:v>61.88453542857143</x:v>
      </x:c>
      <x:c r="AE5" s="33" t="n">
        <x:f>IF(ISNUMBER(M5),100*MAX(0,MIN(1,(M5-'Anchors'!$H$14)/('Anchors'!$G$14-'Anchors'!$H$14))),"")</x:f>
        <x:v>66.6489685</x:v>
      </x:c>
      <x:c r="AF5" s="33" t="n">
        <x:f>IF(ISNUMBER(N5),100*MAX(0,MIN(1,(LN(1+N5)-LN(1+'Anchors'!$H$15))/(LN(1+'Anchors'!$G$15)-LN(1+'Anchors'!$H$15)))),"")</x:f>
        <x:v>34.37441043655686</x:v>
      </x:c>
      <x:c r="AG5" s="33" t="n">
        <x:f>IF(ISNUMBER(O5),100*MAX(0,MIN(1,('Anchors'!$H$16-O5)/('Anchors'!$H$16-'Anchors'!$G$16))),"")</x:f>
        <x:v>4.199999999999994</x:v>
      </x:c>
      <x:c r="AH5" s="33" t="n">
        <x:f>IF(ISNUMBER(P5),100*MAX(0,MIN(1,('Anchors'!$H$17-P5)/('Anchors'!$H$17-'Anchors'!$G$17))),"")</x:f>
        <x:v>0.8953179253472323</x:v>
      </x:c>
      <x:c r="AI5" s="33" t="n">
        <x:f>IF(ISNUMBER(Q5),100*MAX(0,MIN(1,('Anchors'!$H$18-Q5)/('Anchors'!$H$18-'Anchors'!$G$18))),"")</x:f>
        <x:v>2.768589201427635</x:v>
      </x:c>
      <x:c r="AJ5" s="33" t="n">
        <x:f>IF(ISNUMBER(R5),100*MAX(0,MIN(1,('Anchors'!$H$19-R5)/('Anchors'!$H$19-'Anchors'!$G$19))),"")</x:f>
        <x:v>0</x:v>
      </x:c>
      <x:c r="AK5" s="33" t="n">
        <x:f>IF(ISNUMBER(S5),100*MAX(0,MIN(1,('Anchors'!$H$20-S5)/('Anchors'!$H$20-'Anchors'!$G$20))),"")</x:f>
        <x:v>96.37004593641733</x:v>
      </x:c>
      <x:c r="AL5" s="33" t="n">
        <x:f>IF(ISNUMBER(T5),100*MAX(0,MIN(1,('Anchors'!$H$21-T5)/('Anchors'!$H$21-'Anchors'!$G$21))),"")</x:f>
        <x:v>87.0909090909091</x:v>
      </x:c>
      <x:c r="AM5" s="33" t="n">
        <x:f>IF(ISNUMBER(U5),100*MAX(0,MIN(1,('Anchors'!$H$22-U5)/('Anchors'!$H$22-'Anchors'!$G$22))),"")</x:f>
        <x:v>44.29226091355795</x:v>
      </x:c>
      <x:c r="AN5" s="33" t="n">
        <x:f>IF(ISNUMBER(V5),100*MAX(0,MIN(1,('Anchors'!$H$23-V5)/('Anchors'!$H$23-'Anchors'!$G$23))),"")</x:f>
        <x:v>68.6431055263375</x:v>
      </x:c>
      <x:c r="AO5" s="27" t="n">
        <x:f>IF(ISNUMBER(W5),IF('Scoring Setup'!$L$9=1,1-'Scoring Setup'!$B$5*(1-MAX(0,MIN(1,(W5-'Scoring Setup'!$K$9)/(100-'Scoring Setup'!$K$9)))),1),"")</x:f>
        <x:v>0.9022857142857142</x:v>
      </x:c>
      <x:c r="AP5" s="27" t="n">
        <x:f>IF(ISNUMBER(X5),IF('Scoring Setup'!$L$10=1,1-'Scoring Setup'!$B$5*(1-MAX(0,MIN(1,(X5-'Scoring Setup'!$K$10)/(100-'Scoring Setup'!$K$10)))),1),"")</x:f>
        <x:v>0.962093352192362</x:v>
      </x:c>
      <x:c r="AQ5" s="27" t="n">
        <x:f>IF(ISNUMBER(Y5),IF('Scoring Setup'!$L$11=1,1-'Scoring Setup'!$B$5*(1-MAX(0,MIN(1,(Y5-'Scoring Setup'!$K$11)/(100-'Scoring Setup'!$K$11)))),1),"")</x:f>
        <x:v>1</x:v>
      </x:c>
      <x:c r="AR5" s="27" t="n">
        <x:f>IF(ISNUMBER(Z5),IF('Scoring Setup'!$L$12=1,1-'Scoring Setup'!$B$5*(1-MAX(0,MIN(1,(Z5-'Scoring Setup'!$K$12)/(100-'Scoring Setup'!$K$12)))),1),"")</x:f>
        <x:v>1</x:v>
      </x:c>
      <x:c r="AS5" s="27" t="n">
        <x:f>IF(ISNUMBER(AA5),IF('Scoring Setup'!$L$13=1,1-'Scoring Setup'!$B$5*(1-MAX(0,MIN(1,(AA5-'Scoring Setup'!$K$13)/(100-'Scoring Setup'!$K$13)))),1),"")</x:f>
        <x:v>0.9845052928110807</x:v>
      </x:c>
      <x:c r="AT5" s="27" t="n">
        <x:f>IF(ISNUMBER(AB5),IF('Scoring Setup'!$L$14=1,1-'Scoring Setup'!$B$5*(1-MAX(0,MIN(1,(AB5-'Scoring Setup'!$K$14)/(100-'Scoring Setup'!$K$14)))),1),"")</x:f>
        <x:v>0.9794916129342363</x:v>
      </x:c>
      <x:c r="AU5" s="27" t="n">
        <x:f>IF(ISNUMBER(AC5),IF('Scoring Setup'!$L$15=1,1-'Scoring Setup'!$B$5*(1-MAX(0,MIN(1,(AC5-'Scoring Setup'!$K$15)/(100-'Scoring Setup'!$K$15)))),1),"")</x:f>
        <x:v>0.850293041169294</x:v>
      </x:c>
      <x:c r="AV5" s="27" t="n">
        <x:f>IF(ISNUMBER(AD5),IF('Scoring Setup'!$L$16=1,1-'Scoring Setup'!$B$5*(1-MAX(0,MIN(1,(AD5-'Scoring Setup'!$K$16)/(100-'Scoring Setup'!$K$16)))),1),"")</x:f>
        <x:v>0.9237690708571429</x:v>
      </x:c>
      <x:c r="AW5" s="27" t="n">
        <x:f>IF(ISNUMBER(AE5),IF('Scoring Setup'!$L$17=1,1-'Scoring Setup'!$B$5*(1-MAX(0,MIN(1,(AE5-'Scoring Setup'!$K$17)/(100-'Scoring Setup'!$K$17)))),1),"")</x:f>
        <x:v>0.933297937</x:v>
      </x:c>
      <x:c r="AX5" s="27" t="n">
        <x:f>IF(ISNUMBER(AF5),IF('Scoring Setup'!$L$18=1,1-'Scoring Setup'!$B$5*(1-MAX(0,MIN(1,(AF5-'Scoring Setup'!$K$18)/(100-'Scoring Setup'!$K$18)))),1),"")</x:f>
        <x:v>0.8687488208731137</x:v>
      </x:c>
      <x:c r="AY5" s="27" t="n">
        <x:f>IF(ISNUMBER(AG5),IF('Scoring Setup'!$L$19=1,1-'Scoring Setup'!$B$5*(1-MAX(0,MIN(1,(AG5-'Scoring Setup'!$K$19)/(100-'Scoring Setup'!$K$19)))),1),"")</x:f>
        <x:v>0.8084</x:v>
      </x:c>
      <x:c r="AZ5" s="27" t="n">
        <x:f>IF(ISNUMBER(AH5),IF('Scoring Setup'!$L$20=1,1-'Scoring Setup'!$B$5*(1-MAX(0,MIN(1,(AH5-'Scoring Setup'!$K$20)/(100-'Scoring Setup'!$K$20)))),1),"")</x:f>
        <x:v>0.8017906358506944</x:v>
      </x:c>
      <x:c r="BA5" s="27" t="n">
        <x:f>IF(ISNUMBER(AI5),IF('Scoring Setup'!$L$21=1,1-'Scoring Setup'!$B$5*(1-MAX(0,MIN(1,(AI5-'Scoring Setup'!$K$21)/(100-'Scoring Setup'!$K$21)))),1),"")</x:f>
        <x:v>0.8055371784028553</x:v>
      </x:c>
      <x:c r="BB5" s="27" t="n">
        <x:f>IF(ISNUMBER(AJ5),IF('Scoring Setup'!$L$22=1,1-'Scoring Setup'!$B$5*(1-MAX(0,MIN(1,(AJ5-'Scoring Setup'!$K$22)/(100-'Scoring Setup'!$K$22)))),1),"")</x:f>
        <x:v>0.8</x:v>
      </x:c>
      <x:c r="BC5" s="27" t="n">
        <x:f>IF(ISNUMBER(AK5),IF('Scoring Setup'!$L$23=1,1-'Scoring Setup'!$B$5*(1-MAX(0,MIN(1,(AK5-'Scoring Setup'!$K$23)/(100-'Scoring Setup'!$K$23)))),1),"")</x:f>
        <x:v>0.9927400918728346</x:v>
      </x:c>
      <x:c r="BD5" s="27" t="n">
        <x:f>IF(ISNUMBER(AL5),IF('Scoring Setup'!$L$24=1,1-'Scoring Setup'!$B$5*(1-MAX(0,MIN(1,(AL5-'Scoring Setup'!$K$24)/(100-'Scoring Setup'!$K$24)))),1),"")</x:f>
        <x:v>0.9741818181818181</x:v>
      </x:c>
      <x:c r="BE5" s="27" t="n">
        <x:f>IF(ISNUMBER(AM5),IF('Scoring Setup'!$L$25=1,1-'Scoring Setup'!$B$5*(1-MAX(0,MIN(1,(AM5-'Scoring Setup'!$K$25)/(100-'Scoring Setup'!$K$25)))),1),"")</x:f>
        <x:v>0.8885845218271159</x:v>
      </x:c>
      <x:c r="BF5" s="27" t="n">
        <x:f>IF(ISNUMBER(AN5),IF('Scoring Setup'!$L$26=1,1-'Scoring Setup'!$B$5*(1-MAX(0,MIN(1,(AN5-'Scoring Setup'!$K$26)/(100-'Scoring Setup'!$K$26)))),1),"")</x:f>
        <x:v>0.937286211052675</x:v>
      </x:c>
      <x:c r="BG5" s="34" t="n">
        <x:f>IF(COUNT(W5,X5)=2,AVERAGE(W5,X5),"")</x:f>
        <x:v>66.09476661951908</x:v>
      </x:c>
      <x:c r="BH5" s="34" t="n">
        <x:f>IF(COUNT(Y5,Z5)=2,AVERAGE(Y5,Z5),"")</x:f>
        <x:v>100</x:v>
      </x:c>
      <x:c r="BI5" s="34" t="n">
        <x:f>IF(COUNT(AA5,AB5,AC5)=3,AVERAGE(AA5,AB5,AC5),"")</x:f>
        <x:v>69.0483244857685</x:v>
      </x:c>
      <x:c r="BJ5" s="34" t="n">
        <x:f>IF(COUNT(AD5,AE5)=2,AVERAGE(AD5,AE5),"")</x:f>
        <x:v>64.26675196428572</x:v>
      </x:c>
      <x:c r="BK5" s="34" t="n">
        <x:f>IF(COUNT(AF5,AG5)=2,AVERAGE(AF5,AG5),"")</x:f>
        <x:v>19.287205218278427</x:v>
      </x:c>
      <x:c r="BL5" s="34" t="n">
        <x:f>IF(COUNT(AH5,AI5)=2,AVERAGE(AH5,AI5),"")</x:f>
        <x:v>1.8319535633874335</x:v>
      </x:c>
      <x:c r="BM5" s="34" t="n">
        <x:f>IF(COUNT(AJ5,AK5)=2,AVERAGE(AJ5,AK5),"")</x:f>
        <x:v>48.18502296820866</x:v>
      </x:c>
      <x:c r="BN5" s="34" t="n">
        <x:f>IF(COUNT(AL5,AM5,AN5)=3,AVERAGE(AL5,AM5,AN5),"")</x:f>
        <x:v>66.67542517693484</x:v>
      </x:c>
      <x:c r="BO5" s="35" t="n">
        <x:f>IF(AND(COUNT(BG5:BN5)=8,ABS('Scoring Setup'!$C$17-1)&lt;0.000001),BG5*'Scoring Setup'!$C$9+BH5*'Scoring Setup'!$C$10+BI5*'Scoring Setup'!$C$11+BJ5*'Scoring Setup'!$C$12+BK5*'Scoring Setup'!$C$13+BL5*'Scoring Setup'!$C$14+BM5*'Scoring Setup'!$C$15+BN5*'Scoring Setup'!$C$16,"")</x:f>
        <x:v>64.37318120844543</x:v>
      </x:c>
      <x:c r="BP5" s="36" t="n">
        <x:f>IF(COUNT(AO5:BF5)=18,MIN(AO5:BF5),"")</x:f>
        <x:v>0.8</x:v>
      </x:c>
      <x:c r="BQ5" s="35" t="n">
        <x:f>IF(AND(ISNUMBER(BO5),ISNUMBER(BP5)),BO5*BP5,"")</x:f>
        <x:v>51.49854496675635</x:v>
      </x:c>
      <x:c r="BR5" s="17" t="str">
        <x:f>IF(COUNT(AO5:BF5)=18,INDEX('Scoring Setup'!$F$9:$F$26,MATCH(MIN(AO5:BF5),AO5:BF5,0),1),"")</x:f>
        <x:v>到Interstate距离</x:v>
      </x:c>
    </x:row>
    <x:row r="6">
      <x:c r="A6" s="28" t="str">
        <x:v>13003</x:v>
      </x:c>
      <x:c r="B6" s="28" t="str">
        <x:v>Atkinson County</x:v>
      </x:c>
      <x:c r="C6" s="28" t="str">
        <x:v>GA</x:v>
      </x:c>
      <x:c r="D6" s="31" t="n">
        <x:v>887.642157</x:v>
      </x:c>
      <x:c r="E6" s="32" t="n">
        <x:v>0.611</x:v>
      </x:c>
      <x:c r="F6" s="32" t="n">
        <x:v>0.225556930693069</x:v>
      </x:c>
      <x:c r="G6" s="32" t="n">
        <x:v>1.6718057087113112</x:v>
      </x:c>
      <x:c r="H6" s="32" t="n">
        <x:v>1.666399116302934</x:v>
      </x:c>
      <x:c r="I6" s="32" t="n">
        <x:v>0.943446722170842</x:v>
      </x:c>
      <x:c r="J6" s="32" t="n">
        <x:v>0.015502590004870856</x:v>
      </x:c>
      <x:c r="K6" s="32" t="n">
        <x:v>0.3179935433091604</x:v>
      </x:c>
      <x:c r="L6" s="32" t="n">
        <x:v>0.60433024</x:v>
      </x:c>
      <x:c r="M6" s="32" t="n">
        <x:v>0.588627171</x:v>
      </x:c>
      <x:c r="N6" s="32" t="n">
        <x:v>3754</x:v>
      </x:c>
      <x:c r="O6" s="32" t="n">
        <x:v>0.8444</x:v>
      </x:c>
      <x:c r="P6" s="32" t="n">
        <x:v>2187.9940836588544</x:v>
      </x:c>
      <x:c r="Q6" s="32" t="n">
        <x:v>77.72325922648112</x:v>
      </x:c>
      <x:c r="R6" s="32" t="n">
        <x:v>56.12967010241723</x:v>
      </x:c>
      <x:c r="S6" s="32" t="n">
        <x:v>3.7955695329319084</x:v>
      </x:c>
      <x:c r="T6" s="32" t="n">
        <x:v>72.1</x:v>
      </x:c>
      <x:c r="U6" s="32" t="n">
        <x:v>211.4154781728841</x:v>
      </x:c>
      <x:c r="V6" s="32" t="n">
        <x:v>325.42757789465</x:v>
      </x:c>
      <x:c r="W6" s="33" t="n">
        <x:f>IF(ISNUMBER(E6),100*MAX(0,MIN(1,('Anchors'!$H$6-E6)/('Anchors'!$H$6-'Anchors'!$G$6))),"")</x:f>
        <x:v>41.28571428571429</x:v>
      </x:c>
      <x:c r="X6" s="33" t="n">
        <x:f>IF(ISNUMBER(F6),100*MAX(0,MIN(1,('Anchors'!$H$7-F6)/('Anchors'!$H$7-'Anchors'!$G$7))),"")</x:f>
        <x:v>82.06329561527585</x:v>
      </x:c>
      <x:c r="Y6" s="33" t="n">
        <x:f>IF(ISNUMBER(G6),100*MAX(0,MIN(1,('Anchors'!$H$8-G6)/('Anchors'!$H$8-'Anchors'!$G$8))),"")</x:f>
        <x:v>77.60647637628963</x:v>
      </x:c>
      <x:c r="Z6" s="33" t="n">
        <x:f>IF(ISNUMBER(H6),100*MAX(0,MIN(1,('Anchors'!$H$9-H6)/('Anchors'!$H$9-'Anchors'!$G$9))),"")</x:f>
        <x:v>77.78669612323554</x:v>
      </x:c>
      <x:c r="AA6" s="33" t="n">
        <x:f>IF(ISNUMBER(I6),100*MAX(0,MIN(1,(I6-'Anchors'!$H$10)/('Anchors'!$G$10-'Anchors'!$H$10))),"")</x:f>
        <x:v>94.99270166723863</x:v>
      </x:c>
      <x:c r="AB6" s="33" t="n">
        <x:f>IF(ISNUMBER(J6),100*MAX(0,MIN(1,('Anchors'!$H$11-J6)/('Anchors'!$H$11-'Anchors'!$G$11))),"")</x:f>
        <x:v>93.79896399805165</x:v>
      </x:c>
      <x:c r="AC6" s="33" t="n">
        <x:f>IF(ISNUMBER(K6),100*MAX(0,MIN(1,('Anchors'!$H$12-K6)/('Anchors'!$H$12-'Anchors'!$G$12))),"")</x:f>
        <x:v>20.501614172709903</x:v>
      </x:c>
      <x:c r="AD6" s="33" t="n">
        <x:f>IF(ISNUMBER(L6),100*MAX(0,MIN(1,(L6-'Anchors'!$H$13)/('Anchors'!$G$13-'Anchors'!$H$13))),"")</x:f>
        <x:v>57.76146285714287</x:v>
      </x:c>
      <x:c r="AE6" s="33" t="n">
        <x:f>IF(ISNUMBER(M6),100*MAX(0,MIN(1,(M6-'Anchors'!$H$14)/('Anchors'!$G$14-'Anchors'!$H$14))),"")</x:f>
        <x:v>61.07839637499999</x:v>
      </x:c>
      <x:c r="AF6" s="33" t="n">
        <x:f>IF(ISNUMBER(N6),100*MAX(0,MIN(1,(LN(1+N6)-LN(1+'Anchors'!$H$15))/(LN(1+'Anchors'!$G$15)-LN(1+'Anchors'!$H$15)))),"")</x:f>
        <x:v>14.580541405439055</x:v>
      </x:c>
      <x:c r="AG6" s="33" t="n">
        <x:f>IF(ISNUMBER(O6),100*MAX(0,MIN(1,('Anchors'!$H$16-O6)/('Anchors'!$H$16-'Anchors'!$G$16))),"")</x:f>
        <x:v>11.733333333333325</x:v>
      </x:c>
      <x:c r="AH6" s="33" t="n">
        <x:f>IF(ISNUMBER(P6),100*MAX(0,MIN(1,('Anchors'!$H$17-P6)/('Anchors'!$H$17-'Anchors'!$G$17))),"")</x:f>
        <x:v>0.8003944227430414</x:v>
      </x:c>
      <x:c r="AI6" s="33" t="n">
        <x:f>IF(ISNUMBER(Q6),100*MAX(0,MIN(1,('Anchors'!$H$18-Q6)/('Anchors'!$H$18-'Anchors'!$G$18))),"")</x:f>
        <x:v>0</x:v>
      </x:c>
      <x:c r="AJ6" s="33" t="n">
        <x:f>IF(ISNUMBER(R6),100*MAX(0,MIN(1,('Anchors'!$H$19-R6)/('Anchors'!$H$19-'Anchors'!$G$19))),"")</x:f>
        <x:v>0</x:v>
      </x:c>
      <x:c r="AK6" s="33" t="n">
        <x:f>IF(ISNUMBER(S6),100*MAX(0,MIN(1,('Anchors'!$H$20-S6)/('Anchors'!$H$20-'Anchors'!$G$20))),"")</x:f>
        <x:v>85.28647614246366</x:v>
      </x:c>
      <x:c r="AL6" s="33" t="n">
        <x:f>IF(ISNUMBER(T6),100*MAX(0,MIN(1,('Anchors'!$H$21-T6)/('Anchors'!$H$21-'Anchors'!$G$21))),"")</x:f>
        <x:v>87.0909090909091</x:v>
      </x:c>
      <x:c r="AM6" s="33" t="n">
        <x:f>IF(ISNUMBER(U6),100*MAX(0,MIN(1,('Anchors'!$H$22-U6)/('Anchors'!$H$22-'Anchors'!$G$22))),"")</x:f>
        <x:v>44.29226091355795</x:v>
      </x:c>
      <x:c r="AN6" s="33" t="n">
        <x:f>IF(ISNUMBER(V6),100*MAX(0,MIN(1,('Anchors'!$H$23-V6)/('Anchors'!$H$23-'Anchors'!$G$23))),"")</x:f>
        <x:v>68.6431055263375</x:v>
      </x:c>
      <x:c r="AO6" s="27" t="n">
        <x:f>IF(ISNUMBER(W6),IF('Scoring Setup'!$L$9=1,1-'Scoring Setup'!$B$5*(1-MAX(0,MIN(1,(W6-'Scoring Setup'!$K$9)/(100-'Scoring Setup'!$K$9)))),1),"")</x:f>
        <x:v>0.8825714285714286</x:v>
      </x:c>
      <x:c r="AP6" s="27" t="n">
        <x:f>IF(ISNUMBER(X6),IF('Scoring Setup'!$L$10=1,1-'Scoring Setup'!$B$5*(1-MAX(0,MIN(1,(X6-'Scoring Setup'!$K$10)/(100-'Scoring Setup'!$K$10)))),1),"")</x:f>
        <x:v>0.9641265912305517</x:v>
      </x:c>
      <x:c r="AQ6" s="27" t="n">
        <x:f>IF(ISNUMBER(Y6),IF('Scoring Setup'!$L$11=1,1-'Scoring Setup'!$B$5*(1-MAX(0,MIN(1,(Y6-'Scoring Setup'!$K$11)/(100-'Scoring Setup'!$K$11)))),1),"")</x:f>
        <x:v>0.9552129527525792</x:v>
      </x:c>
      <x:c r="AR6" s="27" t="n">
        <x:f>IF(ISNUMBER(Z6),IF('Scoring Setup'!$L$12=1,1-'Scoring Setup'!$B$5*(1-MAX(0,MIN(1,(Z6-'Scoring Setup'!$K$12)/(100-'Scoring Setup'!$K$12)))),1),"")</x:f>
        <x:v>0.9555733922464711</x:v>
      </x:c>
      <x:c r="AS6" s="27" t="n">
        <x:f>IF(ISNUMBER(AA6),IF('Scoring Setup'!$L$13=1,1-'Scoring Setup'!$B$5*(1-MAX(0,MIN(1,(AA6-'Scoring Setup'!$K$13)/(100-'Scoring Setup'!$K$13)))),1),"")</x:f>
        <x:v>0.9899854033344773</x:v>
      </x:c>
      <x:c r="AT6" s="27" t="n">
        <x:f>IF(ISNUMBER(AB6),IF('Scoring Setup'!$L$14=1,1-'Scoring Setup'!$B$5*(1-MAX(0,MIN(1,(AB6-'Scoring Setup'!$K$14)/(100-'Scoring Setup'!$K$14)))),1),"")</x:f>
        <x:v>0.9875979279961032</x:v>
      </x:c>
      <x:c r="AU6" s="27" t="n">
        <x:f>IF(ISNUMBER(AC6),IF('Scoring Setup'!$L$15=1,1-'Scoring Setup'!$B$5*(1-MAX(0,MIN(1,(AC6-'Scoring Setup'!$K$15)/(100-'Scoring Setup'!$K$15)))),1),"")</x:f>
        <x:v>0.8410032283454199</x:v>
      </x:c>
      <x:c r="AV6" s="27" t="n">
        <x:f>IF(ISNUMBER(AD6),IF('Scoring Setup'!$L$16=1,1-'Scoring Setup'!$B$5*(1-MAX(0,MIN(1,(AD6-'Scoring Setup'!$K$16)/(100-'Scoring Setup'!$K$16)))),1),"")</x:f>
        <x:v>0.9155229257142857</x:v>
      </x:c>
      <x:c r="AW6" s="27" t="n">
        <x:f>IF(ISNUMBER(AE6),IF('Scoring Setup'!$L$17=1,1-'Scoring Setup'!$B$5*(1-MAX(0,MIN(1,(AE6-'Scoring Setup'!$K$17)/(100-'Scoring Setup'!$K$17)))),1),"")</x:f>
        <x:v>0.92215679275</x:v>
      </x:c>
      <x:c r="AX6" s="27" t="n">
        <x:f>IF(ISNUMBER(AF6),IF('Scoring Setup'!$L$18=1,1-'Scoring Setup'!$B$5*(1-MAX(0,MIN(1,(AF6-'Scoring Setup'!$K$18)/(100-'Scoring Setup'!$K$18)))),1),"")</x:f>
        <x:v>0.8291610828108781</x:v>
      </x:c>
      <x:c r="AY6" s="27" t="n">
        <x:f>IF(ISNUMBER(AG6),IF('Scoring Setup'!$L$19=1,1-'Scoring Setup'!$B$5*(1-MAX(0,MIN(1,(AG6-'Scoring Setup'!$K$19)/(100-'Scoring Setup'!$K$19)))),1),"")</x:f>
        <x:v>0.8234666666666667</x:v>
      </x:c>
      <x:c r="AZ6" s="27" t="n">
        <x:f>IF(ISNUMBER(AH6),IF('Scoring Setup'!$L$20=1,1-'Scoring Setup'!$B$5*(1-MAX(0,MIN(1,(AH6-'Scoring Setup'!$K$20)/(100-'Scoring Setup'!$K$20)))),1),"")</x:f>
        <x:v>0.8016007888454861</x:v>
      </x:c>
      <x:c r="BA6" s="27" t="n">
        <x:f>IF(ISNUMBER(AI6),IF('Scoring Setup'!$L$21=1,1-'Scoring Setup'!$B$5*(1-MAX(0,MIN(1,(AI6-'Scoring Setup'!$K$21)/(100-'Scoring Setup'!$K$21)))),1),"")</x:f>
        <x:v>0.8</x:v>
      </x:c>
      <x:c r="BB6" s="27" t="n">
        <x:f>IF(ISNUMBER(AJ6),IF('Scoring Setup'!$L$22=1,1-'Scoring Setup'!$B$5*(1-MAX(0,MIN(1,(AJ6-'Scoring Setup'!$K$22)/(100-'Scoring Setup'!$K$22)))),1),"")</x:f>
        <x:v>0.8</x:v>
      </x:c>
      <x:c r="BC6" s="27" t="n">
        <x:f>IF(ISNUMBER(AK6),IF('Scoring Setup'!$L$23=1,1-'Scoring Setup'!$B$5*(1-MAX(0,MIN(1,(AK6-'Scoring Setup'!$K$23)/(100-'Scoring Setup'!$K$23)))),1),"")</x:f>
        <x:v>0.9705729522849273</x:v>
      </x:c>
      <x:c r="BD6" s="27" t="n">
        <x:f>IF(ISNUMBER(AL6),IF('Scoring Setup'!$L$24=1,1-'Scoring Setup'!$B$5*(1-MAX(0,MIN(1,(AL6-'Scoring Setup'!$K$24)/(100-'Scoring Setup'!$K$24)))),1),"")</x:f>
        <x:v>0.9741818181818181</x:v>
      </x:c>
      <x:c r="BE6" s="27" t="n">
        <x:f>IF(ISNUMBER(AM6),IF('Scoring Setup'!$L$25=1,1-'Scoring Setup'!$B$5*(1-MAX(0,MIN(1,(AM6-'Scoring Setup'!$K$25)/(100-'Scoring Setup'!$K$25)))),1),"")</x:f>
        <x:v>0.8885845218271159</x:v>
      </x:c>
      <x:c r="BF6" s="27" t="n">
        <x:f>IF(ISNUMBER(AN6),IF('Scoring Setup'!$L$26=1,1-'Scoring Setup'!$B$5*(1-MAX(0,MIN(1,(AN6-'Scoring Setup'!$K$26)/(100-'Scoring Setup'!$K$26)))),1),"")</x:f>
        <x:v>0.937286211052675</x:v>
      </x:c>
      <x:c r="BG6" s="34" t="n">
        <x:f>IF(COUNT(W6,X6)=2,AVERAGE(W6,X6),"")</x:f>
        <x:v>61.67450495049507</x:v>
      </x:c>
      <x:c r="BH6" s="34" t="n">
        <x:f>IF(COUNT(Y6,Z6)=2,AVERAGE(Y6,Z6),"")</x:f>
        <x:v>77.69658624976259</x:v>
      </x:c>
      <x:c r="BI6" s="34" t="n">
        <x:f>IF(COUNT(AA6,AB6,AC6)=3,AVERAGE(AA6,AB6,AC6),"")</x:f>
        <x:v>69.76442661266672</x:v>
      </x:c>
      <x:c r="BJ6" s="34" t="n">
        <x:f>IF(COUNT(AD6,AE6)=2,AVERAGE(AD6,AE6),"")</x:f>
        <x:v>59.41992961607143</x:v>
      </x:c>
      <x:c r="BK6" s="34" t="n">
        <x:f>IF(COUNT(AF6,AG6)=2,AVERAGE(AF6,AG6),"")</x:f>
        <x:v>13.15693736938619</x:v>
      </x:c>
      <x:c r="BL6" s="34" t="n">
        <x:f>IF(COUNT(AH6,AI6)=2,AVERAGE(AH6,AI6),"")</x:f>
        <x:v>0.4001972113715207</x:v>
      </x:c>
      <x:c r="BM6" s="34" t="n">
        <x:f>IF(COUNT(AJ6,AK6)=2,AVERAGE(AJ6,AK6),"")</x:f>
        <x:v>42.64323807123183</x:v>
      </x:c>
      <x:c r="BN6" s="34" t="n">
        <x:f>IF(COUNT(AL6,AM6,AN6)=3,AVERAGE(AL6,AM6,AN6),"")</x:f>
        <x:v>66.67542517693484</x:v>
      </x:c>
      <x:c r="BO6" s="35" t="n">
        <x:f>IF(AND(COUNT(BG6:BN6)=8,ABS('Scoring Setup'!$C$17-1)&lt;0.000001),BG6*'Scoring Setup'!$C$9+BH6*'Scoring Setup'!$C$10+BI6*'Scoring Setup'!$C$11+BJ6*'Scoring Setup'!$C$12+BK6*'Scoring Setup'!$C$13+BL6*'Scoring Setup'!$C$14+BM6*'Scoring Setup'!$C$15+BN6*'Scoring Setup'!$C$16,"")</x:f>
        <x:v>58.09569642202508</x:v>
      </x:c>
      <x:c r="BP6" s="36" t="n">
        <x:f>IF(COUNT(AO6:BF6)=18,MIN(AO6:BF6),"")</x:f>
        <x:v>0.8</x:v>
      </x:c>
      <x:c r="BQ6" s="35" t="n">
        <x:f>IF(AND(ISNUMBER(BO6),ISNUMBER(BP6)),BO6*BP6,"")</x:f>
        <x:v>46.47655713762006</x:v>
      </x:c>
      <x:c r="BR6" s="17" t="str">
        <x:f>IF(COUNT(AO6:BF6)=18,INDEX('Scoring Setup'!$F$9:$F$26,MATCH(MIN(AO6:BF6),AO6:BF6,0),1),"")</x:f>
        <x:v>历史&gt;90°F天数</x:v>
      </x:c>
    </x:row>
    <x:row r="7">
      <x:c r="A7" s="28" t="str">
        <x:v>13005</x:v>
      </x:c>
      <x:c r="B7" s="28" t="str">
        <x:v>Bacon County</x:v>
      </x:c>
      <x:c r="C7" s="28" t="str">
        <x:v>GA</x:v>
      </x:c>
      <x:c r="D7" s="31" t="n">
        <x:v>735.776107</x:v>
      </x:c>
      <x:c r="E7" s="32" t="n">
        <x:v>0.532</x:v>
      </x:c>
      <x:c r="F7" s="32" t="n">
        <x:v>0.11509900990099001</x:v>
      </x:c>
      <x:c r="G7" s="32" t="n">
        <x:v>1.2482862615613577</x:v>
      </x:c>
      <x:c r="H7" s="32" t="n">
        <x:v>1.165489541</x:v>
      </x:c>
      <x:c r="I7" s="32" t="n">
        <x:v>0.9254285721269839</x:v>
      </x:c>
      <x:c r="J7" s="32" t="n">
        <x:v>0</x:v>
      </x:c>
      <x:c r="K7" s="32" t="n">
        <x:v>0.2929006015776441</x:v>
      </x:c>
      <x:c r="L7" s="32" t="n">
        <x:v>1</x:v>
      </x:c>
      <x:c r="M7" s="32" t="n">
        <x:v>1</x:v>
      </x:c>
      <x:c r="N7" s="32" t="n">
        <x:v>4601</x:v>
      </x:c>
      <x:c r="O7" s="32" t="n">
        <x:v>0.889</x:v>
      </x:c>
      <x:c r="P7" s="32" t="n">
        <x:v>2239.825935872396</x:v>
      </x:c>
      <x:c r="Q7" s="32" t="n">
        <x:v>72.69285265604655</x:v>
      </x:c>
      <x:c r="R7" s="32" t="n">
        <x:v>94.403787674103</x:v>
      </x:c>
      <x:c r="S7" s="32" t="n">
        <x:v>11.61770052625278</x:v>
      </x:c>
      <x:c r="T7" s="32" t="n">
        <x:v>72.1</x:v>
      </x:c>
      <x:c r="U7" s="32" t="n">
        <x:v>211.4154781728841</x:v>
      </x:c>
      <x:c r="V7" s="32" t="n">
        <x:v>325.42757789465</x:v>
      </x:c>
      <x:c r="W7" s="33" t="n">
        <x:f>IF(ISNUMBER(E7),100*MAX(0,MIN(1,('Anchors'!$H$6-E7)/('Anchors'!$H$6-'Anchors'!$G$6))),"")</x:f>
        <x:v>52.57142857142857</x:v>
      </x:c>
      <x:c r="X7" s="33" t="n">
        <x:f>IF(ISNUMBER(F7),100*MAX(0,MIN(1,('Anchors'!$H$7-F7)/('Anchors'!$H$7-'Anchors'!$G$7))),"")</x:f>
        <x:v>97.84299858557286</x:v>
      </x:c>
      <x:c r="Y7" s="33" t="n">
        <x:f>IF(ISNUMBER(G7),100*MAX(0,MIN(1,('Anchors'!$H$8-G7)/('Anchors'!$H$8-'Anchors'!$G$8))),"")</x:f>
        <x:v>91.72379128128809</x:v>
      </x:c>
      <x:c r="Z7" s="33" t="n">
        <x:f>IF(ISNUMBER(H7),100*MAX(0,MIN(1,('Anchors'!$H$9-H7)/('Anchors'!$H$9-'Anchors'!$G$9))),"")</x:f>
        <x:v>94.48368196666667</x:v>
      </x:c>
      <x:c r="AA7" s="33" t="n">
        <x:f>IF(ISNUMBER(I7),100*MAX(0,MIN(1,(I7-'Anchors'!$H$10)/('Anchors'!$G$10-'Anchors'!$H$10))),"")</x:f>
        <x:v>92.52446193520328</x:v>
      </x:c>
      <x:c r="AB7" s="33" t="n">
        <x:f>IF(ISNUMBER(J7),100*MAX(0,MIN(1,('Anchors'!$H$11-J7)/('Anchors'!$H$11-'Anchors'!$G$11))),"")</x:f>
        <x:v>100</x:v>
      </x:c>
      <x:c r="AC7" s="33" t="n">
        <x:f>IF(ISNUMBER(K7),100*MAX(0,MIN(1,('Anchors'!$H$12-K7)/('Anchors'!$H$12-'Anchors'!$G$12))),"")</x:f>
        <x:v>26.774849605588987</x:v>
      </x:c>
      <x:c r="AD7" s="33" t="n">
        <x:f>IF(ISNUMBER(L7),100*MAX(0,MIN(1,(L7-'Anchors'!$H$13)/('Anchors'!$G$13-'Anchors'!$H$13))),"")</x:f>
        <x:v>100</x:v>
      </x:c>
      <x:c r="AE7" s="33" t="n">
        <x:f>IF(ISNUMBER(M7),100*MAX(0,MIN(1,(M7-'Anchors'!$H$14)/('Anchors'!$G$14-'Anchors'!$H$14))),"")</x:f>
        <x:v>100</x:v>
      </x:c>
      <x:c r="AF7" s="33" t="n">
        <x:f>IF(ISNUMBER(N7),100*MAX(0,MIN(1,(LN(1+N7)-LN(1+'Anchors'!$H$15))/(LN(1+'Anchors'!$G$15)-LN(1+'Anchors'!$H$15)))),"")</x:f>
        <x:v>19.29221493914971</x:v>
      </x:c>
      <x:c r="AG7" s="33" t="n">
        <x:f>IF(ISNUMBER(O7),100*MAX(0,MIN(1,('Anchors'!$H$16-O7)/('Anchors'!$H$16-'Anchors'!$G$16))),"")</x:f>
        <x:v>6.7777777777777715</x:v>
      </x:c>
      <x:c r="AH7" s="33" t="n">
        <x:f>IF(ISNUMBER(P7),100*MAX(0,MIN(1,('Anchors'!$H$17-P7)/('Anchors'!$H$17-'Anchors'!$G$17))),"")</x:f>
        <x:v>0</x:v>
      </x:c>
      <x:c r="AI7" s="33" t="n">
        <x:f>IF(ISNUMBER(Q7),100*MAX(0,MIN(1,('Anchors'!$H$18-Q7)/('Anchors'!$H$18-'Anchors'!$G$18))),"")</x:f>
        <x:v>3.295924777076351</x:v>
      </x:c>
      <x:c r="AJ7" s="33" t="n">
        <x:f>IF(ISNUMBER(R7),100*MAX(0,MIN(1,('Anchors'!$H$19-R7)/('Anchors'!$H$19-'Anchors'!$G$19))),"")</x:f>
        <x:v>0</x:v>
      </x:c>
      <x:c r="AK7" s="33" t="n">
        <x:f>IF(ISNUMBER(S7),100*MAX(0,MIN(1,('Anchors'!$H$20-S7)/('Anchors'!$H$20-'Anchors'!$G$20))),"")</x:f>
        <x:v>44.117365651301164</x:v>
      </x:c>
      <x:c r="AL7" s="33" t="n">
        <x:f>IF(ISNUMBER(T7),100*MAX(0,MIN(1,('Anchors'!$H$21-T7)/('Anchors'!$H$21-'Anchors'!$G$21))),"")</x:f>
        <x:v>87.0909090909091</x:v>
      </x:c>
      <x:c r="AM7" s="33" t="n">
        <x:f>IF(ISNUMBER(U7),100*MAX(0,MIN(1,('Anchors'!$H$22-U7)/('Anchors'!$H$22-'Anchors'!$G$22))),"")</x:f>
        <x:v>44.29226091355795</x:v>
      </x:c>
      <x:c r="AN7" s="33" t="n">
        <x:f>IF(ISNUMBER(V7),100*MAX(0,MIN(1,('Anchors'!$H$23-V7)/('Anchors'!$H$23-'Anchors'!$G$23))),"")</x:f>
        <x:v>68.6431055263375</x:v>
      </x:c>
      <x:c r="AO7" s="27" t="n">
        <x:f>IF(ISNUMBER(W7),IF('Scoring Setup'!$L$9=1,1-'Scoring Setup'!$B$5*(1-MAX(0,MIN(1,(W7-'Scoring Setup'!$K$9)/(100-'Scoring Setup'!$K$9)))),1),"")</x:f>
        <x:v>0.9051428571428571</x:v>
      </x:c>
      <x:c r="AP7" s="27" t="n">
        <x:f>IF(ISNUMBER(X7),IF('Scoring Setup'!$L$10=1,1-'Scoring Setup'!$B$5*(1-MAX(0,MIN(1,(X7-'Scoring Setup'!$K$10)/(100-'Scoring Setup'!$K$10)))),1),"")</x:f>
        <x:v>0.9956859971711457</x:v>
      </x:c>
      <x:c r="AQ7" s="27" t="n">
        <x:f>IF(ISNUMBER(Y7),IF('Scoring Setup'!$L$11=1,1-'Scoring Setup'!$B$5*(1-MAX(0,MIN(1,(Y7-'Scoring Setup'!$K$11)/(100-'Scoring Setup'!$K$11)))),1),"")</x:f>
        <x:v>0.9834475825625761</x:v>
      </x:c>
      <x:c r="AR7" s="27" t="n">
        <x:f>IF(ISNUMBER(Z7),IF('Scoring Setup'!$L$12=1,1-'Scoring Setup'!$B$5*(1-MAX(0,MIN(1,(Z7-'Scoring Setup'!$K$12)/(100-'Scoring Setup'!$K$12)))),1),"")</x:f>
        <x:v>0.9889673639333333</x:v>
      </x:c>
      <x:c r="AS7" s="27" t="n">
        <x:f>IF(ISNUMBER(AA7),IF('Scoring Setup'!$L$13=1,1-'Scoring Setup'!$B$5*(1-MAX(0,MIN(1,(AA7-'Scoring Setup'!$K$13)/(100-'Scoring Setup'!$K$13)))),1),"")</x:f>
        <x:v>0.9850489238704065</x:v>
      </x:c>
      <x:c r="AT7" s="27" t="n">
        <x:f>IF(ISNUMBER(AB7),IF('Scoring Setup'!$L$14=1,1-'Scoring Setup'!$B$5*(1-MAX(0,MIN(1,(AB7-'Scoring Setup'!$K$14)/(100-'Scoring Setup'!$K$14)))),1),"")</x:f>
        <x:v>1</x:v>
      </x:c>
      <x:c r="AU7" s="27" t="n">
        <x:f>IF(ISNUMBER(AC7),IF('Scoring Setup'!$L$15=1,1-'Scoring Setup'!$B$5*(1-MAX(0,MIN(1,(AC7-'Scoring Setup'!$K$15)/(100-'Scoring Setup'!$K$15)))),1),"")</x:f>
        <x:v>0.853549699211178</x:v>
      </x:c>
      <x:c r="AV7" s="27" t="n">
        <x:f>IF(ISNUMBER(AD7),IF('Scoring Setup'!$L$16=1,1-'Scoring Setup'!$B$5*(1-MAX(0,MIN(1,(AD7-'Scoring Setup'!$K$16)/(100-'Scoring Setup'!$K$16)))),1),"")</x:f>
        <x:v>1</x:v>
      </x:c>
      <x:c r="AW7" s="27" t="n">
        <x:f>IF(ISNUMBER(AE7),IF('Scoring Setup'!$L$17=1,1-'Scoring Setup'!$B$5*(1-MAX(0,MIN(1,(AE7-'Scoring Setup'!$K$17)/(100-'Scoring Setup'!$K$17)))),1),"")</x:f>
        <x:v>1</x:v>
      </x:c>
      <x:c r="AX7" s="27" t="n">
        <x:f>IF(ISNUMBER(AF7),IF('Scoring Setup'!$L$18=1,1-'Scoring Setup'!$B$5*(1-MAX(0,MIN(1,(AF7-'Scoring Setup'!$K$18)/(100-'Scoring Setup'!$K$18)))),1),"")</x:f>
        <x:v>0.8385844298782994</x:v>
      </x:c>
      <x:c r="AY7" s="27" t="n">
        <x:f>IF(ISNUMBER(AG7),IF('Scoring Setup'!$L$19=1,1-'Scoring Setup'!$B$5*(1-MAX(0,MIN(1,(AG7-'Scoring Setup'!$K$19)/(100-'Scoring Setup'!$K$19)))),1),"")</x:f>
        <x:v>0.8135555555555556</x:v>
      </x:c>
      <x:c r="AZ7" s="27" t="n">
        <x:f>IF(ISNUMBER(AH7),IF('Scoring Setup'!$L$20=1,1-'Scoring Setup'!$B$5*(1-MAX(0,MIN(1,(AH7-'Scoring Setup'!$K$20)/(100-'Scoring Setup'!$K$20)))),1),"")</x:f>
        <x:v>0.8</x:v>
      </x:c>
      <x:c r="BA7" s="27" t="n">
        <x:f>IF(ISNUMBER(AI7),IF('Scoring Setup'!$L$21=1,1-'Scoring Setup'!$B$5*(1-MAX(0,MIN(1,(AI7-'Scoring Setup'!$K$21)/(100-'Scoring Setup'!$K$21)))),1),"")</x:f>
        <x:v>0.8065918495541526</x:v>
      </x:c>
      <x:c r="BB7" s="27" t="n">
        <x:f>IF(ISNUMBER(AJ7),IF('Scoring Setup'!$L$22=1,1-'Scoring Setup'!$B$5*(1-MAX(0,MIN(1,(AJ7-'Scoring Setup'!$K$22)/(100-'Scoring Setup'!$K$22)))),1),"")</x:f>
        <x:v>0.8</x:v>
      </x:c>
      <x:c r="BC7" s="27" t="n">
        <x:f>IF(ISNUMBER(AK7),IF('Scoring Setup'!$L$23=1,1-'Scoring Setup'!$B$5*(1-MAX(0,MIN(1,(AK7-'Scoring Setup'!$K$23)/(100-'Scoring Setup'!$K$23)))),1),"")</x:f>
        <x:v>0.8882347313026023</x:v>
      </x:c>
      <x:c r="BD7" s="27" t="n">
        <x:f>IF(ISNUMBER(AL7),IF('Scoring Setup'!$L$24=1,1-'Scoring Setup'!$B$5*(1-MAX(0,MIN(1,(AL7-'Scoring Setup'!$K$24)/(100-'Scoring Setup'!$K$24)))),1),"")</x:f>
        <x:v>0.9741818181818181</x:v>
      </x:c>
      <x:c r="BE7" s="27" t="n">
        <x:f>IF(ISNUMBER(AM7),IF('Scoring Setup'!$L$25=1,1-'Scoring Setup'!$B$5*(1-MAX(0,MIN(1,(AM7-'Scoring Setup'!$K$25)/(100-'Scoring Setup'!$K$25)))),1),"")</x:f>
        <x:v>0.8885845218271159</x:v>
      </x:c>
      <x:c r="BF7" s="27" t="n">
        <x:f>IF(ISNUMBER(AN7),IF('Scoring Setup'!$L$26=1,1-'Scoring Setup'!$B$5*(1-MAX(0,MIN(1,(AN7-'Scoring Setup'!$K$26)/(100-'Scoring Setup'!$K$26)))),1),"")</x:f>
        <x:v>0.937286211052675</x:v>
      </x:c>
      <x:c r="BG7" s="34" t="n">
        <x:f>IF(COUNT(W7,X7)=2,AVERAGE(W7,X7),"")</x:f>
        <x:v>75.20721357850071</x:v>
      </x:c>
      <x:c r="BH7" s="34" t="n">
        <x:f>IF(COUNT(Y7,Z7)=2,AVERAGE(Y7,Z7),"")</x:f>
        <x:v>93.10373662397737</x:v>
      </x:c>
      <x:c r="BI7" s="34" t="n">
        <x:f>IF(COUNT(AA7,AB7,AC7)=3,AVERAGE(AA7,AB7,AC7),"")</x:f>
        <x:v>73.09977051359742</x:v>
      </x:c>
      <x:c r="BJ7" s="34" t="n">
        <x:f>IF(COUNT(AD7,AE7)=2,AVERAGE(AD7,AE7),"")</x:f>
        <x:v>100</x:v>
      </x:c>
      <x:c r="BK7" s="34" t="n">
        <x:f>IF(COUNT(AF7,AG7)=2,AVERAGE(AF7,AG7),"")</x:f>
        <x:v>13.03499635846374</x:v>
      </x:c>
      <x:c r="BL7" s="34" t="n">
        <x:f>IF(COUNT(AH7,AI7)=2,AVERAGE(AH7,AI7),"")</x:f>
        <x:v>1.6479623885381756</x:v>
      </x:c>
      <x:c r="BM7" s="34" t="n">
        <x:f>IF(COUNT(AJ7,AK7)=2,AVERAGE(AJ7,AK7),"")</x:f>
        <x:v>22.058682825650582</x:v>
      </x:c>
      <x:c r="BN7" s="34" t="n">
        <x:f>IF(COUNT(AL7,AM7,AN7)=3,AVERAGE(AL7,AM7,AN7),"")</x:f>
        <x:v>66.67542517693484</x:v>
      </x:c>
      <x:c r="BO7" s="35" t="n">
        <x:f>IF(AND(COUNT(BG7:BN7)=8,ABS('Scoring Setup'!$C$17-1)&lt;0.000001),BG7*'Scoring Setup'!$C$9+BH7*'Scoring Setup'!$C$10+BI7*'Scoring Setup'!$C$11+BJ7*'Scoring Setup'!$C$12+BK7*'Scoring Setup'!$C$13+BL7*'Scoring Setup'!$C$14+BM7*'Scoring Setup'!$C$15+BN7*'Scoring Setup'!$C$16,"")</x:f>
        <x:v>65.94290518364156</x:v>
      </x:c>
      <x:c r="BP7" s="36" t="n">
        <x:f>IF(COUNT(AO7:BF7)=18,MIN(AO7:BF7),"")</x:f>
        <x:v>0.8</x:v>
      </x:c>
      <x:c r="BQ7" s="35" t="n">
        <x:f>IF(AND(ISNUMBER(BO7),ISNUMBER(BP7)),BO7*BP7,"")</x:f>
        <x:v>52.75432414691325</x:v>
      </x:c>
      <x:c r="BR7" s="17" t="str">
        <x:f>IF(COUNT(AO7:BF7)=18,INDEX('Scoring Setup'!$F$9:$F$26,MATCH(MIN(AO7:BF7),AO7:BF7,0),1),"")</x:f>
        <x:v>历史CDD65</x:v>
      </x:c>
    </x:row>
    <x:row r="8">
      <x:c r="A8" s="28" t="str">
        <x:v>13007</x:v>
      </x:c>
      <x:c r="B8" s="28" t="str">
        <x:v>Baker County</x:v>
      </x:c>
      <x:c r="C8" s="28" t="str">
        <x:v>GA</x:v>
      </x:c>
      <x:c r="D8" s="31" t="n">
        <x:v>885.665382</x:v>
      </x:c>
      <x:c r="E8" s="32" t="n">
        <x:v>0.53</x:v>
      </x:c>
      <x:c r="F8" s="32" t="n">
        <x:v>0.968440594059406</x:v>
      </x:c>
      <x:c r="G8" s="32" t="n">
        <x:v>1.1652933984148754</x:v>
      </x:c>
      <x:c r="H8" s="32" t="n">
        <x:v>1.134330805</x:v>
      </x:c>
      <x:c r="I8" s="32" t="n">
        <x:v>0.9591233607182724</x:v>
      </x:c>
      <x:c r="J8" s="32" t="n">
        <x:v>0.15494539207297048</x:v>
      </x:c>
      <x:c r="K8" s="32" t="n">
        <x:v>0.1640938074702259</x:v>
      </x:c>
      <x:c r="L8" s="32" t="n">
        <x:v>0.74205159</x:v>
      </x:c>
      <x:c r="M8" s="32" t="n">
        <x:v>0.74205159</x:v>
      </x:c>
      <x:c r="N8" s="32" t="n">
        <x:v>904</x:v>
      </x:c>
      <x:c r="O8" s="32" t="n">
        <x:v>0.7162</x:v>
      </x:c>
      <x:c r="P8" s="32" t="n">
        <x:v>2297.812255859375</x:v>
      </x:c>
      <x:c r="Q8" s="32" t="n">
        <x:v>77.34104690551757</x:v>
      </x:c>
      <x:c r="R8" s="32" t="n">
        <x:v>83.36378533520502</x:v>
      </x:c>
      <x:c r="S8" s="32" t="n">
        <x:v>19.13975020136568</x:v>
      </x:c>
      <x:c r="T8" s="32" t="n">
        <x:v>72.1</x:v>
      </x:c>
      <x:c r="U8" s="32" t="n">
        <x:v>211.4154781728841</x:v>
      </x:c>
      <x:c r="V8" s="32" t="n">
        <x:v>325.42757789465</x:v>
      </x:c>
      <x:c r="W8" s="33" t="n">
        <x:f>IF(ISNUMBER(E8),100*MAX(0,MIN(1,('Anchors'!$H$6-E8)/('Anchors'!$H$6-'Anchors'!$G$6))),"")</x:f>
        <x:v>52.85714285714286</x:v>
      </x:c>
      <x:c r="X8" s="33" t="n">
        <x:f>IF(ISNUMBER(F8),100*MAX(0,MIN(1,('Anchors'!$H$7-F8)/('Anchors'!$H$7-'Anchors'!$G$7))),"")</x:f>
        <x:v>0</x:v>
      </x:c>
      <x:c r="Y8" s="33" t="n">
        <x:f>IF(ISNUMBER(G8),100*MAX(0,MIN(1,('Anchors'!$H$8-G8)/('Anchors'!$H$8-'Anchors'!$G$8))),"")</x:f>
        <x:v>94.49022005283749</x:v>
      </x:c>
      <x:c r="Z8" s="33" t="n">
        <x:f>IF(ISNUMBER(H8),100*MAX(0,MIN(1,('Anchors'!$H$9-H8)/('Anchors'!$H$9-'Anchors'!$G$9))),"")</x:f>
        <x:v>95.52230649999998</x:v>
      </x:c>
      <x:c r="AA8" s="33" t="n">
        <x:f>IF(ISNUMBER(I8),100*MAX(0,MIN(1,(I8-'Anchors'!$H$10)/('Anchors'!$G$10-'Anchors'!$H$10))),"")</x:f>
        <x:v>97.14018639976335</x:v>
      </x:c>
      <x:c r="AB8" s="33" t="n">
        <x:f>IF(ISNUMBER(J8),100*MAX(0,MIN(1,('Anchors'!$H$11-J8)/('Anchors'!$H$11-'Anchors'!$G$11))),"")</x:f>
        <x:v>38.021843170811806</x:v>
      </x:c>
      <x:c r="AC8" s="33" t="n">
        <x:f>IF(ISNUMBER(K8),100*MAX(0,MIN(1,('Anchors'!$H$12-K8)/('Anchors'!$H$12-'Anchors'!$G$12))),"")</x:f>
        <x:v>58.976548132443526</x:v>
      </x:c>
      <x:c r="AD8" s="33" t="n">
        <x:f>IF(ISNUMBER(L8),100*MAX(0,MIN(1,(L8-'Anchors'!$H$13)/('Anchors'!$G$13-'Anchors'!$H$13))),"")</x:f>
        <x:v>77.43594142857144</x:v>
      </x:c>
      <x:c r="AE8" s="33" t="n">
        <x:f>IF(ISNUMBER(M8),100*MAX(0,MIN(1,(M8-'Anchors'!$H$14)/('Anchors'!$G$14-'Anchors'!$H$14))),"")</x:f>
        <x:v>80.25644875</x:v>
      </x:c>
      <x:c r="AF8" s="33" t="n">
        <x:f>IF(ISNUMBER(N8),100*MAX(0,MIN(1,(LN(1+N8)-LN(1+'Anchors'!$H$15))/(LN(1+'Anchors'!$G$15)-LN(1+'Anchors'!$H$15)))),"")</x:f>
        <x:v>0</x:v>
      </x:c>
      <x:c r="AG8" s="33" t="n">
        <x:f>IF(ISNUMBER(O8),100*MAX(0,MIN(1,('Anchors'!$H$16-O8)/('Anchors'!$H$16-'Anchors'!$G$16))),"")</x:f>
        <x:v>25.97777777777778</x:v>
      </x:c>
      <x:c r="AH8" s="33" t="n">
        <x:f>IF(ISNUMBER(P8),100*MAX(0,MIN(1,('Anchors'!$H$17-P8)/('Anchors'!$H$17-'Anchors'!$G$17))),"")</x:f>
        <x:v>0</x:v>
      </x:c>
      <x:c r="AI8" s="33" t="n">
        <x:f>IF(ISNUMBER(Q8),100*MAX(0,MIN(1,('Anchors'!$H$18-Q8)/('Anchors'!$H$18-'Anchors'!$G$18))),"")</x:f>
        <x:v>0</x:v>
      </x:c>
      <x:c r="AJ8" s="33" t="n">
        <x:f>IF(ISNUMBER(R8),100*MAX(0,MIN(1,('Anchors'!$H$19-R8)/('Anchors'!$H$19-'Anchors'!$G$19))),"")</x:f>
        <x:v>0</x:v>
      </x:c>
      <x:c r="AK8" s="33" t="n">
        <x:f>IF(ISNUMBER(S8),100*MAX(0,MIN(1,('Anchors'!$H$20-S8)/('Anchors'!$H$20-'Anchors'!$G$20))),"")</x:f>
        <x:v>4.527630519128005</x:v>
      </x:c>
      <x:c r="AL8" s="33" t="n">
        <x:f>IF(ISNUMBER(T8),100*MAX(0,MIN(1,('Anchors'!$H$21-T8)/('Anchors'!$H$21-'Anchors'!$G$21))),"")</x:f>
        <x:v>87.0909090909091</x:v>
      </x:c>
      <x:c r="AM8" s="33" t="n">
        <x:f>IF(ISNUMBER(U8),100*MAX(0,MIN(1,('Anchors'!$H$22-U8)/('Anchors'!$H$22-'Anchors'!$G$22))),"")</x:f>
        <x:v>44.29226091355795</x:v>
      </x:c>
      <x:c r="AN8" s="33" t="n">
        <x:f>IF(ISNUMBER(V8),100*MAX(0,MIN(1,('Anchors'!$H$23-V8)/('Anchors'!$H$23-'Anchors'!$G$23))),"")</x:f>
        <x:v>68.6431055263375</x:v>
      </x:c>
      <x:c r="AO8" s="27" t="n">
        <x:f>IF(ISNUMBER(W8),IF('Scoring Setup'!$L$9=1,1-'Scoring Setup'!$B$5*(1-MAX(0,MIN(1,(W8-'Scoring Setup'!$K$9)/(100-'Scoring Setup'!$K$9)))),1),"")</x:f>
        <x:v>0.9057142857142857</x:v>
      </x:c>
      <x:c r="AP8" s="27" t="n">
        <x:f>IF(ISNUMBER(X8),IF('Scoring Setup'!$L$10=1,1-'Scoring Setup'!$B$5*(1-MAX(0,MIN(1,(X8-'Scoring Setup'!$K$10)/(100-'Scoring Setup'!$K$10)))),1),"")</x:f>
        <x:v>0.8</x:v>
      </x:c>
      <x:c r="AQ8" s="27" t="n">
        <x:f>IF(ISNUMBER(Y8),IF('Scoring Setup'!$L$11=1,1-'Scoring Setup'!$B$5*(1-MAX(0,MIN(1,(Y8-'Scoring Setup'!$K$11)/(100-'Scoring Setup'!$K$11)))),1),"")</x:f>
        <x:v>0.988980440105675</x:v>
      </x:c>
      <x:c r="AR8" s="27" t="n">
        <x:f>IF(ISNUMBER(Z8),IF('Scoring Setup'!$L$12=1,1-'Scoring Setup'!$B$5*(1-MAX(0,MIN(1,(Z8-'Scoring Setup'!$K$12)/(100-'Scoring Setup'!$K$12)))),1),"")</x:f>
        <x:v>0.991044613</x:v>
      </x:c>
      <x:c r="AS8" s="27" t="n">
        <x:f>IF(ISNUMBER(AA8),IF('Scoring Setup'!$L$13=1,1-'Scoring Setup'!$B$5*(1-MAX(0,MIN(1,(AA8-'Scoring Setup'!$K$13)/(100-'Scoring Setup'!$K$13)))),1),"")</x:f>
        <x:v>0.9942803727995267</x:v>
      </x:c>
      <x:c r="AT8" s="27" t="n">
        <x:f>IF(ISNUMBER(AB8),IF('Scoring Setup'!$L$14=1,1-'Scoring Setup'!$B$5*(1-MAX(0,MIN(1,(AB8-'Scoring Setup'!$K$14)/(100-'Scoring Setup'!$K$14)))),1),"")</x:f>
        <x:v>0.8760436863416237</x:v>
      </x:c>
      <x:c r="AU8" s="27" t="n">
        <x:f>IF(ISNUMBER(AC8),IF('Scoring Setup'!$L$15=1,1-'Scoring Setup'!$B$5*(1-MAX(0,MIN(1,(AC8-'Scoring Setup'!$K$15)/(100-'Scoring Setup'!$K$15)))),1),"")</x:f>
        <x:v>0.9179530962648871</x:v>
      </x:c>
      <x:c r="AV8" s="27" t="n">
        <x:f>IF(ISNUMBER(AD8),IF('Scoring Setup'!$L$16=1,1-'Scoring Setup'!$B$5*(1-MAX(0,MIN(1,(AD8-'Scoring Setup'!$K$16)/(100-'Scoring Setup'!$K$16)))),1),"")</x:f>
        <x:v>0.9548718828571429</x:v>
      </x:c>
      <x:c r="AW8" s="27" t="n">
        <x:f>IF(ISNUMBER(AE8),IF('Scoring Setup'!$L$17=1,1-'Scoring Setup'!$B$5*(1-MAX(0,MIN(1,(AE8-'Scoring Setup'!$K$17)/(100-'Scoring Setup'!$K$17)))),1),"")</x:f>
        <x:v>0.9605128975</x:v>
      </x:c>
      <x:c r="AX8" s="27" t="n">
        <x:f>IF(ISNUMBER(AF8),IF('Scoring Setup'!$L$18=1,1-'Scoring Setup'!$B$5*(1-MAX(0,MIN(1,(AF8-'Scoring Setup'!$K$18)/(100-'Scoring Setup'!$K$18)))),1),"")</x:f>
        <x:v>0.8</x:v>
      </x:c>
      <x:c r="AY8" s="27" t="n">
        <x:f>IF(ISNUMBER(AG8),IF('Scoring Setup'!$L$19=1,1-'Scoring Setup'!$B$5*(1-MAX(0,MIN(1,(AG8-'Scoring Setup'!$K$19)/(100-'Scoring Setup'!$K$19)))),1),"")</x:f>
        <x:v>0.8519555555555556</x:v>
      </x:c>
      <x:c r="AZ8" s="27" t="n">
        <x:f>IF(ISNUMBER(AH8),IF('Scoring Setup'!$L$20=1,1-'Scoring Setup'!$B$5*(1-MAX(0,MIN(1,(AH8-'Scoring Setup'!$K$20)/(100-'Scoring Setup'!$K$20)))),1),"")</x:f>
        <x:v>0.8</x:v>
      </x:c>
      <x:c r="BA8" s="27" t="n">
        <x:f>IF(ISNUMBER(AI8),IF('Scoring Setup'!$L$21=1,1-'Scoring Setup'!$B$5*(1-MAX(0,MIN(1,(AI8-'Scoring Setup'!$K$21)/(100-'Scoring Setup'!$K$21)))),1),"")</x:f>
        <x:v>0.8</x:v>
      </x:c>
      <x:c r="BB8" s="27" t="n">
        <x:f>IF(ISNUMBER(AJ8),IF('Scoring Setup'!$L$22=1,1-'Scoring Setup'!$B$5*(1-MAX(0,MIN(1,(AJ8-'Scoring Setup'!$K$22)/(100-'Scoring Setup'!$K$22)))),1),"")</x:f>
        <x:v>0.8</x:v>
      </x:c>
      <x:c r="BC8" s="27" t="n">
        <x:f>IF(ISNUMBER(AK8),IF('Scoring Setup'!$L$23=1,1-'Scoring Setup'!$B$5*(1-MAX(0,MIN(1,(AK8-'Scoring Setup'!$K$23)/(100-'Scoring Setup'!$K$23)))),1),"")</x:f>
        <x:v>0.809055261038256</x:v>
      </x:c>
      <x:c r="BD8" s="27" t="n">
        <x:f>IF(ISNUMBER(AL8),IF('Scoring Setup'!$L$24=1,1-'Scoring Setup'!$B$5*(1-MAX(0,MIN(1,(AL8-'Scoring Setup'!$K$24)/(100-'Scoring Setup'!$K$24)))),1),"")</x:f>
        <x:v>0.9741818181818181</x:v>
      </x:c>
      <x:c r="BE8" s="27" t="n">
        <x:f>IF(ISNUMBER(AM8),IF('Scoring Setup'!$L$25=1,1-'Scoring Setup'!$B$5*(1-MAX(0,MIN(1,(AM8-'Scoring Setup'!$K$25)/(100-'Scoring Setup'!$K$25)))),1),"")</x:f>
        <x:v>0.8885845218271159</x:v>
      </x:c>
      <x:c r="BF8" s="27" t="n">
        <x:f>IF(ISNUMBER(AN8),IF('Scoring Setup'!$L$26=1,1-'Scoring Setup'!$B$5*(1-MAX(0,MIN(1,(AN8-'Scoring Setup'!$K$26)/(100-'Scoring Setup'!$K$26)))),1),"")</x:f>
        <x:v>0.937286211052675</x:v>
      </x:c>
      <x:c r="BG8" s="34" t="n">
        <x:f>IF(COUNT(W8,X8)=2,AVERAGE(W8,X8),"")</x:f>
        <x:v>26.42857142857143</x:v>
      </x:c>
      <x:c r="BH8" s="34" t="n">
        <x:f>IF(COUNT(Y8,Z8)=2,AVERAGE(Y8,Z8),"")</x:f>
        <x:v>95.00626327641874</x:v>
      </x:c>
      <x:c r="BI8" s="34" t="n">
        <x:f>IF(COUNT(AA8,AB8,AC8)=3,AVERAGE(AA8,AB8,AC8),"")</x:f>
        <x:v>64.71285923433956</x:v>
      </x:c>
      <x:c r="BJ8" s="34" t="n">
        <x:f>IF(COUNT(AD8,AE8)=2,AVERAGE(AD8,AE8),"")</x:f>
        <x:v>78.84619508928571</x:v>
      </x:c>
      <x:c r="BK8" s="34" t="n">
        <x:f>IF(COUNT(AF8,AG8)=2,AVERAGE(AF8,AG8),"")</x:f>
        <x:v>12.98888888888889</x:v>
      </x:c>
      <x:c r="BL8" s="34" t="n">
        <x:f>IF(COUNT(AH8,AI8)=2,AVERAGE(AH8,AI8),"")</x:f>
        <x:v>0</x:v>
      </x:c>
      <x:c r="BM8" s="34" t="n">
        <x:f>IF(COUNT(AJ8,AK8)=2,AVERAGE(AJ8,AK8),"")</x:f>
        <x:v>2.2638152595640024</x:v>
      </x:c>
      <x:c r="BN8" s="34" t="n">
        <x:f>IF(COUNT(AL8,AM8,AN8)=3,AVERAGE(AL8,AM8,AN8),"")</x:f>
        <x:v>66.67542517693484</x:v>
      </x:c>
      <x:c r="BO8" s="35" t="n">
        <x:f>IF(AND(COUNT(BG8:BN8)=8,ABS('Scoring Setup'!$C$17-1)&lt;0.000001),BG8*'Scoring Setup'!$C$9+BH8*'Scoring Setup'!$C$10+BI8*'Scoring Setup'!$C$11+BJ8*'Scoring Setup'!$C$12+BK8*'Scoring Setup'!$C$13+BL8*'Scoring Setup'!$C$14+BM8*'Scoring Setup'!$C$15+BN8*'Scoring Setup'!$C$16,"")</x:f>
        <x:v>57.414722435450955</x:v>
      </x:c>
      <x:c r="BP8" s="36" t="n">
        <x:f>IF(COUNT(AO8:BF8)=18,MIN(AO8:BF8),"")</x:f>
        <x:v>0.8</x:v>
      </x:c>
      <x:c r="BQ8" s="35" t="n">
        <x:f>IF(AND(ISNUMBER(BO8),ISNUMBER(BP8)),BO8*BP8,"")</x:f>
        <x:v>45.93177794836077</x:v>
      </x:c>
      <x:c r="BR8" s="17" t="str">
        <x:f>IF(COUNT(AO8:BF8)=18,INDEX('Scoring Setup'!$F$9:$F$26,MATCH(MIN(AO8:BF8),AO8:BF8,0),1),"")</x:f>
        <x:v>洪水损失率全国百分位</x:v>
      </x:c>
    </x:row>
    <x:row r="9">
      <x:c r="A9" s="28" t="str">
        <x:v>13009</x:v>
      </x:c>
      <x:c r="B9" s="28" t="str">
        <x:v>Baldwin County</x:v>
      </x:c>
      <x:c r="C9" s="28" t="str">
        <x:v>GA</x:v>
      </x:c>
      <x:c r="D9" s="31" t="n">
        <x:v>670.028049</x:v>
      </x:c>
      <x:c r="E9" s="32" t="n">
        <x:v>0.585</x:v>
      </x:c>
      <x:c r="F9" s="32" t="n">
        <x:v>0.465037128712871</x:v>
      </x:c>
      <x:c r="G9" s="32" t="n">
        <x:v>2.1016018680269624</x:v>
      </x:c>
      <x:c r="H9" s="32" t="n">
        <x:v>1.909171031</x:v>
      </x:c>
      <x:c r="I9" s="32" t="n">
        <x:v>0.882016326069836</x:v>
      </x:c>
      <x:c r="J9" s="32" t="n">
        <x:v>0.01239980925425343</x:v>
      </x:c>
      <x:c r="K9" s="32" t="n">
        <x:v>0.07716446754810599</x:v>
      </x:c>
      <x:c r="L9" s="32" t="n">
        <x:v>0.71817294</x:v>
      </x:c>
      <x:c r="M9" s="32" t="n">
        <x:v>0.71817294</x:v>
      </x:c>
      <x:c r="N9" s="32" t="n">
        <x:v>19197</x:v>
      </x:c>
      <x:c r="O9" s="32" t="n">
        <x:v>0.923</x:v>
      </x:c>
      <x:c r="P9" s="32" t="n">
        <x:v>1841.5551106770831</x:v>
      </x:c>
      <x:c r="Q9" s="32" t="n">
        <x:v>60.71126314798991</x:v>
      </x:c>
      <x:c r="R9" s="32" t="n">
        <x:v>40.76621229086302</x:v>
      </x:c>
      <x:c r="S9" s="32" t="n">
        <x:v>1.6428310753699205</x:v>
      </x:c>
      <x:c r="T9" s="32" t="n">
        <x:v>72.1</x:v>
      </x:c>
      <x:c r="U9" s="32" t="n">
        <x:v>211.4154781728841</x:v>
      </x:c>
      <x:c r="V9" s="32" t="n">
        <x:v>325.42757789465</x:v>
      </x:c>
      <x:c r="W9" s="33" t="n">
        <x:f>IF(ISNUMBER(E9),100*MAX(0,MIN(1,('Anchors'!$H$6-E9)/('Anchors'!$H$6-'Anchors'!$G$6))),"")</x:f>
        <x:v>45.000000000000014</x:v>
      </x:c>
      <x:c r="X9" s="33" t="n">
        <x:f>IF(ISNUMBER(F9),100*MAX(0,MIN(1,('Anchors'!$H$7-F9)/('Anchors'!$H$7-'Anchors'!$G$7))),"")</x:f>
        <x:v>47.85183875530414</x:v>
      </x:c>
      <x:c r="Y9" s="33" t="n">
        <x:f>IF(ISNUMBER(G9),100*MAX(0,MIN(1,('Anchors'!$H$8-G9)/('Anchors'!$H$8-'Anchors'!$G$8))),"")</x:f>
        <x:v>63.27993773243459</x:v>
      </x:c>
      <x:c r="Z9" s="33" t="n">
        <x:f>IF(ISNUMBER(H9),100*MAX(0,MIN(1,('Anchors'!$H$9-H9)/('Anchors'!$H$9-'Anchors'!$G$9))),"")</x:f>
        <x:v>69.69429896666666</x:v>
      </x:c>
      <x:c r="AA9" s="33" t="n">
        <x:f>IF(ISNUMBER(I9),100*MAX(0,MIN(1,(I9-'Anchors'!$H$10)/('Anchors'!$G$10-'Anchors'!$H$10))),"")</x:f>
        <x:v>86.57757891367616</x:v>
      </x:c>
      <x:c r="AB9" s="33" t="n">
        <x:f>IF(ISNUMBER(J9),100*MAX(0,MIN(1,('Anchors'!$H$11-J9)/('Anchors'!$H$11-'Anchors'!$G$11))),"")</x:f>
        <x:v>95.04007629829863</x:v>
      </x:c>
      <x:c r="AC9" s="33" t="n">
        <x:f>IF(ISNUMBER(K9),100*MAX(0,MIN(1,('Anchors'!$H$12-K9)/('Anchors'!$H$12-'Anchors'!$G$12))),"")</x:f>
        <x:v>80.7088831129735</x:v>
      </x:c>
      <x:c r="AD9" s="33" t="n">
        <x:f>IF(ISNUMBER(L9),100*MAX(0,MIN(1,(L9-'Anchors'!$H$13)/('Anchors'!$G$13-'Anchors'!$H$13))),"")</x:f>
        <x:v>74.02470571428572</x:v>
      </x:c>
      <x:c r="AE9" s="33" t="n">
        <x:f>IF(ISNUMBER(M9),100*MAX(0,MIN(1,(M9-'Anchors'!$H$14)/('Anchors'!$G$14-'Anchors'!$H$14))),"")</x:f>
        <x:v>77.2716175</x:v>
      </x:c>
      <x:c r="AF9" s="33" t="n">
        <x:f>IF(ISNUMBER(N9),100*MAX(0,MIN(1,(LN(1+N9)-LN(1+'Anchors'!$H$15))/(LN(1+'Anchors'!$G$15)-LN(1+'Anchors'!$H$15)))),"")</x:f>
        <x:v>52.37808014663129</x:v>
      </x:c>
      <x:c r="AG9" s="33" t="n">
        <x:f>IF(ISNUMBER(O9),100*MAX(0,MIN(1,('Anchors'!$H$16-O9)/('Anchors'!$H$16-'Anchors'!$G$16))),"")</x:f>
        <x:v>2.9999999999999907</x:v>
      </x:c>
      <x:c r="AH9" s="33" t="n">
        <x:f>IF(ISNUMBER(P9),100*MAX(0,MIN(1,('Anchors'!$H$17-P9)/('Anchors'!$H$17-'Anchors'!$G$17))),"")</x:f>
        <x:v>23.896325954861126</x:v>
      </x:c>
      <x:c r="AI9" s="33" t="n">
        <x:f>IF(ISNUMBER(Q9),100*MAX(0,MIN(1,('Anchors'!$H$18-Q9)/('Anchors'!$H$18-'Anchors'!$G$18))),"")</x:f>
        <x:v>20.41248121715727</x:v>
      </x:c>
      <x:c r="AJ9" s="33" t="n">
        <x:f>IF(ISNUMBER(R9),100*MAX(0,MIN(1,('Anchors'!$H$19-R9)/('Anchors'!$H$19-'Anchors'!$G$19))),"")</x:f>
        <x:v>20.51952824252663</x:v>
      </x:c>
      <x:c r="AK9" s="33" t="n">
        <x:f>IF(ISNUMBER(S9),100*MAX(0,MIN(1,('Anchors'!$H$20-S9)/('Anchors'!$H$20-'Anchors'!$G$20))),"")</x:f>
        <x:v>96.61667855068463</x:v>
      </x:c>
      <x:c r="AL9" s="33" t="n">
        <x:f>IF(ISNUMBER(T9),100*MAX(0,MIN(1,('Anchors'!$H$21-T9)/('Anchors'!$H$21-'Anchors'!$G$21))),"")</x:f>
        <x:v>87.0909090909091</x:v>
      </x:c>
      <x:c r="AM9" s="33" t="n">
        <x:f>IF(ISNUMBER(U9),100*MAX(0,MIN(1,('Anchors'!$H$22-U9)/('Anchors'!$H$22-'Anchors'!$G$22))),"")</x:f>
        <x:v>44.29226091355795</x:v>
      </x:c>
      <x:c r="AN9" s="33" t="n">
        <x:f>IF(ISNUMBER(V9),100*MAX(0,MIN(1,('Anchors'!$H$23-V9)/('Anchors'!$H$23-'Anchors'!$G$23))),"")</x:f>
        <x:v>68.6431055263375</x:v>
      </x:c>
      <x:c r="AO9" s="27" t="n">
        <x:f>IF(ISNUMBER(W9),IF('Scoring Setup'!$L$9=1,1-'Scoring Setup'!$B$5*(1-MAX(0,MIN(1,(W9-'Scoring Setup'!$K$9)/(100-'Scoring Setup'!$K$9)))),1),"")</x:f>
        <x:v>0.89</x:v>
      </x:c>
      <x:c r="AP9" s="27" t="n">
        <x:f>IF(ISNUMBER(X9),IF('Scoring Setup'!$L$10=1,1-'Scoring Setup'!$B$5*(1-MAX(0,MIN(1,(X9-'Scoring Setup'!$K$10)/(100-'Scoring Setup'!$K$10)))),1),"")</x:f>
        <x:v>0.8957036775106083</x:v>
      </x:c>
      <x:c r="AQ9" s="27" t="n">
        <x:f>IF(ISNUMBER(Y9),IF('Scoring Setup'!$L$11=1,1-'Scoring Setup'!$B$5*(1-MAX(0,MIN(1,(Y9-'Scoring Setup'!$K$11)/(100-'Scoring Setup'!$K$11)))),1),"")</x:f>
        <x:v>0.9265598754648692</x:v>
      </x:c>
      <x:c r="AR9" s="27" t="n">
        <x:f>IF(ISNUMBER(Z9),IF('Scoring Setup'!$L$12=1,1-'Scoring Setup'!$B$5*(1-MAX(0,MIN(1,(Z9-'Scoring Setup'!$K$12)/(100-'Scoring Setup'!$K$12)))),1),"")</x:f>
        <x:v>0.9393885979333333</x:v>
      </x:c>
      <x:c r="AS9" s="27" t="n">
        <x:f>IF(ISNUMBER(AA9),IF('Scoring Setup'!$L$13=1,1-'Scoring Setup'!$B$5*(1-MAX(0,MIN(1,(AA9-'Scoring Setup'!$K$13)/(100-'Scoring Setup'!$K$13)))),1),"")</x:f>
        <x:v>0.9731551578273523</x:v>
      </x:c>
      <x:c r="AT9" s="27" t="n">
        <x:f>IF(ISNUMBER(AB9),IF('Scoring Setup'!$L$14=1,1-'Scoring Setup'!$B$5*(1-MAX(0,MIN(1,(AB9-'Scoring Setup'!$K$14)/(100-'Scoring Setup'!$K$14)))),1),"")</x:f>
        <x:v>0.9900801525965972</x:v>
      </x:c>
      <x:c r="AU9" s="27" t="n">
        <x:f>IF(ISNUMBER(AC9),IF('Scoring Setup'!$L$15=1,1-'Scoring Setup'!$B$5*(1-MAX(0,MIN(1,(AC9-'Scoring Setup'!$K$15)/(100-'Scoring Setup'!$K$15)))),1),"")</x:f>
        <x:v>0.961417766225947</x:v>
      </x:c>
      <x:c r="AV9" s="27" t="n">
        <x:f>IF(ISNUMBER(AD9),IF('Scoring Setup'!$L$16=1,1-'Scoring Setup'!$B$5*(1-MAX(0,MIN(1,(AD9-'Scoring Setup'!$K$16)/(100-'Scoring Setup'!$K$16)))),1),"")</x:f>
        <x:v>0.9480494114285715</x:v>
      </x:c>
      <x:c r="AW9" s="27" t="n">
        <x:f>IF(ISNUMBER(AE9),IF('Scoring Setup'!$L$17=1,1-'Scoring Setup'!$B$5*(1-MAX(0,MIN(1,(AE9-'Scoring Setup'!$K$17)/(100-'Scoring Setup'!$K$17)))),1),"")</x:f>
        <x:v>0.954543235</x:v>
      </x:c>
      <x:c r="AX9" s="27" t="n">
        <x:f>IF(ISNUMBER(AF9),IF('Scoring Setup'!$L$18=1,1-'Scoring Setup'!$B$5*(1-MAX(0,MIN(1,(AF9-'Scoring Setup'!$K$18)/(100-'Scoring Setup'!$K$18)))),1),"")</x:f>
        <x:v>0.9047561602932626</x:v>
      </x:c>
      <x:c r="AY9" s="27" t="n">
        <x:f>IF(ISNUMBER(AG9),IF('Scoring Setup'!$L$19=1,1-'Scoring Setup'!$B$5*(1-MAX(0,MIN(1,(AG9-'Scoring Setup'!$K$19)/(100-'Scoring Setup'!$K$19)))),1),"")</x:f>
        <x:v>0.8059999999999999</x:v>
      </x:c>
      <x:c r="AZ9" s="27" t="n">
        <x:f>IF(ISNUMBER(AH9),IF('Scoring Setup'!$L$20=1,1-'Scoring Setup'!$B$5*(1-MAX(0,MIN(1,(AH9-'Scoring Setup'!$K$20)/(100-'Scoring Setup'!$K$20)))),1),"")</x:f>
        <x:v>0.8477926519097223</x:v>
      </x:c>
      <x:c r="BA9" s="27" t="n">
        <x:f>IF(ISNUMBER(AI9),IF('Scoring Setup'!$L$21=1,1-'Scoring Setup'!$B$5*(1-MAX(0,MIN(1,(AI9-'Scoring Setup'!$K$21)/(100-'Scoring Setup'!$K$21)))),1),"")</x:f>
        <x:v>0.8408249624343145</x:v>
      </x:c>
      <x:c r="BB9" s="27" t="n">
        <x:f>IF(ISNUMBER(AJ9),IF('Scoring Setup'!$L$22=1,1-'Scoring Setup'!$B$5*(1-MAX(0,MIN(1,(AJ9-'Scoring Setup'!$K$22)/(100-'Scoring Setup'!$K$22)))),1),"")</x:f>
        <x:v>0.8410390564850533</x:v>
      </x:c>
      <x:c r="BC9" s="27" t="n">
        <x:f>IF(ISNUMBER(AK9),IF('Scoring Setup'!$L$23=1,1-'Scoring Setup'!$B$5*(1-MAX(0,MIN(1,(AK9-'Scoring Setup'!$K$23)/(100-'Scoring Setup'!$K$23)))),1),"")</x:f>
        <x:v>0.9932333571013693</x:v>
      </x:c>
      <x:c r="BD9" s="27" t="n">
        <x:f>IF(ISNUMBER(AL9),IF('Scoring Setup'!$L$24=1,1-'Scoring Setup'!$B$5*(1-MAX(0,MIN(1,(AL9-'Scoring Setup'!$K$24)/(100-'Scoring Setup'!$K$24)))),1),"")</x:f>
        <x:v>0.9741818181818181</x:v>
      </x:c>
      <x:c r="BE9" s="27" t="n">
        <x:f>IF(ISNUMBER(AM9),IF('Scoring Setup'!$L$25=1,1-'Scoring Setup'!$B$5*(1-MAX(0,MIN(1,(AM9-'Scoring Setup'!$K$25)/(100-'Scoring Setup'!$K$25)))),1),"")</x:f>
        <x:v>0.8885845218271159</x:v>
      </x:c>
      <x:c r="BF9" s="27" t="n">
        <x:f>IF(ISNUMBER(AN9),IF('Scoring Setup'!$L$26=1,1-'Scoring Setup'!$B$5*(1-MAX(0,MIN(1,(AN9-'Scoring Setup'!$K$26)/(100-'Scoring Setup'!$K$26)))),1),"")</x:f>
        <x:v>0.937286211052675</x:v>
      </x:c>
      <x:c r="BG9" s="34" t="n">
        <x:f>IF(COUNT(W9,X9)=2,AVERAGE(W9,X9),"")</x:f>
        <x:v>46.42591937765208</x:v>
      </x:c>
      <x:c r="BH9" s="34" t="n">
        <x:f>IF(COUNT(Y9,Z9)=2,AVERAGE(Y9,Z9),"")</x:f>
        <x:v>66.48711834955063</x:v>
      </x:c>
      <x:c r="BI9" s="34" t="n">
        <x:f>IF(COUNT(AA9,AB9,AC9)=3,AVERAGE(AA9,AB9,AC9),"")</x:f>
        <x:v>87.44217944164943</x:v>
      </x:c>
      <x:c r="BJ9" s="34" t="n">
        <x:f>IF(COUNT(AD9,AE9)=2,AVERAGE(AD9,AE9),"")</x:f>
        <x:v>75.64816160714287</x:v>
      </x:c>
      <x:c r="BK9" s="34" t="n">
        <x:f>IF(COUNT(AF9,AG9)=2,AVERAGE(AF9,AG9),"")</x:f>
        <x:v>27.689040073315642</x:v>
      </x:c>
      <x:c r="BL9" s="34" t="n">
        <x:f>IF(COUNT(AH9,AI9)=2,AVERAGE(AH9,AI9),"")</x:f>
        <x:v>22.1544035860092</x:v>
      </x:c>
      <x:c r="BM9" s="34" t="n">
        <x:f>IF(COUNT(AJ9,AK9)=2,AVERAGE(AJ9,AK9),"")</x:f>
        <x:v>58.56810339660563</x:v>
      </x:c>
      <x:c r="BN9" s="34" t="n">
        <x:f>IF(COUNT(AL9,AM9,AN9)=3,AVERAGE(AL9,AM9,AN9),"")</x:f>
        <x:v>66.67542517693484</x:v>
      </x:c>
      <x:c r="BO9" s="35" t="n">
        <x:f>IF(AND(COUNT(BG9:BN9)=8,ABS('Scoring Setup'!$C$17-1)&lt;0.000001),BG9*'Scoring Setup'!$C$9+BH9*'Scoring Setup'!$C$10+BI9*'Scoring Setup'!$C$11+BJ9*'Scoring Setup'!$C$12+BK9*'Scoring Setup'!$C$13+BL9*'Scoring Setup'!$C$14+BM9*'Scoring Setup'!$C$15+BN9*'Scoring Setup'!$C$16,"")</x:f>
        <x:v>61.05670662209732</x:v>
      </x:c>
      <x:c r="BP9" s="36" t="n">
        <x:f>IF(COUNT(AO9:BF9)=18,MIN(AO9:BF9),"")</x:f>
        <x:v>0.8059999999999999</x:v>
      </x:c>
      <x:c r="BQ9" s="35" t="n">
        <x:f>IF(AND(ISNUMBER(BO9),ISNUMBER(BP9)),BO9*BP9,"")</x:f>
        <x:v>49.21170553741044</x:v>
      </x:c>
      <x:c r="BR9" s="17" t="str">
        <x:f>IF(COUNT(AO9:BF9)=18,INDEX('Scoring Setup'!$F$9:$F$26,MATCH(MIN(AO9:BF9),AO9:BF9,0),1),"")</x:f>
        <x:v>社会脆弱性百分位</x:v>
      </x:c>
    </x:row>
    <x:row r="10">
      <x:c r="A10" s="28" t="str">
        <x:v>13011</x:v>
      </x:c>
      <x:c r="B10" s="28" t="str">
        <x:v>Banks County</x:v>
      </x:c>
      <x:c r="C10" s="28" t="str">
        <x:v>GA</x:v>
      </x:c>
      <x:c r="D10" s="31" t="n">
        <x:v>602.57815</x:v>
      </x:c>
      <x:c r="E10" s="32" t="n">
        <x:v>0.594</x:v>
      </x:c>
      <x:c r="F10" s="32" t="n">
        <x:v>0.33353960396039595</x:v>
      </x:c>
      <x:c r="G10" s="32" t="n">
        <x:v>2.929870761592893</x:v>
      </x:c>
      <x:c r="H10" s="32" t="n">
        <x:v>2.733165841412153</x:v>
      </x:c>
      <x:c r="I10" s="32" t="n">
        <x:v>0.9360638854402185</x:v>
      </x:c>
      <x:c r="J10" s="32" t="n">
        <x:v>0.025381608020013588</x:v>
      </x:c>
      <x:c r="K10" s="32" t="n">
        <x:v>0.03179814919420345</x:v>
      </x:c>
      <x:c r="L10" s="32" t="n">
        <x:v>0.109761849</x:v>
      </x:c>
      <x:c r="M10" s="32" t="n">
        <x:v>0.109643952</x:v>
      </x:c>
      <x:c r="N10" s="32" t="n">
        <x:v>9706</x:v>
      </x:c>
      <x:c r="O10" s="32" t="n">
        <x:v>0.3373</x:v>
      </x:c>
      <x:c r="P10" s="32" t="n">
        <x:v>1387.7676188151042</x:v>
      </x:c>
      <x:c r="Q10" s="32" t="n">
        <x:v>29.498154894510904</x:v>
      </x:c>
      <x:c r="R10" s="32" t="n">
        <x:v>9.952196771096625</x:v>
      </x:c>
      <x:c r="S10" s="32" t="n">
        <x:v>11.96943736338027</x:v>
      </x:c>
      <x:c r="T10" s="32" t="n">
        <x:v>72.1</x:v>
      </x:c>
      <x:c r="U10" s="32" t="n">
        <x:v>211.4154781728841</x:v>
      </x:c>
      <x:c r="V10" s="32" t="n">
        <x:v>325.42757789465</x:v>
      </x:c>
      <x:c r="W10" s="33" t="n">
        <x:f>IF(ISNUMBER(E10),100*MAX(0,MIN(1,('Anchors'!$H$6-E10)/('Anchors'!$H$6-'Anchors'!$G$6))),"")</x:f>
        <x:v>43.71428571428572</x:v>
      </x:c>
      <x:c r="X10" s="33" t="n">
        <x:f>IF(ISNUMBER(F10),100*MAX(0,MIN(1,('Anchors'!$H$7-F10)/('Anchors'!$H$7-'Anchors'!$G$7))),"")</x:f>
        <x:v>66.63719943422916</x:v>
      </x:c>
      <x:c r="Y10" s="33" t="n">
        <x:f>IF(ISNUMBER(G10),100*MAX(0,MIN(1,('Anchors'!$H$8-G10)/('Anchors'!$H$8-'Anchors'!$G$8))),"")</x:f>
        <x:v>35.67097461357023</x:v>
      </x:c>
      <x:c r="Z10" s="33" t="n">
        <x:f>IF(ISNUMBER(H10),100*MAX(0,MIN(1,('Anchors'!$H$9-H10)/('Anchors'!$H$9-'Anchors'!$G$9))),"")</x:f>
        <x:v>42.22780528626157</x:v>
      </x:c>
      <x:c r="AA10" s="33" t="n">
        <x:f>IF(ISNUMBER(I10),100*MAX(0,MIN(1,(I10-'Anchors'!$H$10)/('Anchors'!$G$10-'Anchors'!$H$10))),"")</x:f>
        <x:v>93.98135416989294</x:v>
      </x:c>
      <x:c r="AB10" s="33" t="n">
        <x:f>IF(ISNUMBER(J10),100*MAX(0,MIN(1,('Anchors'!$H$11-J10)/('Anchors'!$H$11-'Anchors'!$G$11))),"")</x:f>
        <x:v>89.84735679199456</x:v>
      </x:c>
      <x:c r="AC10" s="33" t="n">
        <x:f>IF(ISNUMBER(K10),100*MAX(0,MIN(1,('Anchors'!$H$12-K10)/('Anchors'!$H$12-'Anchors'!$G$12))),"")</x:f>
        <x:v>92.05046270144915</x:v>
      </x:c>
      <x:c r="AD10" s="33" t="n">
        <x:f>IF(ISNUMBER(L10),100*MAX(0,MIN(1,(L10-'Anchors'!$H$13)/('Anchors'!$G$13-'Anchors'!$H$13))),"")</x:f>
        <x:v>0</x:v>
      </x:c>
      <x:c r="AE10" s="33" t="n">
        <x:f>IF(ISNUMBER(M10),100*MAX(0,MIN(1,(M10-'Anchors'!$H$14)/('Anchors'!$G$14-'Anchors'!$H$14))),"")</x:f>
        <x:v>1.2054939999999996</x:v>
      </x:c>
      <x:c r="AF10" s="33" t="n">
        <x:f>IF(ISNUMBER(N10),100*MAX(0,MIN(1,(LN(1+N10)-LN(1+'Anchors'!$H$15))/(LN(1+'Anchors'!$G$15)-LN(1+'Anchors'!$H$15)))),"")</x:f>
        <x:v>36.58100724762397</x:v>
      </x:c>
      <x:c r="AG10" s="33" t="n">
        <x:f>IF(ISNUMBER(O10),100*MAX(0,MIN(1,('Anchors'!$H$16-O10)/('Anchors'!$H$16-'Anchors'!$G$16))),"")</x:f>
        <x:v>68.07777777777778</x:v>
      </x:c>
      <x:c r="AH10" s="33" t="n">
        <x:f>IF(ISNUMBER(P10),100*MAX(0,MIN(1,('Anchors'!$H$17-P10)/('Anchors'!$H$17-'Anchors'!$G$17))),"")</x:f>
        <x:v>54.14882541232638</x:v>
      </x:c>
      <x:c r="AI10" s="33" t="n">
        <x:f>IF(ISNUMBER(Q10),100*MAX(0,MIN(1,('Anchors'!$H$18-Q10)/('Anchors'!$H$18-'Anchors'!$G$18))),"")</x:f>
        <x:v>65.00263586498443</x:v>
      </x:c>
      <x:c r="AJ10" s="33" t="n">
        <x:f>IF(ISNUMBER(R10),100*MAX(0,MIN(1,('Anchors'!$H$19-R10)/('Anchors'!$H$19-'Anchors'!$G$19))),"")</x:f>
        <x:v>88.99511828645194</x:v>
      </x:c>
      <x:c r="AK10" s="33" t="n">
        <x:f>IF(ISNUMBER(S10),100*MAX(0,MIN(1,('Anchors'!$H$20-S10)/('Anchors'!$H$20-'Anchors'!$G$20))),"")</x:f>
        <x:v>42.26611914010384</x:v>
      </x:c>
      <x:c r="AL10" s="33" t="n">
        <x:f>IF(ISNUMBER(T10),100*MAX(0,MIN(1,('Anchors'!$H$21-T10)/('Anchors'!$H$21-'Anchors'!$G$21))),"")</x:f>
        <x:v>87.0909090909091</x:v>
      </x:c>
      <x:c r="AM10" s="33" t="n">
        <x:f>IF(ISNUMBER(U10),100*MAX(0,MIN(1,('Anchors'!$H$22-U10)/('Anchors'!$H$22-'Anchors'!$G$22))),"")</x:f>
        <x:v>44.29226091355795</x:v>
      </x:c>
      <x:c r="AN10" s="33" t="n">
        <x:f>IF(ISNUMBER(V10),100*MAX(0,MIN(1,('Anchors'!$H$23-V10)/('Anchors'!$H$23-'Anchors'!$G$23))),"")</x:f>
        <x:v>68.6431055263375</x:v>
      </x:c>
      <x:c r="AO10" s="27" t="n">
        <x:f>IF(ISNUMBER(W10),IF('Scoring Setup'!$L$9=1,1-'Scoring Setup'!$B$5*(1-MAX(0,MIN(1,(W10-'Scoring Setup'!$K$9)/(100-'Scoring Setup'!$K$9)))),1),"")</x:f>
        <x:v>0.8874285714285715</x:v>
      </x:c>
      <x:c r="AP10" s="27" t="n">
        <x:f>IF(ISNUMBER(X10),IF('Scoring Setup'!$L$10=1,1-'Scoring Setup'!$B$5*(1-MAX(0,MIN(1,(X10-'Scoring Setup'!$K$10)/(100-'Scoring Setup'!$K$10)))),1),"")</x:f>
        <x:v>0.9332743988684583</x:v>
      </x:c>
      <x:c r="AQ10" s="27" t="n">
        <x:f>IF(ISNUMBER(Y10),IF('Scoring Setup'!$L$11=1,1-'Scoring Setup'!$B$5*(1-MAX(0,MIN(1,(Y10-'Scoring Setup'!$K$11)/(100-'Scoring Setup'!$K$11)))),1),"")</x:f>
        <x:v>0.8713419492271405</x:v>
      </x:c>
      <x:c r="AR10" s="27" t="n">
        <x:f>IF(ISNUMBER(Z10),IF('Scoring Setup'!$L$12=1,1-'Scoring Setup'!$B$5*(1-MAX(0,MIN(1,(Z10-'Scoring Setup'!$K$12)/(100-'Scoring Setup'!$K$12)))),1),"")</x:f>
        <x:v>0.8844556105725232</x:v>
      </x:c>
      <x:c r="AS10" s="27" t="n">
        <x:f>IF(ISNUMBER(AA10),IF('Scoring Setup'!$L$13=1,1-'Scoring Setup'!$B$5*(1-MAX(0,MIN(1,(AA10-'Scoring Setup'!$K$13)/(100-'Scoring Setup'!$K$13)))),1),"")</x:f>
        <x:v>0.9879627083397858</x:v>
      </x:c>
      <x:c r="AT10" s="27" t="n">
        <x:f>IF(ISNUMBER(AB10),IF('Scoring Setup'!$L$14=1,1-'Scoring Setup'!$B$5*(1-MAX(0,MIN(1,(AB10-'Scoring Setup'!$K$14)/(100-'Scoring Setup'!$K$14)))),1),"")</x:f>
        <x:v>0.9796947135839891</x:v>
      </x:c>
      <x:c r="AU10" s="27" t="n">
        <x:f>IF(ISNUMBER(AC10),IF('Scoring Setup'!$L$15=1,1-'Scoring Setup'!$B$5*(1-MAX(0,MIN(1,(AC10-'Scoring Setup'!$K$15)/(100-'Scoring Setup'!$K$15)))),1),"")</x:f>
        <x:v>0.9841009254028983</x:v>
      </x:c>
      <x:c r="AV10" s="27" t="n">
        <x:f>IF(ISNUMBER(AD10),IF('Scoring Setup'!$L$16=1,1-'Scoring Setup'!$B$5*(1-MAX(0,MIN(1,(AD10-'Scoring Setup'!$K$16)/(100-'Scoring Setup'!$K$16)))),1),"")</x:f>
        <x:v>0.8</x:v>
      </x:c>
      <x:c r="AW10" s="27" t="n">
        <x:f>IF(ISNUMBER(AE10),IF('Scoring Setup'!$L$17=1,1-'Scoring Setup'!$B$5*(1-MAX(0,MIN(1,(AE10-'Scoring Setup'!$K$17)/(100-'Scoring Setup'!$K$17)))),1),"")</x:f>
        <x:v>0.802410988</x:v>
      </x:c>
      <x:c r="AX10" s="27" t="n">
        <x:f>IF(ISNUMBER(AF10),IF('Scoring Setup'!$L$18=1,1-'Scoring Setup'!$B$5*(1-MAX(0,MIN(1,(AF10-'Scoring Setup'!$K$18)/(100-'Scoring Setup'!$K$18)))),1),"")</x:f>
        <x:v>0.8731620144952479</x:v>
      </x:c>
      <x:c r="AY10" s="27" t="n">
        <x:f>IF(ISNUMBER(AG10),IF('Scoring Setup'!$L$19=1,1-'Scoring Setup'!$B$5*(1-MAX(0,MIN(1,(AG10-'Scoring Setup'!$K$19)/(100-'Scoring Setup'!$K$19)))),1),"")</x:f>
        <x:v>0.9361555555555555</x:v>
      </x:c>
      <x:c r="AZ10" s="27" t="n">
        <x:f>IF(ISNUMBER(AH10),IF('Scoring Setup'!$L$20=1,1-'Scoring Setup'!$B$5*(1-MAX(0,MIN(1,(AH10-'Scoring Setup'!$K$20)/(100-'Scoring Setup'!$K$20)))),1),"")</x:f>
        <x:v>0.9082976508246527</x:v>
      </x:c>
      <x:c r="BA10" s="27" t="n">
        <x:f>IF(ISNUMBER(AI10),IF('Scoring Setup'!$L$21=1,1-'Scoring Setup'!$B$5*(1-MAX(0,MIN(1,(AI10-'Scoring Setup'!$K$21)/(100-'Scoring Setup'!$K$21)))),1),"")</x:f>
        <x:v>0.9300052717299688</x:v>
      </x:c>
      <x:c r="BB10" s="27" t="n">
        <x:f>IF(ISNUMBER(AJ10),IF('Scoring Setup'!$L$22=1,1-'Scoring Setup'!$B$5*(1-MAX(0,MIN(1,(AJ10-'Scoring Setup'!$K$22)/(100-'Scoring Setup'!$K$22)))),1),"")</x:f>
        <x:v>0.9779902365729038</x:v>
      </x:c>
      <x:c r="BC10" s="27" t="n">
        <x:f>IF(ISNUMBER(AK10),IF('Scoring Setup'!$L$23=1,1-'Scoring Setup'!$B$5*(1-MAX(0,MIN(1,(AK10-'Scoring Setup'!$K$23)/(100-'Scoring Setup'!$K$23)))),1),"")</x:f>
        <x:v>0.8845322382802077</x:v>
      </x:c>
      <x:c r="BD10" s="27" t="n">
        <x:f>IF(ISNUMBER(AL10),IF('Scoring Setup'!$L$24=1,1-'Scoring Setup'!$B$5*(1-MAX(0,MIN(1,(AL10-'Scoring Setup'!$K$24)/(100-'Scoring Setup'!$K$24)))),1),"")</x:f>
        <x:v>0.9741818181818181</x:v>
      </x:c>
      <x:c r="BE10" s="27" t="n">
        <x:f>IF(ISNUMBER(AM10),IF('Scoring Setup'!$L$25=1,1-'Scoring Setup'!$B$5*(1-MAX(0,MIN(1,(AM10-'Scoring Setup'!$K$25)/(100-'Scoring Setup'!$K$25)))),1),"")</x:f>
        <x:v>0.8885845218271159</x:v>
      </x:c>
      <x:c r="BF10" s="27" t="n">
        <x:f>IF(ISNUMBER(AN10),IF('Scoring Setup'!$L$26=1,1-'Scoring Setup'!$B$5*(1-MAX(0,MIN(1,(AN10-'Scoring Setup'!$K$26)/(100-'Scoring Setup'!$K$26)))),1),"")</x:f>
        <x:v>0.937286211052675</x:v>
      </x:c>
      <x:c r="BG10" s="34" t="n">
        <x:f>IF(COUNT(W10,X10)=2,AVERAGE(W10,X10),"")</x:f>
        <x:v>55.17574257425744</x:v>
      </x:c>
      <x:c r="BH10" s="34" t="n">
        <x:f>IF(COUNT(Y10,Z10)=2,AVERAGE(Y10,Z10),"")</x:f>
        <x:v>38.9493899499159</x:v>
      </x:c>
      <x:c r="BI10" s="34" t="n">
        <x:f>IF(COUNT(AA10,AB10,AC10)=3,AVERAGE(AA10,AB10,AC10),"")</x:f>
        <x:v>91.95972455444554</x:v>
      </x:c>
      <x:c r="BJ10" s="34" t="n">
        <x:f>IF(COUNT(AD10,AE10)=2,AVERAGE(AD10,AE10),"")</x:f>
        <x:v>0.6027469999999998</x:v>
      </x:c>
      <x:c r="BK10" s="34" t="n">
        <x:f>IF(COUNT(AF10,AG10)=2,AVERAGE(AF10,AG10),"")</x:f>
        <x:v>52.32939251270088</x:v>
      </x:c>
      <x:c r="BL10" s="34" t="n">
        <x:f>IF(COUNT(AH10,AI10)=2,AVERAGE(AH10,AI10),"")</x:f>
        <x:v>59.5757306386554</x:v>
      </x:c>
      <x:c r="BM10" s="34" t="n">
        <x:f>IF(COUNT(AJ10,AK10)=2,AVERAGE(AJ10,AK10),"")</x:f>
        <x:v>65.6306187132779</x:v>
      </x:c>
      <x:c r="BN10" s="34" t="n">
        <x:f>IF(COUNT(AL10,AM10,AN10)=3,AVERAGE(AL10,AM10,AN10),"")</x:f>
        <x:v>66.67542517693484</x:v>
      </x:c>
      <x:c r="BO10" s="35" t="n">
        <x:f>IF(AND(COUNT(BG10:BN10)=8,ABS('Scoring Setup'!$C$17-1)&lt;0.000001),BG10*'Scoring Setup'!$C$9+BH10*'Scoring Setup'!$C$10+BI10*'Scoring Setup'!$C$11+BJ10*'Scoring Setup'!$C$12+BK10*'Scoring Setup'!$C$13+BL10*'Scoring Setup'!$C$14+BM10*'Scoring Setup'!$C$15+BN10*'Scoring Setup'!$C$16,"")</x:f>
        <x:v>54.059583674800685</x:v>
      </x:c>
      <x:c r="BP10" s="36" t="n">
        <x:f>IF(COUNT(AO10:BF10)=18,MIN(AO10:BF10),"")</x:f>
        <x:v>0.8</x:v>
      </x:c>
      <x:c r="BQ10" s="35" t="n">
        <x:f>IF(AND(ISNUMBER(BO10),ISNUMBER(BP10)),BO10*BP10,"")</x:f>
        <x:v>43.24766693984055</x:v>
      </x:c>
      <x:c r="BR10" s="17" t="str">
        <x:f>IF(COUNT(AO10:BF10)=18,INDEX('Scoring Setup'!$F$9:$F$26,MATCH(MIN(AO10:BF10),AO10:BF10,0),1),"")</x:f>
        <x:v>商业光纤100/20覆盖率</x:v>
      </x:c>
    </x:row>
    <x:row r="11">
      <x:c r="A11" s="28" t="str">
        <x:v>13013</x:v>
      </x:c>
      <x:c r="B11" s="28" t="str">
        <x:v>Barrow County</x:v>
      </x:c>
      <x:c r="C11" s="28" t="str">
        <x:v>GA</x:v>
      </x:c>
      <x:c r="D11" s="31" t="n">
        <x:v>417.122366</x:v>
      </x:c>
      <x:c r="E11" s="32" t="n">
        <x:v>0.448</x:v>
      </x:c>
      <x:c r="F11" s="32" t="n">
        <x:v>0.48205445544554504</x:v>
      </x:c>
      <x:c r="G11" s="32" t="n">
        <x:v>2.101601868026963</x:v>
      </x:c>
      <x:c r="H11" s="32" t="n">
        <x:v>1.909171031</x:v>
      </x:c>
      <x:c r="I11" s="32" t="n">
        <x:v>0.7574565793599993</x:v>
      </x:c>
      <x:c r="J11" s="32" t="n">
        <x:v>0.01764683345020458</x:v>
      </x:c>
      <x:c r="K11" s="32" t="n">
        <x:v>0.0309217676700418</x:v>
      </x:c>
      <x:c r="L11" s="32" t="n">
        <x:v>0.532093224</x:v>
      </x:c>
      <x:c r="M11" s="32" t="n">
        <x:v>0.53144433</x:v>
      </x:c>
      <x:c r="N11" s="32" t="n">
        <x:v>49274</x:v>
      </x:c>
      <x:c r="O11" s="32" t="n">
        <x:v>0.4887</x:v>
      </x:c>
      <x:c r="P11" s="32" t="n">
        <x:v>1499.051582845052</x:v>
      </x:c>
      <x:c r="Q11" s="32" t="n">
        <x:v>37.97758922576904</x:v>
      </x:c>
      <x:c r="R11" s="32" t="n">
        <x:v>14.215467659393612</x:v>
      </x:c>
      <x:c r="S11" s="32" t="n">
        <x:v>0.6063383919582049</x:v>
      </x:c>
      <x:c r="T11" s="32" t="n">
        <x:v>72.1</x:v>
      </x:c>
      <x:c r="U11" s="32" t="n">
        <x:v>211.4154781728841</x:v>
      </x:c>
      <x:c r="V11" s="32" t="n">
        <x:v>325.42757789465</x:v>
      </x:c>
      <x:c r="W11" s="33" t="n">
        <x:f>IF(ISNUMBER(E11),100*MAX(0,MIN(1,('Anchors'!$H$6-E11)/('Anchors'!$H$6-'Anchors'!$G$6))),"")</x:f>
        <x:v>64.57142857142858</x:v>
      </x:c>
      <x:c r="X11" s="33" t="n">
        <x:f>IF(ISNUMBER(F11),100*MAX(0,MIN(1,('Anchors'!$H$7-F11)/('Anchors'!$H$7-'Anchors'!$G$7))),"")</x:f>
        <x:v>45.42079207920786</x:v>
      </x:c>
      <x:c r="Y11" s="33" t="n">
        <x:f>IF(ISNUMBER(G11),100*MAX(0,MIN(1,('Anchors'!$H$8-G11)/('Anchors'!$H$8-'Anchors'!$G$8))),"")</x:f>
        <x:v>63.279937732434576</x:v>
      </x:c>
      <x:c r="Z11" s="33" t="n">
        <x:f>IF(ISNUMBER(H11),100*MAX(0,MIN(1,('Anchors'!$H$9-H11)/('Anchors'!$H$9-'Anchors'!$G$9))),"")</x:f>
        <x:v>69.69429896666666</x:v>
      </x:c>
      <x:c r="AA11" s="33" t="n">
        <x:f>IF(ISNUMBER(I11),100*MAX(0,MIN(1,(I11-'Anchors'!$H$10)/('Anchors'!$G$10-'Anchors'!$H$10))),"")</x:f>
        <x:v>69.51459991232868</x:v>
      </x:c>
      <x:c r="AB11" s="33" t="n">
        <x:f>IF(ISNUMBER(J11),100*MAX(0,MIN(1,('Anchors'!$H$11-J11)/('Anchors'!$H$11-'Anchors'!$G$11))),"")</x:f>
        <x:v>92.94126661991817</x:v>
      </x:c>
      <x:c r="AC11" s="33" t="n">
        <x:f>IF(ISNUMBER(K11),100*MAX(0,MIN(1,('Anchors'!$H$12-K11)/('Anchors'!$H$12-'Anchors'!$G$12))),"")</x:f>
        <x:v>92.26955808248955</x:v>
      </x:c>
      <x:c r="AD11" s="33" t="n">
        <x:f>IF(ISNUMBER(L11),100*MAX(0,MIN(1,(L11-'Anchors'!$H$13)/('Anchors'!$G$13-'Anchors'!$H$13))),"")</x:f>
        <x:v>47.44188914285715</x:v>
      </x:c>
      <x:c r="AE11" s="33" t="n">
        <x:f>IF(ISNUMBER(M11),100*MAX(0,MIN(1,(M11-'Anchors'!$H$14)/('Anchors'!$G$14-'Anchors'!$H$14))),"")</x:f>
        <x:v>53.93054125</x:v>
      </x:c>
      <x:c r="AF11" s="33" t="n">
        <x:f>IF(ISNUMBER(N11),100*MAX(0,MIN(1,(LN(1+N11)-LN(1+'Anchors'!$H$15))/(LN(1+'Anchors'!$G$15)-LN(1+'Anchors'!$H$15)))),"")</x:f>
        <x:v>74.21296220718968</x:v>
      </x:c>
      <x:c r="AG11" s="33" t="n">
        <x:f>IF(ISNUMBER(O11),100*MAX(0,MIN(1,('Anchors'!$H$16-O11)/('Anchors'!$H$16-'Anchors'!$G$16))),"")</x:f>
        <x:v>51.25555555555555</x:v>
      </x:c>
      <x:c r="AH11" s="33" t="n">
        <x:f>IF(ISNUMBER(P11),100*MAX(0,MIN(1,('Anchors'!$H$17-P11)/('Anchors'!$H$17-'Anchors'!$G$17))),"")</x:f>
        <x:v>46.72989447699653</x:v>
      </x:c>
      <x:c r="AI11" s="33" t="n">
        <x:f>IF(ISNUMBER(Q11),100*MAX(0,MIN(1,('Anchors'!$H$18-Q11)/('Anchors'!$H$18-'Anchors'!$G$18))),"")</x:f>
        <x:v>52.88915824890138</x:v>
      </x:c>
      <x:c r="AJ11" s="33" t="n">
        <x:f>IF(ISNUMBER(R11),100*MAX(0,MIN(1,('Anchors'!$H$19-R11)/('Anchors'!$H$19-'Anchors'!$G$19))),"")</x:f>
        <x:v>79.52118297912531</x:v>
      </x:c>
      <x:c r="AK11" s="33" t="n">
        <x:f>IF(ISNUMBER(S11),100*MAX(0,MIN(1,('Anchors'!$H$20-S11)/('Anchors'!$H$20-'Anchors'!$G$20))),"")</x:f>
        <x:v>100</x:v>
      </x:c>
      <x:c r="AL11" s="33" t="n">
        <x:f>IF(ISNUMBER(T11),100*MAX(0,MIN(1,('Anchors'!$H$21-T11)/('Anchors'!$H$21-'Anchors'!$G$21))),"")</x:f>
        <x:v>87.0909090909091</x:v>
      </x:c>
      <x:c r="AM11" s="33" t="n">
        <x:f>IF(ISNUMBER(U11),100*MAX(0,MIN(1,('Anchors'!$H$22-U11)/('Anchors'!$H$22-'Anchors'!$G$22))),"")</x:f>
        <x:v>44.29226091355795</x:v>
      </x:c>
      <x:c r="AN11" s="33" t="n">
        <x:f>IF(ISNUMBER(V11),100*MAX(0,MIN(1,('Anchors'!$H$23-V11)/('Anchors'!$H$23-'Anchors'!$G$23))),"")</x:f>
        <x:v>68.6431055263375</x:v>
      </x:c>
      <x:c r="AO11" s="27" t="n">
        <x:f>IF(ISNUMBER(W11),IF('Scoring Setup'!$L$9=1,1-'Scoring Setup'!$B$5*(1-MAX(0,MIN(1,(W11-'Scoring Setup'!$K$9)/(100-'Scoring Setup'!$K$9)))),1),"")</x:f>
        <x:v>0.9291428571428572</x:v>
      </x:c>
      <x:c r="AP11" s="27" t="n">
        <x:f>IF(ISNUMBER(X11),IF('Scoring Setup'!$L$10=1,1-'Scoring Setup'!$B$5*(1-MAX(0,MIN(1,(X11-'Scoring Setup'!$K$10)/(100-'Scoring Setup'!$K$10)))),1),"")</x:f>
        <x:v>0.8908415841584157</x:v>
      </x:c>
      <x:c r="AQ11" s="27" t="n">
        <x:f>IF(ISNUMBER(Y11),IF('Scoring Setup'!$L$11=1,1-'Scoring Setup'!$B$5*(1-MAX(0,MIN(1,(Y11-'Scoring Setup'!$K$11)/(100-'Scoring Setup'!$K$11)))),1),"")</x:f>
        <x:v>0.9265598754648692</x:v>
      </x:c>
      <x:c r="AR11" s="27" t="n">
        <x:f>IF(ISNUMBER(Z11),IF('Scoring Setup'!$L$12=1,1-'Scoring Setup'!$B$5*(1-MAX(0,MIN(1,(Z11-'Scoring Setup'!$K$12)/(100-'Scoring Setup'!$K$12)))),1),"")</x:f>
        <x:v>0.9393885979333333</x:v>
      </x:c>
      <x:c r="AS11" s="27" t="n">
        <x:f>IF(ISNUMBER(AA11),IF('Scoring Setup'!$L$13=1,1-'Scoring Setup'!$B$5*(1-MAX(0,MIN(1,(AA11-'Scoring Setup'!$K$13)/(100-'Scoring Setup'!$K$13)))),1),"")</x:f>
        <x:v>0.9390291998246574</x:v>
      </x:c>
      <x:c r="AT11" s="27" t="n">
        <x:f>IF(ISNUMBER(AB11),IF('Scoring Setup'!$L$14=1,1-'Scoring Setup'!$B$5*(1-MAX(0,MIN(1,(AB11-'Scoring Setup'!$K$14)/(100-'Scoring Setup'!$K$14)))),1),"")</x:f>
        <x:v>0.9858825332398363</x:v>
      </x:c>
      <x:c r="AU11" s="27" t="n">
        <x:f>IF(ISNUMBER(AC11),IF('Scoring Setup'!$L$15=1,1-'Scoring Setup'!$B$5*(1-MAX(0,MIN(1,(AC11-'Scoring Setup'!$K$15)/(100-'Scoring Setup'!$K$15)))),1),"")</x:f>
        <x:v>0.9845391161649791</x:v>
      </x:c>
      <x:c r="AV11" s="27" t="n">
        <x:f>IF(ISNUMBER(AD11),IF('Scoring Setup'!$L$16=1,1-'Scoring Setup'!$B$5*(1-MAX(0,MIN(1,(AD11-'Scoring Setup'!$K$16)/(100-'Scoring Setup'!$K$16)))),1),"")</x:f>
        <x:v>0.8948837782857143</x:v>
      </x:c>
      <x:c r="AW11" s="27" t="n">
        <x:f>IF(ISNUMBER(AE11),IF('Scoring Setup'!$L$17=1,1-'Scoring Setup'!$B$5*(1-MAX(0,MIN(1,(AE11-'Scoring Setup'!$K$17)/(100-'Scoring Setup'!$K$17)))),1),"")</x:f>
        <x:v>0.9078610825</x:v>
      </x:c>
      <x:c r="AX11" s="27" t="n">
        <x:f>IF(ISNUMBER(AF11),IF('Scoring Setup'!$L$18=1,1-'Scoring Setup'!$B$5*(1-MAX(0,MIN(1,(AF11-'Scoring Setup'!$K$18)/(100-'Scoring Setup'!$K$18)))),1),"")</x:f>
        <x:v>0.9484259244143793</x:v>
      </x:c>
      <x:c r="AY11" s="27" t="n">
        <x:f>IF(ISNUMBER(AG11),IF('Scoring Setup'!$L$19=1,1-'Scoring Setup'!$B$5*(1-MAX(0,MIN(1,(AG11-'Scoring Setup'!$K$19)/(100-'Scoring Setup'!$K$19)))),1),"")</x:f>
        <x:v>0.902511111111111</x:v>
      </x:c>
      <x:c r="AZ11" s="27" t="n">
        <x:f>IF(ISNUMBER(AH11),IF('Scoring Setup'!$L$20=1,1-'Scoring Setup'!$B$5*(1-MAX(0,MIN(1,(AH11-'Scoring Setup'!$K$20)/(100-'Scoring Setup'!$K$20)))),1),"")</x:f>
        <x:v>0.893459788953993</x:v>
      </x:c>
      <x:c r="BA11" s="27" t="n">
        <x:f>IF(ISNUMBER(AI11),IF('Scoring Setup'!$L$21=1,1-'Scoring Setup'!$B$5*(1-MAX(0,MIN(1,(AI11-'Scoring Setup'!$K$21)/(100-'Scoring Setup'!$K$21)))),1),"")</x:f>
        <x:v>0.9057783164978027</x:v>
      </x:c>
      <x:c r="BB11" s="27" t="n">
        <x:f>IF(ISNUMBER(AJ11),IF('Scoring Setup'!$L$22=1,1-'Scoring Setup'!$B$5*(1-MAX(0,MIN(1,(AJ11-'Scoring Setup'!$K$22)/(100-'Scoring Setup'!$K$22)))),1),"")</x:f>
        <x:v>0.9590423659582507</x:v>
      </x:c>
      <x:c r="BC11" s="27" t="n">
        <x:f>IF(ISNUMBER(AK11),IF('Scoring Setup'!$L$23=1,1-'Scoring Setup'!$B$5*(1-MAX(0,MIN(1,(AK11-'Scoring Setup'!$K$23)/(100-'Scoring Setup'!$K$23)))),1),"")</x:f>
        <x:v>1</x:v>
      </x:c>
      <x:c r="BD11" s="27" t="n">
        <x:f>IF(ISNUMBER(AL11),IF('Scoring Setup'!$L$24=1,1-'Scoring Setup'!$B$5*(1-MAX(0,MIN(1,(AL11-'Scoring Setup'!$K$24)/(100-'Scoring Setup'!$K$24)))),1),"")</x:f>
        <x:v>0.9741818181818181</x:v>
      </x:c>
      <x:c r="BE11" s="27" t="n">
        <x:f>IF(ISNUMBER(AM11),IF('Scoring Setup'!$L$25=1,1-'Scoring Setup'!$B$5*(1-MAX(0,MIN(1,(AM11-'Scoring Setup'!$K$25)/(100-'Scoring Setup'!$K$25)))),1),"")</x:f>
        <x:v>0.8885845218271159</x:v>
      </x:c>
      <x:c r="BF11" s="27" t="n">
        <x:f>IF(ISNUMBER(AN11),IF('Scoring Setup'!$L$26=1,1-'Scoring Setup'!$B$5*(1-MAX(0,MIN(1,(AN11-'Scoring Setup'!$K$26)/(100-'Scoring Setup'!$K$26)))),1),"")</x:f>
        <x:v>0.937286211052675</x:v>
      </x:c>
      <x:c r="BG11" s="34" t="n">
        <x:f>IF(COUNT(W11,X11)=2,AVERAGE(W11,X11),"")</x:f>
        <x:v>54.99611032531822</x:v>
      </x:c>
      <x:c r="BH11" s="34" t="n">
        <x:f>IF(COUNT(Y11,Z11)=2,AVERAGE(Y11,Z11),"")</x:f>
        <x:v>66.48711834955063</x:v>
      </x:c>
      <x:c r="BI11" s="34" t="n">
        <x:f>IF(COUNT(AA11,AB11,AC11)=3,AVERAGE(AA11,AB11,AC11),"")</x:f>
        <x:v>84.90847487157879</x:v>
      </x:c>
      <x:c r="BJ11" s="34" t="n">
        <x:f>IF(COUNT(AD11,AE11)=2,AVERAGE(AD11,AE11),"")</x:f>
        <x:v>50.68621519642858</x:v>
      </x:c>
      <x:c r="BK11" s="34" t="n">
        <x:f>IF(COUNT(AF11,AG11)=2,AVERAGE(AF11,AG11),"")</x:f>
        <x:v>62.73425888137261</x:v>
      </x:c>
      <x:c r="BL11" s="34" t="n">
        <x:f>IF(COUNT(AH11,AI11)=2,AVERAGE(AH11,AI11),"")</x:f>
        <x:v>49.80952636294896</x:v>
      </x:c>
      <x:c r="BM11" s="34" t="n">
        <x:f>IF(COUNT(AJ11,AK11)=2,AVERAGE(AJ11,AK11),"")</x:f>
        <x:v>89.76059148956266</x:v>
      </x:c>
      <x:c r="BN11" s="34" t="n">
        <x:f>IF(COUNT(AL11,AM11,AN11)=3,AVERAGE(AL11,AM11,AN11),"")</x:f>
        <x:v>66.67542517693484</x:v>
      </x:c>
      <x:c r="BO11" s="35" t="n">
        <x:f>IF(AND(COUNT(BG11:BN11)=8,ABS('Scoring Setup'!$C$17-1)&lt;0.000001),BG11*'Scoring Setup'!$C$9+BH11*'Scoring Setup'!$C$10+BI11*'Scoring Setup'!$C$11+BJ11*'Scoring Setup'!$C$12+BK11*'Scoring Setup'!$C$13+BL11*'Scoring Setup'!$C$14+BM11*'Scoring Setup'!$C$15+BN11*'Scoring Setup'!$C$16,"")</x:f>
        <x:v>65.61106304308598</x:v>
      </x:c>
      <x:c r="BP11" s="36" t="n">
        <x:f>IF(COUNT(AO11:BF11)=18,MIN(AO11:BF11),"")</x:f>
        <x:v>0.8885845218271159</x:v>
      </x:c>
      <x:c r="BQ11" s="35" t="n">
        <x:f>IF(AND(ISNUMBER(BO11),ISNUMBER(BP11)),BO11*BP11,"")</x:f>
        <x:v>58.30097508070931</x:v>
      </x:c>
      <x:c r="BR11" s="17" t="str">
        <x:f>IF(COUNT(AO11:BF11)=18,INDEX('Scoring Setup'!$F$9:$F$26,MATCH(MIN(AO11:BF11),AO11:BF11,0),1),"")</x:f>
        <x:v>州SAIDI不含重大事件日</x:v>
      </x:c>
    </x:row>
    <x:row r="12">
      <x:c r="A12" s="28" t="str">
        <x:v>13015</x:v>
      </x:c>
      <x:c r="B12" s="28" t="str">
        <x:v>Bartow County</x:v>
      </x:c>
      <x:c r="C12" s="28" t="str">
        <x:v>GA</x:v>
      </x:c>
      <x:c r="D12" s="31" t="n">
        <x:v>1188.576977</x:v>
      </x:c>
      <x:c r="E12" s="32" t="n">
        <x:v>0.649</x:v>
      </x:c>
      <x:c r="F12" s="32" t="n">
        <x:v>0.347153465346535</x:v>
      </x:c>
      <x:c r="G12" s="32" t="n">
        <x:v>3.418650067202911</x:v>
      </x:c>
      <x:c r="H12" s="32" t="n">
        <x:v>3.150536211721366</x:v>
      </x:c>
      <x:c r="I12" s="32" t="n">
        <x:v>0.8435810739194031</x:v>
      </x:c>
      <x:c r="J12" s="32" t="n">
        <x:v>0.04751171905359102</x:v>
      </x:c>
      <x:c r="K12" s="32" t="n">
        <x:v>0.004625830151024648</x:v>
      </x:c>
      <x:c r="L12" s="32" t="n">
        <x:v>0.414888635</x:v>
      </x:c>
      <x:c r="M12" s="32" t="n">
        <x:v>0.412490868</x:v>
      </x:c>
      <x:c r="N12" s="32" t="n">
        <x:v>56684</x:v>
      </x:c>
      <x:c r="O12" s="32" t="n">
        <x:v>0.454</x:v>
      </x:c>
      <x:c r="P12" s="32" t="n">
        <x:v>1461.2584879557292</x:v>
      </x:c>
      <x:c r="Q12" s="32" t="n">
        <x:v>33.63199570973714</x:v>
      </x:c>
      <x:c r="R12" s="32" t="n">
        <x:v>4.106558397151116</x:v>
      </x:c>
      <x:c r="S12" s="32" t="n">
        <x:v>2.5774303645511925</x:v>
      </x:c>
      <x:c r="T12" s="32" t="n">
        <x:v>72.1</x:v>
      </x:c>
      <x:c r="U12" s="32" t="n">
        <x:v>211.4154781728841</x:v>
      </x:c>
      <x:c r="V12" s="32" t="n">
        <x:v>325.42757789465</x:v>
      </x:c>
      <x:c r="W12" s="33" t="n">
        <x:f>IF(ISNUMBER(E12),100*MAX(0,MIN(1,('Anchors'!$H$6-E12)/('Anchors'!$H$6-'Anchors'!$G$6))),"")</x:f>
        <x:v>35.85714285714286</x:v>
      </x:c>
      <x:c r="X12" s="33" t="n">
        <x:f>IF(ISNUMBER(F12),100*MAX(0,MIN(1,('Anchors'!$H$7-F12)/('Anchors'!$H$7-'Anchors'!$G$7))),"")</x:f>
        <x:v>64.69236209335214</x:v>
      </x:c>
      <x:c r="Y12" s="33" t="n">
        <x:f>IF(ISNUMBER(G12),100*MAX(0,MIN(1,('Anchors'!$H$8-G12)/('Anchors'!$H$8-'Anchors'!$G$8))),"")</x:f>
        <x:v>19.37833109323629</x:v>
      </x:c>
      <x:c r="Z12" s="33" t="n">
        <x:f>IF(ISNUMBER(H12),100*MAX(0,MIN(1,('Anchors'!$H$9-H12)/('Anchors'!$H$9-'Anchors'!$G$9))),"")</x:f>
        <x:v>28.315459609287803</x:v>
      </x:c>
      <x:c r="AA12" s="33" t="n">
        <x:f>IF(ISNUMBER(I12),100*MAX(0,MIN(1,(I12-'Anchors'!$H$10)/('Anchors'!$G$10-'Anchors'!$H$10))),"")</x:f>
        <x:v>81.31247587937028</x:v>
      </x:c>
      <x:c r="AB12" s="33" t="n">
        <x:f>IF(ISNUMBER(J12),100*MAX(0,MIN(1,('Anchors'!$H$11-J12)/('Anchors'!$H$11-'Anchors'!$G$11))),"")</x:f>
        <x:v>80.99531237856358</x:v>
      </x:c>
      <x:c r="AC12" s="33" t="n">
        <x:f>IF(ISNUMBER(K12),100*MAX(0,MIN(1,('Anchors'!$H$12-K12)/('Anchors'!$H$12-'Anchors'!$G$12))),"")</x:f>
        <x:v>98.84354246224383</x:v>
      </x:c>
      <x:c r="AD12" s="33" t="n">
        <x:f>IF(ISNUMBER(L12),100*MAX(0,MIN(1,(L12-'Anchors'!$H$13)/('Anchors'!$G$13-'Anchors'!$H$13))),"")</x:f>
        <x:v>30.69837642857143</x:v>
      </x:c>
      <x:c r="AE12" s="33" t="n">
        <x:f>IF(ISNUMBER(M12),100*MAX(0,MIN(1,(M12-'Anchors'!$H$14)/('Anchors'!$G$14-'Anchors'!$H$14))),"")</x:f>
        <x:v>39.061358500000004</x:v>
      </x:c>
      <x:c r="AF12" s="33" t="n">
        <x:f>IF(ISNUMBER(N12),100*MAX(0,MIN(1,(LN(1+N12)-LN(1+'Anchors'!$H$15))/(LN(1+'Anchors'!$G$15)-LN(1+'Anchors'!$H$15)))),"")</x:f>
        <x:v>77.45810785848536</x:v>
      </x:c>
      <x:c r="AG12" s="33" t="n">
        <x:f>IF(ISNUMBER(O12),100*MAX(0,MIN(1,('Anchors'!$H$16-O12)/('Anchors'!$H$16-'Anchors'!$G$16))),"")</x:f>
        <x:v>55.111111111111114</x:v>
      </x:c>
      <x:c r="AH12" s="33" t="n">
        <x:f>IF(ISNUMBER(P12),100*MAX(0,MIN(1,('Anchors'!$H$17-P12)/('Anchors'!$H$17-'Anchors'!$G$17))),"")</x:f>
        <x:v>49.24943413628473</x:v>
      </x:c>
      <x:c r="AI12" s="33" t="n">
        <x:f>IF(ISNUMBER(Q12),100*MAX(0,MIN(1,('Anchors'!$H$18-Q12)/('Anchors'!$H$18-'Anchors'!$G$18))),"")</x:f>
        <x:v>59.0971489860898</x:v>
      </x:c>
      <x:c r="AJ12" s="33" t="n">
        <x:f>IF(ISNUMBER(R12),100*MAX(0,MIN(1,('Anchors'!$H$19-R12)/('Anchors'!$H$19-'Anchors'!$G$19))),"")</x:f>
        <x:v>100</x:v>
      </x:c>
      <x:c r="AK12" s="33" t="n">
        <x:f>IF(ISNUMBER(S12),100*MAX(0,MIN(1,('Anchors'!$H$20-S12)/('Anchors'!$H$20-'Anchors'!$G$20))),"")</x:f>
        <x:v>91.69773492341479</x:v>
      </x:c>
      <x:c r="AL12" s="33" t="n">
        <x:f>IF(ISNUMBER(T12),100*MAX(0,MIN(1,('Anchors'!$H$21-T12)/('Anchors'!$H$21-'Anchors'!$G$21))),"")</x:f>
        <x:v>87.0909090909091</x:v>
      </x:c>
      <x:c r="AM12" s="33" t="n">
        <x:f>IF(ISNUMBER(U12),100*MAX(0,MIN(1,('Anchors'!$H$22-U12)/('Anchors'!$H$22-'Anchors'!$G$22))),"")</x:f>
        <x:v>44.29226091355795</x:v>
      </x:c>
      <x:c r="AN12" s="33" t="n">
        <x:f>IF(ISNUMBER(V12),100*MAX(0,MIN(1,('Anchors'!$H$23-V12)/('Anchors'!$H$23-'Anchors'!$G$23))),"")</x:f>
        <x:v>68.6431055263375</x:v>
      </x:c>
      <x:c r="AO12" s="27" t="n">
        <x:f>IF(ISNUMBER(W12),IF('Scoring Setup'!$L$9=1,1-'Scoring Setup'!$B$5*(1-MAX(0,MIN(1,(W12-'Scoring Setup'!$K$9)/(100-'Scoring Setup'!$K$9)))),1),"")</x:f>
        <x:v>0.8717142857142857</x:v>
      </x:c>
      <x:c r="AP12" s="27" t="n">
        <x:f>IF(ISNUMBER(X12),IF('Scoring Setup'!$L$10=1,1-'Scoring Setup'!$B$5*(1-MAX(0,MIN(1,(X12-'Scoring Setup'!$K$10)/(100-'Scoring Setup'!$K$10)))),1),"")</x:f>
        <x:v>0.9293847241867043</x:v>
      </x:c>
      <x:c r="AQ12" s="27" t="n">
        <x:f>IF(ISNUMBER(Y12),IF('Scoring Setup'!$L$11=1,1-'Scoring Setup'!$B$5*(1-MAX(0,MIN(1,(Y12-'Scoring Setup'!$K$11)/(100-'Scoring Setup'!$K$11)))),1),"")</x:f>
        <x:v>0.8387566621864726</x:v>
      </x:c>
      <x:c r="AR12" s="27" t="n">
        <x:f>IF(ISNUMBER(Z12),IF('Scoring Setup'!$L$12=1,1-'Scoring Setup'!$B$5*(1-MAX(0,MIN(1,(Z12-'Scoring Setup'!$K$12)/(100-'Scoring Setup'!$K$12)))),1),"")</x:f>
        <x:v>0.8566309192185756</x:v>
      </x:c>
      <x:c r="AS12" s="27" t="n">
        <x:f>IF(ISNUMBER(AA12),IF('Scoring Setup'!$L$13=1,1-'Scoring Setup'!$B$5*(1-MAX(0,MIN(1,(AA12-'Scoring Setup'!$K$13)/(100-'Scoring Setup'!$K$13)))),1),"")</x:f>
        <x:v>0.9626249517587405</x:v>
      </x:c>
      <x:c r="AT12" s="27" t="n">
        <x:f>IF(ISNUMBER(AB12),IF('Scoring Setup'!$L$14=1,1-'Scoring Setup'!$B$5*(1-MAX(0,MIN(1,(AB12-'Scoring Setup'!$K$14)/(100-'Scoring Setup'!$K$14)))),1),"")</x:f>
        <x:v>0.9619906247571272</x:v>
      </x:c>
      <x:c r="AU12" s="27" t="n">
        <x:f>IF(ISNUMBER(AC12),IF('Scoring Setup'!$L$15=1,1-'Scoring Setup'!$B$5*(1-MAX(0,MIN(1,(AC12-'Scoring Setup'!$K$15)/(100-'Scoring Setup'!$K$15)))),1),"")</x:f>
        <x:v>0.9976870849244877</x:v>
      </x:c>
      <x:c r="AV12" s="27" t="n">
        <x:f>IF(ISNUMBER(AD12),IF('Scoring Setup'!$L$16=1,1-'Scoring Setup'!$B$5*(1-MAX(0,MIN(1,(AD12-'Scoring Setup'!$K$16)/(100-'Scoring Setup'!$K$16)))),1),"")</x:f>
        <x:v>0.8613967528571429</x:v>
      </x:c>
      <x:c r="AW12" s="27" t="n">
        <x:f>IF(ISNUMBER(AE12),IF('Scoring Setup'!$L$17=1,1-'Scoring Setup'!$B$5*(1-MAX(0,MIN(1,(AE12-'Scoring Setup'!$K$17)/(100-'Scoring Setup'!$K$17)))),1),"")</x:f>
        <x:v>0.878122717</x:v>
      </x:c>
      <x:c r="AX12" s="27" t="n">
        <x:f>IF(ISNUMBER(AF12),IF('Scoring Setup'!$L$18=1,1-'Scoring Setup'!$B$5*(1-MAX(0,MIN(1,(AF12-'Scoring Setup'!$K$18)/(100-'Scoring Setup'!$K$18)))),1),"")</x:f>
        <x:v>0.9549162157169707</x:v>
      </x:c>
      <x:c r="AY12" s="27" t="n">
        <x:f>IF(ISNUMBER(AG12),IF('Scoring Setup'!$L$19=1,1-'Scoring Setup'!$B$5*(1-MAX(0,MIN(1,(AG12-'Scoring Setup'!$K$19)/(100-'Scoring Setup'!$K$19)))),1),"")</x:f>
        <x:v>0.9102222222222223</x:v>
      </x:c>
      <x:c r="AZ12" s="27" t="n">
        <x:f>IF(ISNUMBER(AH12),IF('Scoring Setup'!$L$20=1,1-'Scoring Setup'!$B$5*(1-MAX(0,MIN(1,(AH12-'Scoring Setup'!$K$20)/(100-'Scoring Setup'!$K$20)))),1),"")</x:f>
        <x:v>0.8984988682725694</x:v>
      </x:c>
      <x:c r="BA12" s="27" t="n">
        <x:f>IF(ISNUMBER(AI12),IF('Scoring Setup'!$L$21=1,1-'Scoring Setup'!$B$5*(1-MAX(0,MIN(1,(AI12-'Scoring Setup'!$K$21)/(100-'Scoring Setup'!$K$21)))),1),"")</x:f>
        <x:v>0.9181942979721796</x:v>
      </x:c>
      <x:c r="BB12" s="27" t="n">
        <x:f>IF(ISNUMBER(AJ12),IF('Scoring Setup'!$L$22=1,1-'Scoring Setup'!$B$5*(1-MAX(0,MIN(1,(AJ12-'Scoring Setup'!$K$22)/(100-'Scoring Setup'!$K$22)))),1),"")</x:f>
        <x:v>1</x:v>
      </x:c>
      <x:c r="BC12" s="27" t="n">
        <x:f>IF(ISNUMBER(AK12),IF('Scoring Setup'!$L$23=1,1-'Scoring Setup'!$B$5*(1-MAX(0,MIN(1,(AK12-'Scoring Setup'!$K$23)/(100-'Scoring Setup'!$K$23)))),1),"")</x:f>
        <x:v>0.9833954698468296</x:v>
      </x:c>
      <x:c r="BD12" s="27" t="n">
        <x:f>IF(ISNUMBER(AL12),IF('Scoring Setup'!$L$24=1,1-'Scoring Setup'!$B$5*(1-MAX(0,MIN(1,(AL12-'Scoring Setup'!$K$24)/(100-'Scoring Setup'!$K$24)))),1),"")</x:f>
        <x:v>0.9741818181818181</x:v>
      </x:c>
      <x:c r="BE12" s="27" t="n">
        <x:f>IF(ISNUMBER(AM12),IF('Scoring Setup'!$L$25=1,1-'Scoring Setup'!$B$5*(1-MAX(0,MIN(1,(AM12-'Scoring Setup'!$K$25)/(100-'Scoring Setup'!$K$25)))),1),"")</x:f>
        <x:v>0.8885845218271159</x:v>
      </x:c>
      <x:c r="BF12" s="27" t="n">
        <x:f>IF(ISNUMBER(AN12),IF('Scoring Setup'!$L$26=1,1-'Scoring Setup'!$B$5*(1-MAX(0,MIN(1,(AN12-'Scoring Setup'!$K$26)/(100-'Scoring Setup'!$K$26)))),1),"")</x:f>
        <x:v>0.937286211052675</x:v>
      </x:c>
      <x:c r="BG12" s="34" t="n">
        <x:f>IF(COUNT(W12,X12)=2,AVERAGE(W12,X12),"")</x:f>
        <x:v>50.2747524752475</x:v>
      </x:c>
      <x:c r="BH12" s="34" t="n">
        <x:f>IF(COUNT(Y12,Z12)=2,AVERAGE(Y12,Z12),"")</x:f>
        <x:v>23.84689535126205</x:v>
      </x:c>
      <x:c r="BI12" s="34" t="n">
        <x:f>IF(COUNT(AA12,AB12,AC12)=3,AVERAGE(AA12,AB12,AC12),"")</x:f>
        <x:v>87.05044357339256</x:v>
      </x:c>
      <x:c r="BJ12" s="34" t="n">
        <x:f>IF(COUNT(AD12,AE12)=2,AVERAGE(AD12,AE12),"")</x:f>
        <x:v>34.87986746428572</x:v>
      </x:c>
      <x:c r="BK12" s="34" t="n">
        <x:f>IF(COUNT(AF12,AG12)=2,AVERAGE(AF12,AG12),"")</x:f>
        <x:v>66.28460948479824</x:v>
      </x:c>
      <x:c r="BL12" s="34" t="n">
        <x:f>IF(COUNT(AH12,AI12)=2,AVERAGE(AH12,AI12),"")</x:f>
        <x:v>54.17329156118726</x:v>
      </x:c>
      <x:c r="BM12" s="34" t="n">
        <x:f>IF(COUNT(AJ12,AK12)=2,AVERAGE(AJ12,AK12),"")</x:f>
        <x:v>95.84886746170739</x:v>
      </x:c>
      <x:c r="BN12" s="34" t="n">
        <x:f>IF(COUNT(AL12,AM12,AN12)=3,AVERAGE(AL12,AM12,AN12),"")</x:f>
        <x:v>66.67542517693484</x:v>
      </x:c>
      <x:c r="BO12" s="35" t="n">
        <x:f>IF(AND(COUNT(BG12:BN12)=8,ABS('Scoring Setup'!$C$17-1)&lt;0.000001),BG12*'Scoring Setup'!$C$9+BH12*'Scoring Setup'!$C$10+BI12*'Scoring Setup'!$C$11+BJ12*'Scoring Setup'!$C$12+BK12*'Scoring Setup'!$C$13+BL12*'Scoring Setup'!$C$14+BM12*'Scoring Setup'!$C$15+BN12*'Scoring Setup'!$C$16,"")</x:f>
        <x:v>56.12208187424999</x:v>
      </x:c>
      <x:c r="BP12" s="36" t="n">
        <x:f>IF(COUNT(AO12:BF12)=18,MIN(AO12:BF12),"")</x:f>
        <x:v>0.8387566621864726</x:v>
      </x:c>
      <x:c r="BQ12" s="35" t="n">
        <x:f>IF(AND(ISNUMBER(BO12),ISNUMBER(BP12)),BO12*BP12,"")</x:f>
        <x:v>47.072770067801855</x:v>
      </x:c>
      <x:c r="BR12" s="17" t="str">
        <x:f>IF(COUNT(AO12:BF12)=18,INDEX('Scoring Setup'!$F$9:$F$26,MATCH(MIN(AO12:BF12),AO12:BF12,0),1),"")</x:f>
        <x:v>基线水压力</x:v>
      </x:c>
    </x:row>
    <x:row r="13">
      <x:c r="A13" s="28" t="str">
        <x:v>13017</x:v>
      </x:c>
      <x:c r="B13" s="28" t="str">
        <x:v>Ben Hill County</x:v>
      </x:c>
      <x:c r="C13" s="28" t="str">
        <x:v>GA</x:v>
      </x:c>
      <x:c r="D13" s="31" t="n">
        <x:v>647.802704</x:v>
      </x:c>
      <x:c r="E13" s="32" t="n">
        <x:v>0.529</x:v>
      </x:c>
      <x:c r="F13" s="32" t="n">
        <x:v>0.062190594059405906</x:v>
      </x:c>
      <x:c r="G13" s="32" t="n">
        <x:v>2.56704237473867</x:v>
      </x:c>
      <x:c r="H13" s="32" t="n">
        <x:v>2.530554056332882</x:v>
      </x:c>
      <x:c r="I13" s="32" t="n">
        <x:v>0.9174325273610747</x:v>
      </x:c>
      <x:c r="J13" s="32" t="n">
        <x:v>0</x:v>
      </x:c>
      <x:c r="K13" s="32" t="n">
        <x:v>0.176071061896508</x:v>
      </x:c>
      <x:c r="L13" s="32" t="n">
        <x:v>0.758894571</x:v>
      </x:c>
      <x:c r="M13" s="32" t="n">
        <x:v>0.74790556</x:v>
      </x:c>
      <x:c r="N13" s="32" t="n">
        <x:v>7001</x:v>
      </x:c>
      <x:c r="O13" s="32" t="n">
        <x:v>0.9265</x:v>
      </x:c>
      <x:c r="P13" s="32" t="n">
        <x:v>2320.150081380208</x:v>
      </x:c>
      <x:c r="Q13" s="32" t="n">
        <x:v>76.84320907592773</x:v>
      </x:c>
      <x:c r="R13" s="32" t="n">
        <x:v>42.217187200243046</x:v>
      </x:c>
      <x:c r="S13" s="32" t="n">
        <x:v>6.3873987212894905</x:v>
      </x:c>
      <x:c r="T13" s="32" t="n">
        <x:v>72.1</x:v>
      </x:c>
      <x:c r="U13" s="32" t="n">
        <x:v>211.4154781728841</x:v>
      </x:c>
      <x:c r="V13" s="32" t="n">
        <x:v>325.42757789465</x:v>
      </x:c>
      <x:c r="W13" s="33" t="n">
        <x:f>IF(ISNUMBER(E13),100*MAX(0,MIN(1,('Anchors'!$H$6-E13)/('Anchors'!$H$6-'Anchors'!$G$6))),"")</x:f>
        <x:v>53</x:v>
      </x:c>
      <x:c r="X13" s="33" t="n">
        <x:f>IF(ISNUMBER(F13),100*MAX(0,MIN(1,('Anchors'!$H$7-F13)/('Anchors'!$H$7-'Anchors'!$G$7))),"")</x:f>
        <x:v>100</x:v>
      </x:c>
      <x:c r="Y13" s="33" t="n">
        <x:f>IF(ISNUMBER(G13),100*MAX(0,MIN(1,('Anchors'!$H$8-G13)/('Anchors'!$H$8-'Anchors'!$G$8))),"")</x:f>
        <x:v>47.76525417537766</x:v>
      </x:c>
      <x:c r="Z13" s="33" t="n">
        <x:f>IF(ISNUMBER(H13),100*MAX(0,MIN(1,('Anchors'!$H$9-H13)/('Anchors'!$H$9-'Anchors'!$G$9))),"")</x:f>
        <x:v>48.981531455570604</x:v>
      </x:c>
      <x:c r="AA13" s="33" t="n">
        <x:f>IF(ISNUMBER(I13),100*MAX(0,MIN(1,(I13-'Anchors'!$H$10)/('Anchors'!$G$10-'Anchors'!$H$10))),"")</x:f>
        <x:v>91.42911333713353</x:v>
      </x:c>
      <x:c r="AB13" s="33" t="n">
        <x:f>IF(ISNUMBER(J13),100*MAX(0,MIN(1,('Anchors'!$H$11-J13)/('Anchors'!$H$11-'Anchors'!$G$11))),"")</x:f>
        <x:v>100</x:v>
      </x:c>
      <x:c r="AC13" s="33" t="n">
        <x:f>IF(ISNUMBER(K13),100*MAX(0,MIN(1,('Anchors'!$H$12-K13)/('Anchors'!$H$12-'Anchors'!$G$12))),"")</x:f>
        <x:v>55.982234525873</x:v>
      </x:c>
      <x:c r="AD13" s="33" t="n">
        <x:f>IF(ISNUMBER(L13),100*MAX(0,MIN(1,(L13-'Anchors'!$H$13)/('Anchors'!$G$13-'Anchors'!$H$13))),"")</x:f>
        <x:v>79.84208157142857</x:v>
      </x:c>
      <x:c r="AE13" s="33" t="n">
        <x:f>IF(ISNUMBER(M13),100*MAX(0,MIN(1,(M13-'Anchors'!$H$14)/('Anchors'!$G$14-'Anchors'!$H$14))),"")</x:f>
        <x:v>80.98819499999999</x:v>
      </x:c>
      <x:c r="AF13" s="33" t="n">
        <x:f>IF(ISNUMBER(N13),100*MAX(0,MIN(1,(LN(1+N13)-LN(1+'Anchors'!$H$15))/(LN(1+'Anchors'!$G$15)-LN(1+'Anchors'!$H$15)))),"")</x:f>
        <x:v>29.014367504575887</x:v>
      </x:c>
      <x:c r="AG13" s="33" t="n">
        <x:f>IF(ISNUMBER(O13),100*MAX(0,MIN(1,('Anchors'!$H$16-O13)/('Anchors'!$H$16-'Anchors'!$G$16))),"")</x:f>
        <x:v>2.6111111111111076</x:v>
      </x:c>
      <x:c r="AH13" s="33" t="n">
        <x:f>IF(ISNUMBER(P13),100*MAX(0,MIN(1,('Anchors'!$H$17-P13)/('Anchors'!$H$17-'Anchors'!$G$17))),"")</x:f>
        <x:v>0</x:v>
      </x:c>
      <x:c r="AI13" s="33" t="n">
        <x:f>IF(ISNUMBER(Q13),100*MAX(0,MIN(1,('Anchors'!$H$18-Q13)/('Anchors'!$H$18-'Anchors'!$G$18))),"")</x:f>
        <x:v>0</x:v>
      </x:c>
      <x:c r="AJ13" s="33" t="n">
        <x:f>IF(ISNUMBER(R13),100*MAX(0,MIN(1,('Anchors'!$H$19-R13)/('Anchors'!$H$19-'Anchors'!$G$19))),"")</x:f>
        <x:v>17.295139555015453</x:v>
      </x:c>
      <x:c r="AK13" s="33" t="n">
        <x:f>IF(ISNUMBER(S13),100*MAX(0,MIN(1,('Anchors'!$H$20-S13)/('Anchors'!$H$20-'Anchors'!$G$20))),"")</x:f>
        <x:v>71.64526988795006</x:v>
      </x:c>
      <x:c r="AL13" s="33" t="n">
        <x:f>IF(ISNUMBER(T13),100*MAX(0,MIN(1,('Anchors'!$H$21-T13)/('Anchors'!$H$21-'Anchors'!$G$21))),"")</x:f>
        <x:v>87.0909090909091</x:v>
      </x:c>
      <x:c r="AM13" s="33" t="n">
        <x:f>IF(ISNUMBER(U13),100*MAX(0,MIN(1,('Anchors'!$H$22-U13)/('Anchors'!$H$22-'Anchors'!$G$22))),"")</x:f>
        <x:v>44.29226091355795</x:v>
      </x:c>
      <x:c r="AN13" s="33" t="n">
        <x:f>IF(ISNUMBER(V13),100*MAX(0,MIN(1,('Anchors'!$H$23-V13)/('Anchors'!$H$23-'Anchors'!$G$23))),"")</x:f>
        <x:v>68.6431055263375</x:v>
      </x:c>
      <x:c r="AO13" s="27" t="n">
        <x:f>IF(ISNUMBER(W13),IF('Scoring Setup'!$L$9=1,1-'Scoring Setup'!$B$5*(1-MAX(0,MIN(1,(W13-'Scoring Setup'!$K$9)/(100-'Scoring Setup'!$K$9)))),1),"")</x:f>
        <x:v>0.906</x:v>
      </x:c>
      <x:c r="AP13" s="27" t="n">
        <x:f>IF(ISNUMBER(X13),IF('Scoring Setup'!$L$10=1,1-'Scoring Setup'!$B$5*(1-MAX(0,MIN(1,(X13-'Scoring Setup'!$K$10)/(100-'Scoring Setup'!$K$10)))),1),"")</x:f>
        <x:v>1</x:v>
      </x:c>
      <x:c r="AQ13" s="27" t="n">
        <x:f>IF(ISNUMBER(Y13),IF('Scoring Setup'!$L$11=1,1-'Scoring Setup'!$B$5*(1-MAX(0,MIN(1,(Y13-'Scoring Setup'!$K$11)/(100-'Scoring Setup'!$K$11)))),1),"")</x:f>
        <x:v>0.8955305083507553</x:v>
      </x:c>
      <x:c r="AR13" s="27" t="n">
        <x:f>IF(ISNUMBER(Z13),IF('Scoring Setup'!$L$12=1,1-'Scoring Setup'!$B$5*(1-MAX(0,MIN(1,(Z13-'Scoring Setup'!$K$12)/(100-'Scoring Setup'!$K$12)))),1),"")</x:f>
        <x:v>0.8979630629111413</x:v>
      </x:c>
      <x:c r="AS13" s="27" t="n">
        <x:f>IF(ISNUMBER(AA13),IF('Scoring Setup'!$L$13=1,1-'Scoring Setup'!$B$5*(1-MAX(0,MIN(1,(AA13-'Scoring Setup'!$K$13)/(100-'Scoring Setup'!$K$13)))),1),"")</x:f>
        <x:v>0.982858226674267</x:v>
      </x:c>
      <x:c r="AT13" s="27" t="n">
        <x:f>IF(ISNUMBER(AB13),IF('Scoring Setup'!$L$14=1,1-'Scoring Setup'!$B$5*(1-MAX(0,MIN(1,(AB13-'Scoring Setup'!$K$14)/(100-'Scoring Setup'!$K$14)))),1),"")</x:f>
        <x:v>1</x:v>
      </x:c>
      <x:c r="AU13" s="27" t="n">
        <x:f>IF(ISNUMBER(AC13),IF('Scoring Setup'!$L$15=1,1-'Scoring Setup'!$B$5*(1-MAX(0,MIN(1,(AC13-'Scoring Setup'!$K$15)/(100-'Scoring Setup'!$K$15)))),1),"")</x:f>
        <x:v>0.911964469051746</x:v>
      </x:c>
      <x:c r="AV13" s="27" t="n">
        <x:f>IF(ISNUMBER(AD13),IF('Scoring Setup'!$L$16=1,1-'Scoring Setup'!$B$5*(1-MAX(0,MIN(1,(AD13-'Scoring Setup'!$K$16)/(100-'Scoring Setup'!$K$16)))),1),"")</x:f>
        <x:v>0.9596841631428571</x:v>
      </x:c>
      <x:c r="AW13" s="27" t="n">
        <x:f>IF(ISNUMBER(AE13),IF('Scoring Setup'!$L$17=1,1-'Scoring Setup'!$B$5*(1-MAX(0,MIN(1,(AE13-'Scoring Setup'!$K$17)/(100-'Scoring Setup'!$K$17)))),1),"")</x:f>
        <x:v>0.96197639</x:v>
      </x:c>
      <x:c r="AX13" s="27" t="n">
        <x:f>IF(ISNUMBER(AF13),IF('Scoring Setup'!$L$18=1,1-'Scoring Setup'!$B$5*(1-MAX(0,MIN(1,(AF13-'Scoring Setup'!$K$18)/(100-'Scoring Setup'!$K$18)))),1),"")</x:f>
        <x:v>0.8580287350091518</x:v>
      </x:c>
      <x:c r="AY13" s="27" t="n">
        <x:f>IF(ISNUMBER(AG13),IF('Scoring Setup'!$L$19=1,1-'Scoring Setup'!$B$5*(1-MAX(0,MIN(1,(AG13-'Scoring Setup'!$K$19)/(100-'Scoring Setup'!$K$19)))),1),"")</x:f>
        <x:v>0.8052222222222222</x:v>
      </x:c>
      <x:c r="AZ13" s="27" t="n">
        <x:f>IF(ISNUMBER(AH13),IF('Scoring Setup'!$L$20=1,1-'Scoring Setup'!$B$5*(1-MAX(0,MIN(1,(AH13-'Scoring Setup'!$K$20)/(100-'Scoring Setup'!$K$20)))),1),"")</x:f>
        <x:v>0.8</x:v>
      </x:c>
      <x:c r="BA13" s="27" t="n">
        <x:f>IF(ISNUMBER(AI13),IF('Scoring Setup'!$L$21=1,1-'Scoring Setup'!$B$5*(1-MAX(0,MIN(1,(AI13-'Scoring Setup'!$K$21)/(100-'Scoring Setup'!$K$21)))),1),"")</x:f>
        <x:v>0.8</x:v>
      </x:c>
      <x:c r="BB13" s="27" t="n">
        <x:f>IF(ISNUMBER(AJ13),IF('Scoring Setup'!$L$22=1,1-'Scoring Setup'!$B$5*(1-MAX(0,MIN(1,(AJ13-'Scoring Setup'!$K$22)/(100-'Scoring Setup'!$K$22)))),1),"")</x:f>
        <x:v>0.8345902791100309</x:v>
      </x:c>
      <x:c r="BC13" s="27" t="n">
        <x:f>IF(ISNUMBER(AK13),IF('Scoring Setup'!$L$23=1,1-'Scoring Setup'!$B$5*(1-MAX(0,MIN(1,(AK13-'Scoring Setup'!$K$23)/(100-'Scoring Setup'!$K$23)))),1),"")</x:f>
        <x:v>0.9432905397759002</x:v>
      </x:c>
      <x:c r="BD13" s="27" t="n">
        <x:f>IF(ISNUMBER(AL13),IF('Scoring Setup'!$L$24=1,1-'Scoring Setup'!$B$5*(1-MAX(0,MIN(1,(AL13-'Scoring Setup'!$K$24)/(100-'Scoring Setup'!$K$24)))),1),"")</x:f>
        <x:v>0.9741818181818181</x:v>
      </x:c>
      <x:c r="BE13" s="27" t="n">
        <x:f>IF(ISNUMBER(AM13),IF('Scoring Setup'!$L$25=1,1-'Scoring Setup'!$B$5*(1-MAX(0,MIN(1,(AM13-'Scoring Setup'!$K$25)/(100-'Scoring Setup'!$K$25)))),1),"")</x:f>
        <x:v>0.8885845218271159</x:v>
      </x:c>
      <x:c r="BF13" s="27" t="n">
        <x:f>IF(ISNUMBER(AN13),IF('Scoring Setup'!$L$26=1,1-'Scoring Setup'!$B$5*(1-MAX(0,MIN(1,(AN13-'Scoring Setup'!$K$26)/(100-'Scoring Setup'!$K$26)))),1),"")</x:f>
        <x:v>0.937286211052675</x:v>
      </x:c>
      <x:c r="BG13" s="34" t="n">
        <x:f>IF(COUNT(W13,X13)=2,AVERAGE(W13,X13),"")</x:f>
        <x:v>76.5</x:v>
      </x:c>
      <x:c r="BH13" s="34" t="n">
        <x:f>IF(COUNT(Y13,Z13)=2,AVERAGE(Y13,Z13),"")</x:f>
        <x:v>48.37339281547413</x:v>
      </x:c>
      <x:c r="BI13" s="34" t="n">
        <x:f>IF(COUNT(AA13,AB13,AC13)=3,AVERAGE(AA13,AB13,AC13),"")</x:f>
        <x:v>82.47044928766884</x:v>
      </x:c>
      <x:c r="BJ13" s="34" t="n">
        <x:f>IF(COUNT(AD13,AE13)=2,AVERAGE(AD13,AE13),"")</x:f>
        <x:v>80.41513828571428</x:v>
      </x:c>
      <x:c r="BK13" s="34" t="n">
        <x:f>IF(COUNT(AF13,AG13)=2,AVERAGE(AF13,AG13),"")</x:f>
        <x:v>15.812739307843497</x:v>
      </x:c>
      <x:c r="BL13" s="34" t="n">
        <x:f>IF(COUNT(AH13,AI13)=2,AVERAGE(AH13,AI13),"")</x:f>
        <x:v>0</x:v>
      </x:c>
      <x:c r="BM13" s="34" t="n">
        <x:f>IF(COUNT(AJ13,AK13)=2,AVERAGE(AJ13,AK13),"")</x:f>
        <x:v>44.47020472148276</x:v>
      </x:c>
      <x:c r="BN13" s="34" t="n">
        <x:f>IF(COUNT(AL13,AM13,AN13)=3,AVERAGE(AL13,AM13,AN13),"")</x:f>
        <x:v>66.67542517693484</x:v>
      </x:c>
      <x:c r="BO13" s="35" t="n">
        <x:f>IF(AND(COUNT(BG13:BN13)=8,ABS('Scoring Setup'!$C$17-1)&lt;0.000001),BG13*'Scoring Setup'!$C$9+BH13*'Scoring Setup'!$C$10+BI13*'Scoring Setup'!$C$11+BJ13*'Scoring Setup'!$C$12+BK13*'Scoring Setup'!$C$13+BL13*'Scoring Setup'!$C$14+BM13*'Scoring Setup'!$C$15+BN13*'Scoring Setup'!$C$16,"")</x:f>
        <x:v>57.42064904037208</x:v>
      </x:c>
      <x:c r="BP13" s="36" t="n">
        <x:f>IF(COUNT(AO13:BF13)=18,MIN(AO13:BF13),"")</x:f>
        <x:v>0.8</x:v>
      </x:c>
      <x:c r="BQ13" s="35" t="n">
        <x:f>IF(AND(ISNUMBER(BO13),ISNUMBER(BP13)),BO13*BP13,"")</x:f>
        <x:v>45.93651923229767</x:v>
      </x:c>
      <x:c r="BR13" s="17" t="str">
        <x:f>IF(COUNT(AO13:BF13)=18,INDEX('Scoring Setup'!$F$9:$F$26,MATCH(MIN(AO13:BF13),AO13:BF13,0),1),"")</x:f>
        <x:v>历史CDD65</x:v>
      </x:c>
    </x:row>
    <x:row r="14">
      <x:c r="A14" s="28" t="str">
        <x:v>13019</x:v>
      </x:c>
      <x:c r="B14" s="28" t="str">
        <x:v>Berrien County</x:v>
      </x:c>
      <x:c r="C14" s="28" t="str">
        <x:v>GA</x:v>
      </x:c>
      <x:c r="D14" s="31" t="n">
        <x:v>1174.239572</x:v>
      </x:c>
      <x:c r="E14" s="32" t="n">
        <x:v>0.544</x:v>
      </x:c>
      <x:c r="F14" s="32" t="n">
        <x:v>0.261757425742574</x:v>
      </x:c>
      <x:c r="G14" s="32" t="n">
        <x:v>2.8615833765292407</x:v>
      </x:c>
      <x:c r="H14" s="32" t="n">
        <x:v>3.072920026</x:v>
      </x:c>
      <x:c r="I14" s="32" t="n">
        <x:v>0.9393543381671638</x:v>
      </x:c>
      <x:c r="J14" s="32" t="n">
        <x:v>0.00739836650752707</x:v>
      </x:c>
      <x:c r="K14" s="32" t="n">
        <x:v>0.2755512946366746</x:v>
      </x:c>
      <x:c r="L14" s="32" t="n">
        <x:v>0.817548443</x:v>
      </x:c>
      <x:c r="M14" s="32" t="n">
        <x:v>0.817221859</x:v>
      </x:c>
      <x:c r="N14" s="32" t="n">
        <x:v>8609</x:v>
      </x:c>
      <x:c r="O14" s="32" t="n">
        <x:v>0.6748</x:v>
      </x:c>
      <x:c r="P14" s="32" t="n">
        <x:v>2202.3437744140624</x:v>
      </x:c>
      <x:c r="Q14" s="32" t="n">
        <x:v>73.7176394144694</x:v>
      </x:c>
      <x:c r="R14" s="32" t="n">
        <x:v>23.238833599050945</x:v>
      </x:c>
      <x:c r="S14" s="32" t="n">
        <x:v>8.535270788394966</x:v>
      </x:c>
      <x:c r="T14" s="32" t="n">
        <x:v>72.1</x:v>
      </x:c>
      <x:c r="U14" s="32" t="n">
        <x:v>211.4154781728841</x:v>
      </x:c>
      <x:c r="V14" s="32" t="n">
        <x:v>325.42757789465</x:v>
      </x:c>
      <x:c r="W14" s="33" t="n">
        <x:f>IF(ISNUMBER(E14),100*MAX(0,MIN(1,('Anchors'!$H$6-E14)/('Anchors'!$H$6-'Anchors'!$G$6))),"")</x:f>
        <x:v>50.857142857142854</x:v>
      </x:c>
      <x:c r="X14" s="33" t="n">
        <x:f>IF(ISNUMBER(F14),100*MAX(0,MIN(1,('Anchors'!$H$7-F14)/('Anchors'!$H$7-'Anchors'!$G$7))),"")</x:f>
        <x:v>76.89179632248943</x:v>
      </x:c>
      <x:c r="Y14" s="33" t="n">
        <x:f>IF(ISNUMBER(G14),100*MAX(0,MIN(1,('Anchors'!$H$8-G14)/('Anchors'!$H$8-'Anchors'!$G$8))),"")</x:f>
        <x:v>37.94722078235864</x:v>
      </x:c>
      <x:c r="Z14" s="33" t="n">
        <x:f>IF(ISNUMBER(H14),100*MAX(0,MIN(1,('Anchors'!$H$9-H14)/('Anchors'!$H$9-'Anchors'!$G$9))),"")</x:f>
        <x:v>30.90266580000001</x:v>
      </x:c>
      <x:c r="AA14" s="33" t="n">
        <x:f>IF(ISNUMBER(I14),100*MAX(0,MIN(1,(I14-'Anchors'!$H$10)/('Anchors'!$G$10-'Anchors'!$H$10))),"")</x:f>
        <x:v>94.43210111878957</x:v>
      </x:c>
      <x:c r="AB14" s="33" t="n">
        <x:f>IF(ISNUMBER(J14),100*MAX(0,MIN(1,('Anchors'!$H$11-J14)/('Anchors'!$H$11-'Anchors'!$G$11))),"")</x:f>
        <x:v>97.04065339698917</x:v>
      </x:c>
      <x:c r="AC14" s="33" t="n">
        <x:f>IF(ISNUMBER(K14),100*MAX(0,MIN(1,('Anchors'!$H$12-K14)/('Anchors'!$H$12-'Anchors'!$G$12))),"")</x:f>
        <x:v>31.112176340831354</x:v>
      </x:c>
      <x:c r="AD14" s="33" t="n">
        <x:f>IF(ISNUMBER(L14),100*MAX(0,MIN(1,(L14-'Anchors'!$H$13)/('Anchors'!$G$13-'Anchors'!$H$13))),"")</x:f>
        <x:v>88.22120614285714</x:v>
      </x:c>
      <x:c r="AE14" s="33" t="n">
        <x:f>IF(ISNUMBER(M14),100*MAX(0,MIN(1,(M14-'Anchors'!$H$14)/('Anchors'!$G$14-'Anchors'!$H$14))),"")</x:f>
        <x:v>89.652732375</x:v>
      </x:c>
      <x:c r="AF14" s="33" t="n">
        <x:f>IF(ISNUMBER(N14),100*MAX(0,MIN(1,(LN(1+N14)-LN(1+'Anchors'!$H$15))/(LN(1+'Anchors'!$G$15)-LN(1+'Anchors'!$H$15)))),"")</x:f>
        <x:v>33.803080497057515</x:v>
      </x:c>
      <x:c r="AG14" s="33" t="n">
        <x:f>IF(ISNUMBER(O14),100*MAX(0,MIN(1,('Anchors'!$H$16-O14)/('Anchors'!$H$16-'Anchors'!$G$16))),"")</x:f>
        <x:v>30.577777777777783</x:v>
      </x:c>
      <x:c r="AH14" s="33" t="n">
        <x:f>IF(ISNUMBER(P14),100*MAX(0,MIN(1,('Anchors'!$H$17-P14)/('Anchors'!$H$17-'Anchors'!$G$17))),"")</x:f>
        <x:v>0</x:v>
      </x:c>
      <x:c r="AI14" s="33" t="n">
        <x:f>IF(ISNUMBER(Q14),100*MAX(0,MIN(1,('Anchors'!$H$18-Q14)/('Anchors'!$H$18-'Anchors'!$G$18))),"")</x:f>
        <x:v>1.8319436936151388</x:v>
      </x:c>
      <x:c r="AJ14" s="33" t="n">
        <x:f>IF(ISNUMBER(R14),100*MAX(0,MIN(1,('Anchors'!$H$19-R14)/('Anchors'!$H$19-'Anchors'!$G$19))),"")</x:f>
        <x:v>59.46925866877568</x:v>
      </x:c>
      <x:c r="AK14" s="33" t="n">
        <x:f>IF(ISNUMBER(S14),100*MAX(0,MIN(1,('Anchors'!$H$20-S14)/('Anchors'!$H$20-'Anchors'!$G$20))),"")</x:f>
        <x:v>60.34068006107912</x:v>
      </x:c>
      <x:c r="AL14" s="33" t="n">
        <x:f>IF(ISNUMBER(T14),100*MAX(0,MIN(1,('Anchors'!$H$21-T14)/('Anchors'!$H$21-'Anchors'!$G$21))),"")</x:f>
        <x:v>87.0909090909091</x:v>
      </x:c>
      <x:c r="AM14" s="33" t="n">
        <x:f>IF(ISNUMBER(U14),100*MAX(0,MIN(1,('Anchors'!$H$22-U14)/('Anchors'!$H$22-'Anchors'!$G$22))),"")</x:f>
        <x:v>44.29226091355795</x:v>
      </x:c>
      <x:c r="AN14" s="33" t="n">
        <x:f>IF(ISNUMBER(V14),100*MAX(0,MIN(1,('Anchors'!$H$23-V14)/('Anchors'!$H$23-'Anchors'!$G$23))),"")</x:f>
        <x:v>68.6431055263375</x:v>
      </x:c>
      <x:c r="AO14" s="27" t="n">
        <x:f>IF(ISNUMBER(W14),IF('Scoring Setup'!$L$9=1,1-'Scoring Setup'!$B$5*(1-MAX(0,MIN(1,(W14-'Scoring Setup'!$K$9)/(100-'Scoring Setup'!$K$9)))),1),"")</x:f>
        <x:v>0.9017142857142857</x:v>
      </x:c>
      <x:c r="AP14" s="27" t="n">
        <x:f>IF(ISNUMBER(X14),IF('Scoring Setup'!$L$10=1,1-'Scoring Setup'!$B$5*(1-MAX(0,MIN(1,(X14-'Scoring Setup'!$K$10)/(100-'Scoring Setup'!$K$10)))),1),"")</x:f>
        <x:v>0.9537835926449788</x:v>
      </x:c>
      <x:c r="AQ14" s="27" t="n">
        <x:f>IF(ISNUMBER(Y14),IF('Scoring Setup'!$L$11=1,1-'Scoring Setup'!$B$5*(1-MAX(0,MIN(1,(Y14-'Scoring Setup'!$K$11)/(100-'Scoring Setup'!$K$11)))),1),"")</x:f>
        <x:v>0.8758944415647173</x:v>
      </x:c>
      <x:c r="AR14" s="27" t="n">
        <x:f>IF(ISNUMBER(Z14),IF('Scoring Setup'!$L$12=1,1-'Scoring Setup'!$B$5*(1-MAX(0,MIN(1,(Z14-'Scoring Setup'!$K$12)/(100-'Scoring Setup'!$K$12)))),1),"")</x:f>
        <x:v>0.8618053316000001</x:v>
      </x:c>
      <x:c r="AS14" s="27" t="n">
        <x:f>IF(ISNUMBER(AA14),IF('Scoring Setup'!$L$13=1,1-'Scoring Setup'!$B$5*(1-MAX(0,MIN(1,(AA14-'Scoring Setup'!$K$13)/(100-'Scoring Setup'!$K$13)))),1),"")</x:f>
        <x:v>0.9888642022375792</x:v>
      </x:c>
      <x:c r="AT14" s="27" t="n">
        <x:f>IF(ISNUMBER(AB14),IF('Scoring Setup'!$L$14=1,1-'Scoring Setup'!$B$5*(1-MAX(0,MIN(1,(AB14-'Scoring Setup'!$K$14)/(100-'Scoring Setup'!$K$14)))),1),"")</x:f>
        <x:v>0.9940813067939783</x:v>
      </x:c>
      <x:c r="AU14" s="27" t="n">
        <x:f>IF(ISNUMBER(AC14),IF('Scoring Setup'!$L$15=1,1-'Scoring Setup'!$B$5*(1-MAX(0,MIN(1,(AC14-'Scoring Setup'!$K$15)/(100-'Scoring Setup'!$K$15)))),1),"")</x:f>
        <x:v>0.8622243526816626</x:v>
      </x:c>
      <x:c r="AV14" s="27" t="n">
        <x:f>IF(ISNUMBER(AD14),IF('Scoring Setup'!$L$16=1,1-'Scoring Setup'!$B$5*(1-MAX(0,MIN(1,(AD14-'Scoring Setup'!$K$16)/(100-'Scoring Setup'!$K$16)))),1),"")</x:f>
        <x:v>0.9764424122857143</x:v>
      </x:c>
      <x:c r="AW14" s="27" t="n">
        <x:f>IF(ISNUMBER(AE14),IF('Scoring Setup'!$L$17=1,1-'Scoring Setup'!$B$5*(1-MAX(0,MIN(1,(AE14-'Scoring Setup'!$K$17)/(100-'Scoring Setup'!$K$17)))),1),"")</x:f>
        <x:v>0.97930546475</x:v>
      </x:c>
      <x:c r="AX14" s="27" t="n">
        <x:f>IF(ISNUMBER(AF14),IF('Scoring Setup'!$L$18=1,1-'Scoring Setup'!$B$5*(1-MAX(0,MIN(1,(AF14-'Scoring Setup'!$K$18)/(100-'Scoring Setup'!$K$18)))),1),"")</x:f>
        <x:v>0.867606160994115</x:v>
      </x:c>
      <x:c r="AY14" s="27" t="n">
        <x:f>IF(ISNUMBER(AG14),IF('Scoring Setup'!$L$19=1,1-'Scoring Setup'!$B$5*(1-MAX(0,MIN(1,(AG14-'Scoring Setup'!$K$19)/(100-'Scoring Setup'!$K$19)))),1),"")</x:f>
        <x:v>0.8611555555555556</x:v>
      </x:c>
      <x:c r="AZ14" s="27" t="n">
        <x:f>IF(ISNUMBER(AH14),IF('Scoring Setup'!$L$20=1,1-'Scoring Setup'!$B$5*(1-MAX(0,MIN(1,(AH14-'Scoring Setup'!$K$20)/(100-'Scoring Setup'!$K$20)))),1),"")</x:f>
        <x:v>0.8</x:v>
      </x:c>
      <x:c r="BA14" s="27" t="n">
        <x:f>IF(ISNUMBER(AI14),IF('Scoring Setup'!$L$21=1,1-'Scoring Setup'!$B$5*(1-MAX(0,MIN(1,(AI14-'Scoring Setup'!$K$21)/(100-'Scoring Setup'!$K$21)))),1),"")</x:f>
        <x:v>0.8036638873872303</x:v>
      </x:c>
      <x:c r="BB14" s="27" t="n">
        <x:f>IF(ISNUMBER(AJ14),IF('Scoring Setup'!$L$22=1,1-'Scoring Setup'!$B$5*(1-MAX(0,MIN(1,(AJ14-'Scoring Setup'!$K$22)/(100-'Scoring Setup'!$K$22)))),1),"")</x:f>
        <x:v>0.9189385173375514</x:v>
      </x:c>
      <x:c r="BC14" s="27" t="n">
        <x:f>IF(ISNUMBER(AK14),IF('Scoring Setup'!$L$23=1,1-'Scoring Setup'!$B$5*(1-MAX(0,MIN(1,(AK14-'Scoring Setup'!$K$23)/(100-'Scoring Setup'!$K$23)))),1),"")</x:f>
        <x:v>0.9206813601221582</x:v>
      </x:c>
      <x:c r="BD14" s="27" t="n">
        <x:f>IF(ISNUMBER(AL14),IF('Scoring Setup'!$L$24=1,1-'Scoring Setup'!$B$5*(1-MAX(0,MIN(1,(AL14-'Scoring Setup'!$K$24)/(100-'Scoring Setup'!$K$24)))),1),"")</x:f>
        <x:v>0.9741818181818181</x:v>
      </x:c>
      <x:c r="BE14" s="27" t="n">
        <x:f>IF(ISNUMBER(AM14),IF('Scoring Setup'!$L$25=1,1-'Scoring Setup'!$B$5*(1-MAX(0,MIN(1,(AM14-'Scoring Setup'!$K$25)/(100-'Scoring Setup'!$K$25)))),1),"")</x:f>
        <x:v>0.8885845218271159</x:v>
      </x:c>
      <x:c r="BF14" s="27" t="n">
        <x:f>IF(ISNUMBER(AN14),IF('Scoring Setup'!$L$26=1,1-'Scoring Setup'!$B$5*(1-MAX(0,MIN(1,(AN14-'Scoring Setup'!$K$26)/(100-'Scoring Setup'!$K$26)))),1),"")</x:f>
        <x:v>0.937286211052675</x:v>
      </x:c>
      <x:c r="BG14" s="34" t="n">
        <x:f>IF(COUNT(W14,X14)=2,AVERAGE(W14,X14),"")</x:f>
        <x:v>63.874469589816144</x:v>
      </x:c>
      <x:c r="BH14" s="34" t="n">
        <x:f>IF(COUNT(Y14,Z14)=2,AVERAGE(Y14,Z14),"")</x:f>
        <x:v>34.424943291179325</x:v>
      </x:c>
      <x:c r="BI14" s="34" t="n">
        <x:f>IF(COUNT(AA14,AB14,AC14)=3,AVERAGE(AA14,AB14,AC14),"")</x:f>
        <x:v>74.19497695220336</x:v>
      </x:c>
      <x:c r="BJ14" s="34" t="n">
        <x:f>IF(COUNT(AD14,AE14)=2,AVERAGE(AD14,AE14),"")</x:f>
        <x:v>88.93696925892857</x:v>
      </x:c>
      <x:c r="BK14" s="34" t="n">
        <x:f>IF(COUNT(AF14,AG14)=2,AVERAGE(AF14,AG14),"")</x:f>
        <x:v>32.19042913741765</x:v>
      </x:c>
      <x:c r="BL14" s="34" t="n">
        <x:f>IF(COUNT(AH14,AI14)=2,AVERAGE(AH14,AI14),"")</x:f>
        <x:v>0.9159718468075694</x:v>
      </x:c>
      <x:c r="BM14" s="34" t="n">
        <x:f>IF(COUNT(AJ14,AK14)=2,AVERAGE(AJ14,AK14),"")</x:f>
        <x:v>59.904969364927396</x:v>
      </x:c>
      <x:c r="BN14" s="34" t="n">
        <x:f>IF(COUNT(AL14,AM14,AN14)=3,AVERAGE(AL14,AM14,AN14),"")</x:f>
        <x:v>66.67542517693484</x:v>
      </x:c>
      <x:c r="BO14" s="35" t="n">
        <x:f>IF(AND(COUNT(BG14:BN14)=8,ABS('Scoring Setup'!$C$17-1)&lt;0.000001),BG14*'Scoring Setup'!$C$9+BH14*'Scoring Setup'!$C$10+BI14*'Scoring Setup'!$C$11+BJ14*'Scoring Setup'!$C$12+BK14*'Scoring Setup'!$C$13+BL14*'Scoring Setup'!$C$14+BM14*'Scoring Setup'!$C$15+BN14*'Scoring Setup'!$C$16,"")</x:f>
        <x:v>55.84834776573964</x:v>
      </x:c>
      <x:c r="BP14" s="36" t="n">
        <x:f>IF(COUNT(AO14:BF14)=18,MIN(AO14:BF14),"")</x:f>
        <x:v>0.8</x:v>
      </x:c>
      <x:c r="BQ14" s="35" t="n">
        <x:f>IF(AND(ISNUMBER(BO14),ISNUMBER(BP14)),BO14*BP14,"")</x:f>
        <x:v>44.67867821259171</x:v>
      </x:c>
      <x:c r="BR14" s="17" t="str">
        <x:f>IF(COUNT(AO14:BF14)=18,INDEX('Scoring Setup'!$F$9:$F$26,MATCH(MIN(AO14:BF14),AO14:BF14,0),1),"")</x:f>
        <x:v>历史CDD65</x:v>
      </x:c>
    </x:row>
    <x:row r="15">
      <x:c r="A15" s="28" t="str">
        <x:v>13021</x:v>
      </x:c>
      <x:c r="B15" s="28" t="str">
        <x:v>Bibb County</x:v>
      </x:c>
      <x:c r="C15" s="28" t="str">
        <x:v>GA</x:v>
      </x:c>
      <x:c r="D15" s="31" t="n">
        <x:v>645.898854</x:v>
      </x:c>
      <x:c r="E15" s="32" t="n">
        <x:v>0.542</x:v>
      </x:c>
      <x:c r="F15" s="32" t="n">
        <x:v>0.0826113861386139</x:v>
      </x:c>
      <x:c r="G15" s="32" t="n">
        <x:v>2.5941844188976857</x:v>
      </x:c>
      <x:c r="H15" s="32" t="n">
        <x:v>2.469893082</x:v>
      </x:c>
      <x:c r="I15" s="32" t="n">
        <x:v>0.6507781232381984</x:v>
      </x:c>
      <x:c r="J15" s="32" t="n">
        <x:v>0.03931453875239692</x:v>
      </x:c>
      <x:c r="K15" s="32" t="n">
        <x:v>0.1554153246738748</x:v>
      </x:c>
      <x:c r="L15" s="32" t="n">
        <x:v>0.403397293</x:v>
      </x:c>
      <x:c r="M15" s="32" t="n">
        <x:v>0.393202912</x:v>
      </x:c>
      <x:c r="N15" s="32" t="n">
        <x:v>63387</x:v>
      </x:c>
      <x:c r="O15" s="32" t="n">
        <x:v>0.9644</x:v>
      </x:c>
      <x:c r="P15" s="32" t="n">
        <x:v>1990.6732747395831</x:v>
      </x:c>
      <x:c r="Q15" s="32" t="n">
        <x:v>64.28104489644369</x:v>
      </x:c>
      <x:c r="R15" s="32" t="n">
        <x:v>2.704888598194569</x:v>
      </x:c>
      <x:c r="S15" s="32" t="n">
        <x:v>4.586761765103279</x:v>
      </x:c>
      <x:c r="T15" s="32" t="n">
        <x:v>72.1</x:v>
      </x:c>
      <x:c r="U15" s="32" t="n">
        <x:v>211.4154781728841</x:v>
      </x:c>
      <x:c r="V15" s="32" t="n">
        <x:v>325.42757789465</x:v>
      </x:c>
      <x:c r="W15" s="33" t="n">
        <x:f>IF(ISNUMBER(E15),100*MAX(0,MIN(1,('Anchors'!$H$6-E15)/('Anchors'!$H$6-'Anchors'!$G$6))),"")</x:f>
        <x:v>51.142857142857146</x:v>
      </x:c>
      <x:c r="X15" s="33" t="n">
        <x:f>IF(ISNUMBER(F15),100*MAX(0,MIN(1,('Anchors'!$H$7-F15)/('Anchors'!$H$7-'Anchors'!$G$7))),"")</x:f>
        <x:v>100</x:v>
      </x:c>
      <x:c r="Y15" s="33" t="n">
        <x:f>IF(ISNUMBER(G15),100*MAX(0,MIN(1,('Anchors'!$H$8-G15)/('Anchors'!$H$8-'Anchors'!$G$8))),"")</x:f>
        <x:v>46.86051937007714</x:v>
      </x:c>
      <x:c r="Z15" s="33" t="n">
        <x:f>IF(ISNUMBER(H15),100*MAX(0,MIN(1,('Anchors'!$H$9-H15)/('Anchors'!$H$9-'Anchors'!$G$9))),"")</x:f>
        <x:v>51.00356393333333</x:v>
      </x:c>
      <x:c r="AA15" s="33" t="n">
        <x:f>IF(ISNUMBER(I15),100*MAX(0,MIN(1,(I15-'Anchors'!$H$10)/('Anchors'!$G$10-'Anchors'!$H$10))),"")</x:f>
        <x:v>54.901112772355944</x:v>
      </x:c>
      <x:c r="AB15" s="33" t="n">
        <x:f>IF(ISNUMBER(J15),100*MAX(0,MIN(1,('Anchors'!$H$11-J15)/('Anchors'!$H$11-'Anchors'!$G$11))),"")</x:f>
        <x:v>84.27418449904123</x:v>
      </x:c>
      <x:c r="AC15" s="33" t="n">
        <x:f>IF(ISNUMBER(K15),100*MAX(0,MIN(1,('Anchors'!$H$12-K15)/('Anchors'!$H$12-'Anchors'!$G$12))),"")</x:f>
        <x:v>61.1461688315313</x:v>
      </x:c>
      <x:c r="AD15" s="33" t="n">
        <x:f>IF(ISNUMBER(L15),100*MAX(0,MIN(1,(L15-'Anchors'!$H$13)/('Anchors'!$G$13-'Anchors'!$H$13))),"")</x:f>
        <x:v>29.056756142857143</x:v>
      </x:c>
      <x:c r="AE15" s="33" t="n">
        <x:f>IF(ISNUMBER(M15),100*MAX(0,MIN(1,(M15-'Anchors'!$H$14)/('Anchors'!$G$14-'Anchors'!$H$14))),"")</x:f>
        <x:v>36.650364</x:v>
      </x:c>
      <x:c r="AF15" s="33" t="n">
        <x:f>IF(ISNUMBER(N15),100*MAX(0,MIN(1,(LN(1+N15)-LN(1+'Anchors'!$H$15))/(LN(1+'Anchors'!$G$15)-LN(1+'Anchors'!$H$15)))),"")</x:f>
        <x:v>80.0470602679022</x:v>
      </x:c>
      <x:c r="AG15" s="33" t="n">
        <x:f>IF(ISNUMBER(O15),100*MAX(0,MIN(1,('Anchors'!$H$16-O15)/('Anchors'!$H$16-'Anchors'!$G$16))),"")</x:f>
        <x:v>0</x:v>
      </x:c>
      <x:c r="AH15" s="33" t="n">
        <x:f>IF(ISNUMBER(P15),100*MAX(0,MIN(1,('Anchors'!$H$17-P15)/('Anchors'!$H$17-'Anchors'!$G$17))),"")</x:f>
        <x:v>13.955115017361125</x:v>
      </x:c>
      <x:c r="AI15" s="33" t="n">
        <x:f>IF(ISNUMBER(Q15),100*MAX(0,MIN(1,('Anchors'!$H$18-Q15)/('Anchors'!$H$18-'Anchors'!$G$18))),"")</x:f>
        <x:v>15.312793005080444</x:v>
      </x:c>
      <x:c r="AJ15" s="33" t="n">
        <x:f>IF(ISNUMBER(R15),100*MAX(0,MIN(1,('Anchors'!$H$19-R15)/('Anchors'!$H$19-'Anchors'!$G$19))),"")</x:f>
        <x:v>100</x:v>
      </x:c>
      <x:c r="AK15" s="33" t="n">
        <x:f>IF(ISNUMBER(S15),100*MAX(0,MIN(1,('Anchors'!$H$20-S15)/('Anchors'!$H$20-'Anchors'!$G$20))),"")</x:f>
        <x:v>81.12230649945641</x:v>
      </x:c>
      <x:c r="AL15" s="33" t="n">
        <x:f>IF(ISNUMBER(T15),100*MAX(0,MIN(1,('Anchors'!$H$21-T15)/('Anchors'!$H$21-'Anchors'!$G$21))),"")</x:f>
        <x:v>87.0909090909091</x:v>
      </x:c>
      <x:c r="AM15" s="33" t="n">
        <x:f>IF(ISNUMBER(U15),100*MAX(0,MIN(1,('Anchors'!$H$22-U15)/('Anchors'!$H$22-'Anchors'!$G$22))),"")</x:f>
        <x:v>44.29226091355795</x:v>
      </x:c>
      <x:c r="AN15" s="33" t="n">
        <x:f>IF(ISNUMBER(V15),100*MAX(0,MIN(1,('Anchors'!$H$23-V15)/('Anchors'!$H$23-'Anchors'!$G$23))),"")</x:f>
        <x:v>68.6431055263375</x:v>
      </x:c>
      <x:c r="AO15" s="27" t="n">
        <x:f>IF(ISNUMBER(W15),IF('Scoring Setup'!$L$9=1,1-'Scoring Setup'!$B$5*(1-MAX(0,MIN(1,(W15-'Scoring Setup'!$K$9)/(100-'Scoring Setup'!$K$9)))),1),"")</x:f>
        <x:v>0.9022857142857142</x:v>
      </x:c>
      <x:c r="AP15" s="27" t="n">
        <x:f>IF(ISNUMBER(X15),IF('Scoring Setup'!$L$10=1,1-'Scoring Setup'!$B$5*(1-MAX(0,MIN(1,(X15-'Scoring Setup'!$K$10)/(100-'Scoring Setup'!$K$10)))),1),"")</x:f>
        <x:v>1</x:v>
      </x:c>
      <x:c r="AQ15" s="27" t="n">
        <x:f>IF(ISNUMBER(Y15),IF('Scoring Setup'!$L$11=1,1-'Scoring Setup'!$B$5*(1-MAX(0,MIN(1,(Y15-'Scoring Setup'!$K$11)/(100-'Scoring Setup'!$K$11)))),1),"")</x:f>
        <x:v>0.8937210387401543</x:v>
      </x:c>
      <x:c r="AR15" s="27" t="n">
        <x:f>IF(ISNUMBER(Z15),IF('Scoring Setup'!$L$12=1,1-'Scoring Setup'!$B$5*(1-MAX(0,MIN(1,(Z15-'Scoring Setup'!$K$12)/(100-'Scoring Setup'!$K$12)))),1),"")</x:f>
        <x:v>0.9020071278666666</x:v>
      </x:c>
      <x:c r="AS15" s="27" t="n">
        <x:f>IF(ISNUMBER(AA15),IF('Scoring Setup'!$L$13=1,1-'Scoring Setup'!$B$5*(1-MAX(0,MIN(1,(AA15-'Scoring Setup'!$K$13)/(100-'Scoring Setup'!$K$13)))),1),"")</x:f>
        <x:v>0.9098022255447119</x:v>
      </x:c>
      <x:c r="AT15" s="27" t="n">
        <x:f>IF(ISNUMBER(AB15),IF('Scoring Setup'!$L$14=1,1-'Scoring Setup'!$B$5*(1-MAX(0,MIN(1,(AB15-'Scoring Setup'!$K$14)/(100-'Scoring Setup'!$K$14)))),1),"")</x:f>
        <x:v>0.9685483689980825</x:v>
      </x:c>
      <x:c r="AU15" s="27" t="n">
        <x:f>IF(ISNUMBER(AC15),IF('Scoring Setup'!$L$15=1,1-'Scoring Setup'!$B$5*(1-MAX(0,MIN(1,(AC15-'Scoring Setup'!$K$15)/(100-'Scoring Setup'!$K$15)))),1),"")</x:f>
        <x:v>0.9222923376630626</x:v>
      </x:c>
      <x:c r="AV15" s="27" t="n">
        <x:f>IF(ISNUMBER(AD15),IF('Scoring Setup'!$L$16=1,1-'Scoring Setup'!$B$5*(1-MAX(0,MIN(1,(AD15-'Scoring Setup'!$K$16)/(100-'Scoring Setup'!$K$16)))),1),"")</x:f>
        <x:v>0.8581135122857143</x:v>
      </x:c>
      <x:c r="AW15" s="27" t="n">
        <x:f>IF(ISNUMBER(AE15),IF('Scoring Setup'!$L$17=1,1-'Scoring Setup'!$B$5*(1-MAX(0,MIN(1,(AE15-'Scoring Setup'!$K$17)/(100-'Scoring Setup'!$K$17)))),1),"")</x:f>
        <x:v>0.873300728</x:v>
      </x:c>
      <x:c r="AX15" s="27" t="n">
        <x:f>IF(ISNUMBER(AF15),IF('Scoring Setup'!$L$18=1,1-'Scoring Setup'!$B$5*(1-MAX(0,MIN(1,(AF15-'Scoring Setup'!$K$18)/(100-'Scoring Setup'!$K$18)))),1),"")</x:f>
        <x:v>0.9600941205358043</x:v>
      </x:c>
      <x:c r="AY15" s="27" t="n">
        <x:f>IF(ISNUMBER(AG15),IF('Scoring Setup'!$L$19=1,1-'Scoring Setup'!$B$5*(1-MAX(0,MIN(1,(AG15-'Scoring Setup'!$K$19)/(100-'Scoring Setup'!$K$19)))),1),"")</x:f>
        <x:v>0.8</x:v>
      </x:c>
      <x:c r="AZ15" s="27" t="n">
        <x:f>IF(ISNUMBER(AH15),IF('Scoring Setup'!$L$20=1,1-'Scoring Setup'!$B$5*(1-MAX(0,MIN(1,(AH15-'Scoring Setup'!$K$20)/(100-'Scoring Setup'!$K$20)))),1),"")</x:f>
        <x:v>0.8279102300347223</x:v>
      </x:c>
      <x:c r="BA15" s="27" t="n">
        <x:f>IF(ISNUMBER(AI15),IF('Scoring Setup'!$L$21=1,1-'Scoring Setup'!$B$5*(1-MAX(0,MIN(1,(AI15-'Scoring Setup'!$K$21)/(100-'Scoring Setup'!$K$21)))),1),"")</x:f>
        <x:v>0.8306255860101609</x:v>
      </x:c>
      <x:c r="BB15" s="27" t="n">
        <x:f>IF(ISNUMBER(AJ15),IF('Scoring Setup'!$L$22=1,1-'Scoring Setup'!$B$5*(1-MAX(0,MIN(1,(AJ15-'Scoring Setup'!$K$22)/(100-'Scoring Setup'!$K$22)))),1),"")</x:f>
        <x:v>1</x:v>
      </x:c>
      <x:c r="BC15" s="27" t="n">
        <x:f>IF(ISNUMBER(AK15),IF('Scoring Setup'!$L$23=1,1-'Scoring Setup'!$B$5*(1-MAX(0,MIN(1,(AK15-'Scoring Setup'!$K$23)/(100-'Scoring Setup'!$K$23)))),1),"")</x:f>
        <x:v>0.9622446129989128</x:v>
      </x:c>
      <x:c r="BD15" s="27" t="n">
        <x:f>IF(ISNUMBER(AL15),IF('Scoring Setup'!$L$24=1,1-'Scoring Setup'!$B$5*(1-MAX(0,MIN(1,(AL15-'Scoring Setup'!$K$24)/(100-'Scoring Setup'!$K$24)))),1),"")</x:f>
        <x:v>0.9741818181818181</x:v>
      </x:c>
      <x:c r="BE15" s="27" t="n">
        <x:f>IF(ISNUMBER(AM15),IF('Scoring Setup'!$L$25=1,1-'Scoring Setup'!$B$5*(1-MAX(0,MIN(1,(AM15-'Scoring Setup'!$K$25)/(100-'Scoring Setup'!$K$25)))),1),"")</x:f>
        <x:v>0.8885845218271159</x:v>
      </x:c>
      <x:c r="BF15" s="27" t="n">
        <x:f>IF(ISNUMBER(AN15),IF('Scoring Setup'!$L$26=1,1-'Scoring Setup'!$B$5*(1-MAX(0,MIN(1,(AN15-'Scoring Setup'!$K$26)/(100-'Scoring Setup'!$K$26)))),1),"")</x:f>
        <x:v>0.937286211052675</x:v>
      </x:c>
      <x:c r="BG15" s="34" t="n">
        <x:f>IF(COUNT(W15,X15)=2,AVERAGE(W15,X15),"")</x:f>
        <x:v>75.57142857142857</x:v>
      </x:c>
      <x:c r="BH15" s="34" t="n">
        <x:f>IF(COUNT(Y15,Z15)=2,AVERAGE(Y15,Z15),"")</x:f>
        <x:v>48.932041651705234</x:v>
      </x:c>
      <x:c r="BI15" s="34" t="n">
        <x:f>IF(COUNT(AA15,AB15,AC15)=3,AVERAGE(AA15,AB15,AC15),"")</x:f>
        <x:v>66.77382203430949</x:v>
      </x:c>
      <x:c r="BJ15" s="34" t="n">
        <x:f>IF(COUNT(AD15,AE15)=2,AVERAGE(AD15,AE15),"")</x:f>
        <x:v>32.853560071428575</x:v>
      </x:c>
      <x:c r="BK15" s="34" t="n">
        <x:f>IF(COUNT(AF15,AG15)=2,AVERAGE(AF15,AG15),"")</x:f>
        <x:v>40.0235301339511</x:v>
      </x:c>
      <x:c r="BL15" s="34" t="n">
        <x:f>IF(COUNT(AH15,AI15)=2,AVERAGE(AH15,AI15),"")</x:f>
        <x:v>14.633954011220784</x:v>
      </x:c>
      <x:c r="BM15" s="34" t="n">
        <x:f>IF(COUNT(AJ15,AK15)=2,AVERAGE(AJ15,AK15),"")</x:f>
        <x:v>90.5611532497282</x:v>
      </x:c>
      <x:c r="BN15" s="34" t="n">
        <x:f>IF(COUNT(AL15,AM15,AN15)=3,AVERAGE(AL15,AM15,AN15),"")</x:f>
        <x:v>66.67542517693484</x:v>
      </x:c>
      <x:c r="BO15" s="35" t="n">
        <x:f>IF(AND(COUNT(BG15:BN15)=8,ABS('Scoring Setup'!$C$17-1)&lt;0.000001),BG15*'Scoring Setup'!$C$9+BH15*'Scoring Setup'!$C$10+BI15*'Scoring Setup'!$C$11+BJ15*'Scoring Setup'!$C$12+BK15*'Scoring Setup'!$C$13+BL15*'Scoring Setup'!$C$14+BM15*'Scoring Setup'!$C$15+BN15*'Scoring Setup'!$C$16,"")</x:f>
        <x:v>56.57102532758073</x:v>
      </x:c>
      <x:c r="BP15" s="36" t="n">
        <x:f>IF(COUNT(AO15:BF15)=18,MIN(AO15:BF15),"")</x:f>
        <x:v>0.8</x:v>
      </x:c>
      <x:c r="BQ15" s="35" t="n">
        <x:f>IF(AND(ISNUMBER(BO15),ISNUMBER(BP15)),BO15*BP15,"")</x:f>
        <x:v>45.256820262064586</x:v>
      </x:c>
      <x:c r="BR15" s="17" t="str">
        <x:f>IF(COUNT(AO15:BF15)=18,INDEX('Scoring Setup'!$F$9:$F$26,MATCH(MIN(AO15:BF15),AO15:BF15,0),1),"")</x:f>
        <x:v>社会脆弱性百分位</x:v>
      </x:c>
    </x:row>
    <x:row r="16">
      <x:c r="A16" s="28" t="str">
        <x:v>13023</x:v>
      </x:c>
      <x:c r="B16" s="28" t="str">
        <x:v>Bleckley County</x:v>
      </x:c>
      <x:c r="C16" s="28" t="str">
        <x:v>GA</x:v>
      </x:c>
      <x:c r="D16" s="31" t="n">
        <x:v>559.122131</x:v>
      </x:c>
      <x:c r="E16" s="32" t="n">
        <x:v>0.481</x:v>
      </x:c>
      <x:c r="F16" s="32" t="n">
        <x:v>0.191831683168317</x:v>
      </x:c>
      <x:c r="G16" s="32" t="n">
        <x:v>2.4661605231195733</x:v>
      </x:c>
      <x:c r="H16" s="32" t="n">
        <x:v>2.32023418583933</x:v>
      </x:c>
      <x:c r="I16" s="32" t="n">
        <x:v>0.9133742566967322</x:v>
      </x:c>
      <x:c r="J16" s="32" t="n">
        <x:v>0.06220609340603918</x:v>
      </x:c>
      <x:c r="K16" s="32" t="n">
        <x:v>0.17272167044154016</x:v>
      </x:c>
      <x:c r="L16" s="32" t="n">
        <x:v>0.947464369</x:v>
      </x:c>
      <x:c r="M16" s="32" t="n">
        <x:v>0.947464369</x:v>
      </x:c>
      <x:c r="N16" s="32" t="n">
        <x:v>5441</x:v>
      </x:c>
      <x:c r="O16" s="32" t="n">
        <x:v>0.7063</x:v>
      </x:c>
      <x:c r="P16" s="32" t="n">
        <x:v>2106.184696451823</x:v>
      </x:c>
      <x:c r="Q16" s="32" t="n">
        <x:v>71.67978439331054</x:v>
      </x:c>
      <x:c r="R16" s="32" t="n">
        <x:v>17.132126535464028</x:v>
      </x:c>
      <x:c r="S16" s="32" t="n">
        <x:v>2.986716665650039</x:v>
      </x:c>
      <x:c r="T16" s="32" t="n">
        <x:v>72.1</x:v>
      </x:c>
      <x:c r="U16" s="32" t="n">
        <x:v>211.4154781728841</x:v>
      </x:c>
      <x:c r="V16" s="32" t="n">
        <x:v>325.42757789465</x:v>
      </x:c>
      <x:c r="W16" s="33" t="n">
        <x:f>IF(ISNUMBER(E16),100*MAX(0,MIN(1,('Anchors'!$H$6-E16)/('Anchors'!$H$6-'Anchors'!$G$6))),"")</x:f>
        <x:v>59.85714285714286</x:v>
      </x:c>
      <x:c r="X16" s="33" t="n">
        <x:f>IF(ISNUMBER(F16),100*MAX(0,MIN(1,('Anchors'!$H$7-F16)/('Anchors'!$H$7-'Anchors'!$G$7))),"")</x:f>
        <x:v>86.88118811881186</x:v>
      </x:c>
      <x:c r="Y16" s="33" t="n">
        <x:f>IF(ISNUMBER(G16),100*MAX(0,MIN(1,('Anchors'!$H$8-G16)/('Anchors'!$H$8-'Anchors'!$G$8))),"")</x:f>
        <x:v>51.127982562680884</x:v>
      </x:c>
      <x:c r="Z16" s="33" t="n">
        <x:f>IF(ISNUMBER(H16),100*MAX(0,MIN(1,('Anchors'!$H$9-H16)/('Anchors'!$H$9-'Anchors'!$G$9))),"")</x:f>
        <x:v>55.99219380535567</x:v>
      </x:c>
      <x:c r="AA16" s="33" t="n">
        <x:f>IF(ISNUMBER(I16),100*MAX(0,MIN(1,(I16-'Anchors'!$H$10)/('Anchors'!$G$10-'Anchors'!$H$10))),"")</x:f>
        <x:v>90.87318584886744</x:v>
      </x:c>
      <x:c r="AB16" s="33" t="n">
        <x:f>IF(ISNUMBER(J16),100*MAX(0,MIN(1,('Anchors'!$H$11-J16)/('Anchors'!$H$11-'Anchors'!$G$11))),"")</x:f>
        <x:v>75.11756263758433</x:v>
      </x:c>
      <x:c r="AC16" s="33" t="n">
        <x:f>IF(ISNUMBER(K16),100*MAX(0,MIN(1,('Anchors'!$H$12-K16)/('Anchors'!$H$12-'Anchors'!$G$12))),"")</x:f>
        <x:v>56.819582389614965</x:v>
      </x:c>
      <x:c r="AD16" s="33" t="n">
        <x:f>IF(ISNUMBER(L16),100*MAX(0,MIN(1,(L16-'Anchors'!$H$13)/('Anchors'!$G$13-'Anchors'!$H$13))),"")</x:f>
        <x:v>100</x:v>
      </x:c>
      <x:c r="AE16" s="33" t="n">
        <x:f>IF(ISNUMBER(M16),100*MAX(0,MIN(1,(M16-'Anchors'!$H$14)/('Anchors'!$G$14-'Anchors'!$H$14))),"")</x:f>
        <x:v>100</x:v>
      </x:c>
      <x:c r="AF16" s="33" t="n">
        <x:f>IF(ISNUMBER(N16),100*MAX(0,MIN(1,(LN(1+N16)-LN(1+'Anchors'!$H$15))/(LN(1+'Anchors'!$G$15)-LN(1+'Anchors'!$H$15)))),"")</x:f>
        <x:v>23.17583427231818</x:v>
      </x:c>
      <x:c r="AG16" s="33" t="n">
        <x:f>IF(ISNUMBER(O16),100*MAX(0,MIN(1,('Anchors'!$H$16-O16)/('Anchors'!$H$16-'Anchors'!$G$16))),"")</x:f>
        <x:v>27.077777777777772</x:v>
      </x:c>
      <x:c r="AH16" s="33" t="n">
        <x:f>IF(ISNUMBER(P16),100*MAX(0,MIN(1,('Anchors'!$H$17-P16)/('Anchors'!$H$17-'Anchors'!$G$17))),"")</x:f>
        <x:v>6.254353569878458</x:v>
      </x:c>
      <x:c r="AI16" s="33" t="n">
        <x:f>IF(ISNUMBER(Q16),100*MAX(0,MIN(1,('Anchors'!$H$18-Q16)/('Anchors'!$H$18-'Anchors'!$G$18))),"")</x:f>
        <x:v>4.743165152413512</x:v>
      </x:c>
      <x:c r="AJ16" s="33" t="n">
        <x:f>IF(ISNUMBER(R16),100*MAX(0,MIN(1,('Anchors'!$H$19-R16)/('Anchors'!$H$19-'Anchors'!$G$19))),"")</x:f>
        <x:v>73.03971881007995</x:v>
      </x:c>
      <x:c r="AK16" s="33" t="n">
        <x:f>IF(ISNUMBER(S16),100*MAX(0,MIN(1,('Anchors'!$H$20-S16)/('Anchors'!$H$20-'Anchors'!$G$20))),"")</x:f>
        <x:v>89.54359649657874</x:v>
      </x:c>
      <x:c r="AL16" s="33" t="n">
        <x:f>IF(ISNUMBER(T16),100*MAX(0,MIN(1,('Anchors'!$H$21-T16)/('Anchors'!$H$21-'Anchors'!$G$21))),"")</x:f>
        <x:v>87.0909090909091</x:v>
      </x:c>
      <x:c r="AM16" s="33" t="n">
        <x:f>IF(ISNUMBER(U16),100*MAX(0,MIN(1,('Anchors'!$H$22-U16)/('Anchors'!$H$22-'Anchors'!$G$22))),"")</x:f>
        <x:v>44.29226091355795</x:v>
      </x:c>
      <x:c r="AN16" s="33" t="n">
        <x:f>IF(ISNUMBER(V16),100*MAX(0,MIN(1,('Anchors'!$H$23-V16)/('Anchors'!$H$23-'Anchors'!$G$23))),"")</x:f>
        <x:v>68.6431055263375</x:v>
      </x:c>
      <x:c r="AO16" s="27" t="n">
        <x:f>IF(ISNUMBER(W16),IF('Scoring Setup'!$L$9=1,1-'Scoring Setup'!$B$5*(1-MAX(0,MIN(1,(W16-'Scoring Setup'!$K$9)/(100-'Scoring Setup'!$K$9)))),1),"")</x:f>
        <x:v>0.9197142857142857</x:v>
      </x:c>
      <x:c r="AP16" s="27" t="n">
        <x:f>IF(ISNUMBER(X16),IF('Scoring Setup'!$L$10=1,1-'Scoring Setup'!$B$5*(1-MAX(0,MIN(1,(X16-'Scoring Setup'!$K$10)/(100-'Scoring Setup'!$K$10)))),1),"")</x:f>
        <x:v>0.9737623762376237</x:v>
      </x:c>
      <x:c r="AQ16" s="27" t="n">
        <x:f>IF(ISNUMBER(Y16),IF('Scoring Setup'!$L$11=1,1-'Scoring Setup'!$B$5*(1-MAX(0,MIN(1,(Y16-'Scoring Setup'!$K$11)/(100-'Scoring Setup'!$K$11)))),1),"")</x:f>
        <x:v>0.9022559651253618</x:v>
      </x:c>
      <x:c r="AR16" s="27" t="n">
        <x:f>IF(ISNUMBER(Z16),IF('Scoring Setup'!$L$12=1,1-'Scoring Setup'!$B$5*(1-MAX(0,MIN(1,(Z16-'Scoring Setup'!$K$12)/(100-'Scoring Setup'!$K$12)))),1),"")</x:f>
        <x:v>0.9119843876107113</x:v>
      </x:c>
      <x:c r="AS16" s="27" t="n">
        <x:f>IF(ISNUMBER(AA16),IF('Scoring Setup'!$L$13=1,1-'Scoring Setup'!$B$5*(1-MAX(0,MIN(1,(AA16-'Scoring Setup'!$K$13)/(100-'Scoring Setup'!$K$13)))),1),"")</x:f>
        <x:v>0.9817463716977348</x:v>
      </x:c>
      <x:c r="AT16" s="27" t="n">
        <x:f>IF(ISNUMBER(AB16),IF('Scoring Setup'!$L$14=1,1-'Scoring Setup'!$B$5*(1-MAX(0,MIN(1,(AB16-'Scoring Setup'!$K$14)/(100-'Scoring Setup'!$K$14)))),1),"")</x:f>
        <x:v>0.9502351252751686</x:v>
      </x:c>
      <x:c r="AU16" s="27" t="n">
        <x:f>IF(ISNUMBER(AC16),IF('Scoring Setup'!$L$15=1,1-'Scoring Setup'!$B$5*(1-MAX(0,MIN(1,(AC16-'Scoring Setup'!$K$15)/(100-'Scoring Setup'!$K$15)))),1),"")</x:f>
        <x:v>0.9136391647792299</x:v>
      </x:c>
      <x:c r="AV16" s="27" t="n">
        <x:f>IF(ISNUMBER(AD16),IF('Scoring Setup'!$L$16=1,1-'Scoring Setup'!$B$5*(1-MAX(0,MIN(1,(AD16-'Scoring Setup'!$K$16)/(100-'Scoring Setup'!$K$16)))),1),"")</x:f>
        <x:v>1</x:v>
      </x:c>
      <x:c r="AW16" s="27" t="n">
        <x:f>IF(ISNUMBER(AE16),IF('Scoring Setup'!$L$17=1,1-'Scoring Setup'!$B$5*(1-MAX(0,MIN(1,(AE16-'Scoring Setup'!$K$17)/(100-'Scoring Setup'!$K$17)))),1),"")</x:f>
        <x:v>1</x:v>
      </x:c>
      <x:c r="AX16" s="27" t="n">
        <x:f>IF(ISNUMBER(AF16),IF('Scoring Setup'!$L$18=1,1-'Scoring Setup'!$B$5*(1-MAX(0,MIN(1,(AF16-'Scoring Setup'!$K$18)/(100-'Scoring Setup'!$K$18)))),1),"")</x:f>
        <x:v>0.8463516685446364</x:v>
      </x:c>
      <x:c r="AY16" s="27" t="n">
        <x:f>IF(ISNUMBER(AG16),IF('Scoring Setup'!$L$19=1,1-'Scoring Setup'!$B$5*(1-MAX(0,MIN(1,(AG16-'Scoring Setup'!$K$19)/(100-'Scoring Setup'!$K$19)))),1),"")</x:f>
        <x:v>0.8541555555555556</x:v>
      </x:c>
      <x:c r="AZ16" s="27" t="n">
        <x:f>IF(ISNUMBER(AH16),IF('Scoring Setup'!$L$20=1,1-'Scoring Setup'!$B$5*(1-MAX(0,MIN(1,(AH16-'Scoring Setup'!$K$20)/(100-'Scoring Setup'!$K$20)))),1),"")</x:f>
        <x:v>0.8125087071397569</x:v>
      </x:c>
      <x:c r="BA16" s="27" t="n">
        <x:f>IF(ISNUMBER(AI16),IF('Scoring Setup'!$L$21=1,1-'Scoring Setup'!$B$5*(1-MAX(0,MIN(1,(AI16-'Scoring Setup'!$K$21)/(100-'Scoring Setup'!$K$21)))),1),"")</x:f>
        <x:v>0.809486330304827</x:v>
      </x:c>
      <x:c r="BB16" s="27" t="n">
        <x:f>IF(ISNUMBER(AJ16),IF('Scoring Setup'!$L$22=1,1-'Scoring Setup'!$B$5*(1-MAX(0,MIN(1,(AJ16-'Scoring Setup'!$K$22)/(100-'Scoring Setup'!$K$22)))),1),"")</x:f>
        <x:v>0.9460794376201599</x:v>
      </x:c>
      <x:c r="BC16" s="27" t="n">
        <x:f>IF(ISNUMBER(AK16),IF('Scoring Setup'!$L$23=1,1-'Scoring Setup'!$B$5*(1-MAX(0,MIN(1,(AK16-'Scoring Setup'!$K$23)/(100-'Scoring Setup'!$K$23)))),1),"")</x:f>
        <x:v>0.9790871929931575</x:v>
      </x:c>
      <x:c r="BD16" s="27" t="n">
        <x:f>IF(ISNUMBER(AL16),IF('Scoring Setup'!$L$24=1,1-'Scoring Setup'!$B$5*(1-MAX(0,MIN(1,(AL16-'Scoring Setup'!$K$24)/(100-'Scoring Setup'!$K$24)))),1),"")</x:f>
        <x:v>0.9741818181818181</x:v>
      </x:c>
      <x:c r="BE16" s="27" t="n">
        <x:f>IF(ISNUMBER(AM16),IF('Scoring Setup'!$L$25=1,1-'Scoring Setup'!$B$5*(1-MAX(0,MIN(1,(AM16-'Scoring Setup'!$K$25)/(100-'Scoring Setup'!$K$25)))),1),"")</x:f>
        <x:v>0.8885845218271159</x:v>
      </x:c>
      <x:c r="BF16" s="27" t="n">
        <x:f>IF(ISNUMBER(AN16),IF('Scoring Setup'!$L$26=1,1-'Scoring Setup'!$B$5*(1-MAX(0,MIN(1,(AN16-'Scoring Setup'!$K$26)/(100-'Scoring Setup'!$K$26)))),1),"")</x:f>
        <x:v>0.937286211052675</x:v>
      </x:c>
      <x:c r="BG16" s="34" t="n">
        <x:f>IF(COUNT(W16,X16)=2,AVERAGE(W16,X16),"")</x:f>
        <x:v>73.36916548797737</x:v>
      </x:c>
      <x:c r="BH16" s="34" t="n">
        <x:f>IF(COUNT(Y16,Z16)=2,AVERAGE(Y16,Z16),"")</x:f>
        <x:v>53.56008818401828</x:v>
      </x:c>
      <x:c r="BI16" s="34" t="n">
        <x:f>IF(COUNT(AA16,AB16,AC16)=3,AVERAGE(AA16,AB16,AC16),"")</x:f>
        <x:v>74.27011029202224</x:v>
      </x:c>
      <x:c r="BJ16" s="34" t="n">
        <x:f>IF(COUNT(AD16,AE16)=2,AVERAGE(AD16,AE16),"")</x:f>
        <x:v>100</x:v>
      </x:c>
      <x:c r="BK16" s="34" t="n">
        <x:f>IF(COUNT(AF16,AG16)=2,AVERAGE(AF16,AG16),"")</x:f>
        <x:v>25.126806025047976</x:v>
      </x:c>
      <x:c r="BL16" s="34" t="n">
        <x:f>IF(COUNT(AH16,AI16)=2,AVERAGE(AH16,AI16),"")</x:f>
        <x:v>5.498759361145986</x:v>
      </x:c>
      <x:c r="BM16" s="34" t="n">
        <x:f>IF(COUNT(AJ16,AK16)=2,AVERAGE(AJ16,AK16),"")</x:f>
        <x:v>81.29165765332934</x:v>
      </x:c>
      <x:c r="BN16" s="34" t="n">
        <x:f>IF(COUNT(AL16,AM16,AN16)=3,AVERAGE(AL16,AM16,AN16),"")</x:f>
        <x:v>66.67542517693484</x:v>
      </x:c>
      <x:c r="BO16" s="35" t="n">
        <x:f>IF(AND(COUNT(BG16:BN16)=8,ABS('Scoring Setup'!$C$17-1)&lt;0.000001),BG16*'Scoring Setup'!$C$9+BH16*'Scoring Setup'!$C$10+BI16*'Scoring Setup'!$C$11+BJ16*'Scoring Setup'!$C$12+BK16*'Scoring Setup'!$C$13+BL16*'Scoring Setup'!$C$14+BM16*'Scoring Setup'!$C$15+BN16*'Scoring Setup'!$C$16,"")</x:f>
        <x:v>62.330774221112634</x:v>
      </x:c>
      <x:c r="BP16" s="36" t="n">
        <x:f>IF(COUNT(AO16:BF16)=18,MIN(AO16:BF16),"")</x:f>
        <x:v>0.809486330304827</x:v>
      </x:c>
      <x:c r="BQ16" s="35" t="n">
        <x:f>IF(AND(ISNUMBER(BO16),ISNUMBER(BP16)),BO16*BP16,"")</x:f>
        <x:v>50.45590968930718</x:v>
      </x:c>
      <x:c r="BR16" s="17" t="str">
        <x:f>IF(COUNT(AO16:BF16)=18,INDEX('Scoring Setup'!$F$9:$F$26,MATCH(MIN(AO16:BF16),AO16:BF16,0),1),"")</x:f>
        <x:v>历史&gt;90°F天数</x:v>
      </x:c>
    </x:row>
    <x:row r="17">
      <x:c r="A17" s="28" t="str">
        <x:v>13025</x:v>
      </x:c>
      <x:c r="B17" s="28" t="str">
        <x:v>Brantley County</x:v>
      </x:c>
      <x:c r="C17" s="28" t="str">
        <x:v>GA</x:v>
      </x:c>
      <x:c r="D17" s="31" t="n">
        <x:v>1147.972265</x:v>
      </x:c>
      <x:c r="E17" s="32" t="n">
        <x:v>0.678</x:v>
      </x:c>
      <x:c r="F17" s="32" t="n">
        <x:v>0.356435643564356</x:v>
      </x:c>
      <x:c r="G17" s="32" t="n">
        <x:v>1.177970828377322</x:v>
      </x:c>
      <x:c r="H17" s="32" t="n">
        <x:v>1.1008552735856914</x:v>
      </x:c>
      <x:c r="I17" s="32" t="n">
        <x:v>0.9278714523425232</x:v>
      </x:c>
      <x:c r="J17" s="32" t="n">
        <x:v>0.05129083406452463</x:v>
      </x:c>
      <x:c r="K17" s="32" t="n">
        <x:v>0.4061445380669774</x:v>
      </x:c>
      <x:c r="L17" s="32" t="n">
        <x:v>0.962102689</x:v>
      </x:c>
      <x:c r="M17" s="32" t="n">
        <x:v>0.962102689</x:v>
      </x:c>
      <x:c r="N17" s="32" t="n">
        <x:v>8594</x:v>
      </x:c>
      <x:c r="O17" s="32" t="n">
        <x:v>0.3974</x:v>
      </x:c>
      <x:c r="P17" s="32" t="n">
        <x:v>2248.0844156901044</x:v>
      </x:c>
      <x:c r="Q17" s="32" t="n">
        <x:v>71.54732411702474</x:v>
      </x:c>
      <x:c r="R17" s="32" t="n">
        <x:v>35.926410261995755</x:v>
      </x:c>
      <x:c r="S17" s="32" t="n">
        <x:v>0.33010670966844297</x:v>
      </x:c>
      <x:c r="T17" s="32" t="n">
        <x:v>72.1</x:v>
      </x:c>
      <x:c r="U17" s="32" t="n">
        <x:v>211.4154781728841</x:v>
      </x:c>
      <x:c r="V17" s="32" t="n">
        <x:v>325.42757789465</x:v>
      </x:c>
      <x:c r="W17" s="33" t="n">
        <x:f>IF(ISNUMBER(E17),100*MAX(0,MIN(1,('Anchors'!$H$6-E17)/('Anchors'!$H$6-'Anchors'!$G$6))),"")</x:f>
        <x:v>31.71428571428571</x:v>
      </x:c>
      <x:c r="X17" s="33" t="n">
        <x:f>IF(ISNUMBER(F17),100*MAX(0,MIN(1,('Anchors'!$H$7-F17)/('Anchors'!$H$7-'Anchors'!$G$7))),"")</x:f>
        <x:v>63.36633663366344</x:v>
      </x:c>
      <x:c r="Y17" s="33" t="n">
        <x:f>IF(ISNUMBER(G17),100*MAX(0,MIN(1,('Anchors'!$H$8-G17)/('Anchors'!$H$8-'Anchors'!$G$8))),"")</x:f>
        <x:v>94.06763905408927</x:v>
      </x:c>
      <x:c r="Z17" s="33" t="n">
        <x:f>IF(ISNUMBER(H17),100*MAX(0,MIN(1,('Anchors'!$H$9-H17)/('Anchors'!$H$9-'Anchors'!$G$9))),"")</x:f>
        <x:v>96.63815754714363</x:v>
      </x:c>
      <x:c r="AA17" s="33" t="n">
        <x:f>IF(ISNUMBER(I17),100*MAX(0,MIN(1,(I17-'Anchors'!$H$10)/('Anchors'!$G$10-'Anchors'!$H$10))),"")</x:f>
        <x:v>92.85910306061962</x:v>
      </x:c>
      <x:c r="AB17" s="33" t="n">
        <x:f>IF(ISNUMBER(J17),100*MAX(0,MIN(1,('Anchors'!$H$11-J17)/('Anchors'!$H$11-'Anchors'!$G$11))),"")</x:f>
        <x:v>79.48366637419015</x:v>
      </x:c>
      <x:c r="AC17" s="33" t="n">
        <x:f>IF(ISNUMBER(K17),100*MAX(0,MIN(1,('Anchors'!$H$12-K17)/('Anchors'!$H$12-'Anchors'!$G$12))),"")</x:f>
        <x:v>0</x:v>
      </x:c>
      <x:c r="AD17" s="33" t="n">
        <x:f>IF(ISNUMBER(L17),100*MAX(0,MIN(1,(L17-'Anchors'!$H$13)/('Anchors'!$G$13-'Anchors'!$H$13))),"")</x:f>
        <x:v>100</x:v>
      </x:c>
      <x:c r="AE17" s="33" t="n">
        <x:f>IF(ISNUMBER(M17),100*MAX(0,MIN(1,(M17-'Anchors'!$H$14)/('Anchors'!$G$14-'Anchors'!$H$14))),"")</x:f>
        <x:v>100</x:v>
      </x:c>
      <x:c r="AF17" s="33" t="n">
        <x:f>IF(ISNUMBER(N17),100*MAX(0,MIN(1,(LN(1+N17)-LN(1+'Anchors'!$H$15))/(LN(1+'Anchors'!$G$15)-LN(1+'Anchors'!$H$15)))),"")</x:f>
        <x:v>33.76268944626541</x:v>
      </x:c>
      <x:c r="AG17" s="33" t="n">
        <x:f>IF(ISNUMBER(O17),100*MAX(0,MIN(1,('Anchors'!$H$16-O17)/('Anchors'!$H$16-'Anchors'!$G$16))),"")</x:f>
        <x:v>61.4</x:v>
      </x:c>
      <x:c r="AH17" s="33" t="n">
        <x:f>IF(ISNUMBER(P17),100*MAX(0,MIN(1,('Anchors'!$H$17-P17)/('Anchors'!$H$17-'Anchors'!$G$17))),"")</x:f>
        <x:v>0</x:v>
      </x:c>
      <x:c r="AI17" s="33" t="n">
        <x:f>IF(ISNUMBER(Q17),100*MAX(0,MIN(1,('Anchors'!$H$18-Q17)/('Anchors'!$H$18-'Anchors'!$G$18))),"")</x:f>
        <x:v>4.932394118536081</x:v>
      </x:c>
      <x:c r="AJ17" s="33" t="n">
        <x:f>IF(ISNUMBER(R17),100*MAX(0,MIN(1,('Anchors'!$H$19-R17)/('Anchors'!$H$19-'Anchors'!$G$19))),"")</x:f>
        <x:v>31.274643862231656</x:v>
      </x:c>
      <x:c r="AK17" s="33" t="n">
        <x:f>IF(ISNUMBER(S17),100*MAX(0,MIN(1,('Anchors'!$H$20-S17)/('Anchors'!$H$20-'Anchors'!$G$20))),"")</x:f>
        <x:v>100</x:v>
      </x:c>
      <x:c r="AL17" s="33" t="n">
        <x:f>IF(ISNUMBER(T17),100*MAX(0,MIN(1,('Anchors'!$H$21-T17)/('Anchors'!$H$21-'Anchors'!$G$21))),"")</x:f>
        <x:v>87.0909090909091</x:v>
      </x:c>
      <x:c r="AM17" s="33" t="n">
        <x:f>IF(ISNUMBER(U17),100*MAX(0,MIN(1,('Anchors'!$H$22-U17)/('Anchors'!$H$22-'Anchors'!$G$22))),"")</x:f>
        <x:v>44.29226091355795</x:v>
      </x:c>
      <x:c r="AN17" s="33" t="n">
        <x:f>IF(ISNUMBER(V17),100*MAX(0,MIN(1,('Anchors'!$H$23-V17)/('Anchors'!$H$23-'Anchors'!$G$23))),"")</x:f>
        <x:v>68.6431055263375</x:v>
      </x:c>
      <x:c r="AO17" s="27" t="n">
        <x:f>IF(ISNUMBER(W17),IF('Scoring Setup'!$L$9=1,1-'Scoring Setup'!$B$5*(1-MAX(0,MIN(1,(W17-'Scoring Setup'!$K$9)/(100-'Scoring Setup'!$K$9)))),1),"")</x:f>
        <x:v>0.8634285714285714</x:v>
      </x:c>
      <x:c r="AP17" s="27" t="n">
        <x:f>IF(ISNUMBER(X17),IF('Scoring Setup'!$L$10=1,1-'Scoring Setup'!$B$5*(1-MAX(0,MIN(1,(X17-'Scoring Setup'!$K$10)/(100-'Scoring Setup'!$K$10)))),1),"")</x:f>
        <x:v>0.9267326732673269</x:v>
      </x:c>
      <x:c r="AQ17" s="27" t="n">
        <x:f>IF(ISNUMBER(Y17),IF('Scoring Setup'!$L$11=1,1-'Scoring Setup'!$B$5*(1-MAX(0,MIN(1,(Y17-'Scoring Setup'!$K$11)/(100-'Scoring Setup'!$K$11)))),1),"")</x:f>
        <x:v>0.9881352781081786</x:v>
      </x:c>
      <x:c r="AR17" s="27" t="n">
        <x:f>IF(ISNUMBER(Z17),IF('Scoring Setup'!$L$12=1,1-'Scoring Setup'!$B$5*(1-MAX(0,MIN(1,(Z17-'Scoring Setup'!$K$12)/(100-'Scoring Setup'!$K$12)))),1),"")</x:f>
        <x:v>0.9932763150942873</x:v>
      </x:c>
      <x:c r="AS17" s="27" t="n">
        <x:f>IF(ISNUMBER(AA17),IF('Scoring Setup'!$L$13=1,1-'Scoring Setup'!$B$5*(1-MAX(0,MIN(1,(AA17-'Scoring Setup'!$K$13)/(100-'Scoring Setup'!$K$13)))),1),"")</x:f>
        <x:v>0.9857182061212393</x:v>
      </x:c>
      <x:c r="AT17" s="27" t="n">
        <x:f>IF(ISNUMBER(AB17),IF('Scoring Setup'!$L$14=1,1-'Scoring Setup'!$B$5*(1-MAX(0,MIN(1,(AB17-'Scoring Setup'!$K$14)/(100-'Scoring Setup'!$K$14)))),1),"")</x:f>
        <x:v>0.9589673327483803</x:v>
      </x:c>
      <x:c r="AU17" s="27" t="n">
        <x:f>IF(ISNUMBER(AC17),IF('Scoring Setup'!$L$15=1,1-'Scoring Setup'!$B$5*(1-MAX(0,MIN(1,(AC17-'Scoring Setup'!$K$15)/(100-'Scoring Setup'!$K$15)))),1),"")</x:f>
        <x:v>0.8</x:v>
      </x:c>
      <x:c r="AV17" s="27" t="n">
        <x:f>IF(ISNUMBER(AD17),IF('Scoring Setup'!$L$16=1,1-'Scoring Setup'!$B$5*(1-MAX(0,MIN(1,(AD17-'Scoring Setup'!$K$16)/(100-'Scoring Setup'!$K$16)))),1),"")</x:f>
        <x:v>1</x:v>
      </x:c>
      <x:c r="AW17" s="27" t="n">
        <x:f>IF(ISNUMBER(AE17),IF('Scoring Setup'!$L$17=1,1-'Scoring Setup'!$B$5*(1-MAX(0,MIN(1,(AE17-'Scoring Setup'!$K$17)/(100-'Scoring Setup'!$K$17)))),1),"")</x:f>
        <x:v>1</x:v>
      </x:c>
      <x:c r="AX17" s="27" t="n">
        <x:f>IF(ISNUMBER(AF17),IF('Scoring Setup'!$L$18=1,1-'Scoring Setup'!$B$5*(1-MAX(0,MIN(1,(AF17-'Scoring Setup'!$K$18)/(100-'Scoring Setup'!$K$18)))),1),"")</x:f>
        <x:v>0.8675253788925308</x:v>
      </x:c>
      <x:c r="AY17" s="27" t="n">
        <x:f>IF(ISNUMBER(AG17),IF('Scoring Setup'!$L$19=1,1-'Scoring Setup'!$B$5*(1-MAX(0,MIN(1,(AG17-'Scoring Setup'!$K$19)/(100-'Scoring Setup'!$K$19)))),1),"")</x:f>
        <x:v>0.9228</x:v>
      </x:c>
      <x:c r="AZ17" s="27" t="n">
        <x:f>IF(ISNUMBER(AH17),IF('Scoring Setup'!$L$20=1,1-'Scoring Setup'!$B$5*(1-MAX(0,MIN(1,(AH17-'Scoring Setup'!$K$20)/(100-'Scoring Setup'!$K$20)))),1),"")</x:f>
        <x:v>0.8</x:v>
      </x:c>
      <x:c r="BA17" s="27" t="n">
        <x:f>IF(ISNUMBER(AI17),IF('Scoring Setup'!$L$21=1,1-'Scoring Setup'!$B$5*(1-MAX(0,MIN(1,(AI17-'Scoring Setup'!$K$21)/(100-'Scoring Setup'!$K$21)))),1),"")</x:f>
        <x:v>0.8098647882370722</x:v>
      </x:c>
      <x:c r="BB17" s="27" t="n">
        <x:f>IF(ISNUMBER(AJ17),IF('Scoring Setup'!$L$22=1,1-'Scoring Setup'!$B$5*(1-MAX(0,MIN(1,(AJ17-'Scoring Setup'!$K$22)/(100-'Scoring Setup'!$K$22)))),1),"")</x:f>
        <x:v>0.8625492877244633</x:v>
      </x:c>
      <x:c r="BC17" s="27" t="n">
        <x:f>IF(ISNUMBER(AK17),IF('Scoring Setup'!$L$23=1,1-'Scoring Setup'!$B$5*(1-MAX(0,MIN(1,(AK17-'Scoring Setup'!$K$23)/(100-'Scoring Setup'!$K$23)))),1),"")</x:f>
        <x:v>1</x:v>
      </x:c>
      <x:c r="BD17" s="27" t="n">
        <x:f>IF(ISNUMBER(AL17),IF('Scoring Setup'!$L$24=1,1-'Scoring Setup'!$B$5*(1-MAX(0,MIN(1,(AL17-'Scoring Setup'!$K$24)/(100-'Scoring Setup'!$K$24)))),1),"")</x:f>
        <x:v>0.9741818181818181</x:v>
      </x:c>
      <x:c r="BE17" s="27" t="n">
        <x:f>IF(ISNUMBER(AM17),IF('Scoring Setup'!$L$25=1,1-'Scoring Setup'!$B$5*(1-MAX(0,MIN(1,(AM17-'Scoring Setup'!$K$25)/(100-'Scoring Setup'!$K$25)))),1),"")</x:f>
        <x:v>0.8885845218271159</x:v>
      </x:c>
      <x:c r="BF17" s="27" t="n">
        <x:f>IF(ISNUMBER(AN17),IF('Scoring Setup'!$L$26=1,1-'Scoring Setup'!$B$5*(1-MAX(0,MIN(1,(AN17-'Scoring Setup'!$K$26)/(100-'Scoring Setup'!$K$26)))),1),"")</x:f>
        <x:v>0.937286211052675</x:v>
      </x:c>
      <x:c r="BG17" s="34" t="n">
        <x:f>IF(COUNT(W17,X17)=2,AVERAGE(W17,X17),"")</x:f>
        <x:v>47.54031117397457</x:v>
      </x:c>
      <x:c r="BH17" s="34" t="n">
        <x:f>IF(COUNT(Y17,Z17)=2,AVERAGE(Y17,Z17),"")</x:f>
        <x:v>95.35289830061646</x:v>
      </x:c>
      <x:c r="BI17" s="34" t="n">
        <x:f>IF(COUNT(AA17,AB17,AC17)=3,AVERAGE(AA17,AB17,AC17),"")</x:f>
        <x:v>57.44758981160326</x:v>
      </x:c>
      <x:c r="BJ17" s="34" t="n">
        <x:f>IF(COUNT(AD17,AE17)=2,AVERAGE(AD17,AE17),"")</x:f>
        <x:v>100</x:v>
      </x:c>
      <x:c r="BK17" s="34" t="n">
        <x:f>IF(COUNT(AF17,AG17)=2,AVERAGE(AF17,AG17),"")</x:f>
        <x:v>47.5813447231327</x:v>
      </x:c>
      <x:c r="BL17" s="34" t="n">
        <x:f>IF(COUNT(AH17,AI17)=2,AVERAGE(AH17,AI17),"")</x:f>
        <x:v>2.4661970592680404</x:v>
      </x:c>
      <x:c r="BM17" s="34" t="n">
        <x:f>IF(COUNT(AJ17,AK17)=2,AVERAGE(AJ17,AK17),"")</x:f>
        <x:v>65.63732193111582</x:v>
      </x:c>
      <x:c r="BN17" s="34" t="n">
        <x:f>IF(COUNT(AL17,AM17,AN17)=3,AVERAGE(AL17,AM17,AN17),"")</x:f>
        <x:v>66.67542517693484</x:v>
      </x:c>
      <x:c r="BO17" s="35" t="n">
        <x:f>IF(AND(COUNT(BG17:BN17)=8,ABS('Scoring Setup'!$C$17-1)&lt;0.000001),BG17*'Scoring Setup'!$C$9+BH17*'Scoring Setup'!$C$10+BI17*'Scoring Setup'!$C$11+BJ17*'Scoring Setup'!$C$12+BK17*'Scoring Setup'!$C$13+BL17*'Scoring Setup'!$C$14+BM17*'Scoring Setup'!$C$15+BN17*'Scoring Setup'!$C$16,"")</x:f>
        <x:v>67.735307733594</x:v>
      </x:c>
      <x:c r="BP17" s="36" t="n">
        <x:f>IF(COUNT(AO17:BF17)=18,MIN(AO17:BF17),"")</x:f>
        <x:v>0.8</x:v>
      </x:c>
      <x:c r="BQ17" s="35" t="n">
        <x:f>IF(AND(ISNUMBER(BO17),ISNUMBER(BP17)),BO17*BP17,"")</x:f>
        <x:v>54.188246186875205</x:v>
      </x:c>
      <x:c r="BR17" s="17" t="str">
        <x:f>IF(COUNT(AO17:BF17)=18,INDEX('Scoring Setup'!$F$9:$F$26,MATCH(MIN(AO17:BF17),AO17:BF17,0),1),"")</x:f>
        <x:v>湿地陆地比例</x:v>
      </x:c>
    </x:row>
    <x:row r="18">
      <x:c r="A18" s="28" t="str">
        <x:v>13027</x:v>
      </x:c>
      <x:c r="B18" s="28" t="str">
        <x:v>Brooks County</x:v>
      </x:c>
      <x:c r="C18" s="28" t="str">
        <x:v>GA</x:v>
      </x:c>
      <x:c r="D18" s="31" t="n">
        <x:v>1277.341891</x:v>
      </x:c>
      <x:c r="E18" s="32" t="n">
        <x:v>0.529</x:v>
      </x:c>
      <x:c r="F18" s="32" t="n">
        <x:v>0.30847772277227703</x:v>
      </x:c>
      <x:c r="G18" s="32" t="n">
        <x:v>2.8405969214724944</x:v>
      </x:c>
      <x:c r="H18" s="32" t="n">
        <x:v>3.0339722256524224</x:v>
      </x:c>
      <x:c r="I18" s="32" t="n">
        <x:v>0.9521672082198999</x:v>
      </x:c>
      <x:c r="J18" s="32" t="n">
        <x:v>0.005008464233057214</x:v>
      </x:c>
      <x:c r="K18" s="32" t="n">
        <x:v>0.24733959778695003</x:v>
      </x:c>
      <x:c r="L18" s="32" t="n">
        <x:v>0.681403172</x:v>
      </x:c>
      <x:c r="M18" s="32" t="n">
        <x:v>0.681403172</x:v>
      </x:c>
      <x:c r="N18" s="32" t="n">
        <x:v>6465</x:v>
      </x:c>
      <x:c r="O18" s="32" t="n">
        <x:v>0.9275</x:v>
      </x:c>
      <x:c r="P18" s="32" t="n">
        <x:v>2294.583642578125</x:v>
      </x:c>
      <x:c r="Q18" s="32" t="n">
        <x:v>76.85538431803386</x:v>
      </x:c>
      <x:c r="R18" s="32" t="n">
        <x:v>22.938287077432857</x:v>
      </x:c>
      <x:c r="S18" s="32" t="n">
        <x:v>3.4514351711620326</x:v>
      </x:c>
      <x:c r="T18" s="32" t="n">
        <x:v>72.1</x:v>
      </x:c>
      <x:c r="U18" s="32" t="n">
        <x:v>211.4154781728841</x:v>
      </x:c>
      <x:c r="V18" s="32" t="n">
        <x:v>325.42757789465</x:v>
      </x:c>
      <x:c r="W18" s="33" t="n">
        <x:f>IF(ISNUMBER(E18),100*MAX(0,MIN(1,('Anchors'!$H$6-E18)/('Anchors'!$H$6-'Anchors'!$G$6))),"")</x:f>
        <x:v>53</x:v>
      </x:c>
      <x:c r="X18" s="33" t="n">
        <x:f>IF(ISNUMBER(F18),100*MAX(0,MIN(1,('Anchors'!$H$7-F18)/('Anchors'!$H$7-'Anchors'!$G$7))),"")</x:f>
        <x:v>70.217468175389</x:v>
      </x:c>
      <x:c r="Y18" s="33" t="n">
        <x:f>IF(ISNUMBER(G18),100*MAX(0,MIN(1,('Anchors'!$H$8-G18)/('Anchors'!$H$8-'Anchors'!$G$8))),"")</x:f>
        <x:v>38.64676928425019</x:v>
      </x:c>
      <x:c r="Z18" s="33" t="n">
        <x:f>IF(ISNUMBER(H18),100*MAX(0,MIN(1,('Anchors'!$H$9-H18)/('Anchors'!$H$9-'Anchors'!$G$9))),"")</x:f>
        <x:v>32.20092581158592</x:v>
      </x:c>
      <x:c r="AA18" s="33" t="n">
        <x:f>IF(ISNUMBER(I18),100*MAX(0,MIN(1,(I18-'Anchors'!$H$10)/('Anchors'!$G$10-'Anchors'!$H$10))),"")</x:f>
        <x:v>96.18728879724657</x:v>
      </x:c>
      <x:c r="AB18" s="33" t="n">
        <x:f>IF(ISNUMBER(J18),100*MAX(0,MIN(1,('Anchors'!$H$11-J18)/('Anchors'!$H$11-'Anchors'!$G$11))),"")</x:f>
        <x:v>97.99661430677712</x:v>
      </x:c>
      <x:c r="AC18" s="33" t="n">
        <x:f>IF(ISNUMBER(K18),100*MAX(0,MIN(1,('Anchors'!$H$12-K18)/('Anchors'!$H$12-'Anchors'!$G$12))),"")</x:f>
        <x:v>38.1651005532625</x:v>
      </x:c>
      <x:c r="AD18" s="33" t="n">
        <x:f>IF(ISNUMBER(L18),100*MAX(0,MIN(1,(L18-'Anchors'!$H$13)/('Anchors'!$G$13-'Anchors'!$H$13))),"")</x:f>
        <x:v>68.77188171428573</x:v>
      </x:c>
      <x:c r="AE18" s="33" t="n">
        <x:f>IF(ISNUMBER(M18),100*MAX(0,MIN(1,(M18-'Anchors'!$H$14)/('Anchors'!$G$14-'Anchors'!$H$14))),"")</x:f>
        <x:v>72.6753965</x:v>
      </x:c>
      <x:c r="AF18" s="33" t="n">
        <x:f>IF(ISNUMBER(N18),100*MAX(0,MIN(1,(LN(1+N18)-LN(1+'Anchors'!$H$15))/(LN(1+'Anchors'!$G$15)-LN(1+'Anchors'!$H$15)))),"")</x:f>
        <x:v>27.169608708719355</x:v>
      </x:c>
      <x:c r="AG18" s="33" t="n">
        <x:f>IF(ISNUMBER(O18),100*MAX(0,MIN(1,('Anchors'!$H$16-O18)/('Anchors'!$H$16-'Anchors'!$G$16))),"")</x:f>
        <x:v>2.4999999999999964</x:v>
      </x:c>
      <x:c r="AH18" s="33" t="n">
        <x:f>IF(ISNUMBER(P18),100*MAX(0,MIN(1,('Anchors'!$H$17-P18)/('Anchors'!$H$17-'Anchors'!$G$17))),"")</x:f>
        <x:v>0</x:v>
      </x:c>
      <x:c r="AI18" s="33" t="n">
        <x:f>IF(ISNUMBER(Q18),100*MAX(0,MIN(1,('Anchors'!$H$18-Q18)/('Anchors'!$H$18-'Anchors'!$G$18))),"")</x:f>
        <x:v>0</x:v>
      </x:c>
      <x:c r="AJ18" s="33" t="n">
        <x:f>IF(ISNUMBER(R18),100*MAX(0,MIN(1,('Anchors'!$H$19-R18)/('Anchors'!$H$19-'Anchors'!$G$19))),"")</x:f>
        <x:v>60.13713982792699</x:v>
      </x:c>
      <x:c r="AK18" s="33" t="n">
        <x:f>IF(ISNUMBER(S18),100*MAX(0,MIN(1,('Anchors'!$H$20-S18)/('Anchors'!$H$20-'Anchors'!$G$20))),"")</x:f>
        <x:v>87.097709625463</x:v>
      </x:c>
      <x:c r="AL18" s="33" t="n">
        <x:f>IF(ISNUMBER(T18),100*MAX(0,MIN(1,('Anchors'!$H$21-T18)/('Anchors'!$H$21-'Anchors'!$G$21))),"")</x:f>
        <x:v>87.0909090909091</x:v>
      </x:c>
      <x:c r="AM18" s="33" t="n">
        <x:f>IF(ISNUMBER(U18),100*MAX(0,MIN(1,('Anchors'!$H$22-U18)/('Anchors'!$H$22-'Anchors'!$G$22))),"")</x:f>
        <x:v>44.29226091355795</x:v>
      </x:c>
      <x:c r="AN18" s="33" t="n">
        <x:f>IF(ISNUMBER(V18),100*MAX(0,MIN(1,('Anchors'!$H$23-V18)/('Anchors'!$H$23-'Anchors'!$G$23))),"")</x:f>
        <x:v>68.6431055263375</x:v>
      </x:c>
      <x:c r="AO18" s="27" t="n">
        <x:f>IF(ISNUMBER(W18),IF('Scoring Setup'!$L$9=1,1-'Scoring Setup'!$B$5*(1-MAX(0,MIN(1,(W18-'Scoring Setup'!$K$9)/(100-'Scoring Setup'!$K$9)))),1),"")</x:f>
        <x:v>0.906</x:v>
      </x:c>
      <x:c r="AP18" s="27" t="n">
        <x:f>IF(ISNUMBER(X18),IF('Scoring Setup'!$L$10=1,1-'Scoring Setup'!$B$5*(1-MAX(0,MIN(1,(X18-'Scoring Setup'!$K$10)/(100-'Scoring Setup'!$K$10)))),1),"")</x:f>
        <x:v>0.940434936350778</x:v>
      </x:c>
      <x:c r="AQ18" s="27" t="n">
        <x:f>IF(ISNUMBER(Y18),IF('Scoring Setup'!$L$11=1,1-'Scoring Setup'!$B$5*(1-MAX(0,MIN(1,(Y18-'Scoring Setup'!$K$11)/(100-'Scoring Setup'!$K$11)))),1),"")</x:f>
        <x:v>0.8772935385685003</x:v>
      </x:c>
      <x:c r="AR18" s="27" t="n">
        <x:f>IF(ISNUMBER(Z18),IF('Scoring Setup'!$L$12=1,1-'Scoring Setup'!$B$5*(1-MAX(0,MIN(1,(Z18-'Scoring Setup'!$K$12)/(100-'Scoring Setup'!$K$12)))),1),"")</x:f>
        <x:v>0.8644018516231718</x:v>
      </x:c>
      <x:c r="AS18" s="27" t="n">
        <x:f>IF(ISNUMBER(AA18),IF('Scoring Setup'!$L$13=1,1-'Scoring Setup'!$B$5*(1-MAX(0,MIN(1,(AA18-'Scoring Setup'!$K$13)/(100-'Scoring Setup'!$K$13)))),1),"")</x:f>
        <x:v>0.9923745775944931</x:v>
      </x:c>
      <x:c r="AT18" s="27" t="n">
        <x:f>IF(ISNUMBER(AB18),IF('Scoring Setup'!$L$14=1,1-'Scoring Setup'!$B$5*(1-MAX(0,MIN(1,(AB18-'Scoring Setup'!$K$14)/(100-'Scoring Setup'!$K$14)))),1),"")</x:f>
        <x:v>0.9959932286135542</x:v>
      </x:c>
      <x:c r="AU18" s="27" t="n">
        <x:f>IF(ISNUMBER(AC18),IF('Scoring Setup'!$L$15=1,1-'Scoring Setup'!$B$5*(1-MAX(0,MIN(1,(AC18-'Scoring Setup'!$K$15)/(100-'Scoring Setup'!$K$15)))),1),"")</x:f>
        <x:v>0.876330201106525</x:v>
      </x:c>
      <x:c r="AV18" s="27" t="n">
        <x:f>IF(ISNUMBER(AD18),IF('Scoring Setup'!$L$16=1,1-'Scoring Setup'!$B$5*(1-MAX(0,MIN(1,(AD18-'Scoring Setup'!$K$16)/(100-'Scoring Setup'!$K$16)))),1),"")</x:f>
        <x:v>0.9375437634285715</x:v>
      </x:c>
      <x:c r="AW18" s="27" t="n">
        <x:f>IF(ISNUMBER(AE18),IF('Scoring Setup'!$L$17=1,1-'Scoring Setup'!$B$5*(1-MAX(0,MIN(1,(AE18-'Scoring Setup'!$K$17)/(100-'Scoring Setup'!$K$17)))),1),"")</x:f>
        <x:v>0.945350793</x:v>
      </x:c>
      <x:c r="AX18" s="27" t="n">
        <x:f>IF(ISNUMBER(AF18),IF('Scoring Setup'!$L$18=1,1-'Scoring Setup'!$B$5*(1-MAX(0,MIN(1,(AF18-'Scoring Setup'!$K$18)/(100-'Scoring Setup'!$K$18)))),1),"")</x:f>
        <x:v>0.8543392174174387</x:v>
      </x:c>
      <x:c r="AY18" s="27" t="n">
        <x:f>IF(ISNUMBER(AG18),IF('Scoring Setup'!$L$19=1,1-'Scoring Setup'!$B$5*(1-MAX(0,MIN(1,(AG18-'Scoring Setup'!$K$19)/(100-'Scoring Setup'!$K$19)))),1),"")</x:f>
        <x:v>0.8049999999999999</x:v>
      </x:c>
      <x:c r="AZ18" s="27" t="n">
        <x:f>IF(ISNUMBER(AH18),IF('Scoring Setup'!$L$20=1,1-'Scoring Setup'!$B$5*(1-MAX(0,MIN(1,(AH18-'Scoring Setup'!$K$20)/(100-'Scoring Setup'!$K$20)))),1),"")</x:f>
        <x:v>0.8</x:v>
      </x:c>
      <x:c r="BA18" s="27" t="n">
        <x:f>IF(ISNUMBER(AI18),IF('Scoring Setup'!$L$21=1,1-'Scoring Setup'!$B$5*(1-MAX(0,MIN(1,(AI18-'Scoring Setup'!$K$21)/(100-'Scoring Setup'!$K$21)))),1),"")</x:f>
        <x:v>0.8</x:v>
      </x:c>
      <x:c r="BB18" s="27" t="n">
        <x:f>IF(ISNUMBER(AJ18),IF('Scoring Setup'!$L$22=1,1-'Scoring Setup'!$B$5*(1-MAX(0,MIN(1,(AJ18-'Scoring Setup'!$K$22)/(100-'Scoring Setup'!$K$22)))),1),"")</x:f>
        <x:v>0.920274279655854</x:v>
      </x:c>
      <x:c r="BC18" s="27" t="n">
        <x:f>IF(ISNUMBER(AK18),IF('Scoring Setup'!$L$23=1,1-'Scoring Setup'!$B$5*(1-MAX(0,MIN(1,(AK18-'Scoring Setup'!$K$23)/(100-'Scoring Setup'!$K$23)))),1),"")</x:f>
        <x:v>0.974195419250926</x:v>
      </x:c>
      <x:c r="BD18" s="27" t="n">
        <x:f>IF(ISNUMBER(AL18),IF('Scoring Setup'!$L$24=1,1-'Scoring Setup'!$B$5*(1-MAX(0,MIN(1,(AL18-'Scoring Setup'!$K$24)/(100-'Scoring Setup'!$K$24)))),1),"")</x:f>
        <x:v>0.9741818181818181</x:v>
      </x:c>
      <x:c r="BE18" s="27" t="n">
        <x:f>IF(ISNUMBER(AM18),IF('Scoring Setup'!$L$25=1,1-'Scoring Setup'!$B$5*(1-MAX(0,MIN(1,(AM18-'Scoring Setup'!$K$25)/(100-'Scoring Setup'!$K$25)))),1),"")</x:f>
        <x:v>0.8885845218271159</x:v>
      </x:c>
      <x:c r="BF18" s="27" t="n">
        <x:f>IF(ISNUMBER(AN18),IF('Scoring Setup'!$L$26=1,1-'Scoring Setup'!$B$5*(1-MAX(0,MIN(1,(AN18-'Scoring Setup'!$K$26)/(100-'Scoring Setup'!$K$26)))),1),"")</x:f>
        <x:v>0.937286211052675</x:v>
      </x:c>
      <x:c r="BG18" s="34" t="n">
        <x:f>IF(COUNT(W18,X18)=2,AVERAGE(W18,X18),"")</x:f>
        <x:v>61.6087340876945</x:v>
      </x:c>
      <x:c r="BH18" s="34" t="n">
        <x:f>IF(COUNT(Y18,Z18)=2,AVERAGE(Y18,Z18),"")</x:f>
        <x:v>35.42384754791806</x:v>
      </x:c>
      <x:c r="BI18" s="34" t="n">
        <x:f>IF(COUNT(AA18,AB18,AC18)=3,AVERAGE(AA18,AB18,AC18),"")</x:f>
        <x:v>77.44966788576205</x:v>
      </x:c>
      <x:c r="BJ18" s="34" t="n">
        <x:f>IF(COUNT(AD18,AE18)=2,AVERAGE(AD18,AE18),"")</x:f>
        <x:v>70.72363910714287</x:v>
      </x:c>
      <x:c r="BK18" s="34" t="n">
        <x:f>IF(COUNT(AF18,AG18)=2,AVERAGE(AF18,AG18),"")</x:f>
        <x:v>14.834804354359676</x:v>
      </x:c>
      <x:c r="BL18" s="34" t="n">
        <x:f>IF(COUNT(AH18,AI18)=2,AVERAGE(AH18,AI18),"")</x:f>
        <x:v>0</x:v>
      </x:c>
      <x:c r="BM18" s="34" t="n">
        <x:f>IF(COUNT(AJ18,AK18)=2,AVERAGE(AJ18,AK18),"")</x:f>
        <x:v>73.61742472669499</x:v>
      </x:c>
      <x:c r="BN18" s="34" t="n">
        <x:f>IF(COUNT(AL18,AM18,AN18)=3,AVERAGE(AL18,AM18,AN18),"")</x:f>
        <x:v>66.67542517693484</x:v>
      </x:c>
      <x:c r="BO18" s="35" t="n">
        <x:f>IF(AND(COUNT(BG18:BN18)=8,ABS('Scoring Setup'!$C$17-1)&lt;0.000001),BG18*'Scoring Setup'!$C$9+BH18*'Scoring Setup'!$C$10+BI18*'Scoring Setup'!$C$11+BJ18*'Scoring Setup'!$C$12+BK18*'Scoring Setup'!$C$13+BL18*'Scoring Setup'!$C$14+BM18*'Scoring Setup'!$C$15+BN18*'Scoring Setup'!$C$16,"")</x:f>
        <x:v>53.229952842494725</x:v>
      </x:c>
      <x:c r="BP18" s="36" t="n">
        <x:f>IF(COUNT(AO18:BF18)=18,MIN(AO18:BF18),"")</x:f>
        <x:v>0.8</x:v>
      </x:c>
      <x:c r="BQ18" s="35" t="n">
        <x:f>IF(AND(ISNUMBER(BO18),ISNUMBER(BP18)),BO18*BP18,"")</x:f>
        <x:v>42.58396227399578</x:v>
      </x:c>
      <x:c r="BR18" s="17" t="str">
        <x:f>IF(COUNT(AO18:BF18)=18,INDEX('Scoring Setup'!$F$9:$F$26,MATCH(MIN(AO18:BF18),AO18:BF18,0),1),"")</x:f>
        <x:v>历史CDD65</x:v>
      </x:c>
    </x:row>
    <x:row r="19">
      <x:c r="A19" s="28" t="str">
        <x:v>13029</x:v>
      </x:c>
      <x:c r="B19" s="28" t="str">
        <x:v>Bryan County</x:v>
      </x:c>
      <x:c r="C19" s="28" t="str">
        <x:v>GA</x:v>
      </x:c>
      <x:c r="D19" s="31" t="n">
        <x:v>1133.284239</x:v>
      </x:c>
      <x:c r="E19" s="32" t="n">
        <x:v>0.676</x:v>
      </x:c>
      <x:c r="F19" s="32" t="n">
        <x:v>0.598081683168317</x:v>
      </x:c>
      <x:c r="G19" s="32" t="n">
        <x:v>0.8207086059047767</x:v>
      </x:c>
      <x:c r="H19" s="32" t="n">
        <x:v>0.630086639</x:v>
      </x:c>
      <x:c r="I19" s="32" t="n">
        <x:v>0.9110180321336782</x:v>
      </x:c>
      <x:c r="J19" s="32" t="n">
        <x:v>0.09244845179729956</x:v>
      </x:c>
      <x:c r="K19" s="32" t="n">
        <x:v>0.4268157941107836</x:v>
      </x:c>
      <x:c r="L19" s="32" t="n">
        <x:v>0.776621102</x:v>
      </x:c>
      <x:c r="M19" s="32" t="n">
        <x:v>0.717906309</x:v>
      </x:c>
      <x:c r="N19" s="32" t="n">
        <x:v>24391</x:v>
      </x:c>
      <x:c r="O19" s="32" t="n">
        <x:v>0.3115</x:v>
      </x:c>
      <x:c r="P19" s="32" t="n">
        <x:v>2284.184293619792</x:v>
      </x:c>
      <x:c r="Q19" s="32" t="n">
        <x:v>63.68989957173665</x:v>
      </x:c>
      <x:c r="R19" s="32" t="n">
        <x:v>12.087303655252171</x:v>
      </x:c>
      <x:c r="S19" s="32" t="n">
        <x:v>12.341112641478242</x:v>
      </x:c>
      <x:c r="T19" s="32" t="n">
        <x:v>72.1</x:v>
      </x:c>
      <x:c r="U19" s="32" t="n">
        <x:v>211.4154781728841</x:v>
      </x:c>
      <x:c r="V19" s="32" t="n">
        <x:v>325.42757789465</x:v>
      </x:c>
      <x:c r="W19" s="33" t="n">
        <x:f>IF(ISNUMBER(E19),100*MAX(0,MIN(1,('Anchors'!$H$6-E19)/('Anchors'!$H$6-'Anchors'!$G$6))),"")</x:f>
        <x:v>32</x:v>
      </x:c>
      <x:c r="X19" s="33" t="n">
        <x:f>IF(ISNUMBER(F19),100*MAX(0,MIN(1,('Anchors'!$H$7-F19)/('Anchors'!$H$7-'Anchors'!$G$7))),"")</x:f>
        <x:v>28.845473833097575</x:v>
      </x:c>
      <x:c r="Y19" s="33" t="n">
        <x:f>IF(ISNUMBER(G19),100*MAX(0,MIN(1,('Anchors'!$H$8-G19)/('Anchors'!$H$8-'Anchors'!$G$8))),"")</x:f>
        <x:v>100</x:v>
      </x:c>
      <x:c r="Z19" s="33" t="n">
        <x:f>IF(ISNUMBER(H19),100*MAX(0,MIN(1,('Anchors'!$H$9-H19)/('Anchors'!$H$9-'Anchors'!$G$9))),"")</x:f>
        <x:v>100</x:v>
      </x:c>
      <x:c r="AA19" s="33" t="n">
        <x:f>IF(ISNUMBER(I19),100*MAX(0,MIN(1,(I19-'Anchors'!$H$10)/('Anchors'!$G$10-'Anchors'!$H$10))),"")</x:f>
        <x:v>90.55041536077783</x:v>
      </x:c>
      <x:c r="AB19" s="33" t="n">
        <x:f>IF(ISNUMBER(J19),100*MAX(0,MIN(1,('Anchors'!$H$11-J19)/('Anchors'!$H$11-'Anchors'!$G$11))),"")</x:f>
        <x:v>63.02061928108018</x:v>
      </x:c>
      <x:c r="AC19" s="33" t="n">
        <x:f>IF(ISNUMBER(K19),100*MAX(0,MIN(1,('Anchors'!$H$12-K19)/('Anchors'!$H$12-'Anchors'!$G$12))),"")</x:f>
        <x:v>0</x:v>
      </x:c>
      <x:c r="AD19" s="33" t="n">
        <x:f>IF(ISNUMBER(L19),100*MAX(0,MIN(1,(L19-'Anchors'!$H$13)/('Anchors'!$G$13-'Anchors'!$H$13))),"")</x:f>
        <x:v>82.37444314285716</x:v>
      </x:c>
      <x:c r="AE19" s="33" t="n">
        <x:f>IF(ISNUMBER(M19),100*MAX(0,MIN(1,(M19-'Anchors'!$H$14)/('Anchors'!$G$14-'Anchors'!$H$14))),"")</x:f>
        <x:v>77.238288625</x:v>
      </x:c>
      <x:c r="AF19" s="33" t="n">
        <x:f>IF(ISNUMBER(N19),100*MAX(0,MIN(1,(LN(1+N19)-LN(1+'Anchors'!$H$15))/(LN(1+'Anchors'!$G$15)-LN(1+'Anchors'!$H$15)))),"")</x:f>
        <x:v>57.92474184084732</x:v>
      </x:c>
      <x:c r="AG19" s="33" t="n">
        <x:f>IF(ISNUMBER(O19),100*MAX(0,MIN(1,('Anchors'!$H$16-O19)/('Anchors'!$H$16-'Anchors'!$G$16))),"")</x:f>
        <x:v>70.94444444444444</x:v>
      </x:c>
      <x:c r="AH19" s="33" t="n">
        <x:f>IF(ISNUMBER(P19),100*MAX(0,MIN(1,('Anchors'!$H$17-P19)/('Anchors'!$H$17-'Anchors'!$G$17))),"")</x:f>
        <x:v>0</x:v>
      </x:c>
      <x:c r="AI19" s="33" t="n">
        <x:f>IF(ISNUMBER(Q19),100*MAX(0,MIN(1,('Anchors'!$H$18-Q19)/('Anchors'!$H$18-'Anchors'!$G$18))),"")</x:f>
        <x:v>16.157286326090496</x:v>
      </x:c>
      <x:c r="AJ19" s="33" t="n">
        <x:f>IF(ISNUMBER(R19),100*MAX(0,MIN(1,('Anchors'!$H$19-R19)/('Anchors'!$H$19-'Anchors'!$G$19))),"")</x:f>
        <x:v>84.25043632166184</x:v>
      </x:c>
      <x:c r="AK19" s="33" t="n">
        <x:f>IF(ISNUMBER(S19),100*MAX(0,MIN(1,('Anchors'!$H$20-S19)/('Anchors'!$H$20-'Anchors'!$G$20))),"")</x:f>
        <x:v>40.30993346590399</x:v>
      </x:c>
      <x:c r="AL19" s="33" t="n">
        <x:f>IF(ISNUMBER(T19),100*MAX(0,MIN(1,('Anchors'!$H$21-T19)/('Anchors'!$H$21-'Anchors'!$G$21))),"")</x:f>
        <x:v>87.0909090909091</x:v>
      </x:c>
      <x:c r="AM19" s="33" t="n">
        <x:f>IF(ISNUMBER(U19),100*MAX(0,MIN(1,('Anchors'!$H$22-U19)/('Anchors'!$H$22-'Anchors'!$G$22))),"")</x:f>
        <x:v>44.29226091355795</x:v>
      </x:c>
      <x:c r="AN19" s="33" t="n">
        <x:f>IF(ISNUMBER(V19),100*MAX(0,MIN(1,('Anchors'!$H$23-V19)/('Anchors'!$H$23-'Anchors'!$G$23))),"")</x:f>
        <x:v>68.6431055263375</x:v>
      </x:c>
      <x:c r="AO19" s="27" t="n">
        <x:f>IF(ISNUMBER(W19),IF('Scoring Setup'!$L$9=1,1-'Scoring Setup'!$B$5*(1-MAX(0,MIN(1,(W19-'Scoring Setup'!$K$9)/(100-'Scoring Setup'!$K$9)))),1),"")</x:f>
        <x:v>0.864</x:v>
      </x:c>
      <x:c r="AP19" s="27" t="n">
        <x:f>IF(ISNUMBER(X19),IF('Scoring Setup'!$L$10=1,1-'Scoring Setup'!$B$5*(1-MAX(0,MIN(1,(X19-'Scoring Setup'!$K$10)/(100-'Scoring Setup'!$K$10)))),1),"")</x:f>
        <x:v>0.8576909476661951</x:v>
      </x:c>
      <x:c r="AQ19" s="27" t="n">
        <x:f>IF(ISNUMBER(Y19),IF('Scoring Setup'!$L$11=1,1-'Scoring Setup'!$B$5*(1-MAX(0,MIN(1,(Y19-'Scoring Setup'!$K$11)/(100-'Scoring Setup'!$K$11)))),1),"")</x:f>
        <x:v>1</x:v>
      </x:c>
      <x:c r="AR19" s="27" t="n">
        <x:f>IF(ISNUMBER(Z19),IF('Scoring Setup'!$L$12=1,1-'Scoring Setup'!$B$5*(1-MAX(0,MIN(1,(Z19-'Scoring Setup'!$K$12)/(100-'Scoring Setup'!$K$12)))),1),"")</x:f>
        <x:v>1</x:v>
      </x:c>
      <x:c r="AS19" s="27" t="n">
        <x:f>IF(ISNUMBER(AA19),IF('Scoring Setup'!$L$13=1,1-'Scoring Setup'!$B$5*(1-MAX(0,MIN(1,(AA19-'Scoring Setup'!$K$13)/(100-'Scoring Setup'!$K$13)))),1),"")</x:f>
        <x:v>0.9811008307215556</x:v>
      </x:c>
      <x:c r="AT19" s="27" t="n">
        <x:f>IF(ISNUMBER(AB19),IF('Scoring Setup'!$L$14=1,1-'Scoring Setup'!$B$5*(1-MAX(0,MIN(1,(AB19-'Scoring Setup'!$K$14)/(100-'Scoring Setup'!$K$14)))),1),"")</x:f>
        <x:v>0.9260412385621604</x:v>
      </x:c>
      <x:c r="AU19" s="27" t="n">
        <x:f>IF(ISNUMBER(AC19),IF('Scoring Setup'!$L$15=1,1-'Scoring Setup'!$B$5*(1-MAX(0,MIN(1,(AC19-'Scoring Setup'!$K$15)/(100-'Scoring Setup'!$K$15)))),1),"")</x:f>
        <x:v>0.8</x:v>
      </x:c>
      <x:c r="AV19" s="27" t="n">
        <x:f>IF(ISNUMBER(AD19),IF('Scoring Setup'!$L$16=1,1-'Scoring Setup'!$B$5*(1-MAX(0,MIN(1,(AD19-'Scoring Setup'!$K$16)/(100-'Scoring Setup'!$K$16)))),1),"")</x:f>
        <x:v>0.9647488862857143</x:v>
      </x:c>
      <x:c r="AW19" s="27" t="n">
        <x:f>IF(ISNUMBER(AE19),IF('Scoring Setup'!$L$17=1,1-'Scoring Setup'!$B$5*(1-MAX(0,MIN(1,(AE19-'Scoring Setup'!$K$17)/(100-'Scoring Setup'!$K$17)))),1),"")</x:f>
        <x:v>0.95447657725</x:v>
      </x:c>
      <x:c r="AX19" s="27" t="n">
        <x:f>IF(ISNUMBER(AF19),IF('Scoring Setup'!$L$18=1,1-'Scoring Setup'!$B$5*(1-MAX(0,MIN(1,(AF19-'Scoring Setup'!$K$18)/(100-'Scoring Setup'!$K$18)))),1),"")</x:f>
        <x:v>0.9158494836816946</x:v>
      </x:c>
      <x:c r="AY19" s="27" t="n">
        <x:f>IF(ISNUMBER(AG19),IF('Scoring Setup'!$L$19=1,1-'Scoring Setup'!$B$5*(1-MAX(0,MIN(1,(AG19-'Scoring Setup'!$K$19)/(100-'Scoring Setup'!$K$19)))),1),"")</x:f>
        <x:v>0.9418888888888889</x:v>
      </x:c>
      <x:c r="AZ19" s="27" t="n">
        <x:f>IF(ISNUMBER(AH19),IF('Scoring Setup'!$L$20=1,1-'Scoring Setup'!$B$5*(1-MAX(0,MIN(1,(AH19-'Scoring Setup'!$K$20)/(100-'Scoring Setup'!$K$20)))),1),"")</x:f>
        <x:v>0.8</x:v>
      </x:c>
      <x:c r="BA19" s="27" t="n">
        <x:f>IF(ISNUMBER(AI19),IF('Scoring Setup'!$L$21=1,1-'Scoring Setup'!$B$5*(1-MAX(0,MIN(1,(AI19-'Scoring Setup'!$K$21)/(100-'Scoring Setup'!$K$21)))),1),"")</x:f>
        <x:v>0.832314572652181</x:v>
      </x:c>
      <x:c r="BB19" s="27" t="n">
        <x:f>IF(ISNUMBER(AJ19),IF('Scoring Setup'!$L$22=1,1-'Scoring Setup'!$B$5*(1-MAX(0,MIN(1,(AJ19-'Scoring Setup'!$K$22)/(100-'Scoring Setup'!$K$22)))),1),"")</x:f>
        <x:v>0.9685008726433236</x:v>
      </x:c>
      <x:c r="BC19" s="27" t="n">
        <x:f>IF(ISNUMBER(AK19),IF('Scoring Setup'!$L$23=1,1-'Scoring Setup'!$B$5*(1-MAX(0,MIN(1,(AK19-'Scoring Setup'!$K$23)/(100-'Scoring Setup'!$K$23)))),1),"")</x:f>
        <x:v>0.8806198669318079</x:v>
      </x:c>
      <x:c r="BD19" s="27" t="n">
        <x:f>IF(ISNUMBER(AL19),IF('Scoring Setup'!$L$24=1,1-'Scoring Setup'!$B$5*(1-MAX(0,MIN(1,(AL19-'Scoring Setup'!$K$24)/(100-'Scoring Setup'!$K$24)))),1),"")</x:f>
        <x:v>0.9741818181818181</x:v>
      </x:c>
      <x:c r="BE19" s="27" t="n">
        <x:f>IF(ISNUMBER(AM19),IF('Scoring Setup'!$L$25=1,1-'Scoring Setup'!$B$5*(1-MAX(0,MIN(1,(AM19-'Scoring Setup'!$K$25)/(100-'Scoring Setup'!$K$25)))),1),"")</x:f>
        <x:v>0.8885845218271159</x:v>
      </x:c>
      <x:c r="BF19" s="27" t="n">
        <x:f>IF(ISNUMBER(AN19),IF('Scoring Setup'!$L$26=1,1-'Scoring Setup'!$B$5*(1-MAX(0,MIN(1,(AN19-'Scoring Setup'!$K$26)/(100-'Scoring Setup'!$K$26)))),1),"")</x:f>
        <x:v>0.937286211052675</x:v>
      </x:c>
      <x:c r="BG19" s="34" t="n">
        <x:f>IF(COUNT(W19,X19)=2,AVERAGE(W19,X19),"")</x:f>
        <x:v>30.422736916548786</x:v>
      </x:c>
      <x:c r="BH19" s="34" t="n">
        <x:f>IF(COUNT(Y19,Z19)=2,AVERAGE(Y19,Z19),"")</x:f>
        <x:v>100</x:v>
      </x:c>
      <x:c r="BI19" s="34" t="n">
        <x:f>IF(COUNT(AA19,AB19,AC19)=3,AVERAGE(AA19,AB19,AC19),"")</x:f>
        <x:v>51.190344880619335</x:v>
      </x:c>
      <x:c r="BJ19" s="34" t="n">
        <x:f>IF(COUNT(AD19,AE19)=2,AVERAGE(AD19,AE19),"")</x:f>
        <x:v>79.80636588392858</x:v>
      </x:c>
      <x:c r="BK19" s="34" t="n">
        <x:f>IF(COUNT(AF19,AG19)=2,AVERAGE(AF19,AG19),"")</x:f>
        <x:v>64.43459314264588</x:v>
      </x:c>
      <x:c r="BL19" s="34" t="n">
        <x:f>IF(COUNT(AH19,AI19)=2,AVERAGE(AH19,AI19),"")</x:f>
        <x:v>8.078643163045248</x:v>
      </x:c>
      <x:c r="BM19" s="34" t="n">
        <x:f>IF(COUNT(AJ19,AK19)=2,AVERAGE(AJ19,AK19),"")</x:f>
        <x:v>62.280184893782916</x:v>
      </x:c>
      <x:c r="BN19" s="34" t="n">
        <x:f>IF(COUNT(AL19,AM19,AN19)=3,AVERAGE(AL19,AM19,AN19),"")</x:f>
        <x:v>66.67542517693484</x:v>
      </x:c>
      <x:c r="BO19" s="35" t="n">
        <x:f>IF(AND(COUNT(BG19:BN19)=8,ABS('Scoring Setup'!$C$17-1)&lt;0.000001),BG19*'Scoring Setup'!$C$9+BH19*'Scoring Setup'!$C$10+BI19*'Scoring Setup'!$C$11+BJ19*'Scoring Setup'!$C$12+BK19*'Scoring Setup'!$C$13+BL19*'Scoring Setup'!$C$14+BM19*'Scoring Setup'!$C$15+BN19*'Scoring Setup'!$C$16,"")</x:f>
        <x:v>66.10597303829611</x:v>
      </x:c>
      <x:c r="BP19" s="36" t="n">
        <x:f>IF(COUNT(AO19:BF19)=18,MIN(AO19:BF19),"")</x:f>
        <x:v>0.8</x:v>
      </x:c>
      <x:c r="BQ19" s="35" t="n">
        <x:f>IF(AND(ISNUMBER(BO19),ISNUMBER(BP19)),BO19*BP19,"")</x:f>
        <x:v>52.88477843063689</x:v>
      </x:c>
      <x:c r="BR19" s="17" t="str">
        <x:f>IF(COUNT(AO19:BF19)=18,INDEX('Scoring Setup'!$F$9:$F$26,MATCH(MIN(AO19:BF19),AO19:BF19,0),1),"")</x:f>
        <x:v>湿地陆地比例</x:v>
      </x:c>
    </x:row>
    <x:row r="20">
      <x:c r="A20" s="28" t="str">
        <x:v>13031</x:v>
      </x:c>
      <x:c r="B20" s="28" t="str">
        <x:v>Bulloch County</x:v>
      </x:c>
      <x:c r="C20" s="28" t="str">
        <x:v>GA</x:v>
      </x:c>
      <x:c r="D20" s="31" t="n">
        <x:v>1750.735216</x:v>
      </x:c>
      <x:c r="E20" s="32" t="n">
        <x:v>0.515</x:v>
      </x:c>
      <x:c r="F20" s="32" t="n">
        <x:v>0.156559405940594</x:v>
      </x:c>
      <x:c r="G20" s="32" t="n">
        <x:v>0.8207086059047766</x:v>
      </x:c>
      <x:c r="H20" s="32" t="n">
        <x:v>0.630086639</x:v>
      </x:c>
      <x:c r="I20" s="32" t="n">
        <x:v>0.9018797258684289</x:v>
      </x:c>
      <x:c r="J20" s="32" t="n">
        <x:v>0.027970700979506814</x:v>
      </x:c>
      <x:c r="K20" s="32" t="n">
        <x:v>0.3489935552692589</x:v>
      </x:c>
      <x:c r="L20" s="32" t="n">
        <x:v>0.601479131</x:v>
      </x:c>
      <x:c r="M20" s="32" t="n">
        <x:v>0.601479131</x:v>
      </x:c>
      <x:c r="N20" s="32" t="n">
        <x:v>39252</x:v>
      </x:c>
      <x:c r="O20" s="32" t="n">
        <x:v>0.8374</x:v>
      </x:c>
      <x:c r="P20" s="32" t="n">
        <x:v>2198.5204264322915</x:v>
      </x:c>
      <x:c r="Q20" s="32" t="n">
        <x:v>67.07814801534018</x:v>
      </x:c>
      <x:c r="R20" s="32" t="n">
        <x:v>12.893356992713603</x:v>
      </x:c>
      <x:c r="S20" s="32" t="n">
        <x:v>5.5263256568135315</x:v>
      </x:c>
      <x:c r="T20" s="32" t="n">
        <x:v>72.1</x:v>
      </x:c>
      <x:c r="U20" s="32" t="n">
        <x:v>211.4154781728841</x:v>
      </x:c>
      <x:c r="V20" s="32" t="n">
        <x:v>325.42757789465</x:v>
      </x:c>
      <x:c r="W20" s="33" t="n">
        <x:f>IF(ISNUMBER(E20),100*MAX(0,MIN(1,('Anchors'!$H$6-E20)/('Anchors'!$H$6-'Anchors'!$G$6))),"")</x:f>
        <x:v>55.00000000000001</x:v>
      </x:c>
      <x:c r="X20" s="33" t="n">
        <x:f>IF(ISNUMBER(F20),100*MAX(0,MIN(1,('Anchors'!$H$7-F20)/('Anchors'!$H$7-'Anchors'!$G$7))),"")</x:f>
        <x:v>91.92008486562942</x:v>
      </x:c>
      <x:c r="Y20" s="33" t="n">
        <x:f>IF(ISNUMBER(G20),100*MAX(0,MIN(1,('Anchors'!$H$8-G20)/('Anchors'!$H$8-'Anchors'!$G$8))),"")</x:f>
        <x:v>100</x:v>
      </x:c>
      <x:c r="Z20" s="33" t="n">
        <x:f>IF(ISNUMBER(H20),100*MAX(0,MIN(1,('Anchors'!$H$9-H20)/('Anchors'!$H$9-'Anchors'!$G$9))),"")</x:f>
        <x:v>100</x:v>
      </x:c>
      <x:c r="AA20" s="33" t="n">
        <x:f>IF(ISNUMBER(I20),100*MAX(0,MIN(1,(I20-'Anchors'!$H$10)/('Anchors'!$G$10-'Anchors'!$H$10))),"")</x:f>
        <x:v>89.29859258471629</x:v>
      </x:c>
      <x:c r="AB20" s="33" t="n">
        <x:f>IF(ISNUMBER(J20),100*MAX(0,MIN(1,('Anchors'!$H$11-J20)/('Anchors'!$H$11-'Anchors'!$G$11))),"")</x:f>
        <x:v>88.81171960819727</x:v>
      </x:c>
      <x:c r="AC20" s="33" t="n">
        <x:f>IF(ISNUMBER(K20),100*MAX(0,MIN(1,('Anchors'!$H$12-K20)/('Anchors'!$H$12-'Anchors'!$G$12))),"")</x:f>
        <x:v>12.751611182685279</x:v>
      </x:c>
      <x:c r="AD20" s="33" t="n">
        <x:f>IF(ISNUMBER(L20),100*MAX(0,MIN(1,(L20-'Anchors'!$H$13)/('Anchors'!$G$13-'Anchors'!$H$13))),"")</x:f>
        <x:v>57.35416157142856</x:v>
      </x:c>
      <x:c r="AE20" s="33" t="n">
        <x:f>IF(ISNUMBER(M20),100*MAX(0,MIN(1,(M20-'Anchors'!$H$14)/('Anchors'!$G$14-'Anchors'!$H$14))),"")</x:f>
        <x:v>62.68489137499999</x:v>
      </x:c>
      <x:c r="AF20" s="33" t="n">
        <x:f>IF(ISNUMBER(N20),100*MAX(0,MIN(1,(LN(1+N20)-LN(1+'Anchors'!$H$15))/(LN(1+'Anchors'!$G$15)-LN(1+'Anchors'!$H$15)))),"")</x:f>
        <x:v>68.94566438528312</x:v>
      </x:c>
      <x:c r="AG20" s="33" t="n">
        <x:f>IF(ISNUMBER(O20),100*MAX(0,MIN(1,('Anchors'!$H$16-O20)/('Anchors'!$H$16-'Anchors'!$G$16))),"")</x:f>
        <x:v>12.511111111111104</x:v>
      </x:c>
      <x:c r="AH20" s="33" t="n">
        <x:f>IF(ISNUMBER(P20),100*MAX(0,MIN(1,('Anchors'!$H$17-P20)/('Anchors'!$H$17-'Anchors'!$G$17))),"")</x:f>
        <x:v>0.09863823784723232</x:v>
      </x:c>
      <x:c r="AI20" s="33" t="n">
        <x:f>IF(ISNUMBER(Q20),100*MAX(0,MIN(1,('Anchors'!$H$18-Q20)/('Anchors'!$H$18-'Anchors'!$G$18))),"")</x:f>
        <x:v>11.316931406656892</x:v>
      </x:c>
      <x:c r="AJ20" s="33" t="n">
        <x:f>IF(ISNUMBER(R20),100*MAX(0,MIN(1,('Anchors'!$H$19-R20)/('Anchors'!$H$19-'Anchors'!$G$19))),"")</x:f>
        <x:v>82.45920668285865</x:v>
      </x:c>
      <x:c r="AK20" s="33" t="n">
        <x:f>IF(ISNUMBER(S20),100*MAX(0,MIN(1,('Anchors'!$H$20-S20)/('Anchors'!$H$20-'Anchors'!$G$20))),"")</x:f>
        <x:v>76.17723338519194</x:v>
      </x:c>
      <x:c r="AL20" s="33" t="n">
        <x:f>IF(ISNUMBER(T20),100*MAX(0,MIN(1,('Anchors'!$H$21-T20)/('Anchors'!$H$21-'Anchors'!$G$21))),"")</x:f>
        <x:v>87.0909090909091</x:v>
      </x:c>
      <x:c r="AM20" s="33" t="n">
        <x:f>IF(ISNUMBER(U20),100*MAX(0,MIN(1,('Anchors'!$H$22-U20)/('Anchors'!$H$22-'Anchors'!$G$22))),"")</x:f>
        <x:v>44.29226091355795</x:v>
      </x:c>
      <x:c r="AN20" s="33" t="n">
        <x:f>IF(ISNUMBER(V20),100*MAX(0,MIN(1,('Anchors'!$H$23-V20)/('Anchors'!$H$23-'Anchors'!$G$23))),"")</x:f>
        <x:v>68.6431055263375</x:v>
      </x:c>
      <x:c r="AO20" s="27" t="n">
        <x:f>IF(ISNUMBER(W20),IF('Scoring Setup'!$L$9=1,1-'Scoring Setup'!$B$5*(1-MAX(0,MIN(1,(W20-'Scoring Setup'!$K$9)/(100-'Scoring Setup'!$K$9)))),1),"")</x:f>
        <x:v>0.91</x:v>
      </x:c>
      <x:c r="AP20" s="27" t="n">
        <x:f>IF(ISNUMBER(X20),IF('Scoring Setup'!$L$10=1,1-'Scoring Setup'!$B$5*(1-MAX(0,MIN(1,(X20-'Scoring Setup'!$K$10)/(100-'Scoring Setup'!$K$10)))),1),"")</x:f>
        <x:v>0.9838401697312589</x:v>
      </x:c>
      <x:c r="AQ20" s="27" t="n">
        <x:f>IF(ISNUMBER(Y20),IF('Scoring Setup'!$L$11=1,1-'Scoring Setup'!$B$5*(1-MAX(0,MIN(1,(Y20-'Scoring Setup'!$K$11)/(100-'Scoring Setup'!$K$11)))),1),"")</x:f>
        <x:v>1</x:v>
      </x:c>
      <x:c r="AR20" s="27" t="n">
        <x:f>IF(ISNUMBER(Z20),IF('Scoring Setup'!$L$12=1,1-'Scoring Setup'!$B$5*(1-MAX(0,MIN(1,(Z20-'Scoring Setup'!$K$12)/(100-'Scoring Setup'!$K$12)))),1),"")</x:f>
        <x:v>1</x:v>
      </x:c>
      <x:c r="AS20" s="27" t="n">
        <x:f>IF(ISNUMBER(AA20),IF('Scoring Setup'!$L$13=1,1-'Scoring Setup'!$B$5*(1-MAX(0,MIN(1,(AA20-'Scoring Setup'!$K$13)/(100-'Scoring Setup'!$K$13)))),1),"")</x:f>
        <x:v>0.9785971851694326</x:v>
      </x:c>
      <x:c r="AT20" s="27" t="n">
        <x:f>IF(ISNUMBER(AB20),IF('Scoring Setup'!$L$14=1,1-'Scoring Setup'!$B$5*(1-MAX(0,MIN(1,(AB20-'Scoring Setup'!$K$14)/(100-'Scoring Setup'!$K$14)))),1),"")</x:f>
        <x:v>0.9776234392163945</x:v>
      </x:c>
      <x:c r="AU20" s="27" t="n">
        <x:f>IF(ISNUMBER(AC20),IF('Scoring Setup'!$L$15=1,1-'Scoring Setup'!$B$5*(1-MAX(0,MIN(1,(AC20-'Scoring Setup'!$K$15)/(100-'Scoring Setup'!$K$15)))),1),"")</x:f>
        <x:v>0.8255032223653705</x:v>
      </x:c>
      <x:c r="AV20" s="27" t="n">
        <x:f>IF(ISNUMBER(AD20),IF('Scoring Setup'!$L$16=1,1-'Scoring Setup'!$B$5*(1-MAX(0,MIN(1,(AD20-'Scoring Setup'!$K$16)/(100-'Scoring Setup'!$K$16)))),1),"")</x:f>
        <x:v>0.9147083231428571</x:v>
      </x:c>
      <x:c r="AW20" s="27" t="n">
        <x:f>IF(ISNUMBER(AE20),IF('Scoring Setup'!$L$17=1,1-'Scoring Setup'!$B$5*(1-MAX(0,MIN(1,(AE20-'Scoring Setup'!$K$17)/(100-'Scoring Setup'!$K$17)))),1),"")</x:f>
        <x:v>0.92536978275</x:v>
      </x:c>
      <x:c r="AX20" s="27" t="n">
        <x:f>IF(ISNUMBER(AF20),IF('Scoring Setup'!$L$18=1,1-'Scoring Setup'!$B$5*(1-MAX(0,MIN(1,(AF20-'Scoring Setup'!$K$18)/(100-'Scoring Setup'!$K$18)))),1),"")</x:f>
        <x:v>0.9378913287705662</x:v>
      </x:c>
      <x:c r="AY20" s="27" t="n">
        <x:f>IF(ISNUMBER(AG20),IF('Scoring Setup'!$L$19=1,1-'Scoring Setup'!$B$5*(1-MAX(0,MIN(1,(AG20-'Scoring Setup'!$K$19)/(100-'Scoring Setup'!$K$19)))),1),"")</x:f>
        <x:v>0.8250222222222222</x:v>
      </x:c>
      <x:c r="AZ20" s="27" t="n">
        <x:f>IF(ISNUMBER(AH20),IF('Scoring Setup'!$L$20=1,1-'Scoring Setup'!$B$5*(1-MAX(0,MIN(1,(AH20-'Scoring Setup'!$K$20)/(100-'Scoring Setup'!$K$20)))),1),"")</x:f>
        <x:v>0.8001972764756945</x:v>
      </x:c>
      <x:c r="BA20" s="27" t="n">
        <x:f>IF(ISNUMBER(AI20),IF('Scoring Setup'!$L$21=1,1-'Scoring Setup'!$B$5*(1-MAX(0,MIN(1,(AI20-'Scoring Setup'!$K$21)/(100-'Scoring Setup'!$K$21)))),1),"")</x:f>
        <x:v>0.8226338628133137</x:v>
      </x:c>
      <x:c r="BB20" s="27" t="n">
        <x:f>IF(ISNUMBER(AJ20),IF('Scoring Setup'!$L$22=1,1-'Scoring Setup'!$B$5*(1-MAX(0,MIN(1,(AJ20-'Scoring Setup'!$K$22)/(100-'Scoring Setup'!$K$22)))),1),"")</x:f>
        <x:v>0.9649184133657173</x:v>
      </x:c>
      <x:c r="BC20" s="27" t="n">
        <x:f>IF(ISNUMBER(AK20),IF('Scoring Setup'!$L$23=1,1-'Scoring Setup'!$B$5*(1-MAX(0,MIN(1,(AK20-'Scoring Setup'!$K$23)/(100-'Scoring Setup'!$K$23)))),1),"")</x:f>
        <x:v>0.9523544667703839</x:v>
      </x:c>
      <x:c r="BD20" s="27" t="n">
        <x:f>IF(ISNUMBER(AL20),IF('Scoring Setup'!$L$24=1,1-'Scoring Setup'!$B$5*(1-MAX(0,MIN(1,(AL20-'Scoring Setup'!$K$24)/(100-'Scoring Setup'!$K$24)))),1),"")</x:f>
        <x:v>0.9741818181818181</x:v>
      </x:c>
      <x:c r="BE20" s="27" t="n">
        <x:f>IF(ISNUMBER(AM20),IF('Scoring Setup'!$L$25=1,1-'Scoring Setup'!$B$5*(1-MAX(0,MIN(1,(AM20-'Scoring Setup'!$K$25)/(100-'Scoring Setup'!$K$25)))),1),"")</x:f>
        <x:v>0.8885845218271159</x:v>
      </x:c>
      <x:c r="BF20" s="27" t="n">
        <x:f>IF(ISNUMBER(AN20),IF('Scoring Setup'!$L$26=1,1-'Scoring Setup'!$B$5*(1-MAX(0,MIN(1,(AN20-'Scoring Setup'!$K$26)/(100-'Scoring Setup'!$K$26)))),1),"")</x:f>
        <x:v>0.937286211052675</x:v>
      </x:c>
      <x:c r="BG20" s="34" t="n">
        <x:f>IF(COUNT(W20,X20)=2,AVERAGE(W20,X20),"")</x:f>
        <x:v>73.46004243281472</x:v>
      </x:c>
      <x:c r="BH20" s="34" t="n">
        <x:f>IF(COUNT(Y20,Z20)=2,AVERAGE(Y20,Z20),"")</x:f>
        <x:v>100</x:v>
      </x:c>
      <x:c r="BI20" s="34" t="n">
        <x:f>IF(COUNT(AA20,AB20,AC20)=3,AVERAGE(AA20,AB20,AC20),"")</x:f>
        <x:v>63.62064112519962</x:v>
      </x:c>
      <x:c r="BJ20" s="34" t="n">
        <x:f>IF(COUNT(AD20,AE20)=2,AVERAGE(AD20,AE20),"")</x:f>
        <x:v>60.01952647321428</x:v>
      </x:c>
      <x:c r="BK20" s="34" t="n">
        <x:f>IF(COUNT(AF20,AG20)=2,AVERAGE(AF20,AG20),"")</x:f>
        <x:v>40.728387748197115</x:v>
      </x:c>
      <x:c r="BL20" s="34" t="n">
        <x:f>IF(COUNT(AH20,AI20)=2,AVERAGE(AH20,AI20),"")</x:f>
        <x:v>5.707784822252062</x:v>
      </x:c>
      <x:c r="BM20" s="34" t="n">
        <x:f>IF(COUNT(AJ20,AK20)=2,AVERAGE(AJ20,AK20),"")</x:f>
        <x:v>79.3182200340253</x:v>
      </x:c>
      <x:c r="BN20" s="34" t="n">
        <x:f>IF(COUNT(AL20,AM20,AN20)=3,AVERAGE(AL20,AM20,AN20),"")</x:f>
        <x:v>66.67542517693484</x:v>
      </x:c>
      <x:c r="BO20" s="35" t="n">
        <x:f>IF(AND(COUNT(BG20:BN20)=8,ABS('Scoring Setup'!$C$17-1)&lt;0.000001),BG20*'Scoring Setup'!$C$9+BH20*'Scoring Setup'!$C$10+BI20*'Scoring Setup'!$C$11+BJ20*'Scoring Setup'!$C$12+BK20*'Scoring Setup'!$C$13+BL20*'Scoring Setup'!$C$14+BM20*'Scoring Setup'!$C$15+BN20*'Scoring Setup'!$C$16,"")</x:f>
        <x:v>68.0367875738369</x:v>
      </x:c>
      <x:c r="BP20" s="36" t="n">
        <x:f>IF(COUNT(AO20:BF20)=18,MIN(AO20:BF20),"")</x:f>
        <x:v>0.8001972764756945</x:v>
      </x:c>
      <x:c r="BQ20" s="35" t="n">
        <x:f>IF(AND(ISNUMBER(BO20),ISNUMBER(BP20)),BO20*BP20,"")</x:f>
        <x:v>54.442852116739665</x:v>
      </x:c>
      <x:c r="BR20" s="17" t="str">
        <x:f>IF(COUNT(AO20:BF20)=18,INDEX('Scoring Setup'!$F$9:$F$26,MATCH(MIN(AO20:BF20),AO20:BF20,0),1),"")</x:f>
        <x:v>历史CDD65</x:v>
      </x:c>
    </x:row>
    <x:row r="21">
      <x:c r="A21" s="28" t="str">
        <x:v>13033</x:v>
      </x:c>
      <x:c r="B21" s="28" t="str">
        <x:v>Burke County</x:v>
      </x:c>
      <x:c r="C21" s="28" t="str">
        <x:v>GA</x:v>
      </x:c>
      <x:c r="D21" s="31" t="n">
        <x:v>2142.029072</x:v>
      </x:c>
      <x:c r="E21" s="32" t="n">
        <x:v>0.551</x:v>
      </x:c>
      <x:c r="F21" s="32" t="n">
        <x:v>0.110457920792079</x:v>
      </x:c>
      <x:c r="G21" s="32" t="n">
        <x:v>2.1385820429230393</x:v>
      </x:c>
      <x:c r="H21" s="32" t="n">
        <x:v>1.9442198953432213</x:v>
      </x:c>
      <x:c r="I21" s="32" t="n">
        <x:v>0.9426718251019301</x:v>
      </x:c>
      <x:c r="J21" s="32" t="n">
        <x:v>0.041407120923233856</x:v>
      </x:c>
      <x:c r="K21" s="32" t="n">
        <x:v>0.289443116618798</x:v>
      </x:c>
      <x:c r="L21" s="32" t="n">
        <x:v>0.434038581</x:v>
      </x:c>
      <x:c r="M21" s="32" t="n">
        <x:v>0.433105165</x:v>
      </x:c>
      <x:c r="N21" s="32" t="n">
        <x:v>10395</x:v>
      </x:c>
      <x:c r="O21" s="32" t="n">
        <x:v>0.7483</x:v>
      </x:c>
      <x:c r="P21" s="32" t="n">
        <x:v>1925.9469645182292</x:v>
      </x:c>
      <x:c r="Q21" s="32" t="n">
        <x:v>62.03187840779622</x:v>
      </x:c>
      <x:c r="R21" s="32" t="n">
        <x:v>37.74888101826149</x:v>
      </x:c>
      <x:c r="S21" s="32" t="n">
        <x:v>0.30070674016438675</x:v>
      </x:c>
      <x:c r="T21" s="32" t="n">
        <x:v>72.1</x:v>
      </x:c>
      <x:c r="U21" s="32" t="n">
        <x:v>211.4154781728841</x:v>
      </x:c>
      <x:c r="V21" s="32" t="n">
        <x:v>325.42757789465</x:v>
      </x:c>
      <x:c r="W21" s="33" t="n">
        <x:f>IF(ISNUMBER(E21),100*MAX(0,MIN(1,('Anchors'!$H$6-E21)/('Anchors'!$H$6-'Anchors'!$G$6))),"")</x:f>
        <x:v>49.857142857142854</x:v>
      </x:c>
      <x:c r="X21" s="33" t="n">
        <x:f>IF(ISNUMBER(F21),100*MAX(0,MIN(1,('Anchors'!$H$7-F21)/('Anchors'!$H$7-'Anchors'!$G$7))),"")</x:f>
        <x:v>98.50601131541727</x:v>
      </x:c>
      <x:c r="Y21" s="33" t="n">
        <x:f>IF(ISNUMBER(G21),100*MAX(0,MIN(1,('Anchors'!$H$8-G21)/('Anchors'!$H$8-'Anchors'!$G$8))),"")</x:f>
        <x:v>62.047265235898685</x:v>
      </x:c>
      <x:c r="Z21" s="33" t="n">
        <x:f>IF(ISNUMBER(H21),100*MAX(0,MIN(1,('Anchors'!$H$9-H21)/('Anchors'!$H$9-'Anchors'!$G$9))),"")</x:f>
        <x:v>68.5260034885593</x:v>
      </x:c>
      <x:c r="AA21" s="33" t="n">
        <x:f>IF(ISNUMBER(I21),100*MAX(0,MIN(1,(I21-'Anchors'!$H$10)/('Anchors'!$G$10-'Anchors'!$H$10))),"")</x:f>
        <x:v>94.88655138382605</x:v>
      </x:c>
      <x:c r="AB21" s="33" t="n">
        <x:f>IF(ISNUMBER(J21),100*MAX(0,MIN(1,('Anchors'!$H$11-J21)/('Anchors'!$H$11-'Anchors'!$G$11))),"")</x:f>
        <x:v>83.43715163070647</x:v>
      </x:c>
      <x:c r="AC21" s="33" t="n">
        <x:f>IF(ISNUMBER(K21),100*MAX(0,MIN(1,('Anchors'!$H$12-K21)/('Anchors'!$H$12-'Anchors'!$G$12))),"")</x:f>
        <x:v>27.6392208453005</x:v>
      </x:c>
      <x:c r="AD21" s="33" t="n">
        <x:f>IF(ISNUMBER(L21),100*MAX(0,MIN(1,(L21-'Anchors'!$H$13)/('Anchors'!$G$13-'Anchors'!$H$13))),"")</x:f>
        <x:v>33.434083</x:v>
      </x:c>
      <x:c r="AE21" s="33" t="n">
        <x:f>IF(ISNUMBER(M21),100*MAX(0,MIN(1,(M21-'Anchors'!$H$14)/('Anchors'!$G$14-'Anchors'!$H$14))),"")</x:f>
        <x:v>41.63814562499999</x:v>
      </x:c>
      <x:c r="AF21" s="33" t="n">
        <x:f>IF(ISNUMBER(N21),100*MAX(0,MIN(1,(LN(1+N21)-LN(1+'Anchors'!$H$15))/(LN(1+'Anchors'!$G$15)-LN(1+'Anchors'!$H$15)))),"")</x:f>
        <x:v>38.16946967475174</x:v>
      </x:c>
      <x:c r="AG21" s="33" t="n">
        <x:f>IF(ISNUMBER(O21),100*MAX(0,MIN(1,('Anchors'!$H$16-O21)/('Anchors'!$H$16-'Anchors'!$G$16))),"")</x:f>
        <x:v>22.41111111111111</x:v>
      </x:c>
      <x:c r="AH21" s="33" t="n">
        <x:f>IF(ISNUMBER(P21),100*MAX(0,MIN(1,('Anchors'!$H$17-P21)/('Anchors'!$H$17-'Anchors'!$G$17))),"")</x:f>
        <x:v>18.27020236545139</x:v>
      </x:c>
      <x:c r="AI21" s="33" t="n">
        <x:f>IF(ISNUMBER(Q21),100*MAX(0,MIN(1,('Anchors'!$H$18-Q21)/('Anchors'!$H$18-'Anchors'!$G$18))),"")</x:f>
        <x:v>18.52588798886254</x:v>
      </x:c>
      <x:c r="AJ21" s="33" t="n">
        <x:f>IF(ISNUMBER(R21),100*MAX(0,MIN(1,('Anchors'!$H$19-R21)/('Anchors'!$H$19-'Anchors'!$G$19))),"")</x:f>
        <x:v>27.224708848307795</x:v>
      </x:c>
      <x:c r="AK21" s="33" t="n">
        <x:f>IF(ISNUMBER(S21),100*MAX(0,MIN(1,('Anchors'!$H$20-S21)/('Anchors'!$H$20-'Anchors'!$G$20))),"")</x:f>
        <x:v>100</x:v>
      </x:c>
      <x:c r="AL21" s="33" t="n">
        <x:f>IF(ISNUMBER(T21),100*MAX(0,MIN(1,('Anchors'!$H$21-T21)/('Anchors'!$H$21-'Anchors'!$G$21))),"")</x:f>
        <x:v>87.0909090909091</x:v>
      </x:c>
      <x:c r="AM21" s="33" t="n">
        <x:f>IF(ISNUMBER(U21),100*MAX(0,MIN(1,('Anchors'!$H$22-U21)/('Anchors'!$H$22-'Anchors'!$G$22))),"")</x:f>
        <x:v>44.29226091355795</x:v>
      </x:c>
      <x:c r="AN21" s="33" t="n">
        <x:f>IF(ISNUMBER(V21),100*MAX(0,MIN(1,('Anchors'!$H$23-V21)/('Anchors'!$H$23-'Anchors'!$G$23))),"")</x:f>
        <x:v>68.6431055263375</x:v>
      </x:c>
      <x:c r="AO21" s="27" t="n">
        <x:f>IF(ISNUMBER(W21),IF('Scoring Setup'!$L$9=1,1-'Scoring Setup'!$B$5*(1-MAX(0,MIN(1,(W21-'Scoring Setup'!$K$9)/(100-'Scoring Setup'!$K$9)))),1),"")</x:f>
        <x:v>0.8997142857142857</x:v>
      </x:c>
      <x:c r="AP21" s="27" t="n">
        <x:f>IF(ISNUMBER(X21),IF('Scoring Setup'!$L$10=1,1-'Scoring Setup'!$B$5*(1-MAX(0,MIN(1,(X21-'Scoring Setup'!$K$10)/(100-'Scoring Setup'!$K$10)))),1),"")</x:f>
        <x:v>0.9970120226308345</x:v>
      </x:c>
      <x:c r="AQ21" s="27" t="n">
        <x:f>IF(ISNUMBER(Y21),IF('Scoring Setup'!$L$11=1,1-'Scoring Setup'!$B$5*(1-MAX(0,MIN(1,(Y21-'Scoring Setup'!$K$11)/(100-'Scoring Setup'!$K$11)))),1),"")</x:f>
        <x:v>0.9240945304717973</x:v>
      </x:c>
      <x:c r="AR21" s="27" t="n">
        <x:f>IF(ISNUMBER(Z21),IF('Scoring Setup'!$L$12=1,1-'Scoring Setup'!$B$5*(1-MAX(0,MIN(1,(Z21-'Scoring Setup'!$K$12)/(100-'Scoring Setup'!$K$12)))),1),"")</x:f>
        <x:v>0.9370520069771185</x:v>
      </x:c>
      <x:c r="AS21" s="27" t="n">
        <x:f>IF(ISNUMBER(AA21),IF('Scoring Setup'!$L$13=1,1-'Scoring Setup'!$B$5*(1-MAX(0,MIN(1,(AA21-'Scoring Setup'!$K$13)/(100-'Scoring Setup'!$K$13)))),1),"")</x:f>
        <x:v>0.9897731027676521</x:v>
      </x:c>
      <x:c r="AT21" s="27" t="n">
        <x:f>IF(ISNUMBER(AB21),IF('Scoring Setup'!$L$14=1,1-'Scoring Setup'!$B$5*(1-MAX(0,MIN(1,(AB21-'Scoring Setup'!$K$14)/(100-'Scoring Setup'!$K$14)))),1),"")</x:f>
        <x:v>0.9668743032614129</x:v>
      </x:c>
      <x:c r="AU21" s="27" t="n">
        <x:f>IF(ISNUMBER(AC21),IF('Scoring Setup'!$L$15=1,1-'Scoring Setup'!$B$5*(1-MAX(0,MIN(1,(AC21-'Scoring Setup'!$K$15)/(100-'Scoring Setup'!$K$15)))),1),"")</x:f>
        <x:v>0.855278441690601</x:v>
      </x:c>
      <x:c r="AV21" s="27" t="n">
        <x:f>IF(ISNUMBER(AD21),IF('Scoring Setup'!$L$16=1,1-'Scoring Setup'!$B$5*(1-MAX(0,MIN(1,(AD21-'Scoring Setup'!$K$16)/(100-'Scoring Setup'!$K$16)))),1),"")</x:f>
        <x:v>0.8668681659999999</x:v>
      </x:c>
      <x:c r="AW21" s="27" t="n">
        <x:f>IF(ISNUMBER(AE21),IF('Scoring Setup'!$L$17=1,1-'Scoring Setup'!$B$5*(1-MAX(0,MIN(1,(AE21-'Scoring Setup'!$K$17)/(100-'Scoring Setup'!$K$17)))),1),"")</x:f>
        <x:v>0.88327629125</x:v>
      </x:c>
      <x:c r="AX21" s="27" t="n">
        <x:f>IF(ISNUMBER(AF21),IF('Scoring Setup'!$L$18=1,1-'Scoring Setup'!$B$5*(1-MAX(0,MIN(1,(AF21-'Scoring Setup'!$K$18)/(100-'Scoring Setup'!$K$18)))),1),"")</x:f>
        <x:v>0.8763389393495035</x:v>
      </x:c>
      <x:c r="AY21" s="27" t="n">
        <x:f>IF(ISNUMBER(AG21),IF('Scoring Setup'!$L$19=1,1-'Scoring Setup'!$B$5*(1-MAX(0,MIN(1,(AG21-'Scoring Setup'!$K$19)/(100-'Scoring Setup'!$K$19)))),1),"")</x:f>
        <x:v>0.8448222222222223</x:v>
      </x:c>
      <x:c r="AZ21" s="27" t="n">
        <x:f>IF(ISNUMBER(AH21),IF('Scoring Setup'!$L$20=1,1-'Scoring Setup'!$B$5*(1-MAX(0,MIN(1,(AH21-'Scoring Setup'!$K$20)/(100-'Scoring Setup'!$K$20)))),1),"")</x:f>
        <x:v>0.8365404047309027</x:v>
      </x:c>
      <x:c r="BA21" s="27" t="n">
        <x:f>IF(ISNUMBER(AI21),IF('Scoring Setup'!$L$21=1,1-'Scoring Setup'!$B$5*(1-MAX(0,MIN(1,(AI21-'Scoring Setup'!$K$21)/(100-'Scoring Setup'!$K$21)))),1),"")</x:f>
        <x:v>0.8370517759777251</x:v>
      </x:c>
      <x:c r="BB21" s="27" t="n">
        <x:f>IF(ISNUMBER(AJ21),IF('Scoring Setup'!$L$22=1,1-'Scoring Setup'!$B$5*(1-MAX(0,MIN(1,(AJ21-'Scoring Setup'!$K$22)/(100-'Scoring Setup'!$K$22)))),1),"")</x:f>
        <x:v>0.8544494176966155</x:v>
      </x:c>
      <x:c r="BC21" s="27" t="n">
        <x:f>IF(ISNUMBER(AK21),IF('Scoring Setup'!$L$23=1,1-'Scoring Setup'!$B$5*(1-MAX(0,MIN(1,(AK21-'Scoring Setup'!$K$23)/(100-'Scoring Setup'!$K$23)))),1),"")</x:f>
        <x:v>1</x:v>
      </x:c>
      <x:c r="BD21" s="27" t="n">
        <x:f>IF(ISNUMBER(AL21),IF('Scoring Setup'!$L$24=1,1-'Scoring Setup'!$B$5*(1-MAX(0,MIN(1,(AL21-'Scoring Setup'!$K$24)/(100-'Scoring Setup'!$K$24)))),1),"")</x:f>
        <x:v>0.9741818181818181</x:v>
      </x:c>
      <x:c r="BE21" s="27" t="n">
        <x:f>IF(ISNUMBER(AM21),IF('Scoring Setup'!$L$25=1,1-'Scoring Setup'!$B$5*(1-MAX(0,MIN(1,(AM21-'Scoring Setup'!$K$25)/(100-'Scoring Setup'!$K$25)))),1),"")</x:f>
        <x:v>0.8885845218271159</x:v>
      </x:c>
      <x:c r="BF21" s="27" t="n">
        <x:f>IF(ISNUMBER(AN21),IF('Scoring Setup'!$L$26=1,1-'Scoring Setup'!$B$5*(1-MAX(0,MIN(1,(AN21-'Scoring Setup'!$K$26)/(100-'Scoring Setup'!$K$26)))),1),"")</x:f>
        <x:v>0.937286211052675</x:v>
      </x:c>
      <x:c r="BG21" s="34" t="n">
        <x:f>IF(COUNT(W21,X21)=2,AVERAGE(W21,X21),"")</x:f>
        <x:v>74.18157708628006</x:v>
      </x:c>
      <x:c r="BH21" s="34" t="n">
        <x:f>IF(COUNT(Y21,Z21)=2,AVERAGE(Y21,Z21),"")</x:f>
        <x:v>65.286634362229</x:v>
      </x:c>
      <x:c r="BI21" s="34" t="n">
        <x:f>IF(COUNT(AA21,AB21,AC21)=3,AVERAGE(AA21,AB21,AC21),"")</x:f>
        <x:v>68.65430795327767</x:v>
      </x:c>
      <x:c r="BJ21" s="34" t="n">
        <x:f>IF(COUNT(AD21,AE21)=2,AVERAGE(AD21,AE21),"")</x:f>
        <x:v>37.5361143125</x:v>
      </x:c>
      <x:c r="BK21" s="34" t="n">
        <x:f>IF(COUNT(AF21,AG21)=2,AVERAGE(AF21,AG21),"")</x:f>
        <x:v>30.290290392931425</x:v>
      </x:c>
      <x:c r="BL21" s="34" t="n">
        <x:f>IF(COUNT(AH21,AI21)=2,AVERAGE(AH21,AI21),"")</x:f>
        <x:v>18.398045177156966</x:v>
      </x:c>
      <x:c r="BM21" s="34" t="n">
        <x:f>IF(COUNT(AJ21,AK21)=2,AVERAGE(AJ21,AK21),"")</x:f>
        <x:v>63.6123544241539</x:v>
      </x:c>
      <x:c r="BN21" s="34" t="n">
        <x:f>IF(COUNT(AL21,AM21,AN21)=3,AVERAGE(AL21,AM21,AN21),"")</x:f>
        <x:v>66.67542517693484</x:v>
      </x:c>
      <x:c r="BO21" s="35" t="n">
        <x:f>IF(AND(COUNT(BG21:BN21)=8,ABS('Scoring Setup'!$C$17-1)&lt;0.000001),BG21*'Scoring Setup'!$C$9+BH21*'Scoring Setup'!$C$10+BI21*'Scoring Setup'!$C$11+BJ21*'Scoring Setup'!$C$12+BK21*'Scoring Setup'!$C$13+BL21*'Scoring Setup'!$C$14+BM21*'Scoring Setup'!$C$15+BN21*'Scoring Setup'!$C$16,"")</x:f>
        <x:v>58.226703380090704</x:v>
      </x:c>
      <x:c r="BP21" s="36" t="n">
        <x:f>IF(COUNT(AO21:BF21)=18,MIN(AO21:BF21),"")</x:f>
        <x:v>0.8365404047309027</x:v>
      </x:c>
      <x:c r="BQ21" s="35" t="n">
        <x:f>IF(AND(ISNUMBER(BO21),ISNUMBER(BP21)),BO21*BP21,"")</x:f>
        <x:v>48.7089900117273</x:v>
      </x:c>
      <x:c r="BR21" s="17" t="str">
        <x:f>IF(COUNT(AO21:BF21)=18,INDEX('Scoring Setup'!$F$9:$F$26,MATCH(MIN(AO21:BF21),AO21:BF21,0),1),"")</x:f>
        <x:v>历史CDD65</x:v>
      </x:c>
    </x:row>
    <x:row r="22">
      <x:c r="A22" s="28" t="str">
        <x:v>13035</x:v>
      </x:c>
      <x:c r="B22" s="28" t="str">
        <x:v>Butts County</x:v>
      </x:c>
      <x:c r="C22" s="28" t="str">
        <x:v>GA</x:v>
      </x:c>
      <x:c r="D22" s="31" t="n">
        <x:v>475.754795</x:v>
      </x:c>
      <x:c r="E22" s="32" t="n">
        <x:v>0.579</x:v>
      </x:c>
      <x:c r="F22" s="32" t="n">
        <x:v>0.35612623762376205</x:v>
      </x:c>
      <x:c r="G22" s="32" t="n">
        <x:v>2.643772465431021</x:v>
      </x:c>
      <x:c r="H22" s="32" t="n">
        <x:v>2.5241025760469675</x:v>
      </x:c>
      <x:c r="I22" s="32" t="n">
        <x:v>0.9049938474159147</x:v>
      </x:c>
      <x:c r="J22" s="32" t="n">
        <x:v>0.011910356481378774</x:v>
      </x:c>
      <x:c r="K22" s="32" t="n">
        <x:v>0.04143689423631999</x:v>
      </x:c>
      <x:c r="L22" s="32" t="n">
        <x:v>0.743446379</x:v>
      </x:c>
      <x:c r="M22" s="32" t="n">
        <x:v>0.743446379</x:v>
      </x:c>
      <x:c r="N22" s="32" t="n">
        <x:v>11299</x:v>
      </x:c>
      <x:c r="O22" s="32" t="n">
        <x:v>0.5565</x:v>
      </x:c>
      <x:c r="P22" s="32" t="n">
        <x:v>1703.044120279948</x:v>
      </x:c>
      <x:c r="Q22" s="32" t="n">
        <x:v>43.91316528320313</x:v>
      </x:c>
      <x:c r="R22" s="32" t="n">
        <x:v>12.78640805292393</x:v>
      </x:c>
      <x:c r="S22" s="32" t="n">
        <x:v>0.6243492862000727</x:v>
      </x:c>
      <x:c r="T22" s="32" t="n">
        <x:v>72.1</x:v>
      </x:c>
      <x:c r="U22" s="32" t="n">
        <x:v>211.4154781728841</x:v>
      </x:c>
      <x:c r="V22" s="32" t="n">
        <x:v>325.42757789465</x:v>
      </x:c>
      <x:c r="W22" s="33" t="n">
        <x:f>IF(ISNUMBER(E22),100*MAX(0,MIN(1,('Anchors'!$H$6-E22)/('Anchors'!$H$6-'Anchors'!$G$6))),"")</x:f>
        <x:v>45.85714285714287</x:v>
      </x:c>
      <x:c r="X22" s="33" t="n">
        <x:f>IF(ISNUMBER(F22),100*MAX(0,MIN(1,('Anchors'!$H$7-F22)/('Anchors'!$H$7-'Anchors'!$G$7))),"")</x:f>
        <x:v>63.410537482319704</x:v>
      </x:c>
      <x:c r="Y22" s="33" t="n">
        <x:f>IF(ISNUMBER(G22),100*MAX(0,MIN(1,('Anchors'!$H$8-G22)/('Anchors'!$H$8-'Anchors'!$G$8))),"")</x:f>
        <x:v>45.20758448563263</x:v>
      </x:c>
      <x:c r="Z22" s="33" t="n">
        <x:f>IF(ISNUMBER(H22),100*MAX(0,MIN(1,('Anchors'!$H$9-H22)/('Anchors'!$H$9-'Anchors'!$G$9))),"")</x:f>
        <x:v>49.19658079843441</x:v>
      </x:c>
      <x:c r="AA22" s="33" t="n">
        <x:f>IF(ISNUMBER(I22),100*MAX(0,MIN(1,(I22-'Anchors'!$H$10)/('Anchors'!$G$10-'Anchors'!$H$10))),"")</x:f>
        <x:v>89.72518457752257</x:v>
      </x:c>
      <x:c r="AB22" s="33" t="n">
        <x:f>IF(ISNUMBER(J22),100*MAX(0,MIN(1,('Anchors'!$H$11-J22)/('Anchors'!$H$11-'Anchors'!$G$11))),"")</x:f>
        <x:v>95.23585740744849</x:v>
      </x:c>
      <x:c r="AC22" s="33" t="n">
        <x:f>IF(ISNUMBER(K22),100*MAX(0,MIN(1,('Anchors'!$H$12-K22)/('Anchors'!$H$12-'Anchors'!$G$12))),"")</x:f>
        <x:v>89.64077644092</x:v>
      </x:c>
      <x:c r="AD22" s="33" t="n">
        <x:f>IF(ISNUMBER(L22),100*MAX(0,MIN(1,(L22-'Anchors'!$H$13)/('Anchors'!$G$13-'Anchors'!$H$13))),"")</x:f>
        <x:v>77.63519699999999</x:v>
      </x:c>
      <x:c r="AE22" s="33" t="n">
        <x:f>IF(ISNUMBER(M22),100*MAX(0,MIN(1,(M22-'Anchors'!$H$14)/('Anchors'!$G$14-'Anchors'!$H$14))),"")</x:f>
        <x:v>80.430797375</x:v>
      </x:c>
      <x:c r="AF22" s="33" t="n">
        <x:f>IF(ISNUMBER(N22),100*MAX(0,MIN(1,(LN(1+N22)-LN(1+'Anchors'!$H$15))/(LN(1+'Anchors'!$G$15)-LN(1+'Anchors'!$H$15)))),"")</x:f>
        <x:v>40.10094309020077</x:v>
      </x:c>
      <x:c r="AG22" s="33" t="n">
        <x:f>IF(ISNUMBER(O22),100*MAX(0,MIN(1,('Anchors'!$H$16-O22)/('Anchors'!$H$16-'Anchors'!$G$16))),"")</x:f>
        <x:v>43.72222222222222</x:v>
      </x:c>
      <x:c r="AH22" s="33" t="n">
        <x:f>IF(ISNUMBER(P22),100*MAX(0,MIN(1,('Anchors'!$H$17-P22)/('Anchors'!$H$17-'Anchors'!$G$17))),"")</x:f>
        <x:v>33.13039198133681</x:v>
      </x:c>
      <x:c r="AI22" s="33" t="n">
        <x:f>IF(ISNUMBER(Q22),100*MAX(0,MIN(1,('Anchors'!$H$18-Q22)/('Anchors'!$H$18-'Anchors'!$G$18))),"")</x:f>
        <x:v>44.40976388113839</x:v>
      </x:c>
      <x:c r="AJ22" s="33" t="n">
        <x:f>IF(ISNUMBER(R22),100*MAX(0,MIN(1,('Anchors'!$H$19-R22)/('Anchors'!$H$19-'Anchors'!$G$19))),"")</x:f>
        <x:v>82.69687099350237</x:v>
      </x:c>
      <x:c r="AK22" s="33" t="n">
        <x:f>IF(ISNUMBER(S22),100*MAX(0,MIN(1,('Anchors'!$H$20-S22)/('Anchors'!$H$20-'Anchors'!$G$20))),"")</x:f>
        <x:v>100</x:v>
      </x:c>
      <x:c r="AL22" s="33" t="n">
        <x:f>IF(ISNUMBER(T22),100*MAX(0,MIN(1,('Anchors'!$H$21-T22)/('Anchors'!$H$21-'Anchors'!$G$21))),"")</x:f>
        <x:v>87.0909090909091</x:v>
      </x:c>
      <x:c r="AM22" s="33" t="n">
        <x:f>IF(ISNUMBER(U22),100*MAX(0,MIN(1,('Anchors'!$H$22-U22)/('Anchors'!$H$22-'Anchors'!$G$22))),"")</x:f>
        <x:v>44.29226091355795</x:v>
      </x:c>
      <x:c r="AN22" s="33" t="n">
        <x:f>IF(ISNUMBER(V22),100*MAX(0,MIN(1,('Anchors'!$H$23-V22)/('Anchors'!$H$23-'Anchors'!$G$23))),"")</x:f>
        <x:v>68.6431055263375</x:v>
      </x:c>
      <x:c r="AO22" s="27" t="n">
        <x:f>IF(ISNUMBER(W22),IF('Scoring Setup'!$L$9=1,1-'Scoring Setup'!$B$5*(1-MAX(0,MIN(1,(W22-'Scoring Setup'!$K$9)/(100-'Scoring Setup'!$K$9)))),1),"")</x:f>
        <x:v>0.8917142857142857</x:v>
      </x:c>
      <x:c r="AP22" s="27" t="n">
        <x:f>IF(ISNUMBER(X22),IF('Scoring Setup'!$L$10=1,1-'Scoring Setup'!$B$5*(1-MAX(0,MIN(1,(X22-'Scoring Setup'!$K$10)/(100-'Scoring Setup'!$K$10)))),1),"")</x:f>
        <x:v>0.9268210749646394</x:v>
      </x:c>
      <x:c r="AQ22" s="27" t="n">
        <x:f>IF(ISNUMBER(Y22),IF('Scoring Setup'!$L$11=1,1-'Scoring Setup'!$B$5*(1-MAX(0,MIN(1,(Y22-'Scoring Setup'!$K$11)/(100-'Scoring Setup'!$K$11)))),1),"")</x:f>
        <x:v>0.8904151689712653</x:v>
      </x:c>
      <x:c r="AR22" s="27" t="n">
        <x:f>IF(ISNUMBER(Z22),IF('Scoring Setup'!$L$12=1,1-'Scoring Setup'!$B$5*(1-MAX(0,MIN(1,(Z22-'Scoring Setup'!$K$12)/(100-'Scoring Setup'!$K$12)))),1),"")</x:f>
        <x:v>0.8983931615968688</x:v>
      </x:c>
      <x:c r="AS22" s="27" t="n">
        <x:f>IF(ISNUMBER(AA22),IF('Scoring Setup'!$L$13=1,1-'Scoring Setup'!$B$5*(1-MAX(0,MIN(1,(AA22-'Scoring Setup'!$K$13)/(100-'Scoring Setup'!$K$13)))),1),"")</x:f>
        <x:v>0.9794503691550451</x:v>
      </x:c>
      <x:c r="AT22" s="27" t="n">
        <x:f>IF(ISNUMBER(AB22),IF('Scoring Setup'!$L$14=1,1-'Scoring Setup'!$B$5*(1-MAX(0,MIN(1,(AB22-'Scoring Setup'!$K$14)/(100-'Scoring Setup'!$K$14)))),1),"")</x:f>
        <x:v>0.9904717148148969</x:v>
      </x:c>
      <x:c r="AU22" s="27" t="n">
        <x:f>IF(ISNUMBER(AC22),IF('Scoring Setup'!$L$15=1,1-'Scoring Setup'!$B$5*(1-MAX(0,MIN(1,(AC22-'Scoring Setup'!$K$15)/(100-'Scoring Setup'!$K$15)))),1),"")</x:f>
        <x:v>0.97928155288184</x:v>
      </x:c>
      <x:c r="AV22" s="27" t="n">
        <x:f>IF(ISNUMBER(AD22),IF('Scoring Setup'!$L$16=1,1-'Scoring Setup'!$B$5*(1-MAX(0,MIN(1,(AD22-'Scoring Setup'!$K$16)/(100-'Scoring Setup'!$K$16)))),1),"")</x:f>
        <x:v>0.955270394</x:v>
      </x:c>
      <x:c r="AW22" s="27" t="n">
        <x:f>IF(ISNUMBER(AE22),IF('Scoring Setup'!$L$17=1,1-'Scoring Setup'!$B$5*(1-MAX(0,MIN(1,(AE22-'Scoring Setup'!$K$17)/(100-'Scoring Setup'!$K$17)))),1),"")</x:f>
        <x:v>0.96086159475</x:v>
      </x:c>
      <x:c r="AX22" s="27" t="n">
        <x:f>IF(ISNUMBER(AF22),IF('Scoring Setup'!$L$18=1,1-'Scoring Setup'!$B$5*(1-MAX(0,MIN(1,(AF22-'Scoring Setup'!$K$18)/(100-'Scoring Setup'!$K$18)))),1),"")</x:f>
        <x:v>0.8802018861804015</x:v>
      </x:c>
      <x:c r="AY22" s="27" t="n">
        <x:f>IF(ISNUMBER(AG22),IF('Scoring Setup'!$L$19=1,1-'Scoring Setup'!$B$5*(1-MAX(0,MIN(1,(AG22-'Scoring Setup'!$K$19)/(100-'Scoring Setup'!$K$19)))),1),"")</x:f>
        <x:v>0.8874444444444445</x:v>
      </x:c>
      <x:c r="AZ22" s="27" t="n">
        <x:f>IF(ISNUMBER(AH22),IF('Scoring Setup'!$L$20=1,1-'Scoring Setup'!$B$5*(1-MAX(0,MIN(1,(AH22-'Scoring Setup'!$K$20)/(100-'Scoring Setup'!$K$20)))),1),"")</x:f>
        <x:v>0.8662607839626736</x:v>
      </x:c>
      <x:c r="BA22" s="27" t="n">
        <x:f>IF(ISNUMBER(AI22),IF('Scoring Setup'!$L$21=1,1-'Scoring Setup'!$B$5*(1-MAX(0,MIN(1,(AI22-'Scoring Setup'!$K$21)/(100-'Scoring Setup'!$K$21)))),1),"")</x:f>
        <x:v>0.8888195277622768</x:v>
      </x:c>
      <x:c r="BB22" s="27" t="n">
        <x:f>IF(ISNUMBER(AJ22),IF('Scoring Setup'!$L$22=1,1-'Scoring Setup'!$B$5*(1-MAX(0,MIN(1,(AJ22-'Scoring Setup'!$K$22)/(100-'Scoring Setup'!$K$22)))),1),"")</x:f>
        <x:v>0.9653937419870048</x:v>
      </x:c>
      <x:c r="BC22" s="27" t="n">
        <x:f>IF(ISNUMBER(AK22),IF('Scoring Setup'!$L$23=1,1-'Scoring Setup'!$B$5*(1-MAX(0,MIN(1,(AK22-'Scoring Setup'!$K$23)/(100-'Scoring Setup'!$K$23)))),1),"")</x:f>
        <x:v>1</x:v>
      </x:c>
      <x:c r="BD22" s="27" t="n">
        <x:f>IF(ISNUMBER(AL22),IF('Scoring Setup'!$L$24=1,1-'Scoring Setup'!$B$5*(1-MAX(0,MIN(1,(AL22-'Scoring Setup'!$K$24)/(100-'Scoring Setup'!$K$24)))),1),"")</x:f>
        <x:v>0.9741818181818181</x:v>
      </x:c>
      <x:c r="BE22" s="27" t="n">
        <x:f>IF(ISNUMBER(AM22),IF('Scoring Setup'!$L$25=1,1-'Scoring Setup'!$B$5*(1-MAX(0,MIN(1,(AM22-'Scoring Setup'!$K$25)/(100-'Scoring Setup'!$K$25)))),1),"")</x:f>
        <x:v>0.8885845218271159</x:v>
      </x:c>
      <x:c r="BF22" s="27" t="n">
        <x:f>IF(ISNUMBER(AN22),IF('Scoring Setup'!$L$26=1,1-'Scoring Setup'!$B$5*(1-MAX(0,MIN(1,(AN22-'Scoring Setup'!$K$26)/(100-'Scoring Setup'!$K$26)))),1),"")</x:f>
        <x:v>0.937286211052675</x:v>
      </x:c>
      <x:c r="BG22" s="34" t="n">
        <x:f>IF(COUNT(W22,X22)=2,AVERAGE(W22,X22),"")</x:f>
        <x:v>54.633840169731286</x:v>
      </x:c>
      <x:c r="BH22" s="34" t="n">
        <x:f>IF(COUNT(Y22,Z22)=2,AVERAGE(Y22,Z22),"")</x:f>
        <x:v>47.20208264203352</x:v>
      </x:c>
      <x:c r="BI22" s="34" t="n">
        <x:f>IF(COUNT(AA22,AB22,AC22)=3,AVERAGE(AA22,AB22,AC22),"")</x:f>
        <x:v>91.53393947529703</x:v>
      </x:c>
      <x:c r="BJ22" s="34" t="n">
        <x:f>IF(COUNT(AD22,AE22)=2,AVERAGE(AD22,AE22),"")</x:f>
        <x:v>79.0329971875</x:v>
      </x:c>
      <x:c r="BK22" s="34" t="n">
        <x:f>IF(COUNT(AF22,AG22)=2,AVERAGE(AF22,AG22),"")</x:f>
        <x:v>41.91158265621149</x:v>
      </x:c>
      <x:c r="BL22" s="34" t="n">
        <x:f>IF(COUNT(AH22,AI22)=2,AVERAGE(AH22,AI22),"")</x:f>
        <x:v>38.770077931237594</x:v>
      </x:c>
      <x:c r="BM22" s="34" t="n">
        <x:f>IF(COUNT(AJ22,AK22)=2,AVERAGE(AJ22,AK22),"")</x:f>
        <x:v>91.3484354967512</x:v>
      </x:c>
      <x:c r="BN22" s="34" t="n">
        <x:f>IF(COUNT(AL22,AM22,AN22)=3,AVERAGE(AL22,AM22,AN22),"")</x:f>
        <x:v>66.67542517693484</x:v>
      </x:c>
      <x:c r="BO22" s="35" t="n">
        <x:f>IF(AND(COUNT(BG22:BN22)=8,ABS('Scoring Setup'!$C$17-1)&lt;0.000001),BG22*'Scoring Setup'!$C$9+BH22*'Scoring Setup'!$C$10+BI22*'Scoring Setup'!$C$11+BJ22*'Scoring Setup'!$C$12+BK22*'Scoring Setup'!$C$13+BL22*'Scoring Setup'!$C$14+BM22*'Scoring Setup'!$C$15+BN22*'Scoring Setup'!$C$16,"")</x:f>
        <x:v>62.660205701760574</x:v>
      </x:c>
      <x:c r="BP22" s="36" t="n">
        <x:f>IF(COUNT(AO22:BF22)=18,MIN(AO22:BF22),"")</x:f>
        <x:v>0.8662607839626736</x:v>
      </x:c>
      <x:c r="BQ22" s="35" t="n">
        <x:f>IF(AND(ISNUMBER(BO22),ISNUMBER(BP22)),BO22*BP22,"")</x:f>
        <x:v>54.280078914469506</x:v>
      </x:c>
      <x:c r="BR22" s="17" t="str">
        <x:f>IF(COUNT(AO22:BF22)=18,INDEX('Scoring Setup'!$F$9:$F$26,MATCH(MIN(AO22:BF22),AO22:BF22,0),1),"")</x:f>
        <x:v>历史CDD65</x:v>
      </x:c>
    </x:row>
    <x:row r="23">
      <x:c r="A23" s="28" t="str">
        <x:v>13037</x:v>
      </x:c>
      <x:c r="B23" s="28" t="str">
        <x:v>Calhoun County</x:v>
      </x:c>
      <x:c r="C23" s="28" t="str">
        <x:v>GA</x:v>
      </x:c>
      <x:c r="D23" s="31" t="n">
        <x:v>726.191507</x:v>
      </x:c>
      <x:c r="E23" s="32" t="n">
        <x:v>0.507</x:v>
      </x:c>
      <x:c r="F23" s="32" t="n">
        <x:v>0.09993811881188121</x:v>
      </x:c>
      <x:c r="G23" s="32" t="n">
        <x:v>1.1652933984148754</x:v>
      </x:c>
      <x:c r="H23" s="32" t="n">
        <x:v>1.134330805</x:v>
      </x:c>
      <x:c r="I23" s="32" t="n">
        <x:v>0.9596018200536733</x:v>
      </x:c>
      <x:c r="J23" s="32" t="n">
        <x:v>0.07996037025687587</x:v>
      </x:c>
      <x:c r="K23" s="32" t="n">
        <x:v>0.28156516715509217</x:v>
      </x:c>
      <x:c r="L23" s="32" t="n">
        <x:v>0.210333605</x:v>
      </x:c>
      <x:c r="M23" s="32" t="n">
        <x:v>0.210333605</x:v>
      </x:c>
      <x:c r="N23" s="32" t="n">
        <x:v>1851</x:v>
      </x:c>
      <x:c r="O23" s="32" t="n">
        <x:v>0.9688</x:v>
      </x:c>
      <x:c r="P23" s="32" t="n">
        <x:v>2217.7035319010415</x:v>
      </x:c>
      <x:c r="Q23" s="32" t="n">
        <x:v>70.01010271708171</x:v>
      </x:c>
      <x:c r="R23" s="32" t="n">
        <x:v>92.88759013708618</x:v>
      </x:c>
      <x:c r="S23" s="32" t="n">
        <x:v>6.851548378484679</x:v>
      </x:c>
      <x:c r="T23" s="32" t="n">
        <x:v>72.1</x:v>
      </x:c>
      <x:c r="U23" s="32" t="n">
        <x:v>211.4154781728841</x:v>
      </x:c>
      <x:c r="V23" s="32" t="n">
        <x:v>325.42757789465</x:v>
      </x:c>
      <x:c r="W23" s="33" t="n">
        <x:f>IF(ISNUMBER(E23),100*MAX(0,MIN(1,('Anchors'!$H$6-E23)/('Anchors'!$H$6-'Anchors'!$G$6))),"")</x:f>
        <x:v>56.14285714285715</x:v>
      </x:c>
      <x:c r="X23" s="33" t="n">
        <x:f>IF(ISNUMBER(F23),100*MAX(0,MIN(1,('Anchors'!$H$7-F23)/('Anchors'!$H$7-'Anchors'!$G$7))),"")</x:f>
        <x:v>100</x:v>
      </x:c>
      <x:c r="Y23" s="33" t="n">
        <x:f>IF(ISNUMBER(G23),100*MAX(0,MIN(1,('Anchors'!$H$8-G23)/('Anchors'!$H$8-'Anchors'!$G$8))),"")</x:f>
        <x:v>94.49022005283749</x:v>
      </x:c>
      <x:c r="Z23" s="33" t="n">
        <x:f>IF(ISNUMBER(H23),100*MAX(0,MIN(1,('Anchors'!$H$9-H23)/('Anchors'!$H$9-'Anchors'!$G$9))),"")</x:f>
        <x:v>95.52230649999998</x:v>
      </x:c>
      <x:c r="AA23" s="33" t="n">
        <x:f>IF(ISNUMBER(I23),100*MAX(0,MIN(1,(I23-'Anchors'!$H$10)/('Anchors'!$G$10-'Anchors'!$H$10))),"")</x:f>
        <x:v>97.2057287744758</x:v>
      </x:c>
      <x:c r="AB23" s="33" t="n">
        <x:f>IF(ISNUMBER(J23),100*MAX(0,MIN(1,('Anchors'!$H$11-J23)/('Anchors'!$H$11-'Anchors'!$G$11))),"")</x:f>
        <x:v>68.01585189724966</x:v>
      </x:c>
      <x:c r="AC23" s="33" t="n">
        <x:f>IF(ISNUMBER(K23),100*MAX(0,MIN(1,('Anchors'!$H$12-K23)/('Anchors'!$H$12-'Anchors'!$G$12))),"")</x:f>
        <x:v>29.608708211226965</x:v>
      </x:c>
      <x:c r="AD23" s="33" t="n">
        <x:f>IF(ISNUMBER(L23),100*MAX(0,MIN(1,(L23-'Anchors'!$H$13)/('Anchors'!$G$13-'Anchors'!$H$13))),"")</x:f>
        <x:v>1.4762292857142851</x:v>
      </x:c>
      <x:c r="AE23" s="33" t="n">
        <x:f>IF(ISNUMBER(M23),100*MAX(0,MIN(1,(M23-'Anchors'!$H$14)/('Anchors'!$G$14-'Anchors'!$H$14))),"")</x:f>
        <x:v>13.791700625</x:v>
      </x:c>
      <x:c r="AF23" s="33" t="n">
        <x:f>IF(ISNUMBER(N23),100*MAX(0,MIN(1,(LN(1+N23)-LN(1+'Anchors'!$H$15))/(LN(1+'Anchors'!$G$15)-LN(1+'Anchors'!$H$15)))),"")</x:f>
        <x:v>0</x:v>
      </x:c>
      <x:c r="AG23" s="33" t="n">
        <x:f>IF(ISNUMBER(O23),100*MAX(0,MIN(1,('Anchors'!$H$16-O23)/('Anchors'!$H$16-'Anchors'!$G$16))),"")</x:f>
        <x:v>0</x:v>
      </x:c>
      <x:c r="AH23" s="33" t="n">
        <x:f>IF(ISNUMBER(P23),100*MAX(0,MIN(1,('Anchors'!$H$17-P23)/('Anchors'!$H$17-'Anchors'!$G$17))),"")</x:f>
        <x:v>0</x:v>
      </x:c>
      <x:c r="AI23" s="33" t="n">
        <x:f>IF(ISNUMBER(Q23),100*MAX(0,MIN(1,('Anchors'!$H$18-Q23)/('Anchors'!$H$18-'Anchors'!$G$18))),"")</x:f>
        <x:v>7.128424689883276</x:v>
      </x:c>
      <x:c r="AJ23" s="33" t="n">
        <x:f>IF(ISNUMBER(R23),100*MAX(0,MIN(1,('Anchors'!$H$19-R23)/('Anchors'!$H$19-'Anchors'!$G$19))),"")</x:f>
        <x:v>0</x:v>
      </x:c>
      <x:c r="AK23" s="33" t="n">
        <x:f>IF(ISNUMBER(S23),100*MAX(0,MIN(1,('Anchors'!$H$20-S23)/('Anchors'!$H$20-'Anchors'!$G$20))),"")</x:f>
        <x:v>69.2023769553438</x:v>
      </x:c>
      <x:c r="AL23" s="33" t="n">
        <x:f>IF(ISNUMBER(T23),100*MAX(0,MIN(1,('Anchors'!$H$21-T23)/('Anchors'!$H$21-'Anchors'!$G$21))),"")</x:f>
        <x:v>87.0909090909091</x:v>
      </x:c>
      <x:c r="AM23" s="33" t="n">
        <x:f>IF(ISNUMBER(U23),100*MAX(0,MIN(1,('Anchors'!$H$22-U23)/('Anchors'!$H$22-'Anchors'!$G$22))),"")</x:f>
        <x:v>44.29226091355795</x:v>
      </x:c>
      <x:c r="AN23" s="33" t="n">
        <x:f>IF(ISNUMBER(V23),100*MAX(0,MIN(1,('Anchors'!$H$23-V23)/('Anchors'!$H$23-'Anchors'!$G$23))),"")</x:f>
        <x:v>68.6431055263375</x:v>
      </x:c>
      <x:c r="AO23" s="27" t="n">
        <x:f>IF(ISNUMBER(W23),IF('Scoring Setup'!$L$9=1,1-'Scoring Setup'!$B$5*(1-MAX(0,MIN(1,(W23-'Scoring Setup'!$K$9)/(100-'Scoring Setup'!$K$9)))),1),"")</x:f>
        <x:v>0.9122857142857143</x:v>
      </x:c>
      <x:c r="AP23" s="27" t="n">
        <x:f>IF(ISNUMBER(X23),IF('Scoring Setup'!$L$10=1,1-'Scoring Setup'!$B$5*(1-MAX(0,MIN(1,(X23-'Scoring Setup'!$K$10)/(100-'Scoring Setup'!$K$10)))),1),"")</x:f>
        <x:v>1</x:v>
      </x:c>
      <x:c r="AQ23" s="27" t="n">
        <x:f>IF(ISNUMBER(Y23),IF('Scoring Setup'!$L$11=1,1-'Scoring Setup'!$B$5*(1-MAX(0,MIN(1,(Y23-'Scoring Setup'!$K$11)/(100-'Scoring Setup'!$K$11)))),1),"")</x:f>
        <x:v>0.988980440105675</x:v>
      </x:c>
      <x:c r="AR23" s="27" t="n">
        <x:f>IF(ISNUMBER(Z23),IF('Scoring Setup'!$L$12=1,1-'Scoring Setup'!$B$5*(1-MAX(0,MIN(1,(Z23-'Scoring Setup'!$K$12)/(100-'Scoring Setup'!$K$12)))),1),"")</x:f>
        <x:v>0.991044613</x:v>
      </x:c>
      <x:c r="AS23" s="27" t="n">
        <x:f>IF(ISNUMBER(AA23),IF('Scoring Setup'!$L$13=1,1-'Scoring Setup'!$B$5*(1-MAX(0,MIN(1,(AA23-'Scoring Setup'!$K$13)/(100-'Scoring Setup'!$K$13)))),1),"")</x:f>
        <x:v>0.9944114575489515</x:v>
      </x:c>
      <x:c r="AT23" s="27" t="n">
        <x:f>IF(ISNUMBER(AB23),IF('Scoring Setup'!$L$14=1,1-'Scoring Setup'!$B$5*(1-MAX(0,MIN(1,(AB23-'Scoring Setup'!$K$14)/(100-'Scoring Setup'!$K$14)))),1),"")</x:f>
        <x:v>0.9360317037944993</x:v>
      </x:c>
      <x:c r="AU23" s="27" t="n">
        <x:f>IF(ISNUMBER(AC23),IF('Scoring Setup'!$L$15=1,1-'Scoring Setup'!$B$5*(1-MAX(0,MIN(1,(AC23-'Scoring Setup'!$K$15)/(100-'Scoring Setup'!$K$15)))),1),"")</x:f>
        <x:v>0.859217416422454</x:v>
      </x:c>
      <x:c r="AV23" s="27" t="n">
        <x:f>IF(ISNUMBER(AD23),IF('Scoring Setup'!$L$16=1,1-'Scoring Setup'!$B$5*(1-MAX(0,MIN(1,(AD23-'Scoring Setup'!$K$16)/(100-'Scoring Setup'!$K$16)))),1),"")</x:f>
        <x:v>0.8029524585714285</x:v>
      </x:c>
      <x:c r="AW23" s="27" t="n">
        <x:f>IF(ISNUMBER(AE23),IF('Scoring Setup'!$L$17=1,1-'Scoring Setup'!$B$5*(1-MAX(0,MIN(1,(AE23-'Scoring Setup'!$K$17)/(100-'Scoring Setup'!$K$17)))),1),"")</x:f>
        <x:v>0.82758340125</x:v>
      </x:c>
      <x:c r="AX23" s="27" t="n">
        <x:f>IF(ISNUMBER(AF23),IF('Scoring Setup'!$L$18=1,1-'Scoring Setup'!$B$5*(1-MAX(0,MIN(1,(AF23-'Scoring Setup'!$K$18)/(100-'Scoring Setup'!$K$18)))),1),"")</x:f>
        <x:v>0.8</x:v>
      </x:c>
      <x:c r="AY23" s="27" t="n">
        <x:f>IF(ISNUMBER(AG23),IF('Scoring Setup'!$L$19=1,1-'Scoring Setup'!$B$5*(1-MAX(0,MIN(1,(AG23-'Scoring Setup'!$K$19)/(100-'Scoring Setup'!$K$19)))),1),"")</x:f>
        <x:v>0.8</x:v>
      </x:c>
      <x:c r="AZ23" s="27" t="n">
        <x:f>IF(ISNUMBER(AH23),IF('Scoring Setup'!$L$20=1,1-'Scoring Setup'!$B$5*(1-MAX(0,MIN(1,(AH23-'Scoring Setup'!$K$20)/(100-'Scoring Setup'!$K$20)))),1),"")</x:f>
        <x:v>0.8</x:v>
      </x:c>
      <x:c r="BA23" s="27" t="n">
        <x:f>IF(ISNUMBER(AI23),IF('Scoring Setup'!$L$21=1,1-'Scoring Setup'!$B$5*(1-MAX(0,MIN(1,(AI23-'Scoring Setup'!$K$21)/(100-'Scoring Setup'!$K$21)))),1),"")</x:f>
        <x:v>0.8142568493797665</x:v>
      </x:c>
      <x:c r="BB23" s="27" t="n">
        <x:f>IF(ISNUMBER(AJ23),IF('Scoring Setup'!$L$22=1,1-'Scoring Setup'!$B$5*(1-MAX(0,MIN(1,(AJ23-'Scoring Setup'!$K$22)/(100-'Scoring Setup'!$K$22)))),1),"")</x:f>
        <x:v>0.8</x:v>
      </x:c>
      <x:c r="BC23" s="27" t="n">
        <x:f>IF(ISNUMBER(AK23),IF('Scoring Setup'!$L$23=1,1-'Scoring Setup'!$B$5*(1-MAX(0,MIN(1,(AK23-'Scoring Setup'!$K$23)/(100-'Scoring Setup'!$K$23)))),1),"")</x:f>
        <x:v>0.9384047539106876</x:v>
      </x:c>
      <x:c r="BD23" s="27" t="n">
        <x:f>IF(ISNUMBER(AL23),IF('Scoring Setup'!$L$24=1,1-'Scoring Setup'!$B$5*(1-MAX(0,MIN(1,(AL23-'Scoring Setup'!$K$24)/(100-'Scoring Setup'!$K$24)))),1),"")</x:f>
        <x:v>0.9741818181818181</x:v>
      </x:c>
      <x:c r="BE23" s="27" t="n">
        <x:f>IF(ISNUMBER(AM23),IF('Scoring Setup'!$L$25=1,1-'Scoring Setup'!$B$5*(1-MAX(0,MIN(1,(AM23-'Scoring Setup'!$K$25)/(100-'Scoring Setup'!$K$25)))),1),"")</x:f>
        <x:v>0.8885845218271159</x:v>
      </x:c>
      <x:c r="BF23" s="27" t="n">
        <x:f>IF(ISNUMBER(AN23),IF('Scoring Setup'!$L$26=1,1-'Scoring Setup'!$B$5*(1-MAX(0,MIN(1,(AN23-'Scoring Setup'!$K$26)/(100-'Scoring Setup'!$K$26)))),1),"")</x:f>
        <x:v>0.937286211052675</x:v>
      </x:c>
      <x:c r="BG23" s="34" t="n">
        <x:f>IF(COUNT(W23,X23)=2,AVERAGE(W23,X23),"")</x:f>
        <x:v>78.07142857142858</x:v>
      </x:c>
      <x:c r="BH23" s="34" t="n">
        <x:f>IF(COUNT(Y23,Z23)=2,AVERAGE(Y23,Z23),"")</x:f>
        <x:v>95.00626327641874</x:v>
      </x:c>
      <x:c r="BI23" s="34" t="n">
        <x:f>IF(COUNT(AA23,AB23,AC23)=3,AVERAGE(AA23,AB23,AC23),"")</x:f>
        <x:v>64.94342962765081</x:v>
      </x:c>
      <x:c r="BJ23" s="34" t="n">
        <x:f>IF(COUNT(AD23,AE23)=2,AVERAGE(AD23,AE23),"")</x:f>
        <x:v>7.633964955357143</x:v>
      </x:c>
      <x:c r="BK23" s="34" t="n">
        <x:f>IF(COUNT(AF23,AG23)=2,AVERAGE(AF23,AG23),"")</x:f>
        <x:v>0</x:v>
      </x:c>
      <x:c r="BL23" s="34" t="n">
        <x:f>IF(COUNT(AH23,AI23)=2,AVERAGE(AH23,AI23),"")</x:f>
        <x:v>3.564212344941638</x:v>
      </x:c>
      <x:c r="BM23" s="34" t="n">
        <x:f>IF(COUNT(AJ23,AK23)=2,AVERAGE(AJ23,AK23),"")</x:f>
        <x:v>34.6011884776719</x:v>
      </x:c>
      <x:c r="BN23" s="34" t="n">
        <x:f>IF(COUNT(AL23,AM23,AN23)=3,AVERAGE(AL23,AM23,AN23),"")</x:f>
        <x:v>66.67542517693484</x:v>
      </x:c>
      <x:c r="BO23" s="35" t="n">
        <x:f>IF(AND(COUNT(BG23:BN23)=8,ABS('Scoring Setup'!$C$17-1)&lt;0.000001),BG23*'Scoring Setup'!$C$9+BH23*'Scoring Setup'!$C$10+BI23*'Scoring Setup'!$C$11+BJ23*'Scoring Setup'!$C$12+BK23*'Scoring Setup'!$C$13+BL23*'Scoring Setup'!$C$14+BM23*'Scoring Setup'!$C$15+BN23*'Scoring Setup'!$C$16,"")</x:f>
        <x:v>55.97703256493853</x:v>
      </x:c>
      <x:c r="BP23" s="36" t="n">
        <x:f>IF(COUNT(AO23:BF23)=18,MIN(AO23:BF23),"")</x:f>
        <x:v>0.8</x:v>
      </x:c>
      <x:c r="BQ23" s="35" t="n">
        <x:f>IF(AND(ISNUMBER(BO23),ISNUMBER(BP23)),BO23*BP23,"")</x:f>
        <x:v>44.78162605195083</x:v>
      </x:c>
      <x:c r="BR23" s="17" t="str">
        <x:f>IF(COUNT(AO23:BF23)=18,INDEX('Scoring Setup'!$F$9:$F$26,MATCH(MIN(AO23:BF23),AO23:BF23,0),1),"")</x:f>
        <x:v>劳动力人数</x:v>
      </x:c>
    </x:row>
    <x:row r="24">
      <x:c r="A24" s="28" t="str">
        <x:v>13039</x:v>
      </x:c>
      <x:c r="B24" s="28" t="str">
        <x:v>Camden County</x:v>
      </x:c>
      <x:c r="C24" s="28" t="str">
        <x:v>GA</x:v>
      </x:c>
      <x:c r="D24" s="31" t="n">
        <x:v>1632.396445</x:v>
      </x:c>
      <x:c r="E24" s="32" t="n">
        <x:v>0.764</x:v>
      </x:c>
      <x:c r="F24" s="32" t="n">
        <x:v>0.09529702970297031</x:v>
      </x:c>
      <x:c r="G24" s="32" t="n">
        <x:v>1.2482862615613577</x:v>
      </x:c>
      <x:c r="H24" s="32" t="n">
        <x:v>1.165489541</x:v>
      </x:c>
      <x:c r="I24" s="32" t="n">
        <x:v>0.9272168231483007</x:v>
      </x:c>
      <x:c r="J24" s="32" t="n">
        <x:v>0.06755659427213236</x:v>
      </x:c>
      <x:c r="K24" s="32" t="n">
        <x:v>0.5027837259100643</x:v>
      </x:c>
      <x:c r="L24" s="32" t="n">
        <x:v>0.837575623</x:v>
      </x:c>
      <x:c r="M24" s="32" t="n">
        <x:v>0.831636417</x:v>
      </x:c>
      <x:c r="N24" s="32" t="n">
        <x:v>24055</x:v>
      </x:c>
      <x:c r="O24" s="32" t="n">
        <x:v>0.6618</x:v>
      </x:c>
      <x:c r="P24" s="32" t="n">
        <x:v>2498.705037434896</x:v>
      </x:c>
      <x:c r="Q24" s="32" t="n">
        <x:v>53.16195564270019</x:v>
      </x:c>
      <x:c r="R24" s="32" t="n">
        <x:v>4.180937672951043</x:v>
      </x:c>
      <x:c r="S24" s="32" t="n">
        <x:v>7.365940072359083</x:v>
      </x:c>
      <x:c r="T24" s="32" t="n">
        <x:v>72.1</x:v>
      </x:c>
      <x:c r="U24" s="32" t="n">
        <x:v>211.4154781728841</x:v>
      </x:c>
      <x:c r="V24" s="32" t="n">
        <x:v>325.42757789465</x:v>
      </x:c>
      <x:c r="W24" s="33" t="n">
        <x:f>IF(ISNUMBER(E24),100*MAX(0,MIN(1,('Anchors'!$H$6-E24)/('Anchors'!$H$6-'Anchors'!$G$6))),"")</x:f>
        <x:v>19.42857142857143</x:v>
      </x:c>
      <x:c r="X24" s="33" t="n">
        <x:f>IF(ISNUMBER(F24),100*MAX(0,MIN(1,('Anchors'!$H$7-F24)/('Anchors'!$H$7-'Anchors'!$G$7))),"")</x:f>
        <x:v>100</x:v>
      </x:c>
      <x:c r="Y24" s="33" t="n">
        <x:f>IF(ISNUMBER(G24),100*MAX(0,MIN(1,('Anchors'!$H$8-G24)/('Anchors'!$H$8-'Anchors'!$G$8))),"")</x:f>
        <x:v>91.72379128128809</x:v>
      </x:c>
      <x:c r="Z24" s="33" t="n">
        <x:f>IF(ISNUMBER(H24),100*MAX(0,MIN(1,('Anchors'!$H$9-H24)/('Anchors'!$H$9-'Anchors'!$G$9))),"")</x:f>
        <x:v>94.48368196666667</x:v>
      </x:c>
      <x:c r="AA24" s="33" t="n">
        <x:f>IF(ISNUMBER(I24),100*MAX(0,MIN(1,(I24-'Anchors'!$H$10)/('Anchors'!$G$10-'Anchors'!$H$10))),"")</x:f>
        <x:v>92.76942782853435</x:v>
      </x:c>
      <x:c r="AB24" s="33" t="n">
        <x:f>IF(ISNUMBER(J24),100*MAX(0,MIN(1,('Anchors'!$H$11-J24)/('Anchors'!$H$11-'Anchors'!$G$11))),"")</x:f>
        <x:v>72.97736229114706</x:v>
      </x:c>
      <x:c r="AC24" s="33" t="n">
        <x:f>IF(ISNUMBER(K24),100*MAX(0,MIN(1,('Anchors'!$H$12-K24)/('Anchors'!$H$12-'Anchors'!$G$12))),"")</x:f>
        <x:v>0</x:v>
      </x:c>
      <x:c r="AD24" s="33" t="n">
        <x:f>IF(ISNUMBER(L24),100*MAX(0,MIN(1,(L24-'Anchors'!$H$13)/('Anchors'!$G$13-'Anchors'!$H$13))),"")</x:f>
        <x:v>91.08223185714287</x:v>
      </x:c>
      <x:c r="AE24" s="33" t="n">
        <x:f>IF(ISNUMBER(M24),100*MAX(0,MIN(1,(M24-'Anchors'!$H$14)/('Anchors'!$G$14-'Anchors'!$H$14))),"")</x:f>
        <x:v>91.45455212499999</x:v>
      </x:c>
      <x:c r="AF24" s="33" t="n">
        <x:f>IF(ISNUMBER(N24),100*MAX(0,MIN(1,(LN(1+N24)-LN(1+'Anchors'!$H$15))/(LN(1+'Anchors'!$G$15)-LN(1+'Anchors'!$H$15)))),"")</x:f>
        <x:v>57.60343583274399</x:v>
      </x:c>
      <x:c r="AG24" s="33" t="n">
        <x:f>IF(ISNUMBER(O24),100*MAX(0,MIN(1,('Anchors'!$H$16-O24)/('Anchors'!$H$16-'Anchors'!$G$16))),"")</x:f>
        <x:v>32.02222222222221</x:v>
      </x:c>
      <x:c r="AH24" s="33" t="n">
        <x:f>IF(ISNUMBER(P24),100*MAX(0,MIN(1,('Anchors'!$H$17-P24)/('Anchors'!$H$17-'Anchors'!$G$17))),"")</x:f>
        <x:v>0</x:v>
      </x:c>
      <x:c r="AI24" s="33" t="n">
        <x:f>IF(ISNUMBER(Q24),100*MAX(0,MIN(1,('Anchors'!$H$18-Q24)/('Anchors'!$H$18-'Anchors'!$G$18))),"")</x:f>
        <x:v>31.19720622471401</x:v>
      </x:c>
      <x:c r="AJ24" s="33" t="n">
        <x:f>IF(ISNUMBER(R24),100*MAX(0,MIN(1,('Anchors'!$H$19-R24)/('Anchors'!$H$19-'Anchors'!$G$19))),"")</x:f>
        <x:v>100</x:v>
      </x:c>
      <x:c r="AK24" s="33" t="n">
        <x:f>IF(ISNUMBER(S24),100*MAX(0,MIN(1,('Anchors'!$H$20-S24)/('Anchors'!$H$20-'Anchors'!$G$20))),"")</x:f>
        <x:v>66.49505225074167</x:v>
      </x:c>
      <x:c r="AL24" s="33" t="n">
        <x:f>IF(ISNUMBER(T24),100*MAX(0,MIN(1,('Anchors'!$H$21-T24)/('Anchors'!$H$21-'Anchors'!$G$21))),"")</x:f>
        <x:v>87.0909090909091</x:v>
      </x:c>
      <x:c r="AM24" s="33" t="n">
        <x:f>IF(ISNUMBER(U24),100*MAX(0,MIN(1,('Anchors'!$H$22-U24)/('Anchors'!$H$22-'Anchors'!$G$22))),"")</x:f>
        <x:v>44.29226091355795</x:v>
      </x:c>
      <x:c r="AN24" s="33" t="n">
        <x:f>IF(ISNUMBER(V24),100*MAX(0,MIN(1,('Anchors'!$H$23-V24)/('Anchors'!$H$23-'Anchors'!$G$23))),"")</x:f>
        <x:v>68.6431055263375</x:v>
      </x:c>
      <x:c r="AO24" s="27" t="n">
        <x:f>IF(ISNUMBER(W24),IF('Scoring Setup'!$L$9=1,1-'Scoring Setup'!$B$5*(1-MAX(0,MIN(1,(W24-'Scoring Setup'!$K$9)/(100-'Scoring Setup'!$K$9)))),1),"")</x:f>
        <x:v>0.8388571428571429</x:v>
      </x:c>
      <x:c r="AP24" s="27" t="n">
        <x:f>IF(ISNUMBER(X24),IF('Scoring Setup'!$L$10=1,1-'Scoring Setup'!$B$5*(1-MAX(0,MIN(1,(X24-'Scoring Setup'!$K$10)/(100-'Scoring Setup'!$K$10)))),1),"")</x:f>
        <x:v>1</x:v>
      </x:c>
      <x:c r="AQ24" s="27" t="n">
        <x:f>IF(ISNUMBER(Y24),IF('Scoring Setup'!$L$11=1,1-'Scoring Setup'!$B$5*(1-MAX(0,MIN(1,(Y24-'Scoring Setup'!$K$11)/(100-'Scoring Setup'!$K$11)))),1),"")</x:f>
        <x:v>0.9834475825625761</x:v>
      </x:c>
      <x:c r="AR24" s="27" t="n">
        <x:f>IF(ISNUMBER(Z24),IF('Scoring Setup'!$L$12=1,1-'Scoring Setup'!$B$5*(1-MAX(0,MIN(1,(Z24-'Scoring Setup'!$K$12)/(100-'Scoring Setup'!$K$12)))),1),"")</x:f>
        <x:v>0.9889673639333333</x:v>
      </x:c>
      <x:c r="AS24" s="27" t="n">
        <x:f>IF(ISNUMBER(AA24),IF('Scoring Setup'!$L$13=1,1-'Scoring Setup'!$B$5*(1-MAX(0,MIN(1,(AA24-'Scoring Setup'!$K$13)/(100-'Scoring Setup'!$K$13)))),1),"")</x:f>
        <x:v>0.9855388556570687</x:v>
      </x:c>
      <x:c r="AT24" s="27" t="n">
        <x:f>IF(ISNUMBER(AB24),IF('Scoring Setup'!$L$14=1,1-'Scoring Setup'!$B$5*(1-MAX(0,MIN(1,(AB24-'Scoring Setup'!$K$14)/(100-'Scoring Setup'!$K$14)))),1),"")</x:f>
        <x:v>0.9459547245822941</x:v>
      </x:c>
      <x:c r="AU24" s="27" t="n">
        <x:f>IF(ISNUMBER(AC24),IF('Scoring Setup'!$L$15=1,1-'Scoring Setup'!$B$5*(1-MAX(0,MIN(1,(AC24-'Scoring Setup'!$K$15)/(100-'Scoring Setup'!$K$15)))),1),"")</x:f>
        <x:v>0.8</x:v>
      </x:c>
      <x:c r="AV24" s="27" t="n">
        <x:f>IF(ISNUMBER(AD24),IF('Scoring Setup'!$L$16=1,1-'Scoring Setup'!$B$5*(1-MAX(0,MIN(1,(AD24-'Scoring Setup'!$K$16)/(100-'Scoring Setup'!$K$16)))),1),"")</x:f>
        <x:v>0.9821644637142858</x:v>
      </x:c>
      <x:c r="AW24" s="27" t="n">
        <x:f>IF(ISNUMBER(AE24),IF('Scoring Setup'!$L$17=1,1-'Scoring Setup'!$B$5*(1-MAX(0,MIN(1,(AE24-'Scoring Setup'!$K$17)/(100-'Scoring Setup'!$K$17)))),1),"")</x:f>
        <x:v>0.98290910425</x:v>
      </x:c>
      <x:c r="AX24" s="27" t="n">
        <x:f>IF(ISNUMBER(AF24),IF('Scoring Setup'!$L$18=1,1-'Scoring Setup'!$B$5*(1-MAX(0,MIN(1,(AF24-'Scoring Setup'!$K$18)/(100-'Scoring Setup'!$K$18)))),1),"")</x:f>
        <x:v>0.915206871665488</x:v>
      </x:c>
      <x:c r="AY24" s="27" t="n">
        <x:f>IF(ISNUMBER(AG24),IF('Scoring Setup'!$L$19=1,1-'Scoring Setup'!$B$5*(1-MAX(0,MIN(1,(AG24-'Scoring Setup'!$K$19)/(100-'Scoring Setup'!$K$19)))),1),"")</x:f>
        <x:v>0.8640444444444444</x:v>
      </x:c>
      <x:c r="AZ24" s="27" t="n">
        <x:f>IF(ISNUMBER(AH24),IF('Scoring Setup'!$L$20=1,1-'Scoring Setup'!$B$5*(1-MAX(0,MIN(1,(AH24-'Scoring Setup'!$K$20)/(100-'Scoring Setup'!$K$20)))),1),"")</x:f>
        <x:v>0.8</x:v>
      </x:c>
      <x:c r="BA24" s="27" t="n">
        <x:f>IF(ISNUMBER(AI24),IF('Scoring Setup'!$L$21=1,1-'Scoring Setup'!$B$5*(1-MAX(0,MIN(1,(AI24-'Scoring Setup'!$K$21)/(100-'Scoring Setup'!$K$21)))),1),"")</x:f>
        <x:v>0.862394412449428</x:v>
      </x:c>
      <x:c r="BB24" s="27" t="n">
        <x:f>IF(ISNUMBER(AJ24),IF('Scoring Setup'!$L$22=1,1-'Scoring Setup'!$B$5*(1-MAX(0,MIN(1,(AJ24-'Scoring Setup'!$K$22)/(100-'Scoring Setup'!$K$22)))),1),"")</x:f>
        <x:v>1</x:v>
      </x:c>
      <x:c r="BC24" s="27" t="n">
        <x:f>IF(ISNUMBER(AK24),IF('Scoring Setup'!$L$23=1,1-'Scoring Setup'!$B$5*(1-MAX(0,MIN(1,(AK24-'Scoring Setup'!$K$23)/(100-'Scoring Setup'!$K$23)))),1),"")</x:f>
        <x:v>0.9329901045014833</x:v>
      </x:c>
      <x:c r="BD24" s="27" t="n">
        <x:f>IF(ISNUMBER(AL24),IF('Scoring Setup'!$L$24=1,1-'Scoring Setup'!$B$5*(1-MAX(0,MIN(1,(AL24-'Scoring Setup'!$K$24)/(100-'Scoring Setup'!$K$24)))),1),"")</x:f>
        <x:v>0.9741818181818181</x:v>
      </x:c>
      <x:c r="BE24" s="27" t="n">
        <x:f>IF(ISNUMBER(AM24),IF('Scoring Setup'!$L$25=1,1-'Scoring Setup'!$B$5*(1-MAX(0,MIN(1,(AM24-'Scoring Setup'!$K$25)/(100-'Scoring Setup'!$K$25)))),1),"")</x:f>
        <x:v>0.8885845218271159</x:v>
      </x:c>
      <x:c r="BF24" s="27" t="n">
        <x:f>IF(ISNUMBER(AN24),IF('Scoring Setup'!$L$26=1,1-'Scoring Setup'!$B$5*(1-MAX(0,MIN(1,(AN24-'Scoring Setup'!$K$26)/(100-'Scoring Setup'!$K$26)))),1),"")</x:f>
        <x:v>0.937286211052675</x:v>
      </x:c>
      <x:c r="BG24" s="34" t="n">
        <x:f>IF(COUNT(W24,X24)=2,AVERAGE(W24,X24),"")</x:f>
        <x:v>59.714285714285715</x:v>
      </x:c>
      <x:c r="BH24" s="34" t="n">
        <x:f>IF(COUNT(Y24,Z24)=2,AVERAGE(Y24,Z24),"")</x:f>
        <x:v>93.10373662397737</x:v>
      </x:c>
      <x:c r="BI24" s="34" t="n">
        <x:f>IF(COUNT(AA24,AB24,AC24)=3,AVERAGE(AA24,AB24,AC24),"")</x:f>
        <x:v>55.2489300398938</x:v>
      </x:c>
      <x:c r="BJ24" s="34" t="n">
        <x:f>IF(COUNT(AD24,AE24)=2,AVERAGE(AD24,AE24),"")</x:f>
        <x:v>91.26839199107144</x:v>
      </x:c>
      <x:c r="BK24" s="34" t="n">
        <x:f>IF(COUNT(AF24,AG24)=2,AVERAGE(AF24,AG24),"")</x:f>
        <x:v>44.812829027483104</x:v>
      </x:c>
      <x:c r="BL24" s="34" t="n">
        <x:f>IF(COUNT(AH24,AI24)=2,AVERAGE(AH24,AI24),"")</x:f>
        <x:v>15.598603112357004</x:v>
      </x:c>
      <x:c r="BM24" s="34" t="n">
        <x:f>IF(COUNT(AJ24,AK24)=2,AVERAGE(AJ24,AK24),"")</x:f>
        <x:v>83.24752612537083</x:v>
      </x:c>
      <x:c r="BN24" s="34" t="n">
        <x:f>IF(COUNT(AL24,AM24,AN24)=3,AVERAGE(AL24,AM24,AN24),"")</x:f>
        <x:v>66.67542517693484</x:v>
      </x:c>
      <x:c r="BO24" s="35" t="n">
        <x:f>IF(AND(COUNT(BG24:BN24)=8,ABS('Scoring Setup'!$C$17-1)&lt;0.000001),BG24*'Scoring Setup'!$C$9+BH24*'Scoring Setup'!$C$10+BI24*'Scoring Setup'!$C$11+BJ24*'Scoring Setup'!$C$12+BK24*'Scoring Setup'!$C$13+BL24*'Scoring Setup'!$C$14+BM24*'Scoring Setup'!$C$15+BN24*'Scoring Setup'!$C$16,"")</x:f>
        <x:v>68.67012501703573</x:v>
      </x:c>
      <x:c r="BP24" s="36" t="n">
        <x:f>IF(COUNT(AO24:BF24)=18,MIN(AO24:BF24),"")</x:f>
        <x:v>0.8</x:v>
      </x:c>
      <x:c r="BQ24" s="35" t="n">
        <x:f>IF(AND(ISNUMBER(BO24),ISNUMBER(BP24)),BO24*BP24,"")</x:f>
        <x:v>54.93610001362859</x:v>
      </x:c>
      <x:c r="BR24" s="17" t="str">
        <x:f>IF(COUNT(AO24:BF24)=18,INDEX('Scoring Setup'!$F$9:$F$26,MATCH(MIN(AO24:BF24),AO24:BF24,0),1),"")</x:f>
        <x:v>湿地陆地比例</x:v>
      </x:c>
    </x:row>
    <x:row r="25">
      <x:c r="A25" s="28" t="str">
        <x:v>13043</x:v>
      </x:c>
      <x:c r="B25" s="28" t="str">
        <x:v>Candler County</x:v>
      </x:c>
      <x:c r="C25" s="28" t="str">
        <x:v>GA</x:v>
      </x:c>
      <x:c r="D25" s="31" t="n">
        <x:v>629.520842</x:v>
      </x:c>
      <x:c r="E25" s="32" t="n">
        <x:v>0.532</x:v>
      </x:c>
      <x:c r="F25" s="32" t="n">
        <x:v>0.267326732673267</x:v>
      </x:c>
      <x:c r="G25" s="32" t="n">
        <x:v>0.9386943224646344</x:v>
      </x:c>
      <x:c r="H25" s="32" t="n">
        <x:v>0.7526692794208245</x:v>
      </x:c>
      <x:c r="I25" s="32" t="n">
        <x:v>0.9263172952180243</x:v>
      </x:c>
      <x:c r="J25" s="32" t="n">
        <x:v>0.019739354102912256</x:v>
      </x:c>
      <x:c r="K25" s="32" t="n">
        <x:v>0.3100735339938929</x:v>
      </x:c>
      <x:c r="L25" s="32" t="n">
        <x:v>0.997726842</x:v>
      </x:c>
      <x:c r="M25" s="32" t="n">
        <x:v>0.997726842</x:v>
      </x:c>
      <x:c r="N25" s="32" t="n">
        <x:v>4741</x:v>
      </x:c>
      <x:c r="O25" s="32" t="n">
        <x:v>0.916</x:v>
      </x:c>
      <x:c r="P25" s="32" t="n">
        <x:v>2230.991984049479</x:v>
      </x:c>
      <x:c r="Q25" s="32" t="n">
        <x:v>74.20559056599934</x:v>
      </x:c>
      <x:c r="R25" s="32" t="n">
        <x:v>3.2385104239232785</x:v>
      </x:c>
      <x:c r="S25" s="32" t="n">
        <x:v>1.3931514236059273</x:v>
      </x:c>
      <x:c r="T25" s="32" t="n">
        <x:v>72.1</x:v>
      </x:c>
      <x:c r="U25" s="32" t="n">
        <x:v>211.4154781728841</x:v>
      </x:c>
      <x:c r="V25" s="32" t="n">
        <x:v>325.42757789465</x:v>
      </x:c>
      <x:c r="W25" s="33" t="n">
        <x:f>IF(ISNUMBER(E25),100*MAX(0,MIN(1,('Anchors'!$H$6-E25)/('Anchors'!$H$6-'Anchors'!$G$6))),"")</x:f>
        <x:v>52.57142857142857</x:v>
      </x:c>
      <x:c r="X25" s="33" t="n">
        <x:f>IF(ISNUMBER(F25),100*MAX(0,MIN(1,('Anchors'!$H$7-F25)/('Anchors'!$H$7-'Anchors'!$G$7))),"")</x:f>
        <x:v>76.09618104667614</x:v>
      </x:c>
      <x:c r="Y25" s="33" t="n">
        <x:f>IF(ISNUMBER(G25),100*MAX(0,MIN(1,('Anchors'!$H$8-G25)/('Anchors'!$H$8-'Anchors'!$G$8))),"")</x:f>
        <x:v>100</x:v>
      </x:c>
      <x:c r="Z25" s="33" t="n">
        <x:f>IF(ISNUMBER(H25),100*MAX(0,MIN(1,('Anchors'!$H$9-H25)/('Anchors'!$H$9-'Anchors'!$G$9))),"")</x:f>
        <x:v>100</x:v>
      </x:c>
      <x:c r="AA25" s="33" t="n">
        <x:f>IF(ISNUMBER(I25),100*MAX(0,MIN(1,(I25-'Anchors'!$H$10)/('Anchors'!$G$10-'Anchors'!$H$10))),"")</x:f>
        <x:v>92.64620482438688</x:v>
      </x:c>
      <x:c r="AB25" s="33" t="n">
        <x:f>IF(ISNUMBER(J25),100*MAX(0,MIN(1,('Anchors'!$H$11-J25)/('Anchors'!$H$11-'Anchors'!$G$11))),"")</x:f>
        <x:v>92.1042583588351</x:v>
      </x:c>
      <x:c r="AC25" s="33" t="n">
        <x:f>IF(ISNUMBER(K25),100*MAX(0,MIN(1,('Anchors'!$H$12-K25)/('Anchors'!$H$12-'Anchors'!$G$12))),"")</x:f>
        <x:v>22.481616501526773</x:v>
      </x:c>
      <x:c r="AD25" s="33" t="n">
        <x:f>IF(ISNUMBER(L25),100*MAX(0,MIN(1,(L25-'Anchors'!$H$13)/('Anchors'!$G$13-'Anchors'!$H$13))),"")</x:f>
        <x:v>100</x:v>
      </x:c>
      <x:c r="AE25" s="33" t="n">
        <x:f>IF(ISNUMBER(M25),100*MAX(0,MIN(1,(M25-'Anchors'!$H$14)/('Anchors'!$G$14-'Anchors'!$H$14))),"")</x:f>
        <x:v>100</x:v>
      </x:c>
      <x:c r="AF25" s="33" t="n">
        <x:f>IF(ISNUMBER(N25),100*MAX(0,MIN(1,(LN(1+N25)-LN(1+'Anchors'!$H$15))/(LN(1+'Anchors'!$G$15)-LN(1+'Anchors'!$H$15)))),"")</x:f>
        <x:v>19.986401443617545</x:v>
      </x:c>
      <x:c r="AG25" s="33" t="n">
        <x:f>IF(ISNUMBER(O25),100*MAX(0,MIN(1,('Anchors'!$H$16-O25)/('Anchors'!$H$16-'Anchors'!$G$16))),"")</x:f>
        <x:v>3.7777777777777697</x:v>
      </x:c>
      <x:c r="AH25" s="33" t="n">
        <x:f>IF(ISNUMBER(P25),100*MAX(0,MIN(1,('Anchors'!$H$17-P25)/('Anchors'!$H$17-'Anchors'!$G$17))),"")</x:f>
        <x:v>0</x:v>
      </x:c>
      <x:c r="AI25" s="33" t="n">
        <x:f>IF(ISNUMBER(Q25),100*MAX(0,MIN(1,('Anchors'!$H$18-Q25)/('Anchors'!$H$18-'Anchors'!$G$18))),"")</x:f>
        <x:v>1.1348706200009369</x:v>
      </x:c>
      <x:c r="AJ25" s="33" t="n">
        <x:f>IF(ISNUMBER(R25),100*MAX(0,MIN(1,('Anchors'!$H$19-R25)/('Anchors'!$H$19-'Anchors'!$G$19))),"")</x:f>
        <x:v>100</x:v>
      </x:c>
      <x:c r="AK25" s="33" t="n">
        <x:f>IF(ISNUMBER(S25),100*MAX(0,MIN(1,('Anchors'!$H$20-S25)/('Anchors'!$H$20-'Anchors'!$G$20))),"")</x:f>
        <x:v>97.93078198102143</x:v>
      </x:c>
      <x:c r="AL25" s="33" t="n">
        <x:f>IF(ISNUMBER(T25),100*MAX(0,MIN(1,('Anchors'!$H$21-T25)/('Anchors'!$H$21-'Anchors'!$G$21))),"")</x:f>
        <x:v>87.0909090909091</x:v>
      </x:c>
      <x:c r="AM25" s="33" t="n">
        <x:f>IF(ISNUMBER(U25),100*MAX(0,MIN(1,('Anchors'!$H$22-U25)/('Anchors'!$H$22-'Anchors'!$G$22))),"")</x:f>
        <x:v>44.29226091355795</x:v>
      </x:c>
      <x:c r="AN25" s="33" t="n">
        <x:f>IF(ISNUMBER(V25),100*MAX(0,MIN(1,('Anchors'!$H$23-V25)/('Anchors'!$H$23-'Anchors'!$G$23))),"")</x:f>
        <x:v>68.6431055263375</x:v>
      </x:c>
      <x:c r="AO25" s="27" t="n">
        <x:f>IF(ISNUMBER(W25),IF('Scoring Setup'!$L$9=1,1-'Scoring Setup'!$B$5*(1-MAX(0,MIN(1,(W25-'Scoring Setup'!$K$9)/(100-'Scoring Setup'!$K$9)))),1),"")</x:f>
        <x:v>0.9051428571428571</x:v>
      </x:c>
      <x:c r="AP25" s="27" t="n">
        <x:f>IF(ISNUMBER(X25),IF('Scoring Setup'!$L$10=1,1-'Scoring Setup'!$B$5*(1-MAX(0,MIN(1,(X25-'Scoring Setup'!$K$10)/(100-'Scoring Setup'!$K$10)))),1),"")</x:f>
        <x:v>0.9521923620933522</x:v>
      </x:c>
      <x:c r="AQ25" s="27" t="n">
        <x:f>IF(ISNUMBER(Y25),IF('Scoring Setup'!$L$11=1,1-'Scoring Setup'!$B$5*(1-MAX(0,MIN(1,(Y25-'Scoring Setup'!$K$11)/(100-'Scoring Setup'!$K$11)))),1),"")</x:f>
        <x:v>1</x:v>
      </x:c>
      <x:c r="AR25" s="27" t="n">
        <x:f>IF(ISNUMBER(Z25),IF('Scoring Setup'!$L$12=1,1-'Scoring Setup'!$B$5*(1-MAX(0,MIN(1,(Z25-'Scoring Setup'!$K$12)/(100-'Scoring Setup'!$K$12)))),1),"")</x:f>
        <x:v>1</x:v>
      </x:c>
      <x:c r="AS25" s="27" t="n">
        <x:f>IF(ISNUMBER(AA25),IF('Scoring Setup'!$L$13=1,1-'Scoring Setup'!$B$5*(1-MAX(0,MIN(1,(AA25-'Scoring Setup'!$K$13)/(100-'Scoring Setup'!$K$13)))),1),"")</x:f>
        <x:v>0.9852924096487737</x:v>
      </x:c>
      <x:c r="AT25" s="27" t="n">
        <x:f>IF(ISNUMBER(AB25),IF('Scoring Setup'!$L$14=1,1-'Scoring Setup'!$B$5*(1-MAX(0,MIN(1,(AB25-'Scoring Setup'!$K$14)/(100-'Scoring Setup'!$K$14)))),1),"")</x:f>
        <x:v>0.9842085167176702</x:v>
      </x:c>
      <x:c r="AU25" s="27" t="n">
        <x:f>IF(ISNUMBER(AC25),IF('Scoring Setup'!$L$15=1,1-'Scoring Setup'!$B$5*(1-MAX(0,MIN(1,(AC25-'Scoring Setup'!$K$15)/(100-'Scoring Setup'!$K$15)))),1),"")</x:f>
        <x:v>0.8449632330030535</x:v>
      </x:c>
      <x:c r="AV25" s="27" t="n">
        <x:f>IF(ISNUMBER(AD25),IF('Scoring Setup'!$L$16=1,1-'Scoring Setup'!$B$5*(1-MAX(0,MIN(1,(AD25-'Scoring Setup'!$K$16)/(100-'Scoring Setup'!$K$16)))),1),"")</x:f>
        <x:v>1</x:v>
      </x:c>
      <x:c r="AW25" s="27" t="n">
        <x:f>IF(ISNUMBER(AE25),IF('Scoring Setup'!$L$17=1,1-'Scoring Setup'!$B$5*(1-MAX(0,MIN(1,(AE25-'Scoring Setup'!$K$17)/(100-'Scoring Setup'!$K$17)))),1),"")</x:f>
        <x:v>1</x:v>
      </x:c>
      <x:c r="AX25" s="27" t="n">
        <x:f>IF(ISNUMBER(AF25),IF('Scoring Setup'!$L$18=1,1-'Scoring Setup'!$B$5*(1-MAX(0,MIN(1,(AF25-'Scoring Setup'!$K$18)/(100-'Scoring Setup'!$K$18)))),1),"")</x:f>
        <x:v>0.8399728028872351</x:v>
      </x:c>
      <x:c r="AY25" s="27" t="n">
        <x:f>IF(ISNUMBER(AG25),IF('Scoring Setup'!$L$19=1,1-'Scoring Setup'!$B$5*(1-MAX(0,MIN(1,(AG25-'Scoring Setup'!$K$19)/(100-'Scoring Setup'!$K$19)))),1),"")</x:f>
        <x:v>0.8075555555555556</x:v>
      </x:c>
      <x:c r="AZ25" s="27" t="n">
        <x:f>IF(ISNUMBER(AH25),IF('Scoring Setup'!$L$20=1,1-'Scoring Setup'!$B$5*(1-MAX(0,MIN(1,(AH25-'Scoring Setup'!$K$20)/(100-'Scoring Setup'!$K$20)))),1),"")</x:f>
        <x:v>0.8</x:v>
      </x:c>
      <x:c r="BA25" s="27" t="n">
        <x:f>IF(ISNUMBER(AI25),IF('Scoring Setup'!$L$21=1,1-'Scoring Setup'!$B$5*(1-MAX(0,MIN(1,(AI25-'Scoring Setup'!$K$21)/(100-'Scoring Setup'!$K$21)))),1),"")</x:f>
        <x:v>0.8022697412400018</x:v>
      </x:c>
      <x:c r="BB25" s="27" t="n">
        <x:f>IF(ISNUMBER(AJ25),IF('Scoring Setup'!$L$22=1,1-'Scoring Setup'!$B$5*(1-MAX(0,MIN(1,(AJ25-'Scoring Setup'!$K$22)/(100-'Scoring Setup'!$K$22)))),1),"")</x:f>
        <x:v>1</x:v>
      </x:c>
      <x:c r="BC25" s="27" t="n">
        <x:f>IF(ISNUMBER(AK25),IF('Scoring Setup'!$L$23=1,1-'Scoring Setup'!$B$5*(1-MAX(0,MIN(1,(AK25-'Scoring Setup'!$K$23)/(100-'Scoring Setup'!$K$23)))),1),"")</x:f>
        <x:v>0.9958615639620428</x:v>
      </x:c>
      <x:c r="BD25" s="27" t="n">
        <x:f>IF(ISNUMBER(AL25),IF('Scoring Setup'!$L$24=1,1-'Scoring Setup'!$B$5*(1-MAX(0,MIN(1,(AL25-'Scoring Setup'!$K$24)/(100-'Scoring Setup'!$K$24)))),1),"")</x:f>
        <x:v>0.9741818181818181</x:v>
      </x:c>
      <x:c r="BE25" s="27" t="n">
        <x:f>IF(ISNUMBER(AM25),IF('Scoring Setup'!$L$25=1,1-'Scoring Setup'!$B$5*(1-MAX(0,MIN(1,(AM25-'Scoring Setup'!$K$25)/(100-'Scoring Setup'!$K$25)))),1),"")</x:f>
        <x:v>0.8885845218271159</x:v>
      </x:c>
      <x:c r="BF25" s="27" t="n">
        <x:f>IF(ISNUMBER(AN25),IF('Scoring Setup'!$L$26=1,1-'Scoring Setup'!$B$5*(1-MAX(0,MIN(1,(AN25-'Scoring Setup'!$K$26)/(100-'Scoring Setup'!$K$26)))),1),"")</x:f>
        <x:v>0.937286211052675</x:v>
      </x:c>
      <x:c r="BG25" s="34" t="n">
        <x:f>IF(COUNT(W25,X25)=2,AVERAGE(W25,X25),"")</x:f>
        <x:v>64.33380480905235</x:v>
      </x:c>
      <x:c r="BH25" s="34" t="n">
        <x:f>IF(COUNT(Y25,Z25)=2,AVERAGE(Y25,Z25),"")</x:f>
        <x:v>100</x:v>
      </x:c>
      <x:c r="BI25" s="34" t="n">
        <x:f>IF(COUNT(AA25,AB25,AC25)=3,AVERAGE(AA25,AB25,AC25),"")</x:f>
        <x:v>69.07735989491626</x:v>
      </x:c>
      <x:c r="BJ25" s="34" t="n">
        <x:f>IF(COUNT(AD25,AE25)=2,AVERAGE(AD25,AE25),"")</x:f>
        <x:v>100</x:v>
      </x:c>
      <x:c r="BK25" s="34" t="n">
        <x:f>IF(COUNT(AF25,AG25)=2,AVERAGE(AF25,AG25),"")</x:f>
        <x:v>11.882089610697658</x:v>
      </x:c>
      <x:c r="BL25" s="34" t="n">
        <x:f>IF(COUNT(AH25,AI25)=2,AVERAGE(AH25,AI25),"")</x:f>
        <x:v>0.5674353100004684</x:v>
      </x:c>
      <x:c r="BM25" s="34" t="n">
        <x:f>IF(COUNT(AJ25,AK25)=2,AVERAGE(AJ25,AK25),"")</x:f>
        <x:v>98.96539099051071</x:v>
      </x:c>
      <x:c r="BN25" s="34" t="n">
        <x:f>IF(COUNT(AL25,AM25,AN25)=3,AVERAGE(AL25,AM25,AN25),"")</x:f>
        <x:v>66.67542517693484</x:v>
      </x:c>
      <x:c r="BO25" s="35" t="n">
        <x:f>IF(AND(COUNT(BG25:BN25)=8,ABS('Scoring Setup'!$C$17-1)&lt;0.000001),BG25*'Scoring Setup'!$C$9+BH25*'Scoring Setup'!$C$10+BI25*'Scoring Setup'!$C$11+BJ25*'Scoring Setup'!$C$12+BK25*'Scoring Setup'!$C$13+BL25*'Scoring Setup'!$C$14+BM25*'Scoring Setup'!$C$15+BN25*'Scoring Setup'!$C$16,"")</x:f>
        <x:v>69.50859429957265</x:v>
      </x:c>
      <x:c r="BP25" s="36" t="n">
        <x:f>IF(COUNT(AO25:BF25)=18,MIN(AO25:BF25),"")</x:f>
        <x:v>0.8</x:v>
      </x:c>
      <x:c r="BQ25" s="35" t="n">
        <x:f>IF(AND(ISNUMBER(BO25),ISNUMBER(BP25)),BO25*BP25,"")</x:f>
        <x:v>55.606875439658126</x:v>
      </x:c>
      <x:c r="BR25" s="17" t="str">
        <x:f>IF(COUNT(AO25:BF25)=18,INDEX('Scoring Setup'!$F$9:$F$26,MATCH(MIN(AO25:BF25),AO25:BF25,0),1),"")</x:f>
        <x:v>历史CDD65</x:v>
      </x:c>
    </x:row>
    <x:row r="26">
      <x:c r="A26" s="28" t="str">
        <x:v>13045</x:v>
      </x:c>
      <x:c r="B26" s="28" t="str">
        <x:v>Carroll County</x:v>
      </x:c>
      <x:c r="C26" s="28" t="str">
        <x:v>GA</x:v>
      </x:c>
      <x:c r="D26" s="31" t="n">
        <x:v>1292.705389</x:v>
      </x:c>
      <x:c r="E26" s="32" t="n">
        <x:v>0.838</x:v>
      </x:c>
      <x:c r="F26" s="32" t="n">
        <x:v>0.19894801980198001</x:v>
      </x:c>
      <x:c r="G26" s="32" t="n">
        <x:v>2.674351152637184</x:v>
      </x:c>
      <x:c r="H26" s="32" t="n">
        <x:v>2.4422651320300064</x:v>
      </x:c>
      <x:c r="I26" s="32" t="n">
        <x:v>0.8659177897253262</x:v>
      </x:c>
      <x:c r="J26" s="32" t="n">
        <x:v>0.0027474957634338404</x:v>
      </x:c>
      <x:c r="K26" s="32" t="n">
        <x:v>0.025235033548211813</x:v>
      </x:c>
      <x:c r="L26" s="32" t="n">
        <x:v>0.691672595</x:v>
      </x:c>
      <x:c r="M26" s="32" t="n">
        <x:v>0.688920508</x:v>
      </x:c>
      <x:c r="N26" s="32" t="n">
        <x:v>63362</x:v>
      </x:c>
      <x:c r="O26" s="32" t="n">
        <x:v>0.8428</x:v>
      </x:c>
      <x:c r="P26" s="32" t="n">
        <x:v>1349.5863932291666</x:v>
      </x:c>
      <x:c r="Q26" s="32" t="n">
        <x:v>27.73567174275716</x:v>
      </x:c>
      <x:c r="R26" s="32" t="n">
        <x:v>12.100655205212664</x:v>
      </x:c>
      <x:c r="S26" s="32" t="n">
        <x:v>0.6107113781393234</x:v>
      </x:c>
      <x:c r="T26" s="32" t="n">
        <x:v>72.1</x:v>
      </x:c>
      <x:c r="U26" s="32" t="n">
        <x:v>211.4154781728841</x:v>
      </x:c>
      <x:c r="V26" s="32" t="n">
        <x:v>325.42757789465</x:v>
      </x:c>
      <x:c r="W26" s="33" t="n">
        <x:f>IF(ISNUMBER(E26),100*MAX(0,MIN(1,('Anchors'!$H$6-E26)/('Anchors'!$H$6-'Anchors'!$G$6))),"")</x:f>
        <x:v>8.857142857142867</x:v>
      </x:c>
      <x:c r="X26" s="33" t="n">
        <x:f>IF(ISNUMBER(F26),100*MAX(0,MIN(1,('Anchors'!$H$7-F26)/('Anchors'!$H$7-'Anchors'!$G$7))),"")</x:f>
        <x:v>85.86456859971715</x:v>
      </x:c>
      <x:c r="Y26" s="33" t="n">
        <x:f>IF(ISNUMBER(G26),100*MAX(0,MIN(1,('Anchors'!$H$8-G26)/('Anchors'!$H$8-'Anchors'!$G$8))),"")</x:f>
        <x:v>44.188294912093866</x:v>
      </x:c>
      <x:c r="Z26" s="33" t="n">
        <x:f>IF(ISNUMBER(H26),100*MAX(0,MIN(1,('Anchors'!$H$9-H26)/('Anchors'!$H$9-'Anchors'!$G$9))),"")</x:f>
        <x:v>51.92449559899978</x:v>
      </x:c>
      <x:c r="AA26" s="33" t="n">
        <x:f>IF(ISNUMBER(I26),100*MAX(0,MIN(1,(I26-'Anchors'!$H$10)/('Anchors'!$G$10-'Anchors'!$H$10))),"")</x:f>
        <x:v>84.37229996237346</x:v>
      </x:c>
      <x:c r="AB26" s="33" t="n">
        <x:f>IF(ISNUMBER(J26),100*MAX(0,MIN(1,('Anchors'!$H$11-J26)/('Anchors'!$H$11-'Anchors'!$G$11))),"")</x:f>
        <x:v>98.90100169462647</x:v>
      </x:c>
      <x:c r="AC26" s="33" t="n">
        <x:f>IF(ISNUMBER(K26),100*MAX(0,MIN(1,('Anchors'!$H$12-K26)/('Anchors'!$H$12-'Anchors'!$G$12))),"")</x:f>
        <x:v>93.69124161294704</x:v>
      </x:c>
      <x:c r="AD26" s="33" t="n">
        <x:f>IF(ISNUMBER(L26),100*MAX(0,MIN(1,(L26-'Anchors'!$H$13)/('Anchors'!$G$13-'Anchors'!$H$13))),"")</x:f>
        <x:v>70.23894214285714</x:v>
      </x:c>
      <x:c r="AE26" s="33" t="n">
        <x:f>IF(ISNUMBER(M26),100*MAX(0,MIN(1,(M26-'Anchors'!$H$14)/('Anchors'!$G$14-'Anchors'!$H$14))),"")</x:f>
        <x:v>73.6150635</x:v>
      </x:c>
      <x:c r="AF26" s="33" t="n">
        <x:f>IF(ISNUMBER(N26),100*MAX(0,MIN(1,(LN(1+N26)-LN(1+'Anchors'!$H$15))/(LN(1+'Anchors'!$G$15)-LN(1+'Anchors'!$H$15)))),"")</x:f>
        <x:v>80.03792256403376</x:v>
      </x:c>
      <x:c r="AG26" s="33" t="n">
        <x:f>IF(ISNUMBER(O26),100*MAX(0,MIN(1,('Anchors'!$H$16-O26)/('Anchors'!$H$16-'Anchors'!$G$16))),"")</x:f>
        <x:v>11.911111111111108</x:v>
      </x:c>
      <x:c r="AH26" s="33" t="n">
        <x:f>IF(ISNUMBER(P26),100*MAX(0,MIN(1,('Anchors'!$H$17-P26)/('Anchors'!$H$17-'Anchors'!$G$17))),"")</x:f>
        <x:v>56.6942404513889</x:v>
      </x:c>
      <x:c r="AI26" s="33" t="n">
        <x:f>IF(ISNUMBER(Q26),100*MAX(0,MIN(1,('Anchors'!$H$18-Q26)/('Anchors'!$H$18-'Anchors'!$G$18))),"")</x:f>
        <x:v>67.52046893891834</x:v>
      </x:c>
      <x:c r="AJ26" s="33" t="n">
        <x:f>IF(ISNUMBER(R26),100*MAX(0,MIN(1,('Anchors'!$H$19-R26)/('Anchors'!$H$19-'Anchors'!$G$19))),"")</x:f>
        <x:v>84.22076621063853</x:v>
      </x:c>
      <x:c r="AK26" s="33" t="n">
        <x:f>IF(ISNUMBER(S26),100*MAX(0,MIN(1,('Anchors'!$H$20-S26)/('Anchors'!$H$20-'Anchors'!$G$20))),"")</x:f>
        <x:v>100</x:v>
      </x:c>
      <x:c r="AL26" s="33" t="n">
        <x:f>IF(ISNUMBER(T26),100*MAX(0,MIN(1,('Anchors'!$H$21-T26)/('Anchors'!$H$21-'Anchors'!$G$21))),"")</x:f>
        <x:v>87.0909090909091</x:v>
      </x:c>
      <x:c r="AM26" s="33" t="n">
        <x:f>IF(ISNUMBER(U26),100*MAX(0,MIN(1,('Anchors'!$H$22-U26)/('Anchors'!$H$22-'Anchors'!$G$22))),"")</x:f>
        <x:v>44.29226091355795</x:v>
      </x:c>
      <x:c r="AN26" s="33" t="n">
        <x:f>IF(ISNUMBER(V26),100*MAX(0,MIN(1,('Anchors'!$H$23-V26)/('Anchors'!$H$23-'Anchors'!$G$23))),"")</x:f>
        <x:v>68.6431055263375</x:v>
      </x:c>
      <x:c r="AO26" s="27" t="n">
        <x:f>IF(ISNUMBER(W26),IF('Scoring Setup'!$L$9=1,1-'Scoring Setup'!$B$5*(1-MAX(0,MIN(1,(W26-'Scoring Setup'!$K$9)/(100-'Scoring Setup'!$K$9)))),1),"")</x:f>
        <x:v>0.8177142857142857</x:v>
      </x:c>
      <x:c r="AP26" s="27" t="n">
        <x:f>IF(ISNUMBER(X26),IF('Scoring Setup'!$L$10=1,1-'Scoring Setup'!$B$5*(1-MAX(0,MIN(1,(X26-'Scoring Setup'!$K$10)/(100-'Scoring Setup'!$K$10)))),1),"")</x:f>
        <x:v>0.9717291371994343</x:v>
      </x:c>
      <x:c r="AQ26" s="27" t="n">
        <x:f>IF(ISNUMBER(Y26),IF('Scoring Setup'!$L$11=1,1-'Scoring Setup'!$B$5*(1-MAX(0,MIN(1,(Y26-'Scoring Setup'!$K$11)/(100-'Scoring Setup'!$K$11)))),1),"")</x:f>
        <x:v>0.8883765898241878</x:v>
      </x:c>
      <x:c r="AR26" s="27" t="n">
        <x:f>IF(ISNUMBER(Z26),IF('Scoring Setup'!$L$12=1,1-'Scoring Setup'!$B$5*(1-MAX(0,MIN(1,(Z26-'Scoring Setup'!$K$12)/(100-'Scoring Setup'!$K$12)))),1),"")</x:f>
        <x:v>0.9038489911979996</x:v>
      </x:c>
      <x:c r="AS26" s="27" t="n">
        <x:f>IF(ISNUMBER(AA26),IF('Scoring Setup'!$L$13=1,1-'Scoring Setup'!$B$5*(1-MAX(0,MIN(1,(AA26-'Scoring Setup'!$K$13)/(100-'Scoring Setup'!$K$13)))),1),"")</x:f>
        <x:v>0.9687445999247469</x:v>
      </x:c>
      <x:c r="AT26" s="27" t="n">
        <x:f>IF(ISNUMBER(AB26),IF('Scoring Setup'!$L$14=1,1-'Scoring Setup'!$B$5*(1-MAX(0,MIN(1,(AB26-'Scoring Setup'!$K$14)/(100-'Scoring Setup'!$K$14)))),1),"")</x:f>
        <x:v>0.997802003389253</x:v>
      </x:c>
      <x:c r="AU26" s="27" t="n">
        <x:f>IF(ISNUMBER(AC26),IF('Scoring Setup'!$L$15=1,1-'Scoring Setup'!$B$5*(1-MAX(0,MIN(1,(AC26-'Scoring Setup'!$K$15)/(100-'Scoring Setup'!$K$15)))),1),"")</x:f>
        <x:v>0.9873824832258941</x:v>
      </x:c>
      <x:c r="AV26" s="27" t="n">
        <x:f>IF(ISNUMBER(AD26),IF('Scoring Setup'!$L$16=1,1-'Scoring Setup'!$B$5*(1-MAX(0,MIN(1,(AD26-'Scoring Setup'!$K$16)/(100-'Scoring Setup'!$K$16)))),1),"")</x:f>
        <x:v>0.9404778842857143</x:v>
      </x:c>
      <x:c r="AW26" s="27" t="n">
        <x:f>IF(ISNUMBER(AE26),IF('Scoring Setup'!$L$17=1,1-'Scoring Setup'!$B$5*(1-MAX(0,MIN(1,(AE26-'Scoring Setup'!$K$17)/(100-'Scoring Setup'!$K$17)))),1),"")</x:f>
        <x:v>0.947230127</x:v>
      </x:c>
      <x:c r="AX26" s="27" t="n">
        <x:f>IF(ISNUMBER(AF26),IF('Scoring Setup'!$L$18=1,1-'Scoring Setup'!$B$5*(1-MAX(0,MIN(1,(AF26-'Scoring Setup'!$K$18)/(100-'Scoring Setup'!$K$18)))),1),"")</x:f>
        <x:v>0.9600758451280675</x:v>
      </x:c>
      <x:c r="AY26" s="27" t="n">
        <x:f>IF(ISNUMBER(AG26),IF('Scoring Setup'!$L$19=1,1-'Scoring Setup'!$B$5*(1-MAX(0,MIN(1,(AG26-'Scoring Setup'!$K$19)/(100-'Scoring Setup'!$K$19)))),1),"")</x:f>
        <x:v>0.8238222222222222</x:v>
      </x:c>
      <x:c r="AZ26" s="27" t="n">
        <x:f>IF(ISNUMBER(AH26),IF('Scoring Setup'!$L$20=1,1-'Scoring Setup'!$B$5*(1-MAX(0,MIN(1,(AH26-'Scoring Setup'!$K$20)/(100-'Scoring Setup'!$K$20)))),1),"")</x:f>
        <x:v>0.9133884809027778</x:v>
      </x:c>
      <x:c r="BA26" s="27" t="n">
        <x:f>IF(ISNUMBER(AI26),IF('Scoring Setup'!$L$21=1,1-'Scoring Setup'!$B$5*(1-MAX(0,MIN(1,(AI26-'Scoring Setup'!$K$21)/(100-'Scoring Setup'!$K$21)))),1),"")</x:f>
        <x:v>0.9350409378778367</x:v>
      </x:c>
      <x:c r="BB26" s="27" t="n">
        <x:f>IF(ISNUMBER(AJ26),IF('Scoring Setup'!$L$22=1,1-'Scoring Setup'!$B$5*(1-MAX(0,MIN(1,(AJ26-'Scoring Setup'!$K$22)/(100-'Scoring Setup'!$K$22)))),1),"")</x:f>
        <x:v>0.9684415324212771</x:v>
      </x:c>
      <x:c r="BC26" s="27" t="n">
        <x:f>IF(ISNUMBER(AK26),IF('Scoring Setup'!$L$23=1,1-'Scoring Setup'!$B$5*(1-MAX(0,MIN(1,(AK26-'Scoring Setup'!$K$23)/(100-'Scoring Setup'!$K$23)))),1),"")</x:f>
        <x:v>1</x:v>
      </x:c>
      <x:c r="BD26" s="27" t="n">
        <x:f>IF(ISNUMBER(AL26),IF('Scoring Setup'!$L$24=1,1-'Scoring Setup'!$B$5*(1-MAX(0,MIN(1,(AL26-'Scoring Setup'!$K$24)/(100-'Scoring Setup'!$K$24)))),1),"")</x:f>
        <x:v>0.9741818181818181</x:v>
      </x:c>
      <x:c r="BE26" s="27" t="n">
        <x:f>IF(ISNUMBER(AM26),IF('Scoring Setup'!$L$25=1,1-'Scoring Setup'!$B$5*(1-MAX(0,MIN(1,(AM26-'Scoring Setup'!$K$25)/(100-'Scoring Setup'!$K$25)))),1),"")</x:f>
        <x:v>0.8885845218271159</x:v>
      </x:c>
      <x:c r="BF26" s="27" t="n">
        <x:f>IF(ISNUMBER(AN26),IF('Scoring Setup'!$L$26=1,1-'Scoring Setup'!$B$5*(1-MAX(0,MIN(1,(AN26-'Scoring Setup'!$K$26)/(100-'Scoring Setup'!$K$26)))),1),"")</x:f>
        <x:v>0.937286211052675</x:v>
      </x:c>
      <x:c r="BG26" s="34" t="n">
        <x:f>IF(COUNT(W26,X26)=2,AVERAGE(W26,X26),"")</x:f>
        <x:v>47.36085572843</x:v>
      </x:c>
      <x:c r="BH26" s="34" t="n">
        <x:f>IF(COUNT(Y26,Z26)=2,AVERAGE(Y26,Z26),"")</x:f>
        <x:v>48.056395255546825</x:v>
      </x:c>
      <x:c r="BI26" s="34" t="n">
        <x:f>IF(COUNT(AA26,AB26,AC26)=3,AVERAGE(AA26,AB26,AC26),"")</x:f>
        <x:v>92.32151442331565</x:v>
      </x:c>
      <x:c r="BJ26" s="34" t="n">
        <x:f>IF(COUNT(AD26,AE26)=2,AVERAGE(AD26,AE26),"")</x:f>
        <x:v>71.92700282142857</x:v>
      </x:c>
      <x:c r="BK26" s="34" t="n">
        <x:f>IF(COUNT(AF26,AG26)=2,AVERAGE(AF26,AG26),"")</x:f>
        <x:v>45.97451683757244</x:v>
      </x:c>
      <x:c r="BL26" s="34" t="n">
        <x:f>IF(COUNT(AH26,AI26)=2,AVERAGE(AH26,AI26),"")</x:f>
        <x:v>62.10735469515362</x:v>
      </x:c>
      <x:c r="BM26" s="34" t="n">
        <x:f>IF(COUNT(AJ26,AK26)=2,AVERAGE(AJ26,AK26),"")</x:f>
        <x:v>92.11038310531927</x:v>
      </x:c>
      <x:c r="BN26" s="34" t="n">
        <x:f>IF(COUNT(AL26,AM26,AN26)=3,AVERAGE(AL26,AM26,AN26),"")</x:f>
        <x:v>66.67542517693484</x:v>
      </x:c>
      <x:c r="BO26" s="35" t="n">
        <x:f>IF(AND(COUNT(BG26:BN26)=8,ABS('Scoring Setup'!$C$17-1)&lt;0.000001),BG26*'Scoring Setup'!$C$9+BH26*'Scoring Setup'!$C$10+BI26*'Scoring Setup'!$C$11+BJ26*'Scoring Setup'!$C$12+BK26*'Scoring Setup'!$C$13+BL26*'Scoring Setup'!$C$14+BM26*'Scoring Setup'!$C$15+BN26*'Scoring Setup'!$C$16,"")</x:f>
        <x:v>63.083182475288126</x:v>
      </x:c>
      <x:c r="BP26" s="36" t="n">
        <x:f>IF(COUNT(AO26:BF26)=18,MIN(AO26:BF26),"")</x:f>
        <x:v>0.8177142857142857</x:v>
      </x:c>
      <x:c r="BQ26" s="35" t="n">
        <x:f>IF(AND(ISNUMBER(BO26),ISNUMBER(BP26)),BO26*BP26,"")</x:f>
        <x:v>51.58401949836418</x:v>
      </x:c>
      <x:c r="BR26" s="17" t="str">
        <x:f>IF(COUNT(AO26:BF26)=18,INDEX('Scoring Setup'!$F$9:$F$26,MATCH(MIN(AO26:BF26),AO26:BF26,0),1),"")</x:f>
        <x:v>野火全国百分位</x:v>
      </x:c>
    </x:row>
    <x:row r="27">
      <x:c r="A27" s="28" t="str">
        <x:v>13047</x:v>
      </x:c>
      <x:c r="B27" s="28" t="str">
        <x:v>Catoosa County</x:v>
      </x:c>
      <x:c r="C27" s="28" t="str">
        <x:v>GA</x:v>
      </x:c>
      <x:c r="D27" s="31" t="n">
        <x:v>419.998917</x:v>
      </x:c>
      <x:c r="E27" s="32" t="n">
        <x:v>0.702</x:v>
      </x:c>
      <x:c r="F27" s="32" t="n">
        <x:v>0.713180693069307</x:v>
      </x:c>
      <x:c r="G27" s="32" t="n">
        <x:v>0.31236054215276465</x:v>
      </x:c>
      <x:c r="H27" s="32" t="n">
        <x:v>0.280437803</x:v>
      </x:c>
      <x:c r="I27" s="32" t="n">
        <x:v>0.7953112535062662</x:v>
      </x:c>
      <x:c r="J27" s="32" t="n">
        <x:v>0</x:v>
      </x:c>
      <x:c r="K27" s="32" t="n">
        <x:v>0.006506429227034492</x:v>
      </x:c>
      <x:c r="L27" s="32" t="n">
        <x:v>0.58935411</x:v>
      </x:c>
      <x:c r="M27" s="32" t="n">
        <x:v>0.58935411</x:v>
      </x:c>
      <x:c r="N27" s="32" t="n">
        <x:v>34455</x:v>
      </x:c>
      <x:c r="O27" s="32" t="n">
        <x:v>0.3086</x:v>
      </x:c>
      <x:c r="P27" s="32" t="n">
        <x:v>1405.244405110677</x:v>
      </x:c>
      <x:c r="Q27" s="32" t="n">
        <x:v>30.63939514160156</x:v>
      </x:c>
      <x:c r="R27" s="32" t="n">
        <x:v>1.33934659084041</x:v>
      </x:c>
      <x:c r="S27" s="32" t="n">
        <x:v>3.291829700806426</x:v>
      </x:c>
      <x:c r="T27" s="32" t="n">
        <x:v>72.1</x:v>
      </x:c>
      <x:c r="U27" s="32" t="n">
        <x:v>211.4154781728841</x:v>
      </x:c>
      <x:c r="V27" s="32" t="n">
        <x:v>325.42757789465</x:v>
      </x:c>
      <x:c r="W27" s="33" t="n">
        <x:f>IF(ISNUMBER(E27),100*MAX(0,MIN(1,('Anchors'!$H$6-E27)/('Anchors'!$H$6-'Anchors'!$G$6))),"")</x:f>
        <x:v>28.2857142857143</x:v>
      </x:c>
      <x:c r="X27" s="33" t="n">
        <x:f>IF(ISNUMBER(F27),100*MAX(0,MIN(1,('Anchors'!$H$7-F27)/('Anchors'!$H$7-'Anchors'!$G$7))),"")</x:f>
        <x:v>12.40275813295615</x:v>
      </x:c>
      <x:c r="Y27" s="33" t="n">
        <x:f>IF(ISNUMBER(G27),100*MAX(0,MIN(1,('Anchors'!$H$8-G27)/('Anchors'!$H$8-'Anchors'!$G$8))),"")</x:f>
        <x:v>100</x:v>
      </x:c>
      <x:c r="Z27" s="33" t="n">
        <x:f>IF(ISNUMBER(H27),100*MAX(0,MIN(1,('Anchors'!$H$9-H27)/('Anchors'!$H$9-'Anchors'!$G$9))),"")</x:f>
        <x:v>100</x:v>
      </x:c>
      <x:c r="AA27" s="33" t="n">
        <x:f>IF(ISNUMBER(I27),100*MAX(0,MIN(1,(I27-'Anchors'!$H$10)/('Anchors'!$G$10-'Anchors'!$H$10))),"")</x:f>
        <x:v>74.70017171318715</x:v>
      </x:c>
      <x:c r="AB27" s="33" t="n">
        <x:f>IF(ISNUMBER(J27),100*MAX(0,MIN(1,('Anchors'!$H$11-J27)/('Anchors'!$H$11-'Anchors'!$G$11))),"")</x:f>
        <x:v>100</x:v>
      </x:c>
      <x:c r="AC27" s="33" t="n">
        <x:f>IF(ISNUMBER(K27),100*MAX(0,MIN(1,('Anchors'!$H$12-K27)/('Anchors'!$H$12-'Anchors'!$G$12))),"")</x:f>
        <x:v>98.37339269324139</x:v>
      </x:c>
      <x:c r="AD27" s="33" t="n">
        <x:f>IF(ISNUMBER(L27),100*MAX(0,MIN(1,(L27-'Anchors'!$H$13)/('Anchors'!$G$13-'Anchors'!$H$13))),"")</x:f>
        <x:v>55.62201571428572</x:v>
      </x:c>
      <x:c r="AE27" s="33" t="n">
        <x:f>IF(ISNUMBER(M27),100*MAX(0,MIN(1,(M27-'Anchors'!$H$14)/('Anchors'!$G$14-'Anchors'!$H$14))),"")</x:f>
        <x:v>61.16926375</x:v>
      </x:c>
      <x:c r="AF27" s="33" t="n">
        <x:f>IF(ISNUMBER(N27),100*MAX(0,MIN(1,(LN(1+N27)-LN(1+'Anchors'!$H$15))/(LN(1+'Anchors'!$G$15)-LN(1+'Anchors'!$H$15)))),"")</x:f>
        <x:v>65.92632501748358</x:v>
      </x:c>
      <x:c r="AG27" s="33" t="n">
        <x:f>IF(ISNUMBER(O27),100*MAX(0,MIN(1,('Anchors'!$H$16-O27)/('Anchors'!$H$16-'Anchors'!$G$16))),"")</x:f>
        <x:v>71.26666666666667</x:v>
      </x:c>
      <x:c r="AH27" s="33" t="n">
        <x:f>IF(ISNUMBER(P27),100*MAX(0,MIN(1,('Anchors'!$H$17-P27)/('Anchors'!$H$17-'Anchors'!$G$17))),"")</x:f>
        <x:v>52.98370632595487</x:v>
      </x:c>
      <x:c r="AI27" s="33" t="n">
        <x:f>IF(ISNUMBER(Q27),100*MAX(0,MIN(1,('Anchors'!$H$18-Q27)/('Anchors'!$H$18-'Anchors'!$G$18))),"")</x:f>
        <x:v>63.37229265485491</x:v>
      </x:c>
      <x:c r="AJ27" s="33" t="n">
        <x:f>IF(ISNUMBER(R27),100*MAX(0,MIN(1,('Anchors'!$H$19-R27)/('Anchors'!$H$19-'Anchors'!$G$19))),"")</x:f>
        <x:v>100</x:v>
      </x:c>
      <x:c r="AK27" s="33" t="n">
        <x:f>IF(ISNUMBER(S27),100*MAX(0,MIN(1,('Anchors'!$H$20-S27)/('Anchors'!$H$20-'Anchors'!$G$20))),"")</x:f>
        <x:v>87.9377384168083</x:v>
      </x:c>
      <x:c r="AL27" s="33" t="n">
        <x:f>IF(ISNUMBER(T27),100*MAX(0,MIN(1,('Anchors'!$H$21-T27)/('Anchors'!$H$21-'Anchors'!$G$21))),"")</x:f>
        <x:v>87.0909090909091</x:v>
      </x:c>
      <x:c r="AM27" s="33" t="n">
        <x:f>IF(ISNUMBER(U27),100*MAX(0,MIN(1,('Anchors'!$H$22-U27)/('Anchors'!$H$22-'Anchors'!$G$22))),"")</x:f>
        <x:v>44.29226091355795</x:v>
      </x:c>
      <x:c r="AN27" s="33" t="n">
        <x:f>IF(ISNUMBER(V27),100*MAX(0,MIN(1,('Anchors'!$H$23-V27)/('Anchors'!$H$23-'Anchors'!$G$23))),"")</x:f>
        <x:v>68.6431055263375</x:v>
      </x:c>
      <x:c r="AO27" s="27" t="n">
        <x:f>IF(ISNUMBER(W27),IF('Scoring Setup'!$L$9=1,1-'Scoring Setup'!$B$5*(1-MAX(0,MIN(1,(W27-'Scoring Setup'!$K$9)/(100-'Scoring Setup'!$K$9)))),1),"")</x:f>
        <x:v>0.8565714285714285</x:v>
      </x:c>
      <x:c r="AP27" s="27" t="n">
        <x:f>IF(ISNUMBER(X27),IF('Scoring Setup'!$L$10=1,1-'Scoring Setup'!$B$5*(1-MAX(0,MIN(1,(X27-'Scoring Setup'!$K$10)/(100-'Scoring Setup'!$K$10)))),1),"")</x:f>
        <x:v>0.8248055162659123</x:v>
      </x:c>
      <x:c r="AQ27" s="27" t="n">
        <x:f>IF(ISNUMBER(Y27),IF('Scoring Setup'!$L$11=1,1-'Scoring Setup'!$B$5*(1-MAX(0,MIN(1,(Y27-'Scoring Setup'!$K$11)/(100-'Scoring Setup'!$K$11)))),1),"")</x:f>
        <x:v>1</x:v>
      </x:c>
      <x:c r="AR27" s="27" t="n">
        <x:f>IF(ISNUMBER(Z27),IF('Scoring Setup'!$L$12=1,1-'Scoring Setup'!$B$5*(1-MAX(0,MIN(1,(Z27-'Scoring Setup'!$K$12)/(100-'Scoring Setup'!$K$12)))),1),"")</x:f>
        <x:v>1</x:v>
      </x:c>
      <x:c r="AS27" s="27" t="n">
        <x:f>IF(ISNUMBER(AA27),IF('Scoring Setup'!$L$13=1,1-'Scoring Setup'!$B$5*(1-MAX(0,MIN(1,(AA27-'Scoring Setup'!$K$13)/(100-'Scoring Setup'!$K$13)))),1),"")</x:f>
        <x:v>0.9494003434263742</x:v>
      </x:c>
      <x:c r="AT27" s="27" t="n">
        <x:f>IF(ISNUMBER(AB27),IF('Scoring Setup'!$L$14=1,1-'Scoring Setup'!$B$5*(1-MAX(0,MIN(1,(AB27-'Scoring Setup'!$K$14)/(100-'Scoring Setup'!$K$14)))),1),"")</x:f>
        <x:v>1</x:v>
      </x:c>
      <x:c r="AU27" s="27" t="n">
        <x:f>IF(ISNUMBER(AC27),IF('Scoring Setup'!$L$15=1,1-'Scoring Setup'!$B$5*(1-MAX(0,MIN(1,(AC27-'Scoring Setup'!$K$15)/(100-'Scoring Setup'!$K$15)))),1),"")</x:f>
        <x:v>0.9967467853864828</x:v>
      </x:c>
      <x:c r="AV27" s="27" t="n">
        <x:f>IF(ISNUMBER(AD27),IF('Scoring Setup'!$L$16=1,1-'Scoring Setup'!$B$5*(1-MAX(0,MIN(1,(AD27-'Scoring Setup'!$K$16)/(100-'Scoring Setup'!$K$16)))),1),"")</x:f>
        <x:v>0.9112440314285715</x:v>
      </x:c>
      <x:c r="AW27" s="27" t="n">
        <x:f>IF(ISNUMBER(AE27),IF('Scoring Setup'!$L$17=1,1-'Scoring Setup'!$B$5*(1-MAX(0,MIN(1,(AE27-'Scoring Setup'!$K$17)/(100-'Scoring Setup'!$K$17)))),1),"")</x:f>
        <x:v>0.9223385275</x:v>
      </x:c>
      <x:c r="AX27" s="27" t="n">
        <x:f>IF(ISNUMBER(AF27),IF('Scoring Setup'!$L$18=1,1-'Scoring Setup'!$B$5*(1-MAX(0,MIN(1,(AF27-'Scoring Setup'!$K$18)/(100-'Scoring Setup'!$K$18)))),1),"")</x:f>
        <x:v>0.9318526500349672</x:v>
      </x:c>
      <x:c r="AY27" s="27" t="n">
        <x:f>IF(ISNUMBER(AG27),IF('Scoring Setup'!$L$19=1,1-'Scoring Setup'!$B$5*(1-MAX(0,MIN(1,(AG27-'Scoring Setup'!$K$19)/(100-'Scoring Setup'!$K$19)))),1),"")</x:f>
        <x:v>0.9425333333333333</x:v>
      </x:c>
      <x:c r="AZ27" s="27" t="n">
        <x:f>IF(ISNUMBER(AH27),IF('Scoring Setup'!$L$20=1,1-'Scoring Setup'!$B$5*(1-MAX(0,MIN(1,(AH27-'Scoring Setup'!$K$20)/(100-'Scoring Setup'!$K$20)))),1),"")</x:f>
        <x:v>0.9059674126519097</x:v>
      </x:c>
      <x:c r="BA27" s="27" t="n">
        <x:f>IF(ISNUMBER(AI27),IF('Scoring Setup'!$L$21=1,1-'Scoring Setup'!$B$5*(1-MAX(0,MIN(1,(AI27-'Scoring Setup'!$K$21)/(100-'Scoring Setup'!$K$21)))),1),"")</x:f>
        <x:v>0.9267445853097098</x:v>
      </x:c>
      <x:c r="BB27" s="27" t="n">
        <x:f>IF(ISNUMBER(AJ27),IF('Scoring Setup'!$L$22=1,1-'Scoring Setup'!$B$5*(1-MAX(0,MIN(1,(AJ27-'Scoring Setup'!$K$22)/(100-'Scoring Setup'!$K$22)))),1),"")</x:f>
        <x:v>1</x:v>
      </x:c>
      <x:c r="BC27" s="27" t="n">
        <x:f>IF(ISNUMBER(AK27),IF('Scoring Setup'!$L$23=1,1-'Scoring Setup'!$B$5*(1-MAX(0,MIN(1,(AK27-'Scoring Setup'!$K$23)/(100-'Scoring Setup'!$K$23)))),1),"")</x:f>
        <x:v>0.9758754768336166</x:v>
      </x:c>
      <x:c r="BD27" s="27" t="n">
        <x:f>IF(ISNUMBER(AL27),IF('Scoring Setup'!$L$24=1,1-'Scoring Setup'!$B$5*(1-MAX(0,MIN(1,(AL27-'Scoring Setup'!$K$24)/(100-'Scoring Setup'!$K$24)))),1),"")</x:f>
        <x:v>0.9741818181818181</x:v>
      </x:c>
      <x:c r="BE27" s="27" t="n">
        <x:f>IF(ISNUMBER(AM27),IF('Scoring Setup'!$L$25=1,1-'Scoring Setup'!$B$5*(1-MAX(0,MIN(1,(AM27-'Scoring Setup'!$K$25)/(100-'Scoring Setup'!$K$25)))),1),"")</x:f>
        <x:v>0.8885845218271159</x:v>
      </x:c>
      <x:c r="BF27" s="27" t="n">
        <x:f>IF(ISNUMBER(AN27),IF('Scoring Setup'!$L$26=1,1-'Scoring Setup'!$B$5*(1-MAX(0,MIN(1,(AN27-'Scoring Setup'!$K$26)/(100-'Scoring Setup'!$K$26)))),1),"")</x:f>
        <x:v>0.937286211052675</x:v>
      </x:c>
      <x:c r="BG27" s="34" t="n">
        <x:f>IF(COUNT(W27,X27)=2,AVERAGE(W27,X27),"")</x:f>
        <x:v>20.344236209335225</x:v>
      </x:c>
      <x:c r="BH27" s="34" t="n">
        <x:f>IF(COUNT(Y27,Z27)=2,AVERAGE(Y27,Z27),"")</x:f>
        <x:v>100</x:v>
      </x:c>
      <x:c r="BI27" s="34" t="n">
        <x:f>IF(COUNT(AA27,AB27,AC27)=3,AVERAGE(AA27,AB27,AC27),"")</x:f>
        <x:v>91.02452146880951</x:v>
      </x:c>
      <x:c r="BJ27" s="34" t="n">
        <x:f>IF(COUNT(AD27,AE27)=2,AVERAGE(AD27,AE27),"")</x:f>
        <x:v>58.39563973214286</x:v>
      </x:c>
      <x:c r="BK27" s="34" t="n">
        <x:f>IF(COUNT(AF27,AG27)=2,AVERAGE(AF27,AG27),"")</x:f>
        <x:v>68.59649584207511</x:v>
      </x:c>
      <x:c r="BL27" s="34" t="n">
        <x:f>IF(COUNT(AH27,AI27)=2,AVERAGE(AH27,AI27),"")</x:f>
        <x:v>58.177999490404886</x:v>
      </x:c>
      <x:c r="BM27" s="34" t="n">
        <x:f>IF(COUNT(AJ27,AK27)=2,AVERAGE(AJ27,AK27),"")</x:f>
        <x:v>93.96886920840416</x:v>
      </x:c>
      <x:c r="BN27" s="34" t="n">
        <x:f>IF(COUNT(AL27,AM27,AN27)=3,AVERAGE(AL27,AM27,AN27),"")</x:f>
        <x:v>66.67542517693484</x:v>
      </x:c>
      <x:c r="BO27" s="35" t="n">
        <x:f>IF(AND(COUNT(BG27:BN27)=8,ABS('Scoring Setup'!$C$17-1)&lt;0.000001),BG27*'Scoring Setup'!$C$9+BH27*'Scoring Setup'!$C$10+BI27*'Scoring Setup'!$C$11+BJ27*'Scoring Setup'!$C$12+BK27*'Scoring Setup'!$C$13+BL27*'Scoring Setup'!$C$14+BM27*'Scoring Setup'!$C$15+BN27*'Scoring Setup'!$C$16,"")</x:f>
        <x:v>71.44606031325716</x:v>
      </x:c>
      <x:c r="BP27" s="36" t="n">
        <x:f>IF(COUNT(AO27:BF27)=18,MIN(AO27:BF27),"")</x:f>
        <x:v>0.8248055162659123</x:v>
      </x:c>
      <x:c r="BQ27" s="35" t="n">
        <x:f>IF(AND(ISNUMBER(BO27),ISNUMBER(BP27)),BO27*BP27,"")</x:f>
        <x:v>58.92910466184158</x:v>
      </x:c>
      <x:c r="BR27" s="17" t="str">
        <x:f>IF(COUNT(AO27:BF27)=18,INDEX('Scoring Setup'!$F$9:$F$26,MATCH(MIN(AO27:BF27),AO27:BF27,0),1),"")</x:f>
        <x:v>洪水损失率全国百分位</x:v>
      </x:c>
    </x:row>
    <x:row r="28">
      <x:c r="A28" s="28" t="str">
        <x:v>13049</x:v>
      </x:c>
      <x:c r="B28" s="28" t="str">
        <x:v>Charlton County</x:v>
      </x:c>
      <x:c r="C28" s="28" t="str">
        <x:v>GA</x:v>
      </x:c>
      <x:c r="D28" s="31" t="n">
        <x:v>2020.415649</x:v>
      </x:c>
      <x:c r="E28" s="32" t="n">
        <x:v>0.755</x:v>
      </x:c>
      <x:c r="F28" s="32" t="n">
        <x:v>0.301980198019802</x:v>
      </x:c>
      <x:c r="G28" s="32" t="n">
        <x:v>1.815917442219803</x:v>
      </x:c>
      <x:c r="H28" s="32" t="n">
        <x:v>1.8364463936606963</x:v>
      </x:c>
      <x:c r="I28" s="32" t="n">
        <x:v>0.9574884980955991</x:v>
      </x:c>
      <x:c r="J28" s="32" t="n">
        <x:v>0.4076650850818798</x:v>
      </x:c>
      <x:c r="K28" s="32" t="n">
        <x:v>0.523200462525996</x:v>
      </x:c>
      <x:c r="L28" s="32" t="n">
        <x:v>0.74266448</x:v>
      </x:c>
      <x:c r="M28" s="32" t="n">
        <x:v>0.74266448</x:v>
      </x:c>
      <x:c r="N28" s="32" t="n">
        <x:v>4417</x:v>
      </x:c>
      <x:c r="O28" s="32" t="n">
        <x:v>0.8855</x:v>
      </x:c>
      <x:c r="P28" s="32" t="n">
        <x:v>2427.6681559244794</x:v>
      </x:c>
      <x:c r="Q28" s="32" t="n">
        <x:v>85.41323394775391</x:v>
      </x:c>
      <x:c r="R28" s="32" t="n">
        <x:v>44.704859985018906</x:v>
      </x:c>
      <x:c r="S28" s="32" t="n">
        <x:v>13.09976038540968</x:v>
      </x:c>
      <x:c r="T28" s="32" t="n">
        <x:v>72.1</x:v>
      </x:c>
      <x:c r="U28" s="32" t="n">
        <x:v>211.4154781728841</x:v>
      </x:c>
      <x:c r="V28" s="32" t="n">
        <x:v>325.42757789465</x:v>
      </x:c>
      <x:c r="W28" s="33" t="n">
        <x:f>IF(ISNUMBER(E28),100*MAX(0,MIN(1,('Anchors'!$H$6-E28)/('Anchors'!$H$6-'Anchors'!$G$6))),"")</x:f>
        <x:v>20.71428571428572</x:v>
      </x:c>
      <x:c r="X28" s="33" t="n">
        <x:f>IF(ISNUMBER(F28),100*MAX(0,MIN(1,('Anchors'!$H$7-F28)/('Anchors'!$H$7-'Anchors'!$G$7))),"")</x:f>
        <x:v>71.14568599717114</x:v>
      </x:c>
      <x:c r="Y28" s="33" t="n">
        <x:f>IF(ISNUMBER(G28),100*MAX(0,MIN(1,('Anchors'!$H$8-G28)/('Anchors'!$H$8-'Anchors'!$G$8))),"")</x:f>
        <x:v>72.80275192600656</x:v>
      </x:c>
      <x:c r="Z28" s="33" t="n">
        <x:f>IF(ISNUMBER(H28),100*MAX(0,MIN(1,('Anchors'!$H$9-H28)/('Anchors'!$H$9-'Anchors'!$G$9))),"")</x:f>
        <x:v>72.11845354464344</x:v>
      </x:c>
      <x:c r="AA28" s="33" t="n">
        <x:f>IF(ISNUMBER(I28),100*MAX(0,MIN(1,(I28-'Anchors'!$H$10)/('Anchors'!$G$10-'Anchors'!$H$10))),"")</x:f>
        <x:v>96.9162326158355</x:v>
      </x:c>
      <x:c r="AB28" s="33" t="n">
        <x:f>IF(ISNUMBER(J28),100*MAX(0,MIN(1,('Anchors'!$H$11-J28)/('Anchors'!$H$11-'Anchors'!$G$11))),"")</x:f>
        <x:v>0</x:v>
      </x:c>
      <x:c r="AC28" s="33" t="n">
        <x:f>IF(ISNUMBER(K28),100*MAX(0,MIN(1,('Anchors'!$H$12-K28)/('Anchors'!$H$12-'Anchors'!$G$12))),"")</x:f>
        <x:v>0</x:v>
      </x:c>
      <x:c r="AD28" s="33" t="n">
        <x:f>IF(ISNUMBER(L28),100*MAX(0,MIN(1,(L28-'Anchors'!$H$13)/('Anchors'!$G$13-'Anchors'!$H$13))),"")</x:f>
        <x:v>77.52349714285714</x:v>
      </x:c>
      <x:c r="AE28" s="33" t="n">
        <x:f>IF(ISNUMBER(M28),100*MAX(0,MIN(1,(M28-'Anchors'!$H$14)/('Anchors'!$G$14-'Anchors'!$H$14))),"")</x:f>
        <x:v>80.33305999999999</x:v>
      </x:c>
      <x:c r="AF28" s="33" t="n">
        <x:f>IF(ISNUMBER(N28),100*MAX(0,MIN(1,(LN(1+N28)-LN(1+'Anchors'!$H$15))/(LN(1+'Anchors'!$G$15)-LN(1+'Anchors'!$H$15)))),"")</x:f>
        <x:v>18.347023028761424</x:v>
      </x:c>
      <x:c r="AG28" s="33" t="n">
        <x:f>IF(ISNUMBER(O28),100*MAX(0,MIN(1,('Anchors'!$H$16-O28)/('Anchors'!$H$16-'Anchors'!$G$16))),"")</x:f>
        <x:v>7.166666666666667</x:v>
      </x:c>
      <x:c r="AH28" s="33" t="n">
        <x:f>IF(ISNUMBER(P28),100*MAX(0,MIN(1,('Anchors'!$H$17-P28)/('Anchors'!$H$17-'Anchors'!$G$17))),"")</x:f>
        <x:v>0</x:v>
      </x:c>
      <x:c r="AI28" s="33" t="n">
        <x:f>IF(ISNUMBER(Q28),100*MAX(0,MIN(1,('Anchors'!$H$18-Q28)/('Anchors'!$H$18-'Anchors'!$G$18))),"")</x:f>
        <x:v>0</x:v>
      </x:c>
      <x:c r="AJ28" s="33" t="n">
        <x:f>IF(ISNUMBER(R28),100*MAX(0,MIN(1,('Anchors'!$H$19-R28)/('Anchors'!$H$19-'Anchors'!$G$19))),"")</x:f>
        <x:v>11.766977811069097</x:v>
      </x:c>
      <x:c r="AK28" s="33" t="n">
        <x:f>IF(ISNUMBER(S28),100*MAX(0,MIN(1,('Anchors'!$H$20-S28)/('Anchors'!$H$20-'Anchors'!$G$20))),"")</x:f>
        <x:v>36.317050603106956</x:v>
      </x:c>
      <x:c r="AL28" s="33" t="n">
        <x:f>IF(ISNUMBER(T28),100*MAX(0,MIN(1,('Anchors'!$H$21-T28)/('Anchors'!$H$21-'Anchors'!$G$21))),"")</x:f>
        <x:v>87.0909090909091</x:v>
      </x:c>
      <x:c r="AM28" s="33" t="n">
        <x:f>IF(ISNUMBER(U28),100*MAX(0,MIN(1,('Anchors'!$H$22-U28)/('Anchors'!$H$22-'Anchors'!$G$22))),"")</x:f>
        <x:v>44.29226091355795</x:v>
      </x:c>
      <x:c r="AN28" s="33" t="n">
        <x:f>IF(ISNUMBER(V28),100*MAX(0,MIN(1,('Anchors'!$H$23-V28)/('Anchors'!$H$23-'Anchors'!$G$23))),"")</x:f>
        <x:v>68.6431055263375</x:v>
      </x:c>
      <x:c r="AO28" s="27" t="n">
        <x:f>IF(ISNUMBER(W28),IF('Scoring Setup'!$L$9=1,1-'Scoring Setup'!$B$5*(1-MAX(0,MIN(1,(W28-'Scoring Setup'!$K$9)/(100-'Scoring Setup'!$K$9)))),1),"")</x:f>
        <x:v>0.8414285714285714</x:v>
      </x:c>
      <x:c r="AP28" s="27" t="n">
        <x:f>IF(ISNUMBER(X28),IF('Scoring Setup'!$L$10=1,1-'Scoring Setup'!$B$5*(1-MAX(0,MIN(1,(X28-'Scoring Setup'!$K$10)/(100-'Scoring Setup'!$K$10)))),1),"")</x:f>
        <x:v>0.9422913719943423</x:v>
      </x:c>
      <x:c r="AQ28" s="27" t="n">
        <x:f>IF(ISNUMBER(Y28),IF('Scoring Setup'!$L$11=1,1-'Scoring Setup'!$B$5*(1-MAX(0,MIN(1,(Y28-'Scoring Setup'!$K$11)/(100-'Scoring Setup'!$K$11)))),1),"")</x:f>
        <x:v>0.9456055038520131</x:v>
      </x:c>
      <x:c r="AR28" s="27" t="n">
        <x:f>IF(ISNUMBER(Z28),IF('Scoring Setup'!$L$12=1,1-'Scoring Setup'!$B$5*(1-MAX(0,MIN(1,(Z28-'Scoring Setup'!$K$12)/(100-'Scoring Setup'!$K$12)))),1),"")</x:f>
        <x:v>0.9442369070892869</x:v>
      </x:c>
      <x:c r="AS28" s="27" t="n">
        <x:f>IF(ISNUMBER(AA28),IF('Scoring Setup'!$L$13=1,1-'Scoring Setup'!$B$5*(1-MAX(0,MIN(1,(AA28-'Scoring Setup'!$K$13)/(100-'Scoring Setup'!$K$13)))),1),"")</x:f>
        <x:v>0.993832465231671</x:v>
      </x:c>
      <x:c r="AT28" s="27" t="n">
        <x:f>IF(ISNUMBER(AB28),IF('Scoring Setup'!$L$14=1,1-'Scoring Setup'!$B$5*(1-MAX(0,MIN(1,(AB28-'Scoring Setup'!$K$14)/(100-'Scoring Setup'!$K$14)))),1),"")</x:f>
        <x:v>0.8</x:v>
      </x:c>
      <x:c r="AU28" s="27" t="n">
        <x:f>IF(ISNUMBER(AC28),IF('Scoring Setup'!$L$15=1,1-'Scoring Setup'!$B$5*(1-MAX(0,MIN(1,(AC28-'Scoring Setup'!$K$15)/(100-'Scoring Setup'!$K$15)))),1),"")</x:f>
        <x:v>0.8</x:v>
      </x:c>
      <x:c r="AV28" s="27" t="n">
        <x:f>IF(ISNUMBER(AD28),IF('Scoring Setup'!$L$16=1,1-'Scoring Setup'!$B$5*(1-MAX(0,MIN(1,(AD28-'Scoring Setup'!$K$16)/(100-'Scoring Setup'!$K$16)))),1),"")</x:f>
        <x:v>0.9550469942857143</x:v>
      </x:c>
      <x:c r="AW28" s="27" t="n">
        <x:f>IF(ISNUMBER(AE28),IF('Scoring Setup'!$L$17=1,1-'Scoring Setup'!$B$5*(1-MAX(0,MIN(1,(AE28-'Scoring Setup'!$K$17)/(100-'Scoring Setup'!$K$17)))),1),"")</x:f>
        <x:v>0.96066612</x:v>
      </x:c>
      <x:c r="AX28" s="27" t="n">
        <x:f>IF(ISNUMBER(AF28),IF('Scoring Setup'!$L$18=1,1-'Scoring Setup'!$B$5*(1-MAX(0,MIN(1,(AF28-'Scoring Setup'!$K$18)/(100-'Scoring Setup'!$K$18)))),1),"")</x:f>
        <x:v>0.8366940460575228</x:v>
      </x:c>
      <x:c r="AY28" s="27" t="n">
        <x:f>IF(ISNUMBER(AG28),IF('Scoring Setup'!$L$19=1,1-'Scoring Setup'!$B$5*(1-MAX(0,MIN(1,(AG28-'Scoring Setup'!$K$19)/(100-'Scoring Setup'!$K$19)))),1),"")</x:f>
        <x:v>0.8143333333333334</x:v>
      </x:c>
      <x:c r="AZ28" s="27" t="n">
        <x:f>IF(ISNUMBER(AH28),IF('Scoring Setup'!$L$20=1,1-'Scoring Setup'!$B$5*(1-MAX(0,MIN(1,(AH28-'Scoring Setup'!$K$20)/(100-'Scoring Setup'!$K$20)))),1),"")</x:f>
        <x:v>0.8</x:v>
      </x:c>
      <x:c r="BA28" s="27" t="n">
        <x:f>IF(ISNUMBER(AI28),IF('Scoring Setup'!$L$21=1,1-'Scoring Setup'!$B$5*(1-MAX(0,MIN(1,(AI28-'Scoring Setup'!$K$21)/(100-'Scoring Setup'!$K$21)))),1),"")</x:f>
        <x:v>0.8</x:v>
      </x:c>
      <x:c r="BB28" s="27" t="n">
        <x:f>IF(ISNUMBER(AJ28),IF('Scoring Setup'!$L$22=1,1-'Scoring Setup'!$B$5*(1-MAX(0,MIN(1,(AJ28-'Scoring Setup'!$K$22)/(100-'Scoring Setup'!$K$22)))),1),"")</x:f>
        <x:v>0.8235339556221382</x:v>
      </x:c>
      <x:c r="BC28" s="27" t="n">
        <x:f>IF(ISNUMBER(AK28),IF('Scoring Setup'!$L$23=1,1-'Scoring Setup'!$B$5*(1-MAX(0,MIN(1,(AK28-'Scoring Setup'!$K$23)/(100-'Scoring Setup'!$K$23)))),1),"")</x:f>
        <x:v>0.8726341012062139</x:v>
      </x:c>
      <x:c r="BD28" s="27" t="n">
        <x:f>IF(ISNUMBER(AL28),IF('Scoring Setup'!$L$24=1,1-'Scoring Setup'!$B$5*(1-MAX(0,MIN(1,(AL28-'Scoring Setup'!$K$24)/(100-'Scoring Setup'!$K$24)))),1),"")</x:f>
        <x:v>0.9741818181818181</x:v>
      </x:c>
      <x:c r="BE28" s="27" t="n">
        <x:f>IF(ISNUMBER(AM28),IF('Scoring Setup'!$L$25=1,1-'Scoring Setup'!$B$5*(1-MAX(0,MIN(1,(AM28-'Scoring Setup'!$K$25)/(100-'Scoring Setup'!$K$25)))),1),"")</x:f>
        <x:v>0.8885845218271159</x:v>
      </x:c>
      <x:c r="BF28" s="27" t="n">
        <x:f>IF(ISNUMBER(AN28),IF('Scoring Setup'!$L$26=1,1-'Scoring Setup'!$B$5*(1-MAX(0,MIN(1,(AN28-'Scoring Setup'!$K$26)/(100-'Scoring Setup'!$K$26)))),1),"")</x:f>
        <x:v>0.937286211052675</x:v>
      </x:c>
      <x:c r="BG28" s="34" t="n">
        <x:f>IF(COUNT(W28,X28)=2,AVERAGE(W28,X28),"")</x:f>
        <x:v>45.92998585572843</x:v>
      </x:c>
      <x:c r="BH28" s="34" t="n">
        <x:f>IF(COUNT(Y28,Z28)=2,AVERAGE(Y28,Z28),"")</x:f>
        <x:v>72.46060273532501</x:v>
      </x:c>
      <x:c r="BI28" s="34" t="n">
        <x:f>IF(COUNT(AA28,AB28,AC28)=3,AVERAGE(AA28,AB28,AC28),"")</x:f>
        <x:v>32.30541087194516</x:v>
      </x:c>
      <x:c r="BJ28" s="34" t="n">
        <x:f>IF(COUNT(AD28,AE28)=2,AVERAGE(AD28,AE28),"")</x:f>
        <x:v>78.92827857142856</x:v>
      </x:c>
      <x:c r="BK28" s="34" t="n">
        <x:f>IF(COUNT(AF28,AG28)=2,AVERAGE(AF28,AG28),"")</x:f>
        <x:v>12.756844847714046</x:v>
      </x:c>
      <x:c r="BL28" s="34" t="n">
        <x:f>IF(COUNT(AH28,AI28)=2,AVERAGE(AH28,AI28),"")</x:f>
        <x:v>0</x:v>
      </x:c>
      <x:c r="BM28" s="34" t="n">
        <x:f>IF(COUNT(AJ28,AK28)=2,AVERAGE(AJ28,AK28),"")</x:f>
        <x:v>24.042014207088027</x:v>
      </x:c>
      <x:c r="BN28" s="34" t="n">
        <x:f>IF(COUNT(AL28,AM28,AN28)=3,AVERAGE(AL28,AM28,AN28),"")</x:f>
        <x:v>66.67542517693484</x:v>
      </x:c>
      <x:c r="BO28" s="35" t="n">
        <x:f>IF(AND(COUNT(BG28:BN28)=8,ABS('Scoring Setup'!$C$17-1)&lt;0.000001),BG28*'Scoring Setup'!$C$9+BH28*'Scoring Setup'!$C$10+BI28*'Scoring Setup'!$C$11+BJ28*'Scoring Setup'!$C$12+BK28*'Scoring Setup'!$C$13+BL28*'Scoring Setup'!$C$14+BM28*'Scoring Setup'!$C$15+BN28*'Scoring Setup'!$C$16,"")</x:f>
        <x:v>52.68890082518148</x:v>
      </x:c>
      <x:c r="BP28" s="36" t="n">
        <x:f>IF(COUNT(AO28:BF28)=18,MIN(AO28:BF28),"")</x:f>
        <x:v>0.8</x:v>
      </x:c>
      <x:c r="BQ28" s="35" t="n">
        <x:f>IF(AND(ISNUMBER(BO28),ISNUMBER(BP28)),BO28*BP28,"")</x:f>
        <x:v>42.15112066014518</x:v>
      </x:c>
      <x:c r="BR28" s="17" t="str">
        <x:f>IF(COUNT(AO28:BF28)=18,INDEX('Scoring Setup'!$F$9:$F$26,MATCH(MIN(AO28:BF28),AO28:BF28,0),1),"")</x:f>
        <x:v>GAP1/2保护地比例</x:v>
      </x:c>
    </x:row>
    <x:row r="29">
      <x:c r="A29" s="28" t="str">
        <x:v>13051</x:v>
      </x:c>
      <x:c r="B29" s="28" t="str">
        <x:v>Chatham County</x:v>
      </x:c>
      <x:c r="C29" s="28" t="str">
        <x:v>GA</x:v>
      </x:c>
      <x:c r="D29" s="31" t="n">
        <x:v>1120.736307</x:v>
      </x:c>
      <x:c r="E29" s="32" t="n">
        <x:v>0.754</x:v>
      </x:c>
      <x:c r="F29" s="32" t="n">
        <x:v>0.29548267326732697</x:v>
      </x:c>
      <x:c r="G29" s="32" t="n">
        <x:v>1.3092848812324227</x:v>
      </x:c>
      <x:c r="H29" s="32" t="n">
        <x:v>1.1166436468840895</x:v>
      </x:c>
      <x:c r="I29" s="32" t="n">
        <x:v>0.6943776115434734</x:v>
      </x:c>
      <x:c r="J29" s="32" t="n">
        <x:v>0.22104811638347563</x:v>
      </x:c>
      <x:c r="K29" s="32" t="n">
        <x:v>0.5099480727506671</x:v>
      </x:c>
      <x:c r="L29" s="32" t="n">
        <x:v>0.633356167</x:v>
      </x:c>
      <x:c r="M29" s="32" t="n">
        <x:v>0.630909743</x:v>
      </x:c>
      <x:c r="N29" s="32" t="n">
        <x:v>156394</x:v>
      </x:c>
      <x:c r="O29" s="32" t="n">
        <x:v>0.805</x:v>
      </x:c>
      <x:c r="P29" s="32" t="n">
        <x:v>2278.2927408854166</x:v>
      </x:c>
      <x:c r="Q29" s="32" t="n">
        <x:v>54.37187207539876</x:v>
      </x:c>
      <x:c r="R29" s="32" t="n">
        <x:v>6.200173524998914</x:v>
      </x:c>
      <x:c r="S29" s="32" t="n">
        <x:v>7.096754425291738</x:v>
      </x:c>
      <x:c r="T29" s="32" t="n">
        <x:v>72.1</x:v>
      </x:c>
      <x:c r="U29" s="32" t="n">
        <x:v>211.4154781728841</x:v>
      </x:c>
      <x:c r="V29" s="32" t="n">
        <x:v>325.42757789465</x:v>
      </x:c>
      <x:c r="W29" s="33" t="n">
        <x:f>IF(ISNUMBER(E29),100*MAX(0,MIN(1,('Anchors'!$H$6-E29)/('Anchors'!$H$6-'Anchors'!$G$6))),"")</x:f>
        <x:v>20.85714285714286</x:v>
      </x:c>
      <x:c r="X29" s="33" t="n">
        <x:f>IF(ISNUMBER(F29),100*MAX(0,MIN(1,('Anchors'!$H$7-F29)/('Anchors'!$H$7-'Anchors'!$G$7))),"")</x:f>
        <x:v>72.07390381895328</x:v>
      </x:c>
      <x:c r="Y29" s="33" t="n">
        <x:f>IF(ISNUMBER(G29),100*MAX(0,MIN(1,('Anchors'!$H$8-G29)/('Anchors'!$H$8-'Anchors'!$G$8))),"")</x:f>
        <x:v>89.69050395891924</x:v>
      </x:c>
      <x:c r="Z29" s="33" t="n">
        <x:f>IF(ISNUMBER(H29),100*MAX(0,MIN(1,('Anchors'!$H$9-H29)/('Anchors'!$H$9-'Anchors'!$G$9))),"")</x:f>
        <x:v>96.11187843719703</x:v>
      </x:c>
      <x:c r="AA29" s="33" t="n">
        <x:f>IF(ISNUMBER(I29),100*MAX(0,MIN(1,(I29-'Anchors'!$H$10)/('Anchors'!$G$10-'Anchors'!$H$10))),"")</x:f>
        <x:v>60.873645416914165</x:v>
      </x:c>
      <x:c r="AB29" s="33" t="n">
        <x:f>IF(ISNUMBER(J29),100*MAX(0,MIN(1,('Anchors'!$H$11-J29)/('Anchors'!$H$11-'Anchors'!$G$11))),"")</x:f>
        <x:v>11.580753446609748</x:v>
      </x:c>
      <x:c r="AC29" s="33" t="n">
        <x:f>IF(ISNUMBER(K29),100*MAX(0,MIN(1,('Anchors'!$H$12-K29)/('Anchors'!$H$12-'Anchors'!$G$12))),"")</x:f>
        <x:v>0</x:v>
      </x:c>
      <x:c r="AD29" s="33" t="n">
        <x:f>IF(ISNUMBER(L29),100*MAX(0,MIN(1,(L29-'Anchors'!$H$13)/('Anchors'!$G$13-'Anchors'!$H$13))),"")</x:f>
        <x:v>61.90802385714286</x:v>
      </x:c>
      <x:c r="AE29" s="33" t="n">
        <x:f>IF(ISNUMBER(M29),100*MAX(0,MIN(1,(M29-'Anchors'!$H$14)/('Anchors'!$G$14-'Anchors'!$H$14))),"")</x:f>
        <x:v>66.363717875</x:v>
      </x:c>
      <x:c r="AF29" s="33" t="n">
        <x:f>IF(ISNUMBER(N29),100*MAX(0,MIN(1,(LN(1+N29)-LN(1+'Anchors'!$H$15))/(LN(1+'Anchors'!$G$15)-LN(1+'Anchors'!$H$15)))),"")</x:f>
        <x:v>100</x:v>
      </x:c>
      <x:c r="AG29" s="33" t="n">
        <x:f>IF(ISNUMBER(O29),100*MAX(0,MIN(1,('Anchors'!$H$16-O29)/('Anchors'!$H$16-'Anchors'!$G$16))),"")</x:f>
        <x:v>16.1111111111111</x:v>
      </x:c>
      <x:c r="AH29" s="33" t="n">
        <x:f>IF(ISNUMBER(P29),100*MAX(0,MIN(1,('Anchors'!$H$17-P29)/('Anchors'!$H$17-'Anchors'!$G$17))),"")</x:f>
        <x:v>0</x:v>
      </x:c>
      <x:c r="AI29" s="33" t="n">
        <x:f>IF(ISNUMBER(Q29),100*MAX(0,MIN(1,('Anchors'!$H$18-Q29)/('Anchors'!$H$18-'Anchors'!$G$18))),"")</x:f>
        <x:v>29.468754178001767</x:v>
      </x:c>
      <x:c r="AJ29" s="33" t="n">
        <x:f>IF(ISNUMBER(R29),100*MAX(0,MIN(1,('Anchors'!$H$19-R29)/('Anchors'!$H$19-'Anchors'!$G$19))),"")</x:f>
        <x:v>97.33294772222463</x:v>
      </x:c>
      <x:c r="AK29" s="33" t="n">
        <x:f>IF(ISNUMBER(S29),100*MAX(0,MIN(1,('Anchors'!$H$20-S29)/('Anchors'!$H$20-'Anchors'!$G$20))),"")</x:f>
        <x:v>67.911818814254</x:v>
      </x:c>
      <x:c r="AL29" s="33" t="n">
        <x:f>IF(ISNUMBER(T29),100*MAX(0,MIN(1,('Anchors'!$H$21-T29)/('Anchors'!$H$21-'Anchors'!$G$21))),"")</x:f>
        <x:v>87.0909090909091</x:v>
      </x:c>
      <x:c r="AM29" s="33" t="n">
        <x:f>IF(ISNUMBER(U29),100*MAX(0,MIN(1,('Anchors'!$H$22-U29)/('Anchors'!$H$22-'Anchors'!$G$22))),"")</x:f>
        <x:v>44.29226091355795</x:v>
      </x:c>
      <x:c r="AN29" s="33" t="n">
        <x:f>IF(ISNUMBER(V29),100*MAX(0,MIN(1,('Anchors'!$H$23-V29)/('Anchors'!$H$23-'Anchors'!$G$23))),"")</x:f>
        <x:v>68.6431055263375</x:v>
      </x:c>
      <x:c r="AO29" s="27" t="n">
        <x:f>IF(ISNUMBER(W29),IF('Scoring Setup'!$L$9=1,1-'Scoring Setup'!$B$5*(1-MAX(0,MIN(1,(W29-'Scoring Setup'!$K$9)/(100-'Scoring Setup'!$K$9)))),1),"")</x:f>
        <x:v>0.8417142857142857</x:v>
      </x:c>
      <x:c r="AP29" s="27" t="n">
        <x:f>IF(ISNUMBER(X29),IF('Scoring Setup'!$L$10=1,1-'Scoring Setup'!$B$5*(1-MAX(0,MIN(1,(X29-'Scoring Setup'!$K$10)/(100-'Scoring Setup'!$K$10)))),1),"")</x:f>
        <x:v>0.9441478076379066</x:v>
      </x:c>
      <x:c r="AQ29" s="27" t="n">
        <x:f>IF(ISNUMBER(Y29),IF('Scoring Setup'!$L$11=1,1-'Scoring Setup'!$B$5*(1-MAX(0,MIN(1,(Y29-'Scoring Setup'!$K$11)/(100-'Scoring Setup'!$K$11)))),1),"")</x:f>
        <x:v>0.9793810079178384</x:v>
      </x:c>
      <x:c r="AR29" s="27" t="n">
        <x:f>IF(ISNUMBER(Z29),IF('Scoring Setup'!$L$12=1,1-'Scoring Setup'!$B$5*(1-MAX(0,MIN(1,(Z29-'Scoring Setup'!$K$12)/(100-'Scoring Setup'!$K$12)))),1),"")</x:f>
        <x:v>0.9922237568743941</x:v>
      </x:c>
      <x:c r="AS29" s="27" t="n">
        <x:f>IF(ISNUMBER(AA29),IF('Scoring Setup'!$L$13=1,1-'Scoring Setup'!$B$5*(1-MAX(0,MIN(1,(AA29-'Scoring Setup'!$K$13)/(100-'Scoring Setup'!$K$13)))),1),"")</x:f>
        <x:v>0.9217472908338283</x:v>
      </x:c>
      <x:c r="AT29" s="27" t="n">
        <x:f>IF(ISNUMBER(AB29),IF('Scoring Setup'!$L$14=1,1-'Scoring Setup'!$B$5*(1-MAX(0,MIN(1,(AB29-'Scoring Setup'!$K$14)/(100-'Scoring Setup'!$K$14)))),1),"")</x:f>
        <x:v>0.8231615068932194</x:v>
      </x:c>
      <x:c r="AU29" s="27" t="n">
        <x:f>IF(ISNUMBER(AC29),IF('Scoring Setup'!$L$15=1,1-'Scoring Setup'!$B$5*(1-MAX(0,MIN(1,(AC29-'Scoring Setup'!$K$15)/(100-'Scoring Setup'!$K$15)))),1),"")</x:f>
        <x:v>0.8</x:v>
      </x:c>
      <x:c r="AV29" s="27" t="n">
        <x:f>IF(ISNUMBER(AD29),IF('Scoring Setup'!$L$16=1,1-'Scoring Setup'!$B$5*(1-MAX(0,MIN(1,(AD29-'Scoring Setup'!$K$16)/(100-'Scoring Setup'!$K$16)))),1),"")</x:f>
        <x:v>0.9238160477142857</x:v>
      </x:c>
      <x:c r="AW29" s="27" t="n">
        <x:f>IF(ISNUMBER(AE29),IF('Scoring Setup'!$L$17=1,1-'Scoring Setup'!$B$5*(1-MAX(0,MIN(1,(AE29-'Scoring Setup'!$K$17)/(100-'Scoring Setup'!$K$17)))),1),"")</x:f>
        <x:v>0.9327274357500001</x:v>
      </x:c>
      <x:c r="AX29" s="27" t="n">
        <x:f>IF(ISNUMBER(AF29),IF('Scoring Setup'!$L$18=1,1-'Scoring Setup'!$B$5*(1-MAX(0,MIN(1,(AF29-'Scoring Setup'!$K$18)/(100-'Scoring Setup'!$K$18)))),1),"")</x:f>
        <x:v>1</x:v>
      </x:c>
      <x:c r="AY29" s="27" t="n">
        <x:f>IF(ISNUMBER(AG29),IF('Scoring Setup'!$L$19=1,1-'Scoring Setup'!$B$5*(1-MAX(0,MIN(1,(AG29-'Scoring Setup'!$K$19)/(100-'Scoring Setup'!$K$19)))),1),"")</x:f>
        <x:v>0.8322222222222222</x:v>
      </x:c>
      <x:c r="AZ29" s="27" t="n">
        <x:f>IF(ISNUMBER(AH29),IF('Scoring Setup'!$L$20=1,1-'Scoring Setup'!$B$5*(1-MAX(0,MIN(1,(AH29-'Scoring Setup'!$K$20)/(100-'Scoring Setup'!$K$20)))),1),"")</x:f>
        <x:v>0.8</x:v>
      </x:c>
      <x:c r="BA29" s="27" t="n">
        <x:f>IF(ISNUMBER(AI29),IF('Scoring Setup'!$L$21=1,1-'Scoring Setup'!$B$5*(1-MAX(0,MIN(1,(AI29-'Scoring Setup'!$K$21)/(100-'Scoring Setup'!$K$21)))),1),"")</x:f>
        <x:v>0.8589375083560036</x:v>
      </x:c>
      <x:c r="BB29" s="27" t="n">
        <x:f>IF(ISNUMBER(AJ29),IF('Scoring Setup'!$L$22=1,1-'Scoring Setup'!$B$5*(1-MAX(0,MIN(1,(AJ29-'Scoring Setup'!$K$22)/(100-'Scoring Setup'!$K$22)))),1),"")</x:f>
        <x:v>0.9946658954444493</x:v>
      </x:c>
      <x:c r="BC29" s="27" t="n">
        <x:f>IF(ISNUMBER(AK29),IF('Scoring Setup'!$L$23=1,1-'Scoring Setup'!$B$5*(1-MAX(0,MIN(1,(AK29-'Scoring Setup'!$K$23)/(100-'Scoring Setup'!$K$23)))),1),"")</x:f>
        <x:v>0.9358236376285081</x:v>
      </x:c>
      <x:c r="BD29" s="27" t="n">
        <x:f>IF(ISNUMBER(AL29),IF('Scoring Setup'!$L$24=1,1-'Scoring Setup'!$B$5*(1-MAX(0,MIN(1,(AL29-'Scoring Setup'!$K$24)/(100-'Scoring Setup'!$K$24)))),1),"")</x:f>
        <x:v>0.9741818181818181</x:v>
      </x:c>
      <x:c r="BE29" s="27" t="n">
        <x:f>IF(ISNUMBER(AM29),IF('Scoring Setup'!$L$25=1,1-'Scoring Setup'!$B$5*(1-MAX(0,MIN(1,(AM29-'Scoring Setup'!$K$25)/(100-'Scoring Setup'!$K$25)))),1),"")</x:f>
        <x:v>0.8885845218271159</x:v>
      </x:c>
      <x:c r="BF29" s="27" t="n">
        <x:f>IF(ISNUMBER(AN29),IF('Scoring Setup'!$L$26=1,1-'Scoring Setup'!$B$5*(1-MAX(0,MIN(1,(AN29-'Scoring Setup'!$K$26)/(100-'Scoring Setup'!$K$26)))),1),"")</x:f>
        <x:v>0.937286211052675</x:v>
      </x:c>
      <x:c r="BG29" s="34" t="n">
        <x:f>IF(COUNT(W29,X29)=2,AVERAGE(W29,X29),"")</x:f>
        <x:v>46.46552333804807</x:v>
      </x:c>
      <x:c r="BH29" s="34" t="n">
        <x:f>IF(COUNT(Y29,Z29)=2,AVERAGE(Y29,Z29),"")</x:f>
        <x:v>92.90119119805814</x:v>
      </x:c>
      <x:c r="BI29" s="34" t="n">
        <x:f>IF(COUNT(AA29,AB29,AC29)=3,AVERAGE(AA29,AB29,AC29),"")</x:f>
        <x:v>24.151466287841306</x:v>
      </x:c>
      <x:c r="BJ29" s="34" t="n">
        <x:f>IF(COUNT(AD29,AE29)=2,AVERAGE(AD29,AE29),"")</x:f>
        <x:v>64.13587086607143</x:v>
      </x:c>
      <x:c r="BK29" s="34" t="n">
        <x:f>IF(COUNT(AF29,AG29)=2,AVERAGE(AF29,AG29),"")</x:f>
        <x:v>58.05555555555555</x:v>
      </x:c>
      <x:c r="BL29" s="34" t="n">
        <x:f>IF(COUNT(AH29,AI29)=2,AVERAGE(AH29,AI29),"")</x:f>
        <x:v>14.734377089000883</x:v>
      </x:c>
      <x:c r="BM29" s="34" t="n">
        <x:f>IF(COUNT(AJ29,AK29)=2,AVERAGE(AJ29,AK29),"")</x:f>
        <x:v>82.62238326823932</x:v>
      </x:c>
      <x:c r="BN29" s="34" t="n">
        <x:f>IF(COUNT(AL29,AM29,AN29)=3,AVERAGE(AL29,AM29,AN29),"")</x:f>
        <x:v>66.67542517693484</x:v>
      </x:c>
      <x:c r="BO29" s="35" t="n">
        <x:f>IF(AND(COUNT(BG29:BN29)=8,ABS('Scoring Setup'!$C$17-1)&lt;0.000001),BG29*'Scoring Setup'!$C$9+BH29*'Scoring Setup'!$C$10+BI29*'Scoring Setup'!$C$11+BJ29*'Scoring Setup'!$C$12+BK29*'Scoring Setup'!$C$13+BL29*'Scoring Setup'!$C$14+BM29*'Scoring Setup'!$C$15+BN29*'Scoring Setup'!$C$16,"")</x:f>
        <x:v>62.73154541530573</x:v>
      </x:c>
      <x:c r="BP29" s="36" t="n">
        <x:f>IF(COUNT(AO29:BF29)=18,MIN(AO29:BF29),"")</x:f>
        <x:v>0.8</x:v>
      </x:c>
      <x:c r="BQ29" s="35" t="n">
        <x:f>IF(AND(ISNUMBER(BO29),ISNUMBER(BP29)),BO29*BP29,"")</x:f>
        <x:v>50.185236332244585</x:v>
      </x:c>
      <x:c r="BR29" s="17" t="str">
        <x:f>IF(COUNT(AO29:BF29)=18,INDEX('Scoring Setup'!$F$9:$F$26,MATCH(MIN(AO29:BF29),AO29:BF29,0),1),"")</x:f>
        <x:v>湿地陆地比例</x:v>
      </x:c>
    </x:row>
    <x:row r="30">
      <x:c r="A30" s="28" t="str">
        <x:v>13053</x:v>
      </x:c>
      <x:c r="B30" s="28" t="str">
        <x:v>Chattahoochee County</x:v>
      </x:c>
      <x:c r="C30" s="28" t="str">
        <x:v>GA</x:v>
      </x:c>
      <x:c r="D30" s="31" t="n">
        <x:v>644.225832</x:v>
      </x:c>
      <x:c r="E30" s="32" t="n">
        <x:v>0.586</x:v>
      </x:c>
      <x:c r="F30" s="32" t="n">
        <x:v>0.111076732673267</x:v>
      </x:c>
      <x:c r="G30" s="32" t="n">
        <x:v>0.02673397358246516</x:v>
      </x:c>
      <x:c r="H30" s="32" t="n">
        <x:v>0.026579610830519188</x:v>
      </x:c>
      <x:c r="I30" s="32" t="n">
        <x:v>0.9021762025189325</x:v>
      </x:c>
      <x:c r="J30" s="32" t="n">
        <x:v>0.0001619977655632816</x:v>
      </x:c>
      <x:c r="K30" s="32" t="n">
        <x:v>0.0801084125759704</x:v>
      </x:c>
      <x:c r="L30" s="32" t="n">
        <x:v>0.186491333</x:v>
      </x:c>
      <x:c r="M30" s="32" t="n">
        <x:v>0.186491333</x:v>
      </x:c>
      <x:c r="N30" s="32" t="n">
        <x:v>1213</x:v>
      </x:c>
      <x:c r="O30" s="32" t="n">
        <x:v>0.6554</x:v>
      </x:c>
      <x:c r="P30" s="32" t="n">
        <x:v>2039.6608927408856</x:v>
      </x:c>
      <x:c r="Q30" s="32" t="n">
        <x:v>61.17493120829264</x:v>
      </x:c>
      <x:c r="R30" s="32" t="n">
        <x:v>14.326327675767022</x:v>
      </x:c>
      <x:c r="S30" s="32" t="n">
        <x:v>0.12356380293806463</x:v>
      </x:c>
      <x:c r="T30" s="32" t="n">
        <x:v>72.1</x:v>
      </x:c>
      <x:c r="U30" s="32" t="n">
        <x:v>211.4154781728841</x:v>
      </x:c>
      <x:c r="V30" s="32" t="n">
        <x:v>325.42757789465</x:v>
      </x:c>
      <x:c r="W30" s="33" t="n">
        <x:f>IF(ISNUMBER(E30),100*MAX(0,MIN(1,('Anchors'!$H$6-E30)/('Anchors'!$H$6-'Anchors'!$G$6))),"")</x:f>
        <x:v>44.85714285714287</x:v>
      </x:c>
      <x:c r="X30" s="33" t="n">
        <x:f>IF(ISNUMBER(F30),100*MAX(0,MIN(1,('Anchors'!$H$7-F30)/('Anchors'!$H$7-'Anchors'!$G$7))),"")</x:f>
        <x:v>98.4176096181047</x:v>
      </x:c>
      <x:c r="Y30" s="33" t="n">
        <x:f>IF(ISNUMBER(G30),100*MAX(0,MIN(1,('Anchors'!$H$8-G30)/('Anchors'!$H$8-'Anchors'!$G$8))),"")</x:f>
        <x:v>100</x:v>
      </x:c>
      <x:c r="Z30" s="33" t="n">
        <x:f>IF(ISNUMBER(H30),100*MAX(0,MIN(1,('Anchors'!$H$9-H30)/('Anchors'!$H$9-'Anchors'!$G$9))),"")</x:f>
        <x:v>100</x:v>
      </x:c>
      <x:c r="AA30" s="33" t="n">
        <x:f>IF(ISNUMBER(I30),100*MAX(0,MIN(1,(I30-'Anchors'!$H$10)/('Anchors'!$G$10-'Anchors'!$H$10))),"")</x:f>
        <x:v>89.3392058245113</x:v>
      </x:c>
      <x:c r="AB30" s="33" t="n">
        <x:f>IF(ISNUMBER(J30),100*MAX(0,MIN(1,('Anchors'!$H$11-J30)/('Anchors'!$H$11-'Anchors'!$G$11))),"")</x:f>
        <x:v>99.93520089377469</x:v>
      </x:c>
      <x:c r="AC30" s="33" t="n">
        <x:f>IF(ISNUMBER(K30),100*MAX(0,MIN(1,('Anchors'!$H$12-K30)/('Anchors'!$H$12-'Anchors'!$G$12))),"")</x:f>
        <x:v>79.97289685600741</x:v>
      </x:c>
      <x:c r="AD30" s="33" t="n">
        <x:f>IF(ISNUMBER(L30),100*MAX(0,MIN(1,(L30-'Anchors'!$H$13)/('Anchors'!$G$13-'Anchors'!$H$13))),"")</x:f>
        <x:v>0</x:v>
      </x:c>
      <x:c r="AE30" s="33" t="n">
        <x:f>IF(ISNUMBER(M30),100*MAX(0,MIN(1,(M30-'Anchors'!$H$14)/('Anchors'!$G$14-'Anchors'!$H$14))),"")</x:f>
        <x:v>10.811416625</x:v>
      </x:c>
      <x:c r="AF30" s="33" t="n">
        <x:f>IF(ISNUMBER(N30),100*MAX(0,MIN(1,(LN(1+N30)-LN(1+'Anchors'!$H$15))/(LN(1+'Anchors'!$G$15)-LN(1+'Anchors'!$H$15)))),"")</x:f>
        <x:v>0</x:v>
      </x:c>
      <x:c r="AG30" s="33" t="n">
        <x:f>IF(ISNUMBER(O30),100*MAX(0,MIN(1,('Anchors'!$H$16-O30)/('Anchors'!$H$16-'Anchors'!$G$16))),"")</x:f>
        <x:v>32.733333333333334</x:v>
      </x:c>
      <x:c r="AH30" s="33" t="n">
        <x:f>IF(ISNUMBER(P30),100*MAX(0,MIN(1,('Anchors'!$H$17-P30)/('Anchors'!$H$17-'Anchors'!$G$17))),"")</x:f>
        <x:v>10.689273817274291</x:v>
      </x:c>
      <x:c r="AI30" s="33" t="n">
        <x:f>IF(ISNUMBER(Q30),100*MAX(0,MIN(1,('Anchors'!$H$18-Q30)/('Anchors'!$H$18-'Anchors'!$G$18))),"")</x:f>
        <x:v>19.750098273867657</x:v>
      </x:c>
      <x:c r="AJ30" s="33" t="n">
        <x:f>IF(ISNUMBER(R30),100*MAX(0,MIN(1,('Anchors'!$H$19-R30)/('Anchors'!$H$19-'Anchors'!$G$19))),"")</x:f>
        <x:v>79.2748273871844</x:v>
      </x:c>
      <x:c r="AK30" s="33" t="n">
        <x:f>IF(ISNUMBER(S30),100*MAX(0,MIN(1,('Anchors'!$H$20-S30)/('Anchors'!$H$20-'Anchors'!$G$20))),"")</x:f>
        <x:v>100</x:v>
      </x:c>
      <x:c r="AL30" s="33" t="n">
        <x:f>IF(ISNUMBER(T30),100*MAX(0,MIN(1,('Anchors'!$H$21-T30)/('Anchors'!$H$21-'Anchors'!$G$21))),"")</x:f>
        <x:v>87.0909090909091</x:v>
      </x:c>
      <x:c r="AM30" s="33" t="n">
        <x:f>IF(ISNUMBER(U30),100*MAX(0,MIN(1,('Anchors'!$H$22-U30)/('Anchors'!$H$22-'Anchors'!$G$22))),"")</x:f>
        <x:v>44.29226091355795</x:v>
      </x:c>
      <x:c r="AN30" s="33" t="n">
        <x:f>IF(ISNUMBER(V30),100*MAX(0,MIN(1,('Anchors'!$H$23-V30)/('Anchors'!$H$23-'Anchors'!$G$23))),"")</x:f>
        <x:v>68.6431055263375</x:v>
      </x:c>
      <x:c r="AO30" s="27" t="n">
        <x:f>IF(ISNUMBER(W30),IF('Scoring Setup'!$L$9=1,1-'Scoring Setup'!$B$5*(1-MAX(0,MIN(1,(W30-'Scoring Setup'!$K$9)/(100-'Scoring Setup'!$K$9)))),1),"")</x:f>
        <x:v>0.8897142857142857</x:v>
      </x:c>
      <x:c r="AP30" s="27" t="n">
        <x:f>IF(ISNUMBER(X30),IF('Scoring Setup'!$L$10=1,1-'Scoring Setup'!$B$5*(1-MAX(0,MIN(1,(X30-'Scoring Setup'!$K$10)/(100-'Scoring Setup'!$K$10)))),1),"")</x:f>
        <x:v>0.9968352192362094</x:v>
      </x:c>
      <x:c r="AQ30" s="27" t="n">
        <x:f>IF(ISNUMBER(Y30),IF('Scoring Setup'!$L$11=1,1-'Scoring Setup'!$B$5*(1-MAX(0,MIN(1,(Y30-'Scoring Setup'!$K$11)/(100-'Scoring Setup'!$K$11)))),1),"")</x:f>
        <x:v>1</x:v>
      </x:c>
      <x:c r="AR30" s="27" t="n">
        <x:f>IF(ISNUMBER(Z30),IF('Scoring Setup'!$L$12=1,1-'Scoring Setup'!$B$5*(1-MAX(0,MIN(1,(Z30-'Scoring Setup'!$K$12)/(100-'Scoring Setup'!$K$12)))),1),"")</x:f>
        <x:v>1</x:v>
      </x:c>
      <x:c r="AS30" s="27" t="n">
        <x:f>IF(ISNUMBER(AA30),IF('Scoring Setup'!$L$13=1,1-'Scoring Setup'!$B$5*(1-MAX(0,MIN(1,(AA30-'Scoring Setup'!$K$13)/(100-'Scoring Setup'!$K$13)))),1),"")</x:f>
        <x:v>0.9786784116490226</x:v>
      </x:c>
      <x:c r="AT30" s="27" t="n">
        <x:f>IF(ISNUMBER(AB30),IF('Scoring Setup'!$L$14=1,1-'Scoring Setup'!$B$5*(1-MAX(0,MIN(1,(AB30-'Scoring Setup'!$K$14)/(100-'Scoring Setup'!$K$14)))),1),"")</x:f>
        <x:v>0.9998704017875494</x:v>
      </x:c>
      <x:c r="AU30" s="27" t="n">
        <x:f>IF(ISNUMBER(AC30),IF('Scoring Setup'!$L$15=1,1-'Scoring Setup'!$B$5*(1-MAX(0,MIN(1,(AC30-'Scoring Setup'!$K$15)/(100-'Scoring Setup'!$K$15)))),1),"")</x:f>
        <x:v>0.9599457937120148</x:v>
      </x:c>
      <x:c r="AV30" s="27" t="n">
        <x:f>IF(ISNUMBER(AD30),IF('Scoring Setup'!$L$16=1,1-'Scoring Setup'!$B$5*(1-MAX(0,MIN(1,(AD30-'Scoring Setup'!$K$16)/(100-'Scoring Setup'!$K$16)))),1),"")</x:f>
        <x:v>0.8</x:v>
      </x:c>
      <x:c r="AW30" s="27" t="n">
        <x:f>IF(ISNUMBER(AE30),IF('Scoring Setup'!$L$17=1,1-'Scoring Setup'!$B$5*(1-MAX(0,MIN(1,(AE30-'Scoring Setup'!$K$17)/(100-'Scoring Setup'!$K$17)))),1),"")</x:f>
        <x:v>0.82162283325</x:v>
      </x:c>
      <x:c r="AX30" s="27" t="n">
        <x:f>IF(ISNUMBER(AF30),IF('Scoring Setup'!$L$18=1,1-'Scoring Setup'!$B$5*(1-MAX(0,MIN(1,(AF30-'Scoring Setup'!$K$18)/(100-'Scoring Setup'!$K$18)))),1),"")</x:f>
        <x:v>0.8</x:v>
      </x:c>
      <x:c r="AY30" s="27" t="n">
        <x:f>IF(ISNUMBER(AG30),IF('Scoring Setup'!$L$19=1,1-'Scoring Setup'!$B$5*(1-MAX(0,MIN(1,(AG30-'Scoring Setup'!$K$19)/(100-'Scoring Setup'!$K$19)))),1),"")</x:f>
        <x:v>0.8654666666666666</x:v>
      </x:c>
      <x:c r="AZ30" s="27" t="n">
        <x:f>IF(ISNUMBER(AH30),IF('Scoring Setup'!$L$20=1,1-'Scoring Setup'!$B$5*(1-MAX(0,MIN(1,(AH30-'Scoring Setup'!$K$20)/(100-'Scoring Setup'!$K$20)))),1),"")</x:f>
        <x:v>0.8213785476345485</x:v>
      </x:c>
      <x:c r="BA30" s="27" t="n">
        <x:f>IF(ISNUMBER(AI30),IF('Scoring Setup'!$L$21=1,1-'Scoring Setup'!$B$5*(1-MAX(0,MIN(1,(AI30-'Scoring Setup'!$K$21)/(100-'Scoring Setup'!$K$21)))),1),"")</x:f>
        <x:v>0.8395001965477353</x:v>
      </x:c>
      <x:c r="BB30" s="27" t="n">
        <x:f>IF(ISNUMBER(AJ30),IF('Scoring Setup'!$L$22=1,1-'Scoring Setup'!$B$5*(1-MAX(0,MIN(1,(AJ30-'Scoring Setup'!$K$22)/(100-'Scoring Setup'!$K$22)))),1),"")</x:f>
        <x:v>0.9585496547743688</x:v>
      </x:c>
      <x:c r="BC30" s="27" t="n">
        <x:f>IF(ISNUMBER(AK30),IF('Scoring Setup'!$L$23=1,1-'Scoring Setup'!$B$5*(1-MAX(0,MIN(1,(AK30-'Scoring Setup'!$K$23)/(100-'Scoring Setup'!$K$23)))),1),"")</x:f>
        <x:v>1</x:v>
      </x:c>
      <x:c r="BD30" s="27" t="n">
        <x:f>IF(ISNUMBER(AL30),IF('Scoring Setup'!$L$24=1,1-'Scoring Setup'!$B$5*(1-MAX(0,MIN(1,(AL30-'Scoring Setup'!$K$24)/(100-'Scoring Setup'!$K$24)))),1),"")</x:f>
        <x:v>0.9741818181818181</x:v>
      </x:c>
      <x:c r="BE30" s="27" t="n">
        <x:f>IF(ISNUMBER(AM30),IF('Scoring Setup'!$L$25=1,1-'Scoring Setup'!$B$5*(1-MAX(0,MIN(1,(AM30-'Scoring Setup'!$K$25)/(100-'Scoring Setup'!$K$25)))),1),"")</x:f>
        <x:v>0.8885845218271159</x:v>
      </x:c>
      <x:c r="BF30" s="27" t="n">
        <x:f>IF(ISNUMBER(AN30),IF('Scoring Setup'!$L$26=1,1-'Scoring Setup'!$B$5*(1-MAX(0,MIN(1,(AN30-'Scoring Setup'!$K$26)/(100-'Scoring Setup'!$K$26)))),1),"")</x:f>
        <x:v>0.937286211052675</x:v>
      </x:c>
      <x:c r="BG30" s="34" t="n">
        <x:f>IF(COUNT(W30,X30)=2,AVERAGE(W30,X30),"")</x:f>
        <x:v>71.63737623762378</x:v>
      </x:c>
      <x:c r="BH30" s="34" t="n">
        <x:f>IF(COUNT(Y30,Z30)=2,AVERAGE(Y30,Z30),"")</x:f>
        <x:v>100</x:v>
      </x:c>
      <x:c r="BI30" s="34" t="n">
        <x:f>IF(COUNT(AA30,AB30,AC30)=3,AVERAGE(AA30,AB30,AC30),"")</x:f>
        <x:v>89.74910119143114</x:v>
      </x:c>
      <x:c r="BJ30" s="34" t="n">
        <x:f>IF(COUNT(AD30,AE30)=2,AVERAGE(AD30,AE30),"")</x:f>
        <x:v>5.4057083125</x:v>
      </x:c>
      <x:c r="BK30" s="34" t="n">
        <x:f>IF(COUNT(AF30,AG30)=2,AVERAGE(AF30,AG30),"")</x:f>
        <x:v>16.366666666666667</x:v>
      </x:c>
      <x:c r="BL30" s="34" t="n">
        <x:f>IF(COUNT(AH30,AI30)=2,AVERAGE(AH30,AI30),"")</x:f>
        <x:v>15.219686045570974</x:v>
      </x:c>
      <x:c r="BM30" s="34" t="n">
        <x:f>IF(COUNT(AJ30,AK30)=2,AVERAGE(AJ30,AK30),"")</x:f>
        <x:v>89.63741369359221</x:v>
      </x:c>
      <x:c r="BN30" s="34" t="n">
        <x:f>IF(COUNT(AL30,AM30,AN30)=3,AVERAGE(AL30,AM30,AN30),"")</x:f>
        <x:v>66.67542517693484</x:v>
      </x:c>
      <x:c r="BO30" s="35" t="n">
        <x:f>IF(AND(COUNT(BG30:BN30)=8,ABS('Scoring Setup'!$C$17-1)&lt;0.000001),BG30*'Scoring Setup'!$C$9+BH30*'Scoring Setup'!$C$10+BI30*'Scoring Setup'!$C$11+BJ30*'Scoring Setup'!$C$12+BK30*'Scoring Setup'!$C$13+BL30*'Scoring Setup'!$C$14+BM30*'Scoring Setup'!$C$15+BN30*'Scoring Setup'!$C$16,"")</x:f>
        <x:v>63.56136778086077</x:v>
      </x:c>
      <x:c r="BP30" s="36" t="n">
        <x:f>IF(COUNT(AO30:BF30)=18,MIN(AO30:BF30),"")</x:f>
        <x:v>0.8</x:v>
      </x:c>
      <x:c r="BQ30" s="35" t="n">
        <x:f>IF(AND(ISNUMBER(BO30),ISNUMBER(BP30)),BO30*BP30,"")</x:f>
        <x:v>50.84909422468862</x:v>
      </x:c>
      <x:c r="BR30" s="17" t="str">
        <x:f>IF(COUNT(AO30:BF30)=18,INDEX('Scoring Setup'!$F$9:$F$26,MATCH(MIN(AO30:BF30),AO30:BF30,0),1),"")</x:f>
        <x:v>商业光纤100/20覆盖率</x:v>
      </x:c>
    </x:row>
    <x:row r="31">
      <x:c r="A31" s="28" t="str">
        <x:v>13055</x:v>
      </x:c>
      <x:c r="B31" s="28" t="str">
        <x:v>Chattooga County</x:v>
      </x:c>
      <x:c r="C31" s="28" t="str">
        <x:v>GA</x:v>
      </x:c>
      <x:c r="D31" s="31" t="n">
        <x:v>811.512397</x:v>
      </x:c>
      <x:c r="E31" s="32" t="n">
        <x:v>0.785</x:v>
      </x:c>
      <x:c r="F31" s="32" t="n">
        <x:v>0.80259900990099</x:v>
      </x:c>
      <x:c r="G31" s="32" t="n">
        <x:v>1.838064287550523</x:v>
      </x:c>
      <x:c r="H31" s="32" t="n">
        <x:v>1.5400199899032252</x:v>
      </x:c>
      <x:c r="I31" s="32" t="n">
        <x:v>0.9483934263756068</x:v>
      </x:c>
      <x:c r="J31" s="32" t="n">
        <x:v>0.015883602508480508</x:v>
      </x:c>
      <x:c r="K31" s="32" t="n">
        <x:v>0.006284297810828858</x:v>
      </x:c>
      <x:c r="L31" s="32" t="n">
        <x:v>0.694976783</x:v>
      </x:c>
      <x:c r="M31" s="32" t="n">
        <x:v>0.694976783</x:v>
      </x:c>
      <x:c r="N31" s="32" t="n">
        <x:v>9029</x:v>
      </x:c>
      <x:c r="O31" s="32" t="n">
        <x:v>0.9481</x:v>
      </x:c>
      <x:c r="P31" s="32" t="n">
        <x:v>1331.7098103841147</x:v>
      </x:c>
      <x:c r="Q31" s="32" t="n">
        <x:v>32.2814640045166</x:v>
      </x:c>
      <x:c r="R31" s="32" t="n">
        <x:v>30.287495868596707</x:v>
      </x:c>
      <x:c r="S31" s="32" t="n">
        <x:v>0.46766000811526637</x:v>
      </x:c>
      <x:c r="T31" s="32" t="n">
        <x:v>72.1</x:v>
      </x:c>
      <x:c r="U31" s="32" t="n">
        <x:v>211.4154781728841</x:v>
      </x:c>
      <x:c r="V31" s="32" t="n">
        <x:v>325.42757789465</x:v>
      </x:c>
      <x:c r="W31" s="33" t="n">
        <x:f>IF(ISNUMBER(E31),100*MAX(0,MIN(1,('Anchors'!$H$6-E31)/('Anchors'!$H$6-'Anchors'!$G$6))),"")</x:f>
        <x:v>16.428571428571427</x:v>
      </x:c>
      <x:c r="X31" s="33" t="n">
        <x:f>IF(ISNUMBER(F31),100*MAX(0,MIN(1,('Anchors'!$H$7-F31)/('Anchors'!$H$7-'Anchors'!$G$7))),"")</x:f>
        <x:v>0</x:v>
      </x:c>
      <x:c r="Y31" s="33" t="n">
        <x:f>IF(ISNUMBER(G31),100*MAX(0,MIN(1,('Anchors'!$H$8-G31)/('Anchors'!$H$8-'Anchors'!$G$8))),"")</x:f>
        <x:v>72.0645237483159</x:v>
      </x:c>
      <x:c r="Z31" s="33" t="n">
        <x:f>IF(ISNUMBER(H31),100*MAX(0,MIN(1,('Anchors'!$H$9-H31)/('Anchors'!$H$9-'Anchors'!$G$9))),"")</x:f>
        <x:v>81.9993336698925</x:v>
      </x:c>
      <x:c r="AA31" s="33" t="n">
        <x:f>IF(ISNUMBER(I31),100*MAX(0,MIN(1,(I31-'Anchors'!$H$10)/('Anchors'!$G$10-'Anchors'!$H$10))),"")</x:f>
        <x:v>95.6703323802201</x:v>
      </x:c>
      <x:c r="AB31" s="33" t="n">
        <x:f>IF(ISNUMBER(J31),100*MAX(0,MIN(1,('Anchors'!$H$11-J31)/('Anchors'!$H$11-'Anchors'!$G$11))),"")</x:f>
        <x:v>93.6465589966078</x:v>
      </x:c>
      <x:c r="AC31" s="33" t="n">
        <x:f>IF(ISNUMBER(K31),100*MAX(0,MIN(1,('Anchors'!$H$12-K31)/('Anchors'!$H$12-'Anchors'!$G$12))),"")</x:f>
        <x:v>98.42892554729279</x:v>
      </x:c>
      <x:c r="AD31" s="33" t="n">
        <x:f>IF(ISNUMBER(L31),100*MAX(0,MIN(1,(L31-'Anchors'!$H$13)/('Anchors'!$G$13-'Anchors'!$H$13))),"")</x:f>
        <x:v>70.710969</x:v>
      </x:c>
      <x:c r="AE31" s="33" t="n">
        <x:f>IF(ISNUMBER(M31),100*MAX(0,MIN(1,(M31-'Anchors'!$H$14)/('Anchors'!$G$14-'Anchors'!$H$14))),"")</x:f>
        <x:v>74.372097875</x:v>
      </x:c>
      <x:c r="AF31" s="33" t="n">
        <x:f>IF(ISNUMBER(N31),100*MAX(0,MIN(1,(LN(1+N31)-LN(1+'Anchors'!$H$15))/(LN(1+'Anchors'!$G$15)-LN(1+'Anchors'!$H$15)))),"")</x:f>
        <x:v>34.906349090971226</x:v>
      </x:c>
      <x:c r="AG31" s="33" t="n">
        <x:f>IF(ISNUMBER(O31),100*MAX(0,MIN(1,('Anchors'!$H$16-O31)/('Anchors'!$H$16-'Anchors'!$G$16))),"")</x:f>
        <x:v>0.2111111111111002</x:v>
      </x:c>
      <x:c r="AH31" s="33" t="n">
        <x:f>IF(ISNUMBER(P31),100*MAX(0,MIN(1,('Anchors'!$H$17-P31)/('Anchors'!$H$17-'Anchors'!$G$17))),"")</x:f>
        <x:v>57.886012641059025</x:v>
      </x:c>
      <x:c r="AI31" s="33" t="n">
        <x:f>IF(ISNUMBER(Q31),100*MAX(0,MIN(1,('Anchors'!$H$18-Q31)/('Anchors'!$H$18-'Anchors'!$G$18))),"")</x:f>
        <x:v>61.02647999354771</x:v>
      </x:c>
      <x:c r="AJ31" s="33" t="n">
        <x:f>IF(ISNUMBER(R31),100*MAX(0,MIN(1,('Anchors'!$H$19-R31)/('Anchors'!$H$19-'Anchors'!$G$19))),"")</x:f>
        <x:v>43.805564736451764</x:v>
      </x:c>
      <x:c r="AK31" s="33" t="n">
        <x:f>IF(ISNUMBER(S31),100*MAX(0,MIN(1,('Anchors'!$H$20-S31)/('Anchors'!$H$20-'Anchors'!$G$20))),"")</x:f>
        <x:v>100</x:v>
      </x:c>
      <x:c r="AL31" s="33" t="n">
        <x:f>IF(ISNUMBER(T31),100*MAX(0,MIN(1,('Anchors'!$H$21-T31)/('Anchors'!$H$21-'Anchors'!$G$21))),"")</x:f>
        <x:v>87.0909090909091</x:v>
      </x:c>
      <x:c r="AM31" s="33" t="n">
        <x:f>IF(ISNUMBER(U31),100*MAX(0,MIN(1,('Anchors'!$H$22-U31)/('Anchors'!$H$22-'Anchors'!$G$22))),"")</x:f>
        <x:v>44.29226091355795</x:v>
      </x:c>
      <x:c r="AN31" s="33" t="n">
        <x:f>IF(ISNUMBER(V31),100*MAX(0,MIN(1,('Anchors'!$H$23-V31)/('Anchors'!$H$23-'Anchors'!$G$23))),"")</x:f>
        <x:v>68.6431055263375</x:v>
      </x:c>
      <x:c r="AO31" s="27" t="n">
        <x:f>IF(ISNUMBER(W31),IF('Scoring Setup'!$L$9=1,1-'Scoring Setup'!$B$5*(1-MAX(0,MIN(1,(W31-'Scoring Setup'!$K$9)/(100-'Scoring Setup'!$K$9)))),1),"")</x:f>
        <x:v>0.8328571428571429</x:v>
      </x:c>
      <x:c r="AP31" s="27" t="n">
        <x:f>IF(ISNUMBER(X31),IF('Scoring Setup'!$L$10=1,1-'Scoring Setup'!$B$5*(1-MAX(0,MIN(1,(X31-'Scoring Setup'!$K$10)/(100-'Scoring Setup'!$K$10)))),1),"")</x:f>
        <x:v>0.8</x:v>
      </x:c>
      <x:c r="AQ31" s="27" t="n">
        <x:f>IF(ISNUMBER(Y31),IF('Scoring Setup'!$L$11=1,1-'Scoring Setup'!$B$5*(1-MAX(0,MIN(1,(Y31-'Scoring Setup'!$K$11)/(100-'Scoring Setup'!$K$11)))),1),"")</x:f>
        <x:v>0.9441290474966318</x:v>
      </x:c>
      <x:c r="AR31" s="27" t="n">
        <x:f>IF(ISNUMBER(Z31),IF('Scoring Setup'!$L$12=1,1-'Scoring Setup'!$B$5*(1-MAX(0,MIN(1,(Z31-'Scoring Setup'!$K$12)/(100-'Scoring Setup'!$K$12)))),1),"")</x:f>
        <x:v>0.963998667339785</x:v>
      </x:c>
      <x:c r="AS31" s="27" t="n">
        <x:f>IF(ISNUMBER(AA31),IF('Scoring Setup'!$L$13=1,1-'Scoring Setup'!$B$5*(1-MAX(0,MIN(1,(AA31-'Scoring Setup'!$K$13)/(100-'Scoring Setup'!$K$13)))),1),"")</x:f>
        <x:v>0.9913406647604402</x:v>
      </x:c>
      <x:c r="AT31" s="27" t="n">
        <x:f>IF(ISNUMBER(AB31),IF('Scoring Setup'!$L$14=1,1-'Scoring Setup'!$B$5*(1-MAX(0,MIN(1,(AB31-'Scoring Setup'!$K$14)/(100-'Scoring Setup'!$K$14)))),1),"")</x:f>
        <x:v>0.9872931179932156</x:v>
      </x:c>
      <x:c r="AU31" s="27" t="n">
        <x:f>IF(ISNUMBER(AC31),IF('Scoring Setup'!$L$15=1,1-'Scoring Setup'!$B$5*(1-MAX(0,MIN(1,(AC31-'Scoring Setup'!$K$15)/(100-'Scoring Setup'!$K$15)))),1),"")</x:f>
        <x:v>0.9968578510945856</x:v>
      </x:c>
      <x:c r="AV31" s="27" t="n">
        <x:f>IF(ISNUMBER(AD31),IF('Scoring Setup'!$L$16=1,1-'Scoring Setup'!$B$5*(1-MAX(0,MIN(1,(AD31-'Scoring Setup'!$K$16)/(100-'Scoring Setup'!$K$16)))),1),"")</x:f>
        <x:v>0.941421938</x:v>
      </x:c>
      <x:c r="AW31" s="27" t="n">
        <x:f>IF(ISNUMBER(AE31),IF('Scoring Setup'!$L$17=1,1-'Scoring Setup'!$B$5*(1-MAX(0,MIN(1,(AE31-'Scoring Setup'!$K$17)/(100-'Scoring Setup'!$K$17)))),1),"")</x:f>
        <x:v>0.94874419575</x:v>
      </x:c>
      <x:c r="AX31" s="27" t="n">
        <x:f>IF(ISNUMBER(AF31),IF('Scoring Setup'!$L$18=1,1-'Scoring Setup'!$B$5*(1-MAX(0,MIN(1,(AF31-'Scoring Setup'!$K$18)/(100-'Scoring Setup'!$K$18)))),1),"")</x:f>
        <x:v>0.8698126981819425</x:v>
      </x:c>
      <x:c r="AY31" s="27" t="n">
        <x:f>IF(ISNUMBER(AG31),IF('Scoring Setup'!$L$19=1,1-'Scoring Setup'!$B$5*(1-MAX(0,MIN(1,(AG31-'Scoring Setup'!$K$19)/(100-'Scoring Setup'!$K$19)))),1),"")</x:f>
        <x:v>0.8004222222222221</x:v>
      </x:c>
      <x:c r="AZ31" s="27" t="n">
        <x:f>IF(ISNUMBER(AH31),IF('Scoring Setup'!$L$20=1,1-'Scoring Setup'!$B$5*(1-MAX(0,MIN(1,(AH31-'Scoring Setup'!$K$20)/(100-'Scoring Setup'!$K$20)))),1),"")</x:f>
        <x:v>0.915772025282118</x:v>
      </x:c>
      <x:c r="BA31" s="27" t="n">
        <x:f>IF(ISNUMBER(AI31),IF('Scoring Setup'!$L$21=1,1-'Scoring Setup'!$B$5*(1-MAX(0,MIN(1,(AI31-'Scoring Setup'!$K$21)/(100-'Scoring Setup'!$K$21)))),1),"")</x:f>
        <x:v>0.9220529599870955</x:v>
      </x:c>
      <x:c r="BB31" s="27" t="n">
        <x:f>IF(ISNUMBER(AJ31),IF('Scoring Setup'!$L$22=1,1-'Scoring Setup'!$B$5*(1-MAX(0,MIN(1,(AJ31-'Scoring Setup'!$K$22)/(100-'Scoring Setup'!$K$22)))),1),"")</x:f>
        <x:v>0.8876111294729035</x:v>
      </x:c>
      <x:c r="BC31" s="27" t="n">
        <x:f>IF(ISNUMBER(AK31),IF('Scoring Setup'!$L$23=1,1-'Scoring Setup'!$B$5*(1-MAX(0,MIN(1,(AK31-'Scoring Setup'!$K$23)/(100-'Scoring Setup'!$K$23)))),1),"")</x:f>
        <x:v>1</x:v>
      </x:c>
      <x:c r="BD31" s="27" t="n">
        <x:f>IF(ISNUMBER(AL31),IF('Scoring Setup'!$L$24=1,1-'Scoring Setup'!$B$5*(1-MAX(0,MIN(1,(AL31-'Scoring Setup'!$K$24)/(100-'Scoring Setup'!$K$24)))),1),"")</x:f>
        <x:v>0.9741818181818181</x:v>
      </x:c>
      <x:c r="BE31" s="27" t="n">
        <x:f>IF(ISNUMBER(AM31),IF('Scoring Setup'!$L$25=1,1-'Scoring Setup'!$B$5*(1-MAX(0,MIN(1,(AM31-'Scoring Setup'!$K$25)/(100-'Scoring Setup'!$K$25)))),1),"")</x:f>
        <x:v>0.8885845218271159</x:v>
      </x:c>
      <x:c r="BF31" s="27" t="n">
        <x:f>IF(ISNUMBER(AN31),IF('Scoring Setup'!$L$26=1,1-'Scoring Setup'!$B$5*(1-MAX(0,MIN(1,(AN31-'Scoring Setup'!$K$26)/(100-'Scoring Setup'!$K$26)))),1),"")</x:f>
        <x:v>0.937286211052675</x:v>
      </x:c>
      <x:c r="BG31" s="34" t="n">
        <x:f>IF(COUNT(W31,X31)=2,AVERAGE(W31,X31),"")</x:f>
        <x:v>8.214285714285714</x:v>
      </x:c>
      <x:c r="BH31" s="34" t="n">
        <x:f>IF(COUNT(Y31,Z31)=2,AVERAGE(Y31,Z31),"")</x:f>
        <x:v>77.03192870910419</x:v>
      </x:c>
      <x:c r="BI31" s="34" t="n">
        <x:f>IF(COUNT(AA31,AB31,AC31)=3,AVERAGE(AA31,AB31,AC31),"")</x:f>
        <x:v>95.91527230804023</x:v>
      </x:c>
      <x:c r="BJ31" s="34" t="n">
        <x:f>IF(COUNT(AD31,AE31)=2,AVERAGE(AD31,AE31),"")</x:f>
        <x:v>72.5415334375</x:v>
      </x:c>
      <x:c r="BK31" s="34" t="n">
        <x:f>IF(COUNT(AF31,AG31)=2,AVERAGE(AF31,AG31),"")</x:f>
        <x:v>17.558730101041164</x:v>
      </x:c>
      <x:c r="BL31" s="34" t="n">
        <x:f>IF(COUNT(AH31,AI31)=2,AVERAGE(AH31,AI31),"")</x:f>
        <x:v>59.45624631730337</x:v>
      </x:c>
      <x:c r="BM31" s="34" t="n">
        <x:f>IF(COUNT(AJ31,AK31)=2,AVERAGE(AJ31,AK31),"")</x:f>
        <x:v>71.90278236822589</x:v>
      </x:c>
      <x:c r="BN31" s="34" t="n">
        <x:f>IF(COUNT(AL31,AM31,AN31)=3,AVERAGE(AL31,AM31,AN31),"")</x:f>
        <x:v>66.67542517693484</x:v>
      </x:c>
      <x:c r="BO31" s="35" t="n">
        <x:f>IF(AND(COUNT(BG31:BN31)=8,ABS('Scoring Setup'!$C$17-1)&lt;0.000001),BG31*'Scoring Setup'!$C$9+BH31*'Scoring Setup'!$C$10+BI31*'Scoring Setup'!$C$11+BJ31*'Scoring Setup'!$C$12+BK31*'Scoring Setup'!$C$13+BL31*'Scoring Setup'!$C$14+BM31*'Scoring Setup'!$C$15+BN31*'Scoring Setup'!$C$16,"")</x:f>
        <x:v>61.39994688526447</x:v>
      </x:c>
      <x:c r="BP31" s="36" t="n">
        <x:f>IF(COUNT(AO31:BF31)=18,MIN(AO31:BF31),"")</x:f>
        <x:v>0.8</x:v>
      </x:c>
      <x:c r="BQ31" s="35" t="n">
        <x:f>IF(AND(ISNUMBER(BO31),ISNUMBER(BP31)),BO31*BP31,"")</x:f>
        <x:v>49.11995750821158</x:v>
      </x:c>
      <x:c r="BR31" s="17" t="str">
        <x:f>IF(COUNT(AO31:BF31)=18,INDEX('Scoring Setup'!$F$9:$F$26,MATCH(MIN(AO31:BF31),AO31:BF31,0),1),"")</x:f>
        <x:v>洪水损失率全国百分位</x:v>
      </x:c>
    </x:row>
    <x:row r="32">
      <x:c r="A32" s="28" t="str">
        <x:v>13057</x:v>
      </x:c>
      <x:c r="B32" s="28" t="str">
        <x:v>Cherokee County</x:v>
      </x:c>
      <x:c r="C32" s="28" t="str">
        <x:v>GA</x:v>
      </x:c>
      <x:c r="D32" s="31" t="n">
        <x:v>1090.268755</x:v>
      </x:c>
      <x:c r="E32" s="32" t="n">
        <x:v>0.587</x:v>
      </x:c>
      <x:c r="F32" s="32" t="n">
        <x:v>0.594678217821782</x:v>
      </x:c>
      <x:c r="G32" s="32" t="n">
        <x:v>3.6346924349863228</x:v>
      </x:c>
      <x:c r="H32" s="32" t="n">
        <x:v>3.3471402177167597</x:v>
      </x:c>
      <x:c r="I32" s="32" t="n">
        <x:v>0.7736034851224725</x:v>
      </x:c>
      <x:c r="J32" s="32" t="n">
        <x:v>0.01683001877925518</x:v>
      </x:c>
      <x:c r="K32" s="32" t="n">
        <x:v>0.005337004767384514</x:v>
      </x:c>
      <x:c r="L32" s="32" t="n">
        <x:v>0.726359685</x:v>
      </x:c>
      <x:c r="M32" s="32" t="n">
        <x:v>0.722063734</x:v>
      </x:c>
      <x:c r="N32" s="32" t="n">
        <x:v>153630</x:v>
      </x:c>
      <x:c r="O32" s="32" t="n">
        <x:v>0.1969</x:v>
      </x:c>
      <x:c r="P32" s="32" t="n">
        <x:v>1357.469950358073</x:v>
      </x:c>
      <x:c r="Q32" s="32" t="n">
        <x:v>25.476819610595705</x:v>
      </x:c>
      <x:c r="R32" s="32" t="n">
        <x:v>0.7019213221753118</x:v>
      </x:c>
      <x:c r="S32" s="32" t="n">
        <x:v>0.14783001583257094</x:v>
      </x:c>
      <x:c r="T32" s="32" t="n">
        <x:v>72.1</x:v>
      </x:c>
      <x:c r="U32" s="32" t="n">
        <x:v>211.4154781728841</x:v>
      </x:c>
      <x:c r="V32" s="32" t="n">
        <x:v>325.42757789465</x:v>
      </x:c>
      <x:c r="W32" s="33" t="n">
        <x:f>IF(ISNUMBER(E32),100*MAX(0,MIN(1,('Anchors'!$H$6-E32)/('Anchors'!$H$6-'Anchors'!$G$6))),"")</x:f>
        <x:v>44.71428571428572</x:v>
      </x:c>
      <x:c r="X32" s="33" t="n">
        <x:f>IF(ISNUMBER(F32),100*MAX(0,MIN(1,('Anchors'!$H$7-F32)/('Anchors'!$H$7-'Anchors'!$G$7))),"")</x:f>
        <x:v>29.331683168316864</x:v>
      </x:c>
      <x:c r="Y32" s="33" t="n">
        <x:f>IF(ISNUMBER(G32),100*MAX(0,MIN(1,('Anchors'!$H$8-G32)/('Anchors'!$H$8-'Anchors'!$G$8))),"")</x:f>
        <x:v>12.176918833789241</x:v>
      </x:c>
      <x:c r="Z32" s="33" t="n">
        <x:f>IF(ISNUMBER(H32),100*MAX(0,MIN(1,('Anchors'!$H$9-H32)/('Anchors'!$H$9-'Anchors'!$G$9))),"")</x:f>
        <x:v>21.761992742774673</x:v>
      </x:c>
      <x:c r="AA32" s="33" t="n">
        <x:f>IF(ISNUMBER(I32),100*MAX(0,MIN(1,(I32-'Anchors'!$H$10)/('Anchors'!$G$10-'Anchors'!$H$10))),"")</x:f>
        <x:v>71.7265048112976</x:v>
      </x:c>
      <x:c r="AB32" s="33" t="n">
        <x:f>IF(ISNUMBER(J32),100*MAX(0,MIN(1,('Anchors'!$H$11-J32)/('Anchors'!$H$11-'Anchors'!$G$11))),"")</x:f>
        <x:v>93.26799248829792</x:v>
      </x:c>
      <x:c r="AC32" s="33" t="n">
        <x:f>IF(ISNUMBER(K32),100*MAX(0,MIN(1,('Anchors'!$H$12-K32)/('Anchors'!$H$12-'Anchors'!$G$12))),"")</x:f>
        <x:v>98.66574880815388</x:v>
      </x:c>
      <x:c r="AD32" s="33" t="n">
        <x:f>IF(ISNUMBER(L32),100*MAX(0,MIN(1,(L32-'Anchors'!$H$13)/('Anchors'!$G$13-'Anchors'!$H$13))),"")</x:f>
        <x:v>75.19424071428573</x:v>
      </x:c>
      <x:c r="AE32" s="33" t="n">
        <x:f>IF(ISNUMBER(M32),100*MAX(0,MIN(1,(M32-'Anchors'!$H$14)/('Anchors'!$G$14-'Anchors'!$H$14))),"")</x:f>
        <x:v>77.75796675</x:v>
      </x:c>
      <x:c r="AF32" s="33" t="n">
        <x:f>IF(ISNUMBER(N32),100*MAX(0,MIN(1,(LN(1+N32)-LN(1+'Anchors'!$H$15))/(LN(1+'Anchors'!$G$15)-LN(1+'Anchors'!$H$15)))),"")</x:f>
        <x:v>100</x:v>
      </x:c>
      <x:c r="AG32" s="33" t="n">
        <x:f>IF(ISNUMBER(O32),100*MAX(0,MIN(1,('Anchors'!$H$16-O32)/('Anchors'!$H$16-'Anchors'!$G$16))),"")</x:f>
        <x:v>83.67777777777778</x:v>
      </x:c>
      <x:c r="AH32" s="33" t="n">
        <x:f>IF(ISNUMBER(P32),100*MAX(0,MIN(1,('Anchors'!$H$17-P32)/('Anchors'!$H$17-'Anchors'!$G$17))),"")</x:f>
        <x:v>56.16866997612847</x:v>
      </x:c>
      <x:c r="AI32" s="33" t="n">
        <x:f>IF(ISNUMBER(Q32),100*MAX(0,MIN(1,('Anchors'!$H$18-Q32)/('Anchors'!$H$18-'Anchors'!$G$18))),"")</x:f>
        <x:v>70.74740055629185</x:v>
      </x:c>
      <x:c r="AJ32" s="33" t="n">
        <x:f>IF(ISNUMBER(R32),100*MAX(0,MIN(1,('Anchors'!$H$19-R32)/('Anchors'!$H$19-'Anchors'!$G$19))),"")</x:f>
        <x:v>100</x:v>
      </x:c>
      <x:c r="AK32" s="33" t="n">
        <x:f>IF(ISNUMBER(S32),100*MAX(0,MIN(1,('Anchors'!$H$20-S32)/('Anchors'!$H$20-'Anchors'!$G$20))),"")</x:f>
        <x:v>100</x:v>
      </x:c>
      <x:c r="AL32" s="33" t="n">
        <x:f>IF(ISNUMBER(T32),100*MAX(0,MIN(1,('Anchors'!$H$21-T32)/('Anchors'!$H$21-'Anchors'!$G$21))),"")</x:f>
        <x:v>87.0909090909091</x:v>
      </x:c>
      <x:c r="AM32" s="33" t="n">
        <x:f>IF(ISNUMBER(U32),100*MAX(0,MIN(1,('Anchors'!$H$22-U32)/('Anchors'!$H$22-'Anchors'!$G$22))),"")</x:f>
        <x:v>44.29226091355795</x:v>
      </x:c>
      <x:c r="AN32" s="33" t="n">
        <x:f>IF(ISNUMBER(V32),100*MAX(0,MIN(1,('Anchors'!$H$23-V32)/('Anchors'!$H$23-'Anchors'!$G$23))),"")</x:f>
        <x:v>68.6431055263375</x:v>
      </x:c>
      <x:c r="AO32" s="27" t="n">
        <x:f>IF(ISNUMBER(W32),IF('Scoring Setup'!$L$9=1,1-'Scoring Setup'!$B$5*(1-MAX(0,MIN(1,(W32-'Scoring Setup'!$K$9)/(100-'Scoring Setup'!$K$9)))),1),"")</x:f>
        <x:v>0.8894285714285715</x:v>
      </x:c>
      <x:c r="AP32" s="27" t="n">
        <x:f>IF(ISNUMBER(X32),IF('Scoring Setup'!$L$10=1,1-'Scoring Setup'!$B$5*(1-MAX(0,MIN(1,(X32-'Scoring Setup'!$K$10)/(100-'Scoring Setup'!$K$10)))),1),"")</x:f>
        <x:v>0.8586633663366338</x:v>
      </x:c>
      <x:c r="AQ32" s="27" t="n">
        <x:f>IF(ISNUMBER(Y32),IF('Scoring Setup'!$L$11=1,1-'Scoring Setup'!$B$5*(1-MAX(0,MIN(1,(Y32-'Scoring Setup'!$K$11)/(100-'Scoring Setup'!$K$11)))),1),"")</x:f>
        <x:v>0.8243538376675785</x:v>
      </x:c>
      <x:c r="AR32" s="27" t="n">
        <x:f>IF(ISNUMBER(Z32),IF('Scoring Setup'!$L$12=1,1-'Scoring Setup'!$B$5*(1-MAX(0,MIN(1,(Z32-'Scoring Setup'!$K$12)/(100-'Scoring Setup'!$K$12)))),1),"")</x:f>
        <x:v>0.8435239854855493</x:v>
      </x:c>
      <x:c r="AS32" s="27" t="n">
        <x:f>IF(ISNUMBER(AA32),IF('Scoring Setup'!$L$13=1,1-'Scoring Setup'!$B$5*(1-MAX(0,MIN(1,(AA32-'Scoring Setup'!$K$13)/(100-'Scoring Setup'!$K$13)))),1),"")</x:f>
        <x:v>0.9434530096225952</x:v>
      </x:c>
      <x:c r="AT32" s="27" t="n">
        <x:f>IF(ISNUMBER(AB32),IF('Scoring Setup'!$L$14=1,1-'Scoring Setup'!$B$5*(1-MAX(0,MIN(1,(AB32-'Scoring Setup'!$K$14)/(100-'Scoring Setup'!$K$14)))),1),"")</x:f>
        <x:v>0.9865359849765959</x:v>
      </x:c>
      <x:c r="AU32" s="27" t="n">
        <x:f>IF(ISNUMBER(AC32),IF('Scoring Setup'!$L$15=1,1-'Scoring Setup'!$B$5*(1-MAX(0,MIN(1,(AC32-'Scoring Setup'!$K$15)/(100-'Scoring Setup'!$K$15)))),1),"")</x:f>
        <x:v>0.9973314976163078</x:v>
      </x:c>
      <x:c r="AV32" s="27" t="n">
        <x:f>IF(ISNUMBER(AD32),IF('Scoring Setup'!$L$16=1,1-'Scoring Setup'!$B$5*(1-MAX(0,MIN(1,(AD32-'Scoring Setup'!$K$16)/(100-'Scoring Setup'!$K$16)))),1),"")</x:f>
        <x:v>0.9503884814285715</x:v>
      </x:c>
      <x:c r="AW32" s="27" t="n">
        <x:f>IF(ISNUMBER(AE32),IF('Scoring Setup'!$L$17=1,1-'Scoring Setup'!$B$5*(1-MAX(0,MIN(1,(AE32-'Scoring Setup'!$K$17)/(100-'Scoring Setup'!$K$17)))),1),"")</x:f>
        <x:v>0.9555159335</x:v>
      </x:c>
      <x:c r="AX32" s="27" t="n">
        <x:f>IF(ISNUMBER(AF32),IF('Scoring Setup'!$L$18=1,1-'Scoring Setup'!$B$5*(1-MAX(0,MIN(1,(AF32-'Scoring Setup'!$K$18)/(100-'Scoring Setup'!$K$18)))),1),"")</x:f>
        <x:v>1</x:v>
      </x:c>
      <x:c r="AY32" s="27" t="n">
        <x:f>IF(ISNUMBER(AG32),IF('Scoring Setup'!$L$19=1,1-'Scoring Setup'!$B$5*(1-MAX(0,MIN(1,(AG32-'Scoring Setup'!$K$19)/(100-'Scoring Setup'!$K$19)))),1),"")</x:f>
        <x:v>0.9673555555555555</x:v>
      </x:c>
      <x:c r="AZ32" s="27" t="n">
        <x:f>IF(ISNUMBER(AH32),IF('Scoring Setup'!$L$20=1,1-'Scoring Setup'!$B$5*(1-MAX(0,MIN(1,(AH32-'Scoring Setup'!$K$20)/(100-'Scoring Setup'!$K$20)))),1),"")</x:f>
        <x:v>0.912337339952257</x:v>
      </x:c>
      <x:c r="BA32" s="27" t="n">
        <x:f>IF(ISNUMBER(AI32),IF('Scoring Setup'!$L$21=1,1-'Scoring Setup'!$B$5*(1-MAX(0,MIN(1,(AI32-'Scoring Setup'!$K$21)/(100-'Scoring Setup'!$K$21)))),1),"")</x:f>
        <x:v>0.9414948011125837</x:v>
      </x:c>
      <x:c r="BB32" s="27" t="n">
        <x:f>IF(ISNUMBER(AJ32),IF('Scoring Setup'!$L$22=1,1-'Scoring Setup'!$B$5*(1-MAX(0,MIN(1,(AJ32-'Scoring Setup'!$K$22)/(100-'Scoring Setup'!$K$22)))),1),"")</x:f>
        <x:v>1</x:v>
      </x:c>
      <x:c r="BC32" s="27" t="n">
        <x:f>IF(ISNUMBER(AK32),IF('Scoring Setup'!$L$23=1,1-'Scoring Setup'!$B$5*(1-MAX(0,MIN(1,(AK32-'Scoring Setup'!$K$23)/(100-'Scoring Setup'!$K$23)))),1),"")</x:f>
        <x:v>1</x:v>
      </x:c>
      <x:c r="BD32" s="27" t="n">
        <x:f>IF(ISNUMBER(AL32),IF('Scoring Setup'!$L$24=1,1-'Scoring Setup'!$B$5*(1-MAX(0,MIN(1,(AL32-'Scoring Setup'!$K$24)/(100-'Scoring Setup'!$K$24)))),1),"")</x:f>
        <x:v>0.9741818181818181</x:v>
      </x:c>
      <x:c r="BE32" s="27" t="n">
        <x:f>IF(ISNUMBER(AM32),IF('Scoring Setup'!$L$25=1,1-'Scoring Setup'!$B$5*(1-MAX(0,MIN(1,(AM32-'Scoring Setup'!$K$25)/(100-'Scoring Setup'!$K$25)))),1),"")</x:f>
        <x:v>0.8885845218271159</x:v>
      </x:c>
      <x:c r="BF32" s="27" t="n">
        <x:f>IF(ISNUMBER(AN32),IF('Scoring Setup'!$L$26=1,1-'Scoring Setup'!$B$5*(1-MAX(0,MIN(1,(AN32-'Scoring Setup'!$K$26)/(100-'Scoring Setup'!$K$26)))),1),"")</x:f>
        <x:v>0.937286211052675</x:v>
      </x:c>
      <x:c r="BG32" s="34" t="n">
        <x:f>IF(COUNT(W32,X32)=2,AVERAGE(W32,X32),"")</x:f>
        <x:v>37.02298444130129</x:v>
      </x:c>
      <x:c r="BH32" s="34" t="n">
        <x:f>IF(COUNT(Y32,Z32)=2,AVERAGE(Y32,Z32),"")</x:f>
        <x:v>16.969455788281955</x:v>
      </x:c>
      <x:c r="BI32" s="34" t="n">
        <x:f>IF(COUNT(AA32,AB32,AC32)=3,AVERAGE(AA32,AB32,AC32),"")</x:f>
        <x:v>87.88674870258313</x:v>
      </x:c>
      <x:c r="BJ32" s="34" t="n">
        <x:f>IF(COUNT(AD32,AE32)=2,AVERAGE(AD32,AE32),"")</x:f>
        <x:v>76.47610373214286</x:v>
      </x:c>
      <x:c r="BK32" s="34" t="n">
        <x:f>IF(COUNT(AF32,AG32)=2,AVERAGE(AF32,AG32),"")</x:f>
        <x:v>91.83888888888889</x:v>
      </x:c>
      <x:c r="BL32" s="34" t="n">
        <x:f>IF(COUNT(AH32,AI32)=2,AVERAGE(AH32,AI32),"")</x:f>
        <x:v>63.45803526621016</x:v>
      </x:c>
      <x:c r="BM32" s="34" t="n">
        <x:f>IF(COUNT(AJ32,AK32)=2,AVERAGE(AJ32,AK32),"")</x:f>
        <x:v>100</x:v>
      </x:c>
      <x:c r="BN32" s="34" t="n">
        <x:f>IF(COUNT(AL32,AM32,AN32)=3,AVERAGE(AL32,AM32,AN32),"")</x:f>
        <x:v>66.67542517693484</x:v>
      </x:c>
      <x:c r="BO32" s="35" t="n">
        <x:f>IF(AND(COUNT(BG32:BN32)=8,ABS('Scoring Setup'!$C$17-1)&lt;0.000001),BG32*'Scoring Setup'!$C$9+BH32*'Scoring Setup'!$C$10+BI32*'Scoring Setup'!$C$11+BJ32*'Scoring Setup'!$C$12+BK32*'Scoring Setup'!$C$13+BL32*'Scoring Setup'!$C$14+BM32*'Scoring Setup'!$C$15+BN32*'Scoring Setup'!$C$16,"")</x:f>
        <x:v>60.89189305053897</x:v>
      </x:c>
      <x:c r="BP32" s="36" t="n">
        <x:f>IF(COUNT(AO32:BF32)=18,MIN(AO32:BF32),"")</x:f>
        <x:v>0.8243538376675785</x:v>
      </x:c>
      <x:c r="BQ32" s="35" t="n">
        <x:f>IF(AND(ISNUMBER(BO32),ISNUMBER(BP32)),BO32*BP32,"")</x:f>
        <x:v>50.19646571905555</x:v>
      </x:c>
      <x:c r="BR32" s="17" t="str">
        <x:f>IF(COUNT(AO32:BF32)=18,INDEX('Scoring Setup'!$F$9:$F$26,MATCH(MIN(AO32:BF32),AO32:BF32,0),1),"")</x:f>
        <x:v>基线水压力</x:v>
      </x:c>
    </x:row>
    <x:row r="33">
      <x:c r="A33" s="28" t="str">
        <x:v>13059</x:v>
      </x:c>
      <x:c r="B33" s="28" t="str">
        <x:v>Clarke County</x:v>
      </x:c>
      <x:c r="C33" s="28" t="str">
        <x:v>GA</x:v>
      </x:c>
      <x:c r="D33" s="31" t="n">
        <x:v>308.985565</x:v>
      </x:c>
      <x:c r="E33" s="32" t="n">
        <x:v>0.509</x:v>
      </x:c>
      <x:c r="F33" s="32" t="n">
        <x:v>0.25247524752475203</x:v>
      </x:c>
      <x:c r="G33" s="32" t="n">
        <x:v>2.135617565802507</x:v>
      </x:c>
      <x:c r="H33" s="32" t="n">
        <x:v>1.9427972855223674</x:v>
      </x:c>
      <x:c r="I33" s="32" t="n">
        <x:v>0.6556309762208178</x:v>
      </x:c>
      <x:c r="J33" s="32" t="n">
        <x:v>0.031471790152983604</x:v>
      </x:c>
      <x:c r="K33" s="32" t="n">
        <x:v>0.03538125001806051</x:v>
      </x:c>
      <x:c r="L33" s="32" t="n">
        <x:v>0.42881644</x:v>
      </x:c>
      <x:c r="M33" s="32" t="n">
        <x:v>0.428043881</x:v>
      </x:c>
      <x:c r="N33" s="32" t="n">
        <x:v>65916</x:v>
      </x:c>
      <x:c r="O33" s="32" t="n">
        <x:v>0.7502</x:v>
      </x:c>
      <x:c r="P33" s="32" t="n">
        <x:v>1682.6774454752604</x:v>
      </x:c>
      <x:c r="Q33" s="32" t="n">
        <x:v>44.86087659200032</x:v>
      </x:c>
      <x:c r="R33" s="32" t="n">
        <x:v>32.65175172117717</x:v>
      </x:c>
      <x:c r="S33" s="32" t="n">
        <x:v>0.33839310120131316</x:v>
      </x:c>
      <x:c r="T33" s="32" t="n">
        <x:v>72.1</x:v>
      </x:c>
      <x:c r="U33" s="32" t="n">
        <x:v>211.4154781728841</x:v>
      </x:c>
      <x:c r="V33" s="32" t="n">
        <x:v>325.42757789465</x:v>
      </x:c>
      <x:c r="W33" s="33" t="n">
        <x:f>IF(ISNUMBER(E33),100*MAX(0,MIN(1,('Anchors'!$H$6-E33)/('Anchors'!$H$6-'Anchors'!$G$6))),"")</x:f>
        <x:v>55.85714285714286</x:v>
      </x:c>
      <x:c r="X33" s="33" t="n">
        <x:f>IF(ISNUMBER(F33),100*MAX(0,MIN(1,('Anchors'!$H$7-F33)/('Anchors'!$H$7-'Anchors'!$G$7))),"")</x:f>
        <x:v>78.21782178217828</x:v>
      </x:c>
      <x:c r="Y33" s="33" t="n">
        <x:f>IF(ISNUMBER(G33),100*MAX(0,MIN(1,('Anchors'!$H$8-G33)/('Anchors'!$H$8-'Anchors'!$G$8))),"")</x:f>
        <x:v>62.14608113991643</x:v>
      </x:c>
      <x:c r="Z33" s="33" t="n">
        <x:f>IF(ISNUMBER(H33),100*MAX(0,MIN(1,('Anchors'!$H$9-H33)/('Anchors'!$H$9-'Anchors'!$G$9))),"")</x:f>
        <x:v>68.5734238159211</x:v>
      </x:c>
      <x:c r="AA33" s="33" t="n">
        <x:f>IF(ISNUMBER(I33),100*MAX(0,MIN(1,(I33-'Anchors'!$H$10)/('Anchors'!$G$10-'Anchors'!$H$10))),"")</x:f>
        <x:v>55.565887153536686</x:v>
      </x:c>
      <x:c r="AB33" s="33" t="n">
        <x:f>IF(ISNUMBER(J33),100*MAX(0,MIN(1,('Anchors'!$H$11-J33)/('Anchors'!$H$11-'Anchors'!$G$11))),"")</x:f>
        <x:v>87.41128393880656</x:v>
      </x:c>
      <x:c r="AC33" s="33" t="n">
        <x:f>IF(ISNUMBER(K33),100*MAX(0,MIN(1,('Anchors'!$H$12-K33)/('Anchors'!$H$12-'Anchors'!$G$12))),"")</x:f>
        <x:v>91.15468749548486</x:v>
      </x:c>
      <x:c r="AD33" s="33" t="n">
        <x:f>IF(ISNUMBER(L33),100*MAX(0,MIN(1,(L33-'Anchors'!$H$13)/('Anchors'!$G$13-'Anchors'!$H$13))),"")</x:f>
        <x:v>32.68806285714286</x:v>
      </x:c>
      <x:c r="AE33" s="33" t="n">
        <x:f>IF(ISNUMBER(M33),100*MAX(0,MIN(1,(M33-'Anchors'!$H$14)/('Anchors'!$G$14-'Anchors'!$H$14))),"")</x:f>
        <x:v>41.005485125</x:v>
      </x:c>
      <x:c r="AF33" s="33" t="n">
        <x:f>IF(ISNUMBER(N33),100*MAX(0,MIN(1,(LN(1+N33)-LN(1+'Anchors'!$H$15))/(LN(1+'Anchors'!$G$15)-LN(1+'Anchors'!$H$15)))),"")</x:f>
        <x:v>80.9532880174357</x:v>
      </x:c>
      <x:c r="AG33" s="33" t="n">
        <x:f>IF(ISNUMBER(O33),100*MAX(0,MIN(1,('Anchors'!$H$16-O33)/('Anchors'!$H$16-'Anchors'!$G$16))),"")</x:f>
        <x:v>22.2</x:v>
      </x:c>
      <x:c r="AH33" s="33" t="n">
        <x:f>IF(ISNUMBER(P33),100*MAX(0,MIN(1,('Anchors'!$H$17-P33)/('Anchors'!$H$17-'Anchors'!$G$17))),"")</x:f>
        <x:v>34.488170301649305</x:v>
      </x:c>
      <x:c r="AI33" s="33" t="n">
        <x:f>IF(ISNUMBER(Q33),100*MAX(0,MIN(1,('Anchors'!$H$18-Q33)/('Anchors'!$H$18-'Anchors'!$G$18))),"")</x:f>
        <x:v>43.05589058285669</x:v>
      </x:c>
      <x:c r="AJ33" s="33" t="n">
        <x:f>IF(ISNUMBER(R33),100*MAX(0,MIN(1,('Anchors'!$H$19-R33)/('Anchors'!$H$19-'Anchors'!$G$19))),"")</x:f>
        <x:v>38.55166284182851</x:v>
      </x:c>
      <x:c r="AK33" s="33" t="n">
        <x:f>IF(ISNUMBER(S33),100*MAX(0,MIN(1,('Anchors'!$H$20-S33)/('Anchors'!$H$20-'Anchors'!$G$20))),"")</x:f>
        <x:v>100</x:v>
      </x:c>
      <x:c r="AL33" s="33" t="n">
        <x:f>IF(ISNUMBER(T33),100*MAX(0,MIN(1,('Anchors'!$H$21-T33)/('Anchors'!$H$21-'Anchors'!$G$21))),"")</x:f>
        <x:v>87.0909090909091</x:v>
      </x:c>
      <x:c r="AM33" s="33" t="n">
        <x:f>IF(ISNUMBER(U33),100*MAX(0,MIN(1,('Anchors'!$H$22-U33)/('Anchors'!$H$22-'Anchors'!$G$22))),"")</x:f>
        <x:v>44.29226091355795</x:v>
      </x:c>
      <x:c r="AN33" s="33" t="n">
        <x:f>IF(ISNUMBER(V33),100*MAX(0,MIN(1,('Anchors'!$H$23-V33)/('Anchors'!$H$23-'Anchors'!$G$23))),"")</x:f>
        <x:v>68.6431055263375</x:v>
      </x:c>
      <x:c r="AO33" s="27" t="n">
        <x:f>IF(ISNUMBER(W33),IF('Scoring Setup'!$L$9=1,1-'Scoring Setup'!$B$5*(1-MAX(0,MIN(1,(W33-'Scoring Setup'!$K$9)/(100-'Scoring Setup'!$K$9)))),1),"")</x:f>
        <x:v>0.9117142857142857</x:v>
      </x:c>
      <x:c r="AP33" s="27" t="n">
        <x:f>IF(ISNUMBER(X33),IF('Scoring Setup'!$L$10=1,1-'Scoring Setup'!$B$5*(1-MAX(0,MIN(1,(X33-'Scoring Setup'!$K$10)/(100-'Scoring Setup'!$K$10)))),1),"")</x:f>
        <x:v>0.9564356435643565</x:v>
      </x:c>
      <x:c r="AQ33" s="27" t="n">
        <x:f>IF(ISNUMBER(Y33),IF('Scoring Setup'!$L$11=1,1-'Scoring Setup'!$B$5*(1-MAX(0,MIN(1,(Y33-'Scoring Setup'!$K$11)/(100-'Scoring Setup'!$K$11)))),1),"")</x:f>
        <x:v>0.9242921622798328</x:v>
      </x:c>
      <x:c r="AR33" s="27" t="n">
        <x:f>IF(ISNUMBER(Z33),IF('Scoring Setup'!$L$12=1,1-'Scoring Setup'!$B$5*(1-MAX(0,MIN(1,(Z33-'Scoring Setup'!$K$12)/(100-'Scoring Setup'!$K$12)))),1),"")</x:f>
        <x:v>0.9371468476318422</x:v>
      </x:c>
      <x:c r="AS33" s="27" t="n">
        <x:f>IF(ISNUMBER(AA33),IF('Scoring Setup'!$L$13=1,1-'Scoring Setup'!$B$5*(1-MAX(0,MIN(1,(AA33-'Scoring Setup'!$K$13)/(100-'Scoring Setup'!$K$13)))),1),"")</x:f>
        <x:v>0.9111317743070734</x:v>
      </x:c>
      <x:c r="AT33" s="27" t="n">
        <x:f>IF(ISNUMBER(AB33),IF('Scoring Setup'!$L$14=1,1-'Scoring Setup'!$B$5*(1-MAX(0,MIN(1,(AB33-'Scoring Setup'!$K$14)/(100-'Scoring Setup'!$K$14)))),1),"")</x:f>
        <x:v>0.9748225678776131</x:v>
      </x:c>
      <x:c r="AU33" s="27" t="n">
        <x:f>IF(ISNUMBER(AC33),IF('Scoring Setup'!$L$15=1,1-'Scoring Setup'!$B$5*(1-MAX(0,MIN(1,(AC33-'Scoring Setup'!$K$15)/(100-'Scoring Setup'!$K$15)))),1),"")</x:f>
        <x:v>0.9823093749909697</x:v>
      </x:c>
      <x:c r="AV33" s="27" t="n">
        <x:f>IF(ISNUMBER(AD33),IF('Scoring Setup'!$L$16=1,1-'Scoring Setup'!$B$5*(1-MAX(0,MIN(1,(AD33-'Scoring Setup'!$K$16)/(100-'Scoring Setup'!$K$16)))),1),"")</x:f>
        <x:v>0.8653761257142857</x:v>
      </x:c>
      <x:c r="AW33" s="27" t="n">
        <x:f>IF(ISNUMBER(AE33),IF('Scoring Setup'!$L$17=1,1-'Scoring Setup'!$B$5*(1-MAX(0,MIN(1,(AE33-'Scoring Setup'!$K$17)/(100-'Scoring Setup'!$K$17)))),1),"")</x:f>
        <x:v>0.88201097025</x:v>
      </x:c>
      <x:c r="AX33" s="27" t="n">
        <x:f>IF(ISNUMBER(AF33),IF('Scoring Setup'!$L$18=1,1-'Scoring Setup'!$B$5*(1-MAX(0,MIN(1,(AF33-'Scoring Setup'!$K$18)/(100-'Scoring Setup'!$K$18)))),1),"")</x:f>
        <x:v>0.9619065760348714</x:v>
      </x:c>
      <x:c r="AY33" s="27" t="n">
        <x:f>IF(ISNUMBER(AG33),IF('Scoring Setup'!$L$19=1,1-'Scoring Setup'!$B$5*(1-MAX(0,MIN(1,(AG33-'Scoring Setup'!$K$19)/(100-'Scoring Setup'!$K$19)))),1),"")</x:f>
        <x:v>0.8444</x:v>
      </x:c>
      <x:c r="AZ33" s="27" t="n">
        <x:f>IF(ISNUMBER(AH33),IF('Scoring Setup'!$L$20=1,1-'Scoring Setup'!$B$5*(1-MAX(0,MIN(1,(AH33-'Scoring Setup'!$K$20)/(100-'Scoring Setup'!$K$20)))),1),"")</x:f>
        <x:v>0.8689763406032986</x:v>
      </x:c>
      <x:c r="BA33" s="27" t="n">
        <x:f>IF(ISNUMBER(AI33),IF('Scoring Setup'!$L$21=1,1-'Scoring Setup'!$B$5*(1-MAX(0,MIN(1,(AI33-'Scoring Setup'!$K$21)/(100-'Scoring Setup'!$K$21)))),1),"")</x:f>
        <x:v>0.8861117811657133</x:v>
      </x:c>
      <x:c r="BB33" s="27" t="n">
        <x:f>IF(ISNUMBER(AJ33),IF('Scoring Setup'!$L$22=1,1-'Scoring Setup'!$B$5*(1-MAX(0,MIN(1,(AJ33-'Scoring Setup'!$K$22)/(100-'Scoring Setup'!$K$22)))),1),"")</x:f>
        <x:v>0.877103325683657</x:v>
      </x:c>
      <x:c r="BC33" s="27" t="n">
        <x:f>IF(ISNUMBER(AK33),IF('Scoring Setup'!$L$23=1,1-'Scoring Setup'!$B$5*(1-MAX(0,MIN(1,(AK33-'Scoring Setup'!$K$23)/(100-'Scoring Setup'!$K$23)))),1),"")</x:f>
        <x:v>1</x:v>
      </x:c>
      <x:c r="BD33" s="27" t="n">
        <x:f>IF(ISNUMBER(AL33),IF('Scoring Setup'!$L$24=1,1-'Scoring Setup'!$B$5*(1-MAX(0,MIN(1,(AL33-'Scoring Setup'!$K$24)/(100-'Scoring Setup'!$K$24)))),1),"")</x:f>
        <x:v>0.9741818181818181</x:v>
      </x:c>
      <x:c r="BE33" s="27" t="n">
        <x:f>IF(ISNUMBER(AM33),IF('Scoring Setup'!$L$25=1,1-'Scoring Setup'!$B$5*(1-MAX(0,MIN(1,(AM33-'Scoring Setup'!$K$25)/(100-'Scoring Setup'!$K$25)))),1),"")</x:f>
        <x:v>0.8885845218271159</x:v>
      </x:c>
      <x:c r="BF33" s="27" t="n">
        <x:f>IF(ISNUMBER(AN33),IF('Scoring Setup'!$L$26=1,1-'Scoring Setup'!$B$5*(1-MAX(0,MIN(1,(AN33-'Scoring Setup'!$K$26)/(100-'Scoring Setup'!$K$26)))),1),"")</x:f>
        <x:v>0.937286211052675</x:v>
      </x:c>
      <x:c r="BG33" s="34" t="n">
        <x:f>IF(COUNT(W33,X33)=2,AVERAGE(W33,X33),"")</x:f>
        <x:v>67.03748231966057</x:v>
      </x:c>
      <x:c r="BH33" s="34" t="n">
        <x:f>IF(COUNT(Y33,Z33)=2,AVERAGE(Y33,Z33),"")</x:f>
        <x:v>65.35975247791876</x:v>
      </x:c>
      <x:c r="BI33" s="34" t="n">
        <x:f>IF(COUNT(AA33,AB33,AC33)=3,AVERAGE(AA33,AB33,AC33),"")</x:f>
        <x:v>78.04395286260937</x:v>
      </x:c>
      <x:c r="BJ33" s="34" t="n">
        <x:f>IF(COUNT(AD33,AE33)=2,AVERAGE(AD33,AE33),"")</x:f>
        <x:v>36.84677399107143</x:v>
      </x:c>
      <x:c r="BK33" s="34" t="n">
        <x:f>IF(COUNT(AF33,AG33)=2,AVERAGE(AF33,AG33),"")</x:f>
        <x:v>51.57664400871785</x:v>
      </x:c>
      <x:c r="BL33" s="34" t="n">
        <x:f>IF(COUNT(AH33,AI33)=2,AVERAGE(AH33,AI33),"")</x:f>
        <x:v>38.772030442253</x:v>
      </x:c>
      <x:c r="BM33" s="34" t="n">
        <x:f>IF(COUNT(AJ33,AK33)=2,AVERAGE(AJ33,AK33),"")</x:f>
        <x:v>69.27583142091426</x:v>
      </x:c>
      <x:c r="BN33" s="34" t="n">
        <x:f>IF(COUNT(AL33,AM33,AN33)=3,AVERAGE(AL33,AM33,AN33),"")</x:f>
        <x:v>66.67542517693484</x:v>
      </x:c>
      <x:c r="BO33" s="35" t="n">
        <x:f>IF(AND(COUNT(BG33:BN33)=8,ABS('Scoring Setup'!$C$17-1)&lt;0.000001),BG33*'Scoring Setup'!$C$9+BH33*'Scoring Setup'!$C$10+BI33*'Scoring Setup'!$C$11+BJ33*'Scoring Setup'!$C$12+BK33*'Scoring Setup'!$C$13+BL33*'Scoring Setup'!$C$14+BM33*'Scoring Setup'!$C$15+BN33*'Scoring Setup'!$C$16,"")</x:f>
        <x:v>61.827456460028486</x:v>
      </x:c>
      <x:c r="BP33" s="36" t="n">
        <x:f>IF(COUNT(AO33:BF33)=18,MIN(AO33:BF33),"")</x:f>
        <x:v>0.8444</x:v>
      </x:c>
      <x:c r="BQ33" s="35" t="n">
        <x:f>IF(AND(ISNUMBER(BO33),ISNUMBER(BP33)),BO33*BP33,"")</x:f>
        <x:v>52.20710423484805</x:v>
      </x:c>
      <x:c r="BR33" s="17" t="str">
        <x:f>IF(COUNT(AO33:BF33)=18,INDEX('Scoring Setup'!$F$9:$F$26,MATCH(MIN(AO33:BF33),AO33:BF33,0),1),"")</x:f>
        <x:v>社会脆弱性百分位</x:v>
      </x:c>
    </x:row>
    <x:row r="34">
      <x:c r="A34" s="28" t="str">
        <x:v>13061</x:v>
      </x:c>
      <x:c r="B34" s="28" t="str">
        <x:v>Clay County</x:v>
      </x:c>
      <x:c r="C34" s="28" t="str">
        <x:v>GA</x:v>
      </x:c>
      <x:c r="D34" s="31" t="n">
        <x:v>506.093893</x:v>
      </x:c>
      <x:c r="E34" s="32" t="n">
        <x:v>0.527</x:v>
      </x:c>
      <x:c r="F34" s="32" t="n">
        <x:v>0.544554455445545</x:v>
      </x:c>
      <x:c r="G34" s="32" t="n">
        <x:v>0.10867839886895356</x:v>
      </x:c>
      <x:c r="H34" s="32" t="n">
        <x:v>0.10610634496106934</x:v>
      </x:c>
      <x:c r="I34" s="32" t="n">
        <x:v>0.9553585388387463</x:v>
      </x:c>
      <x:c r="J34" s="32" t="n">
        <x:v>0.011207479986023674</x:v>
      </x:c>
      <x:c r="K34" s="32" t="n">
        <x:v>0.08527290171274252</x:v>
      </x:c>
      <x:c r="L34" s="32" t="n">
        <x:v>0.72976559</x:v>
      </x:c>
      <x:c r="M34" s="32" t="n">
        <x:v>0.72976559</x:v>
      </x:c>
      <x:c r="N34" s="32" t="n">
        <x:v>929</x:v>
      </x:c>
      <x:c r="O34" s="32" t="n">
        <x:v>0.9061</x:v>
      </x:c>
      <x:c r="P34" s="32" t="n">
        <x:v>2188.622843424479</x:v>
      </x:c>
      <x:c r="Q34" s="32" t="n">
        <x:v>67.52021764119466</x:v>
      </x:c>
      <x:c r="R34" s="32" t="n">
        <x:v>87.36823101044189</x:v>
      </x:c>
      <x:c r="S34" s="32" t="n">
        <x:v>19.142248111925653</x:v>
      </x:c>
      <x:c r="T34" s="32" t="n">
        <x:v>72.1</x:v>
      </x:c>
      <x:c r="U34" s="32" t="n">
        <x:v>211.4154781728841</x:v>
      </x:c>
      <x:c r="V34" s="32" t="n">
        <x:v>325.42757789465</x:v>
      </x:c>
      <x:c r="W34" s="33" t="n">
        <x:f>IF(ISNUMBER(E34),100*MAX(0,MIN(1,('Anchors'!$H$6-E34)/('Anchors'!$H$6-'Anchors'!$G$6))),"")</x:f>
        <x:v>53.28571428571429</x:v>
      </x:c>
      <x:c r="X34" s="33" t="n">
        <x:f>IF(ISNUMBER(F34),100*MAX(0,MIN(1,('Anchors'!$H$7-F34)/('Anchors'!$H$7-'Anchors'!$G$7))),"")</x:f>
        <x:v>36.492220650636426</x:v>
      </x:c>
      <x:c r="Y34" s="33" t="n">
        <x:f>IF(ISNUMBER(G34),100*MAX(0,MIN(1,('Anchors'!$H$8-G34)/('Anchors'!$H$8-'Anchors'!$G$8))),"")</x:f>
        <x:v>100</x:v>
      </x:c>
      <x:c r="Z34" s="33" t="n">
        <x:f>IF(ISNUMBER(H34),100*MAX(0,MIN(1,('Anchors'!$H$9-H34)/('Anchors'!$H$9-'Anchors'!$G$9))),"")</x:f>
        <x:v>100</x:v>
      </x:c>
      <x:c r="AA34" s="33" t="n">
        <x:f>IF(ISNUMBER(I34),100*MAX(0,MIN(1,(I34-'Anchors'!$H$10)/('Anchors'!$G$10-'Anchors'!$H$10))),"")</x:f>
        <x:v>96.62445737517073</x:v>
      </x:c>
      <x:c r="AB34" s="33" t="n">
        <x:f>IF(ISNUMBER(J34),100*MAX(0,MIN(1,('Anchors'!$H$11-J34)/('Anchors'!$H$11-'Anchors'!$G$11))),"")</x:f>
        <x:v>95.51700800559053</x:v>
      </x:c>
      <x:c r="AC34" s="33" t="n">
        <x:f>IF(ISNUMBER(K34),100*MAX(0,MIN(1,('Anchors'!$H$12-K34)/('Anchors'!$H$12-'Anchors'!$G$12))),"")</x:f>
        <x:v>78.68177457181437</x:v>
      </x:c>
      <x:c r="AD34" s="33" t="n">
        <x:f>IF(ISNUMBER(L34),100*MAX(0,MIN(1,(L34-'Anchors'!$H$13)/('Anchors'!$G$13-'Anchors'!$H$13))),"")</x:f>
        <x:v>75.68079857142858</x:v>
      </x:c>
      <x:c r="AE34" s="33" t="n">
        <x:f>IF(ISNUMBER(M34),100*MAX(0,MIN(1,(M34-'Anchors'!$H$14)/('Anchors'!$G$14-'Anchors'!$H$14))),"")</x:f>
        <x:v>78.72069875</x:v>
      </x:c>
      <x:c r="AF34" s="33" t="n">
        <x:f>IF(ISNUMBER(N34),100*MAX(0,MIN(1,(LN(1+N34)-LN(1+'Anchors'!$H$15))/(LN(1+'Anchors'!$G$15)-LN(1+'Anchors'!$H$15)))),"")</x:f>
        <x:v>0</x:v>
      </x:c>
      <x:c r="AG34" s="33" t="n">
        <x:f>IF(ISNUMBER(O34),100*MAX(0,MIN(1,('Anchors'!$H$16-O34)/('Anchors'!$H$16-'Anchors'!$G$16))),"")</x:f>
        <x:v>4.877777777777771</x:v>
      </x:c>
      <x:c r="AH34" s="33" t="n">
        <x:f>IF(ISNUMBER(P34),100*MAX(0,MIN(1,('Anchors'!$H$17-P34)/('Anchors'!$H$17-'Anchors'!$G$17))),"")</x:f>
        <x:v>0.7584771050347323</x:v>
      </x:c>
      <x:c r="AI34" s="33" t="n">
        <x:f>IF(ISNUMBER(Q34),100*MAX(0,MIN(1,('Anchors'!$H$18-Q34)/('Anchors'!$H$18-'Anchors'!$G$18))),"")</x:f>
        <x:v>10.68540336972191</x:v>
      </x:c>
      <x:c r="AJ34" s="33" t="n">
        <x:f>IF(ISNUMBER(R34),100*MAX(0,MIN(1,('Anchors'!$H$19-R34)/('Anchors'!$H$19-'Anchors'!$G$19))),"")</x:f>
        <x:v>0</x:v>
      </x:c>
      <x:c r="AK34" s="33" t="n">
        <x:f>IF(ISNUMBER(S34),100*MAX(0,MIN(1,('Anchors'!$H$20-S34)/('Anchors'!$H$20-'Anchors'!$G$20))),"")</x:f>
        <x:v>4.51448362144393</x:v>
      </x:c>
      <x:c r="AL34" s="33" t="n">
        <x:f>IF(ISNUMBER(T34),100*MAX(0,MIN(1,('Anchors'!$H$21-T34)/('Anchors'!$H$21-'Anchors'!$G$21))),"")</x:f>
        <x:v>87.0909090909091</x:v>
      </x:c>
      <x:c r="AM34" s="33" t="n">
        <x:f>IF(ISNUMBER(U34),100*MAX(0,MIN(1,('Anchors'!$H$22-U34)/('Anchors'!$H$22-'Anchors'!$G$22))),"")</x:f>
        <x:v>44.29226091355795</x:v>
      </x:c>
      <x:c r="AN34" s="33" t="n">
        <x:f>IF(ISNUMBER(V34),100*MAX(0,MIN(1,('Anchors'!$H$23-V34)/('Anchors'!$H$23-'Anchors'!$G$23))),"")</x:f>
        <x:v>68.6431055263375</x:v>
      </x:c>
      <x:c r="AO34" s="27" t="n">
        <x:f>IF(ISNUMBER(W34),IF('Scoring Setup'!$L$9=1,1-'Scoring Setup'!$B$5*(1-MAX(0,MIN(1,(W34-'Scoring Setup'!$K$9)/(100-'Scoring Setup'!$K$9)))),1),"")</x:f>
        <x:v>0.9065714285714286</x:v>
      </x:c>
      <x:c r="AP34" s="27" t="n">
        <x:f>IF(ISNUMBER(X34),IF('Scoring Setup'!$L$10=1,1-'Scoring Setup'!$B$5*(1-MAX(0,MIN(1,(X34-'Scoring Setup'!$K$10)/(100-'Scoring Setup'!$K$10)))),1),"")</x:f>
        <x:v>0.8729844413012728</x:v>
      </x:c>
      <x:c r="AQ34" s="27" t="n">
        <x:f>IF(ISNUMBER(Y34),IF('Scoring Setup'!$L$11=1,1-'Scoring Setup'!$B$5*(1-MAX(0,MIN(1,(Y34-'Scoring Setup'!$K$11)/(100-'Scoring Setup'!$K$11)))),1),"")</x:f>
        <x:v>1</x:v>
      </x:c>
      <x:c r="AR34" s="27" t="n">
        <x:f>IF(ISNUMBER(Z34),IF('Scoring Setup'!$L$12=1,1-'Scoring Setup'!$B$5*(1-MAX(0,MIN(1,(Z34-'Scoring Setup'!$K$12)/(100-'Scoring Setup'!$K$12)))),1),"")</x:f>
        <x:v>1</x:v>
      </x:c>
      <x:c r="AS34" s="27" t="n">
        <x:f>IF(ISNUMBER(AA34),IF('Scoring Setup'!$L$13=1,1-'Scoring Setup'!$B$5*(1-MAX(0,MIN(1,(AA34-'Scoring Setup'!$K$13)/(100-'Scoring Setup'!$K$13)))),1),"")</x:f>
        <x:v>0.9932489147503415</x:v>
      </x:c>
      <x:c r="AT34" s="27" t="n">
        <x:f>IF(ISNUMBER(AB34),IF('Scoring Setup'!$L$14=1,1-'Scoring Setup'!$B$5*(1-MAX(0,MIN(1,(AB34-'Scoring Setup'!$K$14)/(100-'Scoring Setup'!$K$14)))),1),"")</x:f>
        <x:v>0.991034016011181</x:v>
      </x:c>
      <x:c r="AU34" s="27" t="n">
        <x:f>IF(ISNUMBER(AC34),IF('Scoring Setup'!$L$15=1,1-'Scoring Setup'!$B$5*(1-MAX(0,MIN(1,(AC34-'Scoring Setup'!$K$15)/(100-'Scoring Setup'!$K$15)))),1),"")</x:f>
        <x:v>0.9573635491436288</x:v>
      </x:c>
      <x:c r="AV34" s="27" t="n">
        <x:f>IF(ISNUMBER(AD34),IF('Scoring Setup'!$L$16=1,1-'Scoring Setup'!$B$5*(1-MAX(0,MIN(1,(AD34-'Scoring Setup'!$K$16)/(100-'Scoring Setup'!$K$16)))),1),"")</x:f>
        <x:v>0.9513615971428572</x:v>
      </x:c>
      <x:c r="AW34" s="27" t="n">
        <x:f>IF(ISNUMBER(AE34),IF('Scoring Setup'!$L$17=1,1-'Scoring Setup'!$B$5*(1-MAX(0,MIN(1,(AE34-'Scoring Setup'!$K$17)/(100-'Scoring Setup'!$K$17)))),1),"")</x:f>
        <x:v>0.9574413975</x:v>
      </x:c>
      <x:c r="AX34" s="27" t="n">
        <x:f>IF(ISNUMBER(AF34),IF('Scoring Setup'!$L$18=1,1-'Scoring Setup'!$B$5*(1-MAX(0,MIN(1,(AF34-'Scoring Setup'!$K$18)/(100-'Scoring Setup'!$K$18)))),1),"")</x:f>
        <x:v>0.8</x:v>
      </x:c>
      <x:c r="AY34" s="27" t="n">
        <x:f>IF(ISNUMBER(AG34),IF('Scoring Setup'!$L$19=1,1-'Scoring Setup'!$B$5*(1-MAX(0,MIN(1,(AG34-'Scoring Setup'!$K$19)/(100-'Scoring Setup'!$K$19)))),1),"")</x:f>
        <x:v>0.8097555555555556</x:v>
      </x:c>
      <x:c r="AZ34" s="27" t="n">
        <x:f>IF(ISNUMBER(AH34),IF('Scoring Setup'!$L$20=1,1-'Scoring Setup'!$B$5*(1-MAX(0,MIN(1,(AH34-'Scoring Setup'!$K$20)/(100-'Scoring Setup'!$K$20)))),1),"")</x:f>
        <x:v>0.8015169542100694</x:v>
      </x:c>
      <x:c r="BA34" s="27" t="n">
        <x:f>IF(ISNUMBER(AI34),IF('Scoring Setup'!$L$21=1,1-'Scoring Setup'!$B$5*(1-MAX(0,MIN(1,(AI34-'Scoring Setup'!$K$21)/(100-'Scoring Setup'!$K$21)))),1),"")</x:f>
        <x:v>0.8213708067394438</x:v>
      </x:c>
      <x:c r="BB34" s="27" t="n">
        <x:f>IF(ISNUMBER(AJ34),IF('Scoring Setup'!$L$22=1,1-'Scoring Setup'!$B$5*(1-MAX(0,MIN(1,(AJ34-'Scoring Setup'!$K$22)/(100-'Scoring Setup'!$K$22)))),1),"")</x:f>
        <x:v>0.8</x:v>
      </x:c>
      <x:c r="BC34" s="27" t="n">
        <x:f>IF(ISNUMBER(AK34),IF('Scoring Setup'!$L$23=1,1-'Scoring Setup'!$B$5*(1-MAX(0,MIN(1,(AK34-'Scoring Setup'!$K$23)/(100-'Scoring Setup'!$K$23)))),1),"")</x:f>
        <x:v>0.8090289672428879</x:v>
      </x:c>
      <x:c r="BD34" s="27" t="n">
        <x:f>IF(ISNUMBER(AL34),IF('Scoring Setup'!$L$24=1,1-'Scoring Setup'!$B$5*(1-MAX(0,MIN(1,(AL34-'Scoring Setup'!$K$24)/(100-'Scoring Setup'!$K$24)))),1),"")</x:f>
        <x:v>0.9741818181818181</x:v>
      </x:c>
      <x:c r="BE34" s="27" t="n">
        <x:f>IF(ISNUMBER(AM34),IF('Scoring Setup'!$L$25=1,1-'Scoring Setup'!$B$5*(1-MAX(0,MIN(1,(AM34-'Scoring Setup'!$K$25)/(100-'Scoring Setup'!$K$25)))),1),"")</x:f>
        <x:v>0.8885845218271159</x:v>
      </x:c>
      <x:c r="BF34" s="27" t="n">
        <x:f>IF(ISNUMBER(AN34),IF('Scoring Setup'!$L$26=1,1-'Scoring Setup'!$B$5*(1-MAX(0,MIN(1,(AN34-'Scoring Setup'!$K$26)/(100-'Scoring Setup'!$K$26)))),1),"")</x:f>
        <x:v>0.937286211052675</x:v>
      </x:c>
      <x:c r="BG34" s="34" t="n">
        <x:f>IF(COUNT(W34,X34)=2,AVERAGE(W34,X34),"")</x:f>
        <x:v>44.88896746817536</x:v>
      </x:c>
      <x:c r="BH34" s="34" t="n">
        <x:f>IF(COUNT(Y34,Z34)=2,AVERAGE(Y34,Z34),"")</x:f>
        <x:v>100</x:v>
      </x:c>
      <x:c r="BI34" s="34" t="n">
        <x:f>IF(COUNT(AA34,AB34,AC34)=3,AVERAGE(AA34,AB34,AC34),"")</x:f>
        <x:v>90.2744133175252</x:v>
      </x:c>
      <x:c r="BJ34" s="34" t="n">
        <x:f>IF(COUNT(AD34,AE34)=2,AVERAGE(AD34,AE34),"")</x:f>
        <x:v>77.20074866071428</x:v>
      </x:c>
      <x:c r="BK34" s="34" t="n">
        <x:f>IF(COUNT(AF34,AG34)=2,AVERAGE(AF34,AG34),"")</x:f>
        <x:v>2.4388888888888856</x:v>
      </x:c>
      <x:c r="BL34" s="34" t="n">
        <x:f>IF(COUNT(AH34,AI34)=2,AVERAGE(AH34,AI34),"")</x:f>
        <x:v>5.7219402373783215</x:v>
      </x:c>
      <x:c r="BM34" s="34" t="n">
        <x:f>IF(COUNT(AJ34,AK34)=2,AVERAGE(AJ34,AK34),"")</x:f>
        <x:v>2.257241810721965</x:v>
      </x:c>
      <x:c r="BN34" s="34" t="n">
        <x:f>IF(COUNT(AL34,AM34,AN34)=3,AVERAGE(AL34,AM34,AN34),"")</x:f>
        <x:v>66.67542517693484</x:v>
      </x:c>
      <x:c r="BO34" s="35" t="n">
        <x:f>IF(AND(COUNT(BG34:BN34)=8,ABS('Scoring Setup'!$C$17-1)&lt;0.000001),BG34*'Scoring Setup'!$C$9+BH34*'Scoring Setup'!$C$10+BI34*'Scoring Setup'!$C$11+BJ34*'Scoring Setup'!$C$12+BK34*'Scoring Setup'!$C$13+BL34*'Scoring Setup'!$C$14+BM34*'Scoring Setup'!$C$15+BN34*'Scoring Setup'!$C$16,"")</x:f>
        <x:v>61.88188848901584</x:v>
      </x:c>
      <x:c r="BP34" s="36" t="n">
        <x:f>IF(COUNT(AO34:BF34)=18,MIN(AO34:BF34),"")</x:f>
        <x:v>0.8</x:v>
      </x:c>
      <x:c r="BQ34" s="35" t="n">
        <x:f>IF(AND(ISNUMBER(BO34),ISNUMBER(BP34)),BO34*BP34,"")</x:f>
        <x:v>49.50551079121268</x:v>
      </x:c>
      <x:c r="BR34" s="17" t="str">
        <x:f>IF(COUNT(AO34:BF34)=18,INDEX('Scoring Setup'!$F$9:$F$26,MATCH(MIN(AO34:BF34),AO34:BF34,0),1),"")</x:f>
        <x:v>劳动力人数</x:v>
      </x:c>
    </x:row>
    <x:row r="35">
      <x:c r="A35" s="28" t="str">
        <x:v>13063</x:v>
      </x:c>
      <x:c r="B35" s="28" t="str">
        <x:v>Clayton County</x:v>
      </x:c>
      <x:c r="C35" s="28" t="str">
        <x:v>GA</x:v>
      </x:c>
      <x:c r="D35" s="31" t="n">
        <x:v>367.009134</x:v>
      </x:c>
      <x:c r="E35" s="32" t="n">
        <x:v>0.466</x:v>
      </x:c>
      <x:c r="F35" s="32" t="n">
        <x:v>0.21844059405940602</x:v>
      </x:c>
      <x:c r="G35" s="32" t="n">
        <x:v>2.1681031137152362</x:v>
      </x:c>
      <x:c r="H35" s="32" t="n">
        <x:v>2.1337675021030376</x:v>
      </x:c>
      <x:c r="I35" s="32" t="n">
        <x:v>0.3330237207147907</x:v>
      </x:c>
      <x:c r="J35" s="32" t="n">
        <x:v>0.04635176408009723</x:v>
      </x:c>
      <x:c r="K35" s="32" t="n">
        <x:v>0.0445549623345279</x:v>
      </x:c>
      <x:c r="L35" s="32" t="n">
        <x:v>0.587777248</x:v>
      </x:c>
      <x:c r="M35" s="32" t="n">
        <x:v>0.582222186</x:v>
      </x:c>
      <x:c r="N35" s="32" t="n">
        <x:v>145119</x:v>
      </x:c>
      <x:c r="O35" s="32" t="n">
        <x:v>0.9488</x:v>
      </x:c>
      <x:c r="P35" s="32" t="n">
        <x:v>1719.8891560872396</x:v>
      </x:c>
      <x:c r="Q35" s="32" t="n">
        <x:v>32.648726081848146</x:v>
      </x:c>
      <x:c r="R35" s="32" t="n">
        <x:v>4.783718821582419</x:v>
      </x:c>
      <x:c r="S35" s="32" t="n">
        <x:v>5.395216049324842</x:v>
      </x:c>
      <x:c r="T35" s="32" t="n">
        <x:v>72.1</x:v>
      </x:c>
      <x:c r="U35" s="32" t="n">
        <x:v>211.4154781728841</x:v>
      </x:c>
      <x:c r="V35" s="32" t="n">
        <x:v>325.42757789465</x:v>
      </x:c>
      <x:c r="W35" s="33" t="n">
        <x:f>IF(ISNUMBER(E35),100*MAX(0,MIN(1,('Anchors'!$H$6-E35)/('Anchors'!$H$6-'Anchors'!$G$6))),"")</x:f>
        <x:v>62</x:v>
      </x:c>
      <x:c r="X35" s="33" t="n">
        <x:f>IF(ISNUMBER(F35),100*MAX(0,MIN(1,('Anchors'!$H$7-F35)/('Anchors'!$H$7-'Anchors'!$G$7))),"")</x:f>
        <x:v>83.07991513437057</x:v>
      </x:c>
      <x:c r="Y35" s="33" t="n">
        <x:f>IF(ISNUMBER(G35),100*MAX(0,MIN(1,('Anchors'!$H$8-G35)/('Anchors'!$H$8-'Anchors'!$G$8))),"")</x:f>
        <x:v>61.06322954282546</x:v>
      </x:c>
      <x:c r="Z35" s="33" t="n">
        <x:f>IF(ISNUMBER(H35),100*MAX(0,MIN(1,('Anchors'!$H$9-H35)/('Anchors'!$H$9-'Anchors'!$G$9))),"")</x:f>
        <x:v>62.207749929898746</x:v>
      </x:c>
      <x:c r="AA35" s="33" t="n">
        <x:f>IF(ISNUMBER(I35),100*MAX(0,MIN(1,(I35-'Anchors'!$H$10)/('Anchors'!$G$10-'Anchors'!$H$10))),"")</x:f>
        <x:v>11.373112426683656</x:v>
      </x:c>
      <x:c r="AB35" s="33" t="n">
        <x:f>IF(ISNUMBER(J35),100*MAX(0,MIN(1,('Anchors'!$H$11-J35)/('Anchors'!$H$11-'Anchors'!$G$11))),"")</x:f>
        <x:v>81.4592943679611</x:v>
      </x:c>
      <x:c r="AC35" s="33" t="n">
        <x:f>IF(ISNUMBER(K35),100*MAX(0,MIN(1,('Anchors'!$H$12-K35)/('Anchors'!$H$12-'Anchors'!$G$12))),"")</x:f>
        <x:v>88.86125941636803</x:v>
      </x:c>
      <x:c r="AD35" s="33" t="n">
        <x:f>IF(ISNUMBER(L35),100*MAX(0,MIN(1,(L35-'Anchors'!$H$13)/('Anchors'!$G$13-'Anchors'!$H$13))),"")</x:f>
        <x:v>55.39674971428571</x:v>
      </x:c>
      <x:c r="AE35" s="33" t="n">
        <x:f>IF(ISNUMBER(M35),100*MAX(0,MIN(1,(M35-'Anchors'!$H$14)/('Anchors'!$G$14-'Anchors'!$H$14))),"")</x:f>
        <x:v>60.27777325</x:v>
      </x:c>
      <x:c r="AF35" s="33" t="n">
        <x:f>IF(ISNUMBER(N35),100*MAX(0,MIN(1,(LN(1+N35)-LN(1+'Anchors'!$H$15))/(LN(1+'Anchors'!$G$15)-LN(1+'Anchors'!$H$15)))),"")</x:f>
        <x:v>99.23370365032181</x:v>
      </x:c>
      <x:c r="AG35" s="33" t="n">
        <x:f>IF(ISNUMBER(O35),100*MAX(0,MIN(1,('Anchors'!$H$16-O35)/('Anchors'!$H$16-'Anchors'!$G$16))),"")</x:f>
        <x:v>0.133333333333331</x:v>
      </x:c>
      <x:c r="AH35" s="33" t="n">
        <x:f>IF(ISNUMBER(P35),100*MAX(0,MIN(1,('Anchors'!$H$17-P35)/('Anchors'!$H$17-'Anchors'!$G$17))),"")</x:f>
        <x:v>32.007389594184026</x:v>
      </x:c>
      <x:c r="AI35" s="33" t="n">
        <x:f>IF(ISNUMBER(Q35),100*MAX(0,MIN(1,('Anchors'!$H$18-Q35)/('Anchors'!$H$18-'Anchors'!$G$18))),"")</x:f>
        <x:v>60.501819883074084</x:v>
      </x:c>
      <x:c r="AJ35" s="33" t="n">
        <x:f>IF(ISNUMBER(R35),100*MAX(0,MIN(1,('Anchors'!$H$19-R35)/('Anchors'!$H$19-'Anchors'!$G$19))),"")</x:f>
        <x:v>100</x:v>
      </x:c>
      <x:c r="AK35" s="33" t="n">
        <x:f>IF(ISNUMBER(S35),100*MAX(0,MIN(1,('Anchors'!$H$20-S35)/('Anchors'!$H$20-'Anchors'!$G$20))),"")</x:f>
        <x:v>76.86728395092189</x:v>
      </x:c>
      <x:c r="AL35" s="33" t="n">
        <x:f>IF(ISNUMBER(T35),100*MAX(0,MIN(1,('Anchors'!$H$21-T35)/('Anchors'!$H$21-'Anchors'!$G$21))),"")</x:f>
        <x:v>87.0909090909091</x:v>
      </x:c>
      <x:c r="AM35" s="33" t="n">
        <x:f>IF(ISNUMBER(U35),100*MAX(0,MIN(1,('Anchors'!$H$22-U35)/('Anchors'!$H$22-'Anchors'!$G$22))),"")</x:f>
        <x:v>44.29226091355795</x:v>
      </x:c>
      <x:c r="AN35" s="33" t="n">
        <x:f>IF(ISNUMBER(V35),100*MAX(0,MIN(1,('Anchors'!$H$23-V35)/('Anchors'!$H$23-'Anchors'!$G$23))),"")</x:f>
        <x:v>68.6431055263375</x:v>
      </x:c>
      <x:c r="AO35" s="27" t="n">
        <x:f>IF(ISNUMBER(W35),IF('Scoring Setup'!$L$9=1,1-'Scoring Setup'!$B$5*(1-MAX(0,MIN(1,(W35-'Scoring Setup'!$K$9)/(100-'Scoring Setup'!$K$9)))),1),"")</x:f>
        <x:v>0.9239999999999999</x:v>
      </x:c>
      <x:c r="AP35" s="27" t="n">
        <x:f>IF(ISNUMBER(X35),IF('Scoring Setup'!$L$10=1,1-'Scoring Setup'!$B$5*(1-MAX(0,MIN(1,(X35-'Scoring Setup'!$K$10)/(100-'Scoring Setup'!$K$10)))),1),"")</x:f>
        <x:v>0.9661598302687411</x:v>
      </x:c>
      <x:c r="AQ35" s="27" t="n">
        <x:f>IF(ISNUMBER(Y35),IF('Scoring Setup'!$L$11=1,1-'Scoring Setup'!$B$5*(1-MAX(0,MIN(1,(Y35-'Scoring Setup'!$K$11)/(100-'Scoring Setup'!$K$11)))),1),"")</x:f>
        <x:v>0.9221264590856509</x:v>
      </x:c>
      <x:c r="AR35" s="27" t="n">
        <x:f>IF(ISNUMBER(Z35),IF('Scoring Setup'!$L$12=1,1-'Scoring Setup'!$B$5*(1-MAX(0,MIN(1,(Z35-'Scoring Setup'!$K$12)/(100-'Scoring Setup'!$K$12)))),1),"")</x:f>
        <x:v>0.9244154998597975</x:v>
      </x:c>
      <x:c r="AS35" s="27" t="n">
        <x:f>IF(ISNUMBER(AA35),IF('Scoring Setup'!$L$13=1,1-'Scoring Setup'!$B$5*(1-MAX(0,MIN(1,(AA35-'Scoring Setup'!$K$13)/(100-'Scoring Setup'!$K$13)))),1),"")</x:f>
        <x:v>0.8227462248533673</x:v>
      </x:c>
      <x:c r="AT35" s="27" t="n">
        <x:f>IF(ISNUMBER(AB35),IF('Scoring Setup'!$L$14=1,1-'Scoring Setup'!$B$5*(1-MAX(0,MIN(1,(AB35-'Scoring Setup'!$K$14)/(100-'Scoring Setup'!$K$14)))),1),"")</x:f>
        <x:v>0.9629185887359222</x:v>
      </x:c>
      <x:c r="AU35" s="27" t="n">
        <x:f>IF(ISNUMBER(AC35),IF('Scoring Setup'!$L$15=1,1-'Scoring Setup'!$B$5*(1-MAX(0,MIN(1,(AC35-'Scoring Setup'!$K$15)/(100-'Scoring Setup'!$K$15)))),1),"")</x:f>
        <x:v>0.9777225188327361</x:v>
      </x:c>
      <x:c r="AV35" s="27" t="n">
        <x:f>IF(ISNUMBER(AD35),IF('Scoring Setup'!$L$16=1,1-'Scoring Setup'!$B$5*(1-MAX(0,MIN(1,(AD35-'Scoring Setup'!$K$16)/(100-'Scoring Setup'!$K$16)))),1),"")</x:f>
        <x:v>0.9107934994285714</x:v>
      </x:c>
      <x:c r="AW35" s="27" t="n">
        <x:f>IF(ISNUMBER(AE35),IF('Scoring Setup'!$L$17=1,1-'Scoring Setup'!$B$5*(1-MAX(0,MIN(1,(AE35-'Scoring Setup'!$K$17)/(100-'Scoring Setup'!$K$17)))),1),"")</x:f>
        <x:v>0.9205555464999999</x:v>
      </x:c>
      <x:c r="AX35" s="27" t="n">
        <x:f>IF(ISNUMBER(AF35),IF('Scoring Setup'!$L$18=1,1-'Scoring Setup'!$B$5*(1-MAX(0,MIN(1,(AF35-'Scoring Setup'!$K$18)/(100-'Scoring Setup'!$K$18)))),1),"")</x:f>
        <x:v>0.9984674073006437</x:v>
      </x:c>
      <x:c r="AY35" s="27" t="n">
        <x:f>IF(ISNUMBER(AG35),IF('Scoring Setup'!$L$19=1,1-'Scoring Setup'!$B$5*(1-MAX(0,MIN(1,(AG35-'Scoring Setup'!$K$19)/(100-'Scoring Setup'!$K$19)))),1),"")</x:f>
        <x:v>0.8002666666666667</x:v>
      </x:c>
      <x:c r="AZ35" s="27" t="n">
        <x:f>IF(ISNUMBER(AH35),IF('Scoring Setup'!$L$20=1,1-'Scoring Setup'!$B$5*(1-MAX(0,MIN(1,(AH35-'Scoring Setup'!$K$20)/(100-'Scoring Setup'!$K$20)))),1),"")</x:f>
        <x:v>0.8640147791883681</x:v>
      </x:c>
      <x:c r="BA35" s="27" t="n">
        <x:f>IF(ISNUMBER(AI35),IF('Scoring Setup'!$L$21=1,1-'Scoring Setup'!$B$5*(1-MAX(0,MIN(1,(AI35-'Scoring Setup'!$K$21)/(100-'Scoring Setup'!$K$21)))),1),"")</x:f>
        <x:v>0.9210036397661482</x:v>
      </x:c>
      <x:c r="BB35" s="27" t="n">
        <x:f>IF(ISNUMBER(AJ35),IF('Scoring Setup'!$L$22=1,1-'Scoring Setup'!$B$5*(1-MAX(0,MIN(1,(AJ35-'Scoring Setup'!$K$22)/(100-'Scoring Setup'!$K$22)))),1),"")</x:f>
        <x:v>1</x:v>
      </x:c>
      <x:c r="BC35" s="27" t="n">
        <x:f>IF(ISNUMBER(AK35),IF('Scoring Setup'!$L$23=1,1-'Scoring Setup'!$B$5*(1-MAX(0,MIN(1,(AK35-'Scoring Setup'!$K$23)/(100-'Scoring Setup'!$K$23)))),1),"")</x:f>
        <x:v>0.9537345679018437</x:v>
      </x:c>
      <x:c r="BD35" s="27" t="n">
        <x:f>IF(ISNUMBER(AL35),IF('Scoring Setup'!$L$24=1,1-'Scoring Setup'!$B$5*(1-MAX(0,MIN(1,(AL35-'Scoring Setup'!$K$24)/(100-'Scoring Setup'!$K$24)))),1),"")</x:f>
        <x:v>0.9741818181818181</x:v>
      </x:c>
      <x:c r="BE35" s="27" t="n">
        <x:f>IF(ISNUMBER(AM35),IF('Scoring Setup'!$L$25=1,1-'Scoring Setup'!$B$5*(1-MAX(0,MIN(1,(AM35-'Scoring Setup'!$K$25)/(100-'Scoring Setup'!$K$25)))),1),"")</x:f>
        <x:v>0.8885845218271159</x:v>
      </x:c>
      <x:c r="BF35" s="27" t="n">
        <x:f>IF(ISNUMBER(AN35),IF('Scoring Setup'!$L$26=1,1-'Scoring Setup'!$B$5*(1-MAX(0,MIN(1,(AN35-'Scoring Setup'!$K$26)/(100-'Scoring Setup'!$K$26)))),1),"")</x:f>
        <x:v>0.937286211052675</x:v>
      </x:c>
      <x:c r="BG35" s="34" t="n">
        <x:f>IF(COUNT(W35,X35)=2,AVERAGE(W35,X35),"")</x:f>
        <x:v>72.53995756718528</x:v>
      </x:c>
      <x:c r="BH35" s="34" t="n">
        <x:f>IF(COUNT(Y35,Z35)=2,AVERAGE(Y35,Z35),"")</x:f>
        <x:v>61.6354897363621</x:v>
      </x:c>
      <x:c r="BI35" s="34" t="n">
        <x:f>IF(COUNT(AA35,AB35,AC35)=3,AVERAGE(AA35,AB35,AC35),"")</x:f>
        <x:v>60.56455540367093</x:v>
      </x:c>
      <x:c r="BJ35" s="34" t="n">
        <x:f>IF(COUNT(AD35,AE35)=2,AVERAGE(AD35,AE35),"")</x:f>
        <x:v>57.83726148214286</x:v>
      </x:c>
      <x:c r="BK35" s="34" t="n">
        <x:f>IF(COUNT(AF35,AG35)=2,AVERAGE(AF35,AG35),"")</x:f>
        <x:v>49.68351849182757</x:v>
      </x:c>
      <x:c r="BL35" s="34" t="n">
        <x:f>IF(COUNT(AH35,AI35)=2,AVERAGE(AH35,AI35),"")</x:f>
        <x:v>46.254604738629055</x:v>
      </x:c>
      <x:c r="BM35" s="34" t="n">
        <x:f>IF(COUNT(AJ35,AK35)=2,AVERAGE(AJ35,AK35),"")</x:f>
        <x:v>88.43364197546094</x:v>
      </x:c>
      <x:c r="BN35" s="34" t="n">
        <x:f>IF(COUNT(AL35,AM35,AN35)=3,AVERAGE(AL35,AM35,AN35),"")</x:f>
        <x:v>66.67542517693484</x:v>
      </x:c>
      <x:c r="BO35" s="35" t="n">
        <x:f>IF(AND(COUNT(BG35:BN35)=8,ABS('Scoring Setup'!$C$17-1)&lt;0.000001),BG35*'Scoring Setup'!$C$9+BH35*'Scoring Setup'!$C$10+BI35*'Scoring Setup'!$C$11+BJ35*'Scoring Setup'!$C$12+BK35*'Scoring Setup'!$C$13+BL35*'Scoring Setup'!$C$14+BM35*'Scoring Setup'!$C$15+BN35*'Scoring Setup'!$C$16,"")</x:f>
        <x:v>63.126667130540035</x:v>
      </x:c>
      <x:c r="BP35" s="36" t="n">
        <x:f>IF(COUNT(AO35:BF35)=18,MIN(AO35:BF35),"")</x:f>
        <x:v>0.8002666666666667</x:v>
      </x:c>
      <x:c r="BQ35" s="35" t="n">
        <x:f>IF(AND(ISNUMBER(BO35),ISNUMBER(BP35)),BO35*BP35,"")</x:f>
        <x:v>50.5181674823335</x:v>
      </x:c>
      <x:c r="BR35" s="17" t="str">
        <x:f>IF(COUNT(AO35:BF35)=18,INDEX('Scoring Setup'!$F$9:$F$26,MATCH(MIN(AO35:BF35),AO35:BF35,0),1),"")</x:f>
        <x:v>社会脆弱性百分位</x:v>
      </x:c>
    </x:row>
    <x:row r="36">
      <x:c r="A36" s="28" t="str">
        <x:v>13065</x:v>
      </x:c>
      <x:c r="B36" s="28" t="str">
        <x:v>Clinch County</x:v>
      </x:c>
      <x:c r="C36" s="28" t="str">
        <x:v>GA</x:v>
      </x:c>
      <x:c r="D36" s="31" t="n">
        <x:v>2110.841411</x:v>
      </x:c>
      <x:c r="E36" s="32" t="n">
        <x:v>0.711</x:v>
      </x:c>
      <x:c r="F36" s="32" t="n">
        <x:v>0.86509900990099</x:v>
      </x:c>
      <x:c r="G36" s="32" t="n">
        <x:v>2.8100064229312376</x:v>
      </x:c>
      <x:c r="H36" s="32" t="n">
        <x:v>3.0119492143406634</x:v>
      </x:c>
      <x:c r="I36" s="32" t="n">
        <x:v>0.9460114192736849</x:v>
      </x:c>
      <x:c r="J36" s="32" t="n">
        <x:v>0.07437527766624749</x:v>
      </x:c>
      <x:c r="K36" s="32" t="n">
        <x:v>0.4550868766965715</x:v>
      </x:c>
      <x:c r="L36" s="32" t="n">
        <x:v>0.266460326</x:v>
      </x:c>
      <x:c r="M36" s="32" t="n">
        <x:v>0.266460326</x:v>
      </x:c>
      <x:c r="N36" s="32" t="n">
        <x:v>2472</x:v>
      </x:c>
      <x:c r="O36" s="32" t="n">
        <x:v>0.9348</x:v>
      </x:c>
      <x:c r="P36" s="32" t="n">
        <x:v>2233.02705078125</x:v>
      </x:c>
      <x:c r="Q36" s="32" t="n">
        <x:v>80.03414840698242</x:v>
      </x:c>
      <x:c r="R36" s="32" t="n">
        <x:v>53.63540038772967</x:v>
      </x:c>
      <x:c r="S36" s="32" t="n">
        <x:v>10.66393201418755</x:v>
      </x:c>
      <x:c r="T36" s="32" t="n">
        <x:v>72.1</x:v>
      </x:c>
      <x:c r="U36" s="32" t="n">
        <x:v>211.4154781728841</x:v>
      </x:c>
      <x:c r="V36" s="32" t="n">
        <x:v>325.42757789465</x:v>
      </x:c>
      <x:c r="W36" s="33" t="n">
        <x:f>IF(ISNUMBER(E36),100*MAX(0,MIN(1,('Anchors'!$H$6-E36)/('Anchors'!$H$6-'Anchors'!$G$6))),"")</x:f>
        <x:v>27.000000000000007</x:v>
      </x:c>
      <x:c r="X36" s="33" t="n">
        <x:f>IF(ISNUMBER(F36),100*MAX(0,MIN(1,('Anchors'!$H$7-F36)/('Anchors'!$H$7-'Anchors'!$G$7))),"")</x:f>
        <x:v>0</x:v>
      </x:c>
      <x:c r="Y36" s="33" t="n">
        <x:f>IF(ISNUMBER(G36),100*MAX(0,MIN(1,('Anchors'!$H$8-G36)/('Anchors'!$H$8-'Anchors'!$G$8))),"")</x:f>
        <x:v>39.666452568958746</x:v>
      </x:c>
      <x:c r="Z36" s="33" t="n">
        <x:f>IF(ISNUMBER(H36),100*MAX(0,MIN(1,('Anchors'!$H$9-H36)/('Anchors'!$H$9-'Anchors'!$G$9))),"")</x:f>
        <x:v>32.93502618864455</x:v>
      </x:c>
      <x:c r="AA36" s="33" t="n">
        <x:f>IF(ISNUMBER(I36),100*MAX(0,MIN(1,(I36-'Anchors'!$H$10)/('Anchors'!$G$10-'Anchors'!$H$10))),"")</x:f>
        <x:v>95.3440300374911</x:v>
      </x:c>
      <x:c r="AB36" s="33" t="n">
        <x:f>IF(ISNUMBER(J36),100*MAX(0,MIN(1,('Anchors'!$H$11-J36)/('Anchors'!$H$11-'Anchors'!$G$11))),"")</x:f>
        <x:v>70.249888933501</x:v>
      </x:c>
      <x:c r="AC36" s="33" t="n">
        <x:f>IF(ISNUMBER(K36),100*MAX(0,MIN(1,('Anchors'!$H$12-K36)/('Anchors'!$H$12-'Anchors'!$G$12))),"")</x:f>
        <x:v>0</x:v>
      </x:c>
      <x:c r="AD36" s="33" t="n">
        <x:f>IF(ISNUMBER(L36),100*MAX(0,MIN(1,(L36-'Anchors'!$H$13)/('Anchors'!$G$13-'Anchors'!$H$13))),"")</x:f>
        <x:v>9.494332285714288</x:v>
      </x:c>
      <x:c r="AE36" s="33" t="n">
        <x:f>IF(ISNUMBER(M36),100*MAX(0,MIN(1,(M36-'Anchors'!$H$14)/('Anchors'!$G$14-'Anchors'!$H$14))),"")</x:f>
        <x:v>20.80754075</x:v>
      </x:c>
      <x:c r="AF36" s="33" t="n">
        <x:f>IF(ISNUMBER(N36),100*MAX(0,MIN(1,(LN(1+N36)-LN(1+'Anchors'!$H$15))/(LN(1+'Anchors'!$G$15)-LN(1+'Anchors'!$H$15)))),"")</x:f>
        <x:v>4.905841623430366</x:v>
      </x:c>
      <x:c r="AG36" s="33" t="n">
        <x:f>IF(ISNUMBER(O36),100*MAX(0,MIN(1,('Anchors'!$H$16-O36)/('Anchors'!$H$16-'Anchors'!$G$16))),"")</x:f>
        <x:v>1.688888888888888</x:v>
      </x:c>
      <x:c r="AH36" s="33" t="n">
        <x:f>IF(ISNUMBER(P36),100*MAX(0,MIN(1,('Anchors'!$H$17-P36)/('Anchors'!$H$17-'Anchors'!$G$17))),"")</x:f>
        <x:v>0</x:v>
      </x:c>
      <x:c r="AI36" s="33" t="n">
        <x:f>IF(ISNUMBER(Q36),100*MAX(0,MIN(1,('Anchors'!$H$18-Q36)/('Anchors'!$H$18-'Anchors'!$G$18))),"")</x:f>
        <x:v>0</x:v>
      </x:c>
      <x:c r="AJ36" s="33" t="n">
        <x:f>IF(ISNUMBER(R36),100*MAX(0,MIN(1,('Anchors'!$H$19-R36)/('Anchors'!$H$19-'Anchors'!$G$19))),"")</x:f>
        <x:v>0</x:v>
      </x:c>
      <x:c r="AK36" s="33" t="n">
        <x:f>IF(ISNUMBER(S36),100*MAX(0,MIN(1,('Anchors'!$H$20-S36)/('Anchors'!$H$20-'Anchors'!$G$20))),"")</x:f>
        <x:v>49.13719992532869</x:v>
      </x:c>
      <x:c r="AL36" s="33" t="n">
        <x:f>IF(ISNUMBER(T36),100*MAX(0,MIN(1,('Anchors'!$H$21-T36)/('Anchors'!$H$21-'Anchors'!$G$21))),"")</x:f>
        <x:v>87.0909090909091</x:v>
      </x:c>
      <x:c r="AM36" s="33" t="n">
        <x:f>IF(ISNUMBER(U36),100*MAX(0,MIN(1,('Anchors'!$H$22-U36)/('Anchors'!$H$22-'Anchors'!$G$22))),"")</x:f>
        <x:v>44.29226091355795</x:v>
      </x:c>
      <x:c r="AN36" s="33" t="n">
        <x:f>IF(ISNUMBER(V36),100*MAX(0,MIN(1,('Anchors'!$H$23-V36)/('Anchors'!$H$23-'Anchors'!$G$23))),"")</x:f>
        <x:v>68.6431055263375</x:v>
      </x:c>
      <x:c r="AO36" s="27" t="n">
        <x:f>IF(ISNUMBER(W36),IF('Scoring Setup'!$L$9=1,1-'Scoring Setup'!$B$5*(1-MAX(0,MIN(1,(W36-'Scoring Setup'!$K$9)/(100-'Scoring Setup'!$K$9)))),1),"")</x:f>
        <x:v>0.854</x:v>
      </x:c>
      <x:c r="AP36" s="27" t="n">
        <x:f>IF(ISNUMBER(X36),IF('Scoring Setup'!$L$10=1,1-'Scoring Setup'!$B$5*(1-MAX(0,MIN(1,(X36-'Scoring Setup'!$K$10)/(100-'Scoring Setup'!$K$10)))),1),"")</x:f>
        <x:v>0.8</x:v>
      </x:c>
      <x:c r="AQ36" s="27" t="n">
        <x:f>IF(ISNUMBER(Y36),IF('Scoring Setup'!$L$11=1,1-'Scoring Setup'!$B$5*(1-MAX(0,MIN(1,(Y36-'Scoring Setup'!$K$11)/(100-'Scoring Setup'!$K$11)))),1),"")</x:f>
        <x:v>0.8793329051379175</x:v>
      </x:c>
      <x:c r="AR36" s="27" t="n">
        <x:f>IF(ISNUMBER(Z36),IF('Scoring Setup'!$L$12=1,1-'Scoring Setup'!$B$5*(1-MAX(0,MIN(1,(Z36-'Scoring Setup'!$K$12)/(100-'Scoring Setup'!$K$12)))),1),"")</x:f>
        <x:v>0.8658700523772891</x:v>
      </x:c>
      <x:c r="AS36" s="27" t="n">
        <x:f>IF(ISNUMBER(AA36),IF('Scoring Setup'!$L$13=1,1-'Scoring Setup'!$B$5*(1-MAX(0,MIN(1,(AA36-'Scoring Setup'!$K$13)/(100-'Scoring Setup'!$K$13)))),1),"")</x:f>
        <x:v>0.9906880600749822</x:v>
      </x:c>
      <x:c r="AT36" s="27" t="n">
        <x:f>IF(ISNUMBER(AB36),IF('Scoring Setup'!$L$14=1,1-'Scoring Setup'!$B$5*(1-MAX(0,MIN(1,(AB36-'Scoring Setup'!$K$14)/(100-'Scoring Setup'!$K$14)))),1),"")</x:f>
        <x:v>0.940499777867002</x:v>
      </x:c>
      <x:c r="AU36" s="27" t="n">
        <x:f>IF(ISNUMBER(AC36),IF('Scoring Setup'!$L$15=1,1-'Scoring Setup'!$B$5*(1-MAX(0,MIN(1,(AC36-'Scoring Setup'!$K$15)/(100-'Scoring Setup'!$K$15)))),1),"")</x:f>
        <x:v>0.8</x:v>
      </x:c>
      <x:c r="AV36" s="27" t="n">
        <x:f>IF(ISNUMBER(AD36),IF('Scoring Setup'!$L$16=1,1-'Scoring Setup'!$B$5*(1-MAX(0,MIN(1,(AD36-'Scoring Setup'!$K$16)/(100-'Scoring Setup'!$K$16)))),1),"")</x:f>
        <x:v>0.8189886645714286</x:v>
      </x:c>
      <x:c r="AW36" s="27" t="n">
        <x:f>IF(ISNUMBER(AE36),IF('Scoring Setup'!$L$17=1,1-'Scoring Setup'!$B$5*(1-MAX(0,MIN(1,(AE36-'Scoring Setup'!$K$17)/(100-'Scoring Setup'!$K$17)))),1),"")</x:f>
        <x:v>0.8416150815</x:v>
      </x:c>
      <x:c r="AX36" s="27" t="n">
        <x:f>IF(ISNUMBER(AF36),IF('Scoring Setup'!$L$18=1,1-'Scoring Setup'!$B$5*(1-MAX(0,MIN(1,(AF36-'Scoring Setup'!$K$18)/(100-'Scoring Setup'!$K$18)))),1),"")</x:f>
        <x:v>0.8098116832468607</x:v>
      </x:c>
      <x:c r="AY36" s="27" t="n">
        <x:f>IF(ISNUMBER(AG36),IF('Scoring Setup'!$L$19=1,1-'Scoring Setup'!$B$5*(1-MAX(0,MIN(1,(AG36-'Scoring Setup'!$K$19)/(100-'Scoring Setup'!$K$19)))),1),"")</x:f>
        <x:v>0.8033777777777777</x:v>
      </x:c>
      <x:c r="AZ36" s="27" t="n">
        <x:f>IF(ISNUMBER(AH36),IF('Scoring Setup'!$L$20=1,1-'Scoring Setup'!$B$5*(1-MAX(0,MIN(1,(AH36-'Scoring Setup'!$K$20)/(100-'Scoring Setup'!$K$20)))),1),"")</x:f>
        <x:v>0.8</x:v>
      </x:c>
      <x:c r="BA36" s="27" t="n">
        <x:f>IF(ISNUMBER(AI36),IF('Scoring Setup'!$L$21=1,1-'Scoring Setup'!$B$5*(1-MAX(0,MIN(1,(AI36-'Scoring Setup'!$K$21)/(100-'Scoring Setup'!$K$21)))),1),"")</x:f>
        <x:v>0.8</x:v>
      </x:c>
      <x:c r="BB36" s="27" t="n">
        <x:f>IF(ISNUMBER(AJ36),IF('Scoring Setup'!$L$22=1,1-'Scoring Setup'!$B$5*(1-MAX(0,MIN(1,(AJ36-'Scoring Setup'!$K$22)/(100-'Scoring Setup'!$K$22)))),1),"")</x:f>
        <x:v>0.8</x:v>
      </x:c>
      <x:c r="BC36" s="27" t="n">
        <x:f>IF(ISNUMBER(AK36),IF('Scoring Setup'!$L$23=1,1-'Scoring Setup'!$B$5*(1-MAX(0,MIN(1,(AK36-'Scoring Setup'!$K$23)/(100-'Scoring Setup'!$K$23)))),1),"")</x:f>
        <x:v>0.8982743998506574</x:v>
      </x:c>
      <x:c r="BD36" s="27" t="n">
        <x:f>IF(ISNUMBER(AL36),IF('Scoring Setup'!$L$24=1,1-'Scoring Setup'!$B$5*(1-MAX(0,MIN(1,(AL36-'Scoring Setup'!$K$24)/(100-'Scoring Setup'!$K$24)))),1),"")</x:f>
        <x:v>0.9741818181818181</x:v>
      </x:c>
      <x:c r="BE36" s="27" t="n">
        <x:f>IF(ISNUMBER(AM36),IF('Scoring Setup'!$L$25=1,1-'Scoring Setup'!$B$5*(1-MAX(0,MIN(1,(AM36-'Scoring Setup'!$K$25)/(100-'Scoring Setup'!$K$25)))),1),"")</x:f>
        <x:v>0.8885845218271159</x:v>
      </x:c>
      <x:c r="BF36" s="27" t="n">
        <x:f>IF(ISNUMBER(AN36),IF('Scoring Setup'!$L$26=1,1-'Scoring Setup'!$B$5*(1-MAX(0,MIN(1,(AN36-'Scoring Setup'!$K$26)/(100-'Scoring Setup'!$K$26)))),1),"")</x:f>
        <x:v>0.937286211052675</x:v>
      </x:c>
      <x:c r="BG36" s="34" t="n">
        <x:f>IF(COUNT(W36,X36)=2,AVERAGE(W36,X36),"")</x:f>
        <x:v>13.500000000000004</x:v>
      </x:c>
      <x:c r="BH36" s="34" t="n">
        <x:f>IF(COUNT(Y36,Z36)=2,AVERAGE(Y36,Z36),"")</x:f>
        <x:v>36.30073937880165</x:v>
      </x:c>
      <x:c r="BI36" s="34" t="n">
        <x:f>IF(COUNT(AA36,AB36,AC36)=3,AVERAGE(AA36,AB36,AC36),"")</x:f>
        <x:v>55.1979729903307</x:v>
      </x:c>
      <x:c r="BJ36" s="34" t="n">
        <x:f>IF(COUNT(AD36,AE36)=2,AVERAGE(AD36,AE36),"")</x:f>
        <x:v>15.150936517857144</x:v>
      </x:c>
      <x:c r="BK36" s="34" t="n">
        <x:f>IF(COUNT(AF36,AG36)=2,AVERAGE(AF36,AG36),"")</x:f>
        <x:v>3.297365256159627</x:v>
      </x:c>
      <x:c r="BL36" s="34" t="n">
        <x:f>IF(COUNT(AH36,AI36)=2,AVERAGE(AH36,AI36),"")</x:f>
        <x:v>0</x:v>
      </x:c>
      <x:c r="BM36" s="34" t="n">
        <x:f>IF(COUNT(AJ36,AK36)=2,AVERAGE(AJ36,AK36),"")</x:f>
        <x:v>24.568599962664344</x:v>
      </x:c>
      <x:c r="BN36" s="34" t="n">
        <x:f>IF(COUNT(AL36,AM36,AN36)=3,AVERAGE(AL36,AM36,AN36),"")</x:f>
        <x:v>66.67542517693484</x:v>
      </x:c>
      <x:c r="BO36" s="35" t="n">
        <x:f>IF(AND(COUNT(BG36:BN36)=8,ABS('Scoring Setup'!$C$17-1)&lt;0.000001),BG36*'Scoring Setup'!$C$9+BH36*'Scoring Setup'!$C$10+BI36*'Scoring Setup'!$C$11+BJ36*'Scoring Setup'!$C$12+BK36*'Scoring Setup'!$C$13+BL36*'Scoring Setup'!$C$14+BM36*'Scoring Setup'!$C$15+BN36*'Scoring Setup'!$C$16,"")</x:f>
        <x:v>37.20583290340875</x:v>
      </x:c>
      <x:c r="BP36" s="36" t="n">
        <x:f>IF(COUNT(AO36:BF36)=18,MIN(AO36:BF36),"")</x:f>
        <x:v>0.8</x:v>
      </x:c>
      <x:c r="BQ36" s="35" t="n">
        <x:f>IF(AND(ISNUMBER(BO36),ISNUMBER(BP36)),BO36*BP36,"")</x:f>
        <x:v>29.764666322727</x:v>
      </x:c>
      <x:c r="BR36" s="17" t="str">
        <x:f>IF(COUNT(AO36:BF36)=18,INDEX('Scoring Setup'!$F$9:$F$26,MATCH(MIN(AO36:BF36),AO36:BF36,0),1),"")</x:f>
        <x:v>洪水损失率全国百分位</x:v>
      </x:c>
    </x:row>
    <x:row r="37">
      <x:c r="A37" s="28" t="str">
        <x:v>13067</x:v>
      </x:c>
      <x:c r="B37" s="28" t="str">
        <x:v>Cobb County</x:v>
      </x:c>
      <x:c r="C37" s="28" t="str">
        <x:v>GA</x:v>
      </x:c>
      <x:c r="D37" s="31" t="n">
        <x:v>879.793162</x:v>
      </x:c>
      <x:c r="E37" s="32" t="n">
        <x:v>0.517</x:v>
      </x:c>
      <x:c r="F37" s="32" t="n">
        <x:v>0.39108910891089105</x:v>
      </x:c>
      <x:c r="G37" s="32" t="n">
        <x:v>2.83418257231322</x:v>
      </x:c>
      <x:c r="H37" s="32" t="n">
        <x:v>2.6211896659765554</x:v>
      </x:c>
      <x:c r="I37" s="32" t="n">
        <x:v>0.3218290495992888</x:v>
      </x:c>
      <x:c r="J37" s="32" t="n">
        <x:v>0.0027342172194286837</x:v>
      </x:c>
      <x:c r="K37" s="32" t="n">
        <x:v>0.016498433551062768</x:v>
      </x:c>
      <x:c r="L37" s="32" t="n">
        <x:v>0.509102486</x:v>
      </x:c>
      <x:c r="M37" s="32" t="n">
        <x:v>0.505201007</x:v>
      </x:c>
      <x:c r="N37" s="32" t="n">
        <x:v>420742</x:v>
      </x:c>
      <x:c r="O37" s="32" t="n">
        <x:v>0.3993</x:v>
      </x:c>
      <x:c r="P37" s="32" t="n">
        <x:v>1451.740360514323</x:v>
      </x:c>
      <x:c r="Q37" s="32" t="n">
        <x:v>32.11747252146403</x:v>
      </x:c>
      <x:c r="R37" s="32" t="n">
        <x:v>5.41065377927693</x:v>
      </x:c>
      <x:c r="S37" s="32" t="n">
        <x:v>2.4712496669880126</x:v>
      </x:c>
      <x:c r="T37" s="32" t="n">
        <x:v>72.1</x:v>
      </x:c>
      <x:c r="U37" s="32" t="n">
        <x:v>211.4154781728841</x:v>
      </x:c>
      <x:c r="V37" s="32" t="n">
        <x:v>325.42757789465</x:v>
      </x:c>
      <x:c r="W37" s="33" t="n">
        <x:f>IF(ISNUMBER(E37),100*MAX(0,MIN(1,('Anchors'!$H$6-E37)/('Anchors'!$H$6-'Anchors'!$G$6))),"")</x:f>
        <x:v>54.714285714285715</x:v>
      </x:c>
      <x:c r="X37" s="33" t="n">
        <x:f>IF(ISNUMBER(F37),100*MAX(0,MIN(1,('Anchors'!$H$7-F37)/('Anchors'!$H$7-'Anchors'!$G$7))),"")</x:f>
        <x:v>58.41584158415842</x:v>
      </x:c>
      <x:c r="Y37" s="33" t="n">
        <x:f>IF(ISNUMBER(G37),100*MAX(0,MIN(1,('Anchors'!$H$8-G37)/('Anchors'!$H$8-'Anchors'!$G$8))),"")</x:f>
        <x:v>38.860580922892666</x:v>
      </x:c>
      <x:c r="Z37" s="33" t="n">
        <x:f>IF(ISNUMBER(H37),100*MAX(0,MIN(1,('Anchors'!$H$9-H37)/('Anchors'!$H$9-'Anchors'!$G$9))),"")</x:f>
        <x:v>45.96034446744815</x:v>
      </x:c>
      <x:c r="AA37" s="33" t="n">
        <x:f>IF(ISNUMBER(I37),100*MAX(0,MIN(1,(I37-'Anchors'!$H$10)/('Anchors'!$G$10-'Anchors'!$H$10))),"")</x:f>
        <x:v>9.839595835519017</x:v>
      </x:c>
      <x:c r="AB37" s="33" t="n">
        <x:f>IF(ISNUMBER(J37),100*MAX(0,MIN(1,('Anchors'!$H$11-J37)/('Anchors'!$H$11-'Anchors'!$G$11))),"")</x:f>
        <x:v>98.90631311222853</x:v>
      </x:c>
      <x:c r="AC37" s="33" t="n">
        <x:f>IF(ISNUMBER(K37),100*MAX(0,MIN(1,('Anchors'!$H$12-K37)/('Anchors'!$H$12-'Anchors'!$G$12))),"")</x:f>
        <x:v>95.87539161223431</x:v>
      </x:c>
      <x:c r="AD37" s="33" t="n">
        <x:f>IF(ISNUMBER(L37),100*MAX(0,MIN(1,(L37-'Anchors'!$H$13)/('Anchors'!$G$13-'Anchors'!$H$13))),"")</x:f>
        <x:v>44.157498</x:v>
      </x:c>
      <x:c r="AE37" s="33" t="n">
        <x:f>IF(ISNUMBER(M37),100*MAX(0,MIN(1,(M37-'Anchors'!$H$14)/('Anchors'!$G$14-'Anchors'!$H$14))),"")</x:f>
        <x:v>50.65012587500001</x:v>
      </x:c>
      <x:c r="AF37" s="33" t="n">
        <x:f>IF(ISNUMBER(N37),100*MAX(0,MIN(1,(LN(1+N37)-LN(1+'Anchors'!$H$15))/(LN(1+'Anchors'!$G$15)-LN(1+'Anchors'!$H$15)))),"")</x:f>
        <x:v>100</x:v>
      </x:c>
      <x:c r="AG37" s="33" t="n">
        <x:f>IF(ISNUMBER(O37),100*MAX(0,MIN(1,('Anchors'!$H$16-O37)/('Anchors'!$H$16-'Anchors'!$G$16))),"")</x:f>
        <x:v>61.18888888888889</x:v>
      </x:c>
      <x:c r="AH37" s="33" t="n">
        <x:f>IF(ISNUMBER(P37),100*MAX(0,MIN(1,('Anchors'!$H$17-P37)/('Anchors'!$H$17-'Anchors'!$G$17))),"")</x:f>
        <x:v>49.883975965711805</x:v>
      </x:c>
      <x:c r="AI37" s="33" t="n">
        <x:f>IF(ISNUMBER(Q37),100*MAX(0,MIN(1,('Anchors'!$H$18-Q37)/('Anchors'!$H$18-'Anchors'!$G$18))),"")</x:f>
        <x:v>61.26075354076567</x:v>
      </x:c>
      <x:c r="AJ37" s="33" t="n">
        <x:f>IF(ISNUMBER(R37),100*MAX(0,MIN(1,('Anchors'!$H$19-R37)/('Anchors'!$H$19-'Anchors'!$G$19))),"")</x:f>
        <x:v>99.08743604605127</x:v>
      </x:c>
      <x:c r="AK37" s="33" t="n">
        <x:f>IF(ISNUMBER(S37),100*MAX(0,MIN(1,('Anchors'!$H$20-S37)/('Anchors'!$H$20-'Anchors'!$G$20))),"")</x:f>
        <x:v>92.2565807000631</x:v>
      </x:c>
      <x:c r="AL37" s="33" t="n">
        <x:f>IF(ISNUMBER(T37),100*MAX(0,MIN(1,('Anchors'!$H$21-T37)/('Anchors'!$H$21-'Anchors'!$G$21))),"")</x:f>
        <x:v>87.0909090909091</x:v>
      </x:c>
      <x:c r="AM37" s="33" t="n">
        <x:f>IF(ISNUMBER(U37),100*MAX(0,MIN(1,('Anchors'!$H$22-U37)/('Anchors'!$H$22-'Anchors'!$G$22))),"")</x:f>
        <x:v>44.29226091355795</x:v>
      </x:c>
      <x:c r="AN37" s="33" t="n">
        <x:f>IF(ISNUMBER(V37),100*MAX(0,MIN(1,('Anchors'!$H$23-V37)/('Anchors'!$H$23-'Anchors'!$G$23))),"")</x:f>
        <x:v>68.6431055263375</x:v>
      </x:c>
      <x:c r="AO37" s="27" t="n">
        <x:f>IF(ISNUMBER(W37),IF('Scoring Setup'!$L$9=1,1-'Scoring Setup'!$B$5*(1-MAX(0,MIN(1,(W37-'Scoring Setup'!$K$9)/(100-'Scoring Setup'!$K$9)))),1),"")</x:f>
        <x:v>0.9094285714285715</x:v>
      </x:c>
      <x:c r="AP37" s="27" t="n">
        <x:f>IF(ISNUMBER(X37),IF('Scoring Setup'!$L$10=1,1-'Scoring Setup'!$B$5*(1-MAX(0,MIN(1,(X37-'Scoring Setup'!$K$10)/(100-'Scoring Setup'!$K$10)))),1),"")</x:f>
        <x:v>0.9168316831683169</x:v>
      </x:c>
      <x:c r="AQ37" s="27" t="n">
        <x:f>IF(ISNUMBER(Y37),IF('Scoring Setup'!$L$11=1,1-'Scoring Setup'!$B$5*(1-MAX(0,MIN(1,(Y37-'Scoring Setup'!$K$11)/(100-'Scoring Setup'!$K$11)))),1),"")</x:f>
        <x:v>0.8777211618457853</x:v>
      </x:c>
      <x:c r="AR37" s="27" t="n">
        <x:f>IF(ISNUMBER(Z37),IF('Scoring Setup'!$L$12=1,1-'Scoring Setup'!$B$5*(1-MAX(0,MIN(1,(Z37-'Scoring Setup'!$K$12)/(100-'Scoring Setup'!$K$12)))),1),"")</x:f>
        <x:v>0.8919206889348963</x:v>
      </x:c>
      <x:c r="AS37" s="27" t="n">
        <x:f>IF(ISNUMBER(AA37),IF('Scoring Setup'!$L$13=1,1-'Scoring Setup'!$B$5*(1-MAX(0,MIN(1,(AA37-'Scoring Setup'!$K$13)/(100-'Scoring Setup'!$K$13)))),1),"")</x:f>
        <x:v>0.819679191671038</x:v>
      </x:c>
      <x:c r="AT37" s="27" t="n">
        <x:f>IF(ISNUMBER(AB37),IF('Scoring Setup'!$L$14=1,1-'Scoring Setup'!$B$5*(1-MAX(0,MIN(1,(AB37-'Scoring Setup'!$K$14)/(100-'Scoring Setup'!$K$14)))),1),"")</x:f>
        <x:v>0.9978126262244571</x:v>
      </x:c>
      <x:c r="AU37" s="27" t="n">
        <x:f>IF(ISNUMBER(AC37),IF('Scoring Setup'!$L$15=1,1-'Scoring Setup'!$B$5*(1-MAX(0,MIN(1,(AC37-'Scoring Setup'!$K$15)/(100-'Scoring Setup'!$K$15)))),1),"")</x:f>
        <x:v>0.9917507832244686</x:v>
      </x:c>
      <x:c r="AV37" s="27" t="n">
        <x:f>IF(ISNUMBER(AD37),IF('Scoring Setup'!$L$16=1,1-'Scoring Setup'!$B$5*(1-MAX(0,MIN(1,(AD37-'Scoring Setup'!$K$16)/(100-'Scoring Setup'!$K$16)))),1),"")</x:f>
        <x:v>0.888314996</x:v>
      </x:c>
      <x:c r="AW37" s="27" t="n">
        <x:f>IF(ISNUMBER(AE37),IF('Scoring Setup'!$L$17=1,1-'Scoring Setup'!$B$5*(1-MAX(0,MIN(1,(AE37-'Scoring Setup'!$K$17)/(100-'Scoring Setup'!$K$17)))),1),"")</x:f>
        <x:v>0.90130025175</x:v>
      </x:c>
      <x:c r="AX37" s="27" t="n">
        <x:f>IF(ISNUMBER(AF37),IF('Scoring Setup'!$L$18=1,1-'Scoring Setup'!$B$5*(1-MAX(0,MIN(1,(AF37-'Scoring Setup'!$K$18)/(100-'Scoring Setup'!$K$18)))),1),"")</x:f>
        <x:v>1</x:v>
      </x:c>
      <x:c r="AY37" s="27" t="n">
        <x:f>IF(ISNUMBER(AG37),IF('Scoring Setup'!$L$19=1,1-'Scoring Setup'!$B$5*(1-MAX(0,MIN(1,(AG37-'Scoring Setup'!$K$19)/(100-'Scoring Setup'!$K$19)))),1),"")</x:f>
        <x:v>0.9223777777777777</x:v>
      </x:c>
      <x:c r="AZ37" s="27" t="n">
        <x:f>IF(ISNUMBER(AH37),IF('Scoring Setup'!$L$20=1,1-'Scoring Setup'!$B$5*(1-MAX(0,MIN(1,(AH37-'Scoring Setup'!$K$20)/(100-'Scoring Setup'!$K$20)))),1),"")</x:f>
        <x:v>0.8997679519314237</x:v>
      </x:c>
      <x:c r="BA37" s="27" t="n">
        <x:f>IF(ISNUMBER(AI37),IF('Scoring Setup'!$L$21=1,1-'Scoring Setup'!$B$5*(1-MAX(0,MIN(1,(AI37-'Scoring Setup'!$K$21)/(100-'Scoring Setup'!$K$21)))),1),"")</x:f>
        <x:v>0.9225215070815314</x:v>
      </x:c>
      <x:c r="BB37" s="27" t="n">
        <x:f>IF(ISNUMBER(AJ37),IF('Scoring Setup'!$L$22=1,1-'Scoring Setup'!$B$5*(1-MAX(0,MIN(1,(AJ37-'Scoring Setup'!$K$22)/(100-'Scoring Setup'!$K$22)))),1),"")</x:f>
        <x:v>0.9981748720921025</x:v>
      </x:c>
      <x:c r="BC37" s="27" t="n">
        <x:f>IF(ISNUMBER(AK37),IF('Scoring Setup'!$L$23=1,1-'Scoring Setup'!$B$5*(1-MAX(0,MIN(1,(AK37-'Scoring Setup'!$K$23)/(100-'Scoring Setup'!$K$23)))),1),"")</x:f>
        <x:v>0.9845131614001262</x:v>
      </x:c>
      <x:c r="BD37" s="27" t="n">
        <x:f>IF(ISNUMBER(AL37),IF('Scoring Setup'!$L$24=1,1-'Scoring Setup'!$B$5*(1-MAX(0,MIN(1,(AL37-'Scoring Setup'!$K$24)/(100-'Scoring Setup'!$K$24)))),1),"")</x:f>
        <x:v>0.9741818181818181</x:v>
      </x:c>
      <x:c r="BE37" s="27" t="n">
        <x:f>IF(ISNUMBER(AM37),IF('Scoring Setup'!$L$25=1,1-'Scoring Setup'!$B$5*(1-MAX(0,MIN(1,(AM37-'Scoring Setup'!$K$25)/(100-'Scoring Setup'!$K$25)))),1),"")</x:f>
        <x:v>0.8885845218271159</x:v>
      </x:c>
      <x:c r="BF37" s="27" t="n">
        <x:f>IF(ISNUMBER(AN37),IF('Scoring Setup'!$L$26=1,1-'Scoring Setup'!$B$5*(1-MAX(0,MIN(1,(AN37-'Scoring Setup'!$K$26)/(100-'Scoring Setup'!$K$26)))),1),"")</x:f>
        <x:v>0.937286211052675</x:v>
      </x:c>
      <x:c r="BG37" s="34" t="n">
        <x:f>IF(COUNT(W37,X37)=2,AVERAGE(W37,X37),"")</x:f>
        <x:v>56.56506364922207</x:v>
      </x:c>
      <x:c r="BH37" s="34" t="n">
        <x:f>IF(COUNT(Y37,Z37)=2,AVERAGE(Y37,Z37),"")</x:f>
        <x:v>42.41046269517041</x:v>
      </x:c>
      <x:c r="BI37" s="34" t="n">
        <x:f>IF(COUNT(AA37,AB37,AC37)=3,AVERAGE(AA37,AB37,AC37),"")</x:f>
        <x:v>68.20710018666063</x:v>
      </x:c>
      <x:c r="BJ37" s="34" t="n">
        <x:f>IF(COUNT(AD37,AE37)=2,AVERAGE(AD37,AE37),"")</x:f>
        <x:v>47.4038119375</x:v>
      </x:c>
      <x:c r="BK37" s="34" t="n">
        <x:f>IF(COUNT(AF37,AG37)=2,AVERAGE(AF37,AG37),"")</x:f>
        <x:v>80.59444444444445</x:v>
      </x:c>
      <x:c r="BL37" s="34" t="n">
        <x:f>IF(COUNT(AH37,AI37)=2,AVERAGE(AH37,AI37),"")</x:f>
        <x:v>55.57236475323874</x:v>
      </x:c>
      <x:c r="BM37" s="34" t="n">
        <x:f>IF(COUNT(AJ37,AK37)=2,AVERAGE(AJ37,AK37),"")</x:f>
        <x:v>95.67200837305718</x:v>
      </x:c>
      <x:c r="BN37" s="34" t="n">
        <x:f>IF(COUNT(AL37,AM37,AN37)=3,AVERAGE(AL37,AM37,AN37),"")</x:f>
        <x:v>66.67542517693484</x:v>
      </x:c>
      <x:c r="BO37" s="35" t="n">
        <x:f>IF(AND(COUNT(BG37:BN37)=8,ABS('Scoring Setup'!$C$17-1)&lt;0.000001),BG37*'Scoring Setup'!$C$9+BH37*'Scoring Setup'!$C$10+BI37*'Scoring Setup'!$C$11+BJ37*'Scoring Setup'!$C$12+BK37*'Scoring Setup'!$C$13+BL37*'Scoring Setup'!$C$14+BM37*'Scoring Setup'!$C$15+BN37*'Scoring Setup'!$C$16,"")</x:f>
        <x:v>61.323980770212046</x:v>
      </x:c>
      <x:c r="BP37" s="36" t="n">
        <x:f>IF(COUNT(AO37:BF37)=18,MIN(AO37:BF37),"")</x:f>
        <x:v>0.819679191671038</x:v>
      </x:c>
      <x:c r="BQ37" s="35" t="n">
        <x:f>IF(AND(ISNUMBER(BO37),ISNUMBER(BP37)),BO37*BP37,"")</x:f>
        <x:v>50.265990987777684</x:v>
      </x:c>
      <x:c r="BR37" s="17" t="str">
        <x:f>IF(COUNT(AO37:BF37)=18,INDEX('Scoring Setup'!$F$9:$F$26,MATCH(MIN(AO37:BF37),AO37:BF37,0),1),"")</x:f>
        <x:v>低不透水土地比例</x:v>
      </x:c>
    </x:row>
    <x:row r="38">
      <x:c r="A38" s="28" t="str">
        <x:v>13069</x:v>
      </x:c>
      <x:c r="B38" s="28" t="str">
        <x:v>Coffee County</x:v>
      </x:c>
      <x:c r="C38" s="28" t="str">
        <x:v>GA</x:v>
      </x:c>
      <x:c r="D38" s="31" t="n">
        <x:v>1533.916511</x:v>
      </x:c>
      <x:c r="E38" s="32" t="n">
        <x:v>0.53</x:v>
      </x:c>
      <x:c r="F38" s="32" t="n">
        <x:v>0.0931311881188119</x:v>
      </x:c>
      <x:c r="G38" s="32" t="n">
        <x:v>1.3966526102197216</x:v>
      </x:c>
      <x:c r="H38" s="32" t="n">
        <x:v>1.315207910673089</x:v>
      </x:c>
      <x:c r="I38" s="32" t="n">
        <x:v>0.9179100816483863</x:v>
      </x:c>
      <x:c r="J38" s="32" t="n">
        <x:v>0.01822253065694086</x:v>
      </x:c>
      <x:c r="K38" s="32" t="n">
        <x:v>0.25370688346123743</x:v>
      </x:c>
      <x:c r="L38" s="32" t="n">
        <x:v>0.710607263</x:v>
      </x:c>
      <x:c r="M38" s="32" t="n">
        <x:v>0.710607263</x:v>
      </x:c>
      <x:c r="N38" s="32" t="n">
        <x:v>18325</x:v>
      </x:c>
      <x:c r="O38" s="32" t="n">
        <x:v>0.9609</x:v>
      </x:c>
      <x:c r="P38" s="32" t="n">
        <x:v>2203.380118815104</x:v>
      </x:c>
      <x:c r="Q38" s="32" t="n">
        <x:v>77.47298126220703</x:v>
      </x:c>
      <x:c r="R38" s="32" t="n">
        <x:v>63.770044689852135</x:v>
      </x:c>
      <x:c r="S38" s="32" t="n">
        <x:v>2.741047977767156</x:v>
      </x:c>
      <x:c r="T38" s="32" t="n">
        <x:v>72.1</x:v>
      </x:c>
      <x:c r="U38" s="32" t="n">
        <x:v>211.4154781728841</x:v>
      </x:c>
      <x:c r="V38" s="32" t="n">
        <x:v>325.42757789465</x:v>
      </x:c>
      <x:c r="W38" s="33" t="n">
        <x:f>IF(ISNUMBER(E38),100*MAX(0,MIN(1,('Anchors'!$H$6-E38)/('Anchors'!$H$6-'Anchors'!$G$6))),"")</x:f>
        <x:v>52.85714285714286</x:v>
      </x:c>
      <x:c r="X38" s="33" t="n">
        <x:f>IF(ISNUMBER(F38),100*MAX(0,MIN(1,('Anchors'!$H$7-F38)/('Anchors'!$H$7-'Anchors'!$G$7))),"")</x:f>
        <x:v>100</x:v>
      </x:c>
      <x:c r="Y38" s="33" t="n">
        <x:f>IF(ISNUMBER(G38),100*MAX(0,MIN(1,('Anchors'!$H$8-G38)/('Anchors'!$H$8-'Anchors'!$G$8))),"")</x:f>
        <x:v>86.7782463260093</x:v>
      </x:c>
      <x:c r="Z38" s="33" t="n">
        <x:f>IF(ISNUMBER(H38),100*MAX(0,MIN(1,('Anchors'!$H$9-H38)/('Anchors'!$H$9-'Anchors'!$G$9))),"")</x:f>
        <x:v>89.49306964423037</x:v>
      </x:c>
      <x:c r="AA38" s="33" t="n">
        <x:f>IF(ISNUMBER(I38),100*MAX(0,MIN(1,(I38-'Anchors'!$H$10)/('Anchors'!$G$10-'Anchors'!$H$10))),"")</x:f>
        <x:v>91.49453173265566</x:v>
      </x:c>
      <x:c r="AB38" s="33" t="n">
        <x:f>IF(ISNUMBER(J38),100*MAX(0,MIN(1,('Anchors'!$H$11-J38)/('Anchors'!$H$11-'Anchors'!$G$11))),"")</x:f>
        <x:v>92.71098773722366</x:v>
      </x:c>
      <x:c r="AC38" s="33" t="n">
        <x:f>IF(ISNUMBER(K38),100*MAX(0,MIN(1,('Anchors'!$H$12-K38)/('Anchors'!$H$12-'Anchors'!$G$12))),"")</x:f>
        <x:v>36.573279134690644</x:v>
      </x:c>
      <x:c r="AD38" s="33" t="n">
        <x:f>IF(ISNUMBER(L38),100*MAX(0,MIN(1,(L38-'Anchors'!$H$13)/('Anchors'!$G$13-'Anchors'!$H$13))),"")</x:f>
        <x:v>72.94389471428573</x:v>
      </x:c>
      <x:c r="AE38" s="33" t="n">
        <x:f>IF(ISNUMBER(M38),100*MAX(0,MIN(1,(M38-'Anchors'!$H$14)/('Anchors'!$G$14-'Anchors'!$H$14))),"")</x:f>
        <x:v>76.325907875</x:v>
      </x:c>
      <x:c r="AF38" s="33" t="n">
        <x:f>IF(ISNUMBER(N38),100*MAX(0,MIN(1,(LN(1+N38)-LN(1+'Anchors'!$H$15))/(LN(1+'Anchors'!$G$15)-LN(1+'Anchors'!$H$15)))),"")</x:f>
        <x:v>51.301282711846575</x:v>
      </x:c>
      <x:c r="AG38" s="33" t="n">
        <x:f>IF(ISNUMBER(O38),100*MAX(0,MIN(1,('Anchors'!$H$16-O38)/('Anchors'!$H$16-'Anchors'!$G$16))),"")</x:f>
        <x:v>0</x:v>
      </x:c>
      <x:c r="AH38" s="33" t="n">
        <x:f>IF(ISNUMBER(P38),100*MAX(0,MIN(1,('Anchors'!$H$17-P38)/('Anchors'!$H$17-'Anchors'!$G$17))),"")</x:f>
        <x:v>0</x:v>
      </x:c>
      <x:c r="AI38" s="33" t="n">
        <x:f>IF(ISNUMBER(Q38),100*MAX(0,MIN(1,('Anchors'!$H$18-Q38)/('Anchors'!$H$18-'Anchors'!$G$18))),"")</x:f>
        <x:v>0</x:v>
      </x:c>
      <x:c r="AJ38" s="33" t="n">
        <x:f>IF(ISNUMBER(R38),100*MAX(0,MIN(1,('Anchors'!$H$19-R38)/('Anchors'!$H$19-'Anchors'!$G$19))),"")</x:f>
        <x:v>0</x:v>
      </x:c>
      <x:c r="AK38" s="33" t="n">
        <x:f>IF(ISNUMBER(S38),100*MAX(0,MIN(1,('Anchors'!$H$20-S38)/('Anchors'!$H$20-'Anchors'!$G$20))),"")</x:f>
        <x:v>90.83658959069918</x:v>
      </x:c>
      <x:c r="AL38" s="33" t="n">
        <x:f>IF(ISNUMBER(T38),100*MAX(0,MIN(1,('Anchors'!$H$21-T38)/('Anchors'!$H$21-'Anchors'!$G$21))),"")</x:f>
        <x:v>87.0909090909091</x:v>
      </x:c>
      <x:c r="AM38" s="33" t="n">
        <x:f>IF(ISNUMBER(U38),100*MAX(0,MIN(1,('Anchors'!$H$22-U38)/('Anchors'!$H$22-'Anchors'!$G$22))),"")</x:f>
        <x:v>44.29226091355795</x:v>
      </x:c>
      <x:c r="AN38" s="33" t="n">
        <x:f>IF(ISNUMBER(V38),100*MAX(0,MIN(1,('Anchors'!$H$23-V38)/('Anchors'!$H$23-'Anchors'!$G$23))),"")</x:f>
        <x:v>68.6431055263375</x:v>
      </x:c>
      <x:c r="AO38" s="27" t="n">
        <x:f>IF(ISNUMBER(W38),IF('Scoring Setup'!$L$9=1,1-'Scoring Setup'!$B$5*(1-MAX(0,MIN(1,(W38-'Scoring Setup'!$K$9)/(100-'Scoring Setup'!$K$9)))),1),"")</x:f>
        <x:v>0.9057142857142857</x:v>
      </x:c>
      <x:c r="AP38" s="27" t="n">
        <x:f>IF(ISNUMBER(X38),IF('Scoring Setup'!$L$10=1,1-'Scoring Setup'!$B$5*(1-MAX(0,MIN(1,(X38-'Scoring Setup'!$K$10)/(100-'Scoring Setup'!$K$10)))),1),"")</x:f>
        <x:v>1</x:v>
      </x:c>
      <x:c r="AQ38" s="27" t="n">
        <x:f>IF(ISNUMBER(Y38),IF('Scoring Setup'!$L$11=1,1-'Scoring Setup'!$B$5*(1-MAX(0,MIN(1,(Y38-'Scoring Setup'!$K$11)/(100-'Scoring Setup'!$K$11)))),1),"")</x:f>
        <x:v>0.9735564926520186</x:v>
      </x:c>
      <x:c r="AR38" s="27" t="n">
        <x:f>IF(ISNUMBER(Z38),IF('Scoring Setup'!$L$12=1,1-'Scoring Setup'!$B$5*(1-MAX(0,MIN(1,(Z38-'Scoring Setup'!$K$12)/(100-'Scoring Setup'!$K$12)))),1),"")</x:f>
        <x:v>0.9789861392884608</x:v>
      </x:c>
      <x:c r="AS38" s="27" t="n">
        <x:f>IF(ISNUMBER(AA38),IF('Scoring Setup'!$L$13=1,1-'Scoring Setup'!$B$5*(1-MAX(0,MIN(1,(AA38-'Scoring Setup'!$K$13)/(100-'Scoring Setup'!$K$13)))),1),"")</x:f>
        <x:v>0.9829890634653113</x:v>
      </x:c>
      <x:c r="AT38" s="27" t="n">
        <x:f>IF(ISNUMBER(AB38),IF('Scoring Setup'!$L$14=1,1-'Scoring Setup'!$B$5*(1-MAX(0,MIN(1,(AB38-'Scoring Setup'!$K$14)/(100-'Scoring Setup'!$K$14)))),1),"")</x:f>
        <x:v>0.9854219754744473</x:v>
      </x:c>
      <x:c r="AU38" s="27" t="n">
        <x:f>IF(ISNUMBER(AC38),IF('Scoring Setup'!$L$15=1,1-'Scoring Setup'!$B$5*(1-MAX(0,MIN(1,(AC38-'Scoring Setup'!$K$15)/(100-'Scoring Setup'!$K$15)))),1),"")</x:f>
        <x:v>0.8731465582693813</x:v>
      </x:c>
      <x:c r="AV38" s="27" t="n">
        <x:f>IF(ISNUMBER(AD38),IF('Scoring Setup'!$L$16=1,1-'Scoring Setup'!$B$5*(1-MAX(0,MIN(1,(AD38-'Scoring Setup'!$K$16)/(100-'Scoring Setup'!$K$16)))),1),"")</x:f>
        <x:v>0.9458877894285714</x:v>
      </x:c>
      <x:c r="AW38" s="27" t="n">
        <x:f>IF(ISNUMBER(AE38),IF('Scoring Setup'!$L$17=1,1-'Scoring Setup'!$B$5*(1-MAX(0,MIN(1,(AE38-'Scoring Setup'!$K$17)/(100-'Scoring Setup'!$K$17)))),1),"")</x:f>
        <x:v>0.95265181575</x:v>
      </x:c>
      <x:c r="AX38" s="27" t="n">
        <x:f>IF(ISNUMBER(AF38),IF('Scoring Setup'!$L$18=1,1-'Scoring Setup'!$B$5*(1-MAX(0,MIN(1,(AF38-'Scoring Setup'!$K$18)/(100-'Scoring Setup'!$K$18)))),1),"")</x:f>
        <x:v>0.9026025654236931</x:v>
      </x:c>
      <x:c r="AY38" s="27" t="n">
        <x:f>IF(ISNUMBER(AG38),IF('Scoring Setup'!$L$19=1,1-'Scoring Setup'!$B$5*(1-MAX(0,MIN(1,(AG38-'Scoring Setup'!$K$19)/(100-'Scoring Setup'!$K$19)))),1),"")</x:f>
        <x:v>0.8</x:v>
      </x:c>
      <x:c r="AZ38" s="27" t="n">
        <x:f>IF(ISNUMBER(AH38),IF('Scoring Setup'!$L$20=1,1-'Scoring Setup'!$B$5*(1-MAX(0,MIN(1,(AH38-'Scoring Setup'!$K$20)/(100-'Scoring Setup'!$K$20)))),1),"")</x:f>
        <x:v>0.8</x:v>
      </x:c>
      <x:c r="BA38" s="27" t="n">
        <x:f>IF(ISNUMBER(AI38),IF('Scoring Setup'!$L$21=1,1-'Scoring Setup'!$B$5*(1-MAX(0,MIN(1,(AI38-'Scoring Setup'!$K$21)/(100-'Scoring Setup'!$K$21)))),1),"")</x:f>
        <x:v>0.8</x:v>
      </x:c>
      <x:c r="BB38" s="27" t="n">
        <x:f>IF(ISNUMBER(AJ38),IF('Scoring Setup'!$L$22=1,1-'Scoring Setup'!$B$5*(1-MAX(0,MIN(1,(AJ38-'Scoring Setup'!$K$22)/(100-'Scoring Setup'!$K$22)))),1),"")</x:f>
        <x:v>0.8</x:v>
      </x:c>
      <x:c r="BC38" s="27" t="n">
        <x:f>IF(ISNUMBER(AK38),IF('Scoring Setup'!$L$23=1,1-'Scoring Setup'!$B$5*(1-MAX(0,MIN(1,(AK38-'Scoring Setup'!$K$23)/(100-'Scoring Setup'!$K$23)))),1),"")</x:f>
        <x:v>0.9816731791813984</x:v>
      </x:c>
      <x:c r="BD38" s="27" t="n">
        <x:f>IF(ISNUMBER(AL38),IF('Scoring Setup'!$L$24=1,1-'Scoring Setup'!$B$5*(1-MAX(0,MIN(1,(AL38-'Scoring Setup'!$K$24)/(100-'Scoring Setup'!$K$24)))),1),"")</x:f>
        <x:v>0.9741818181818181</x:v>
      </x:c>
      <x:c r="BE38" s="27" t="n">
        <x:f>IF(ISNUMBER(AM38),IF('Scoring Setup'!$L$25=1,1-'Scoring Setup'!$B$5*(1-MAX(0,MIN(1,(AM38-'Scoring Setup'!$K$25)/(100-'Scoring Setup'!$K$25)))),1),"")</x:f>
        <x:v>0.8885845218271159</x:v>
      </x:c>
      <x:c r="BF38" s="27" t="n">
        <x:f>IF(ISNUMBER(AN38),IF('Scoring Setup'!$L$26=1,1-'Scoring Setup'!$B$5*(1-MAX(0,MIN(1,(AN38-'Scoring Setup'!$K$26)/(100-'Scoring Setup'!$K$26)))),1),"")</x:f>
        <x:v>0.937286211052675</x:v>
      </x:c>
      <x:c r="BG38" s="34" t="n">
        <x:f>IF(COUNT(W38,X38)=2,AVERAGE(W38,X38),"")</x:f>
        <x:v>76.42857142857143</x:v>
      </x:c>
      <x:c r="BH38" s="34" t="n">
        <x:f>IF(COUNT(Y38,Z38)=2,AVERAGE(Y38,Z38),"")</x:f>
        <x:v>88.13565798511983</x:v>
      </x:c>
      <x:c r="BI38" s="34" t="n">
        <x:f>IF(COUNT(AA38,AB38,AC38)=3,AVERAGE(AA38,AB38,AC38),"")</x:f>
        <x:v>73.59293286818999</x:v>
      </x:c>
      <x:c r="BJ38" s="34" t="n">
        <x:f>IF(COUNT(AD38,AE38)=2,AVERAGE(AD38,AE38),"")</x:f>
        <x:v>74.63490129464287</x:v>
      </x:c>
      <x:c r="BK38" s="34" t="n">
        <x:f>IF(COUNT(AF38,AG38)=2,AVERAGE(AF38,AG38),"")</x:f>
        <x:v>25.650641355923288</x:v>
      </x:c>
      <x:c r="BL38" s="34" t="n">
        <x:f>IF(COUNT(AH38,AI38)=2,AVERAGE(AH38,AI38),"")</x:f>
        <x:v>0</x:v>
      </x:c>
      <x:c r="BM38" s="34" t="n">
        <x:f>IF(COUNT(AJ38,AK38)=2,AVERAGE(AJ38,AK38),"")</x:f>
        <x:v>45.41829479534959</x:v>
      </x:c>
      <x:c r="BN38" s="34" t="n">
        <x:f>IF(COUNT(AL38,AM38,AN38)=3,AVERAGE(AL38,AM38,AN38),"")</x:f>
        <x:v>66.67542517693484</x:v>
      </x:c>
      <x:c r="BO38" s="35" t="n">
        <x:f>IF(AND(COUNT(BG38:BN38)=8,ABS('Scoring Setup'!$C$17-1)&lt;0.000001),BG38*'Scoring Setup'!$C$9+BH38*'Scoring Setup'!$C$10+BI38*'Scoring Setup'!$C$11+BJ38*'Scoring Setup'!$C$12+BK38*'Scoring Setup'!$C$13+BL38*'Scoring Setup'!$C$14+BM38*'Scoring Setup'!$C$15+BN38*'Scoring Setup'!$C$16,"")</x:f>
        <x:v>64.93137858460466</x:v>
      </x:c>
      <x:c r="BP38" s="36" t="n">
        <x:f>IF(COUNT(AO38:BF38)=18,MIN(AO38:BF38),"")</x:f>
        <x:v>0.8</x:v>
      </x:c>
      <x:c r="BQ38" s="35" t="n">
        <x:f>IF(AND(ISNUMBER(BO38),ISNUMBER(BP38)),BO38*BP38,"")</x:f>
        <x:v>51.94510286768373</x:v>
      </x:c>
      <x:c r="BR38" s="17" t="str">
        <x:f>IF(COUNT(AO38:BF38)=18,INDEX('Scoring Setup'!$F$9:$F$26,MATCH(MIN(AO38:BF38),AO38:BF38,0),1),"")</x:f>
        <x:v>社会脆弱性百分位</x:v>
      </x:c>
    </x:row>
    <x:row r="39">
      <x:c r="A39" s="28" t="str">
        <x:v>13071</x:v>
      </x:c>
      <x:c r="B39" s="28" t="str">
        <x:v>Colquitt County</x:v>
      </x:c>
      <x:c r="C39" s="28" t="str">
        <x:v>GA</x:v>
      </x:c>
      <x:c r="D39" s="31" t="n">
        <x:v>1416.897182</x:v>
      </x:c>
      <x:c r="E39" s="32" t="n">
        <x:v>0.485</x:v>
      </x:c>
      <x:c r="F39" s="32" t="n">
        <x:v>0.168007425742574</x:v>
      </x:c>
      <x:c r="G39" s="32" t="n">
        <x:v>2.7823417471811625</x:v>
      </x:c>
      <x:c r="H39" s="32" t="n">
        <x:v>2.9385799333576905</x:v>
      </x:c>
      <x:c r="I39" s="32" t="n">
        <x:v>0.9094257979671474</x:v>
      </x:c>
      <x:c r="J39" s="32" t="n">
        <x:v>0.007309913618705441</x:v>
      </x:c>
      <x:c r="K39" s="32" t="n">
        <x:v>0.19913357144711424</x:v>
      </x:c>
      <x:c r="L39" s="32" t="n">
        <x:v>0.716349879</x:v>
      </x:c>
      <x:c r="M39" s="32" t="n">
        <x:v>0.705866266</x:v>
      </x:c>
      <x:c r="N39" s="32" t="n">
        <x:v>21472</x:v>
      </x:c>
      <x:c r="O39" s="32" t="n">
        <x:v>0.9847</x:v>
      </x:c>
      <x:c r="P39" s="32" t="n">
        <x:v>2295.207763671875</x:v>
      </x:c>
      <x:c r="Q39" s="32" t="n">
        <x:v>73.61512285868326</x:v>
      </x:c>
      <x:c r="R39" s="32" t="n">
        <x:v>29.52853121829435</x:v>
      </x:c>
      <x:c r="S39" s="32" t="n">
        <x:v>0.9963905229312676</x:v>
      </x:c>
      <x:c r="T39" s="32" t="n">
        <x:v>72.1</x:v>
      </x:c>
      <x:c r="U39" s="32" t="n">
        <x:v>211.4154781728841</x:v>
      </x:c>
      <x:c r="V39" s="32" t="n">
        <x:v>325.42757789465</x:v>
      </x:c>
      <x:c r="W39" s="33" t="n">
        <x:f>IF(ISNUMBER(E39),100*MAX(0,MIN(1,('Anchors'!$H$6-E39)/('Anchors'!$H$6-'Anchors'!$G$6))),"")</x:f>
        <x:v>59.2857142857143</x:v>
      </x:c>
      <x:c r="X39" s="33" t="n">
        <x:f>IF(ISNUMBER(F39),100*MAX(0,MIN(1,('Anchors'!$H$7-F39)/('Anchors'!$H$7-'Anchors'!$G$7))),"")</x:f>
        <x:v>90.28465346534658</x:v>
      </x:c>
      <x:c r="Y39" s="33" t="n">
        <x:f>IF(ISNUMBER(G39),100*MAX(0,MIN(1,('Anchors'!$H$8-G39)/('Anchors'!$H$8-'Anchors'!$G$8))),"")</x:f>
        <x:v>40.58860842729459</x:v>
      </x:c>
      <x:c r="Z39" s="33" t="n">
        <x:f>IF(ISNUMBER(H39),100*MAX(0,MIN(1,('Anchors'!$H$9-H39)/('Anchors'!$H$9-'Anchors'!$G$9))),"")</x:f>
        <x:v>35.38066888807698</x:v>
      </x:c>
      <x:c r="AA39" s="33" t="n">
        <x:f>IF(ISNUMBER(I39),100*MAX(0,MIN(1,(I39-'Anchors'!$H$10)/('Anchors'!$G$10-'Anchors'!$H$10))),"")</x:f>
        <x:v>90.33230109139005</x:v>
      </x:c>
      <x:c r="AB39" s="33" t="n">
        <x:f>IF(ISNUMBER(J39),100*MAX(0,MIN(1,('Anchors'!$H$11-J39)/('Anchors'!$H$11-'Anchors'!$G$11))),"")</x:f>
        <x:v>97.07603455251783</x:v>
      </x:c>
      <x:c r="AC39" s="33" t="n">
        <x:f>IF(ISNUMBER(K39),100*MAX(0,MIN(1,('Anchors'!$H$12-K39)/('Anchors'!$H$12-'Anchors'!$G$12))),"")</x:f>
        <x:v>50.216607138221434</x:v>
      </x:c>
      <x:c r="AD39" s="33" t="n">
        <x:f>IF(ISNUMBER(L39),100*MAX(0,MIN(1,(L39-'Anchors'!$H$13)/('Anchors'!$G$13-'Anchors'!$H$13))),"")</x:f>
        <x:v>73.76426842857144</x:v>
      </x:c>
      <x:c r="AE39" s="33" t="n">
        <x:f>IF(ISNUMBER(M39),100*MAX(0,MIN(1,(M39-'Anchors'!$H$14)/('Anchors'!$G$14-'Anchors'!$H$14))),"")</x:f>
        <x:v>75.73328325</x:v>
      </x:c>
      <x:c r="AF39" s="33" t="n">
        <x:f>IF(ISNUMBER(N39),100*MAX(0,MIN(1,(LN(1+N39)-LN(1+'Anchors'!$H$15))/(LN(1+'Anchors'!$G$15)-LN(1+'Anchors'!$H$15)))),"")</x:f>
        <x:v>54.97225103412372</x:v>
      </x:c>
      <x:c r="AG39" s="33" t="n">
        <x:f>IF(ISNUMBER(O39),100*MAX(0,MIN(1,('Anchors'!$H$16-O39)/('Anchors'!$H$16-'Anchors'!$G$16))),"")</x:f>
        <x:v>0</x:v>
      </x:c>
      <x:c r="AH39" s="33" t="n">
        <x:f>IF(ISNUMBER(P39),100*MAX(0,MIN(1,('Anchors'!$H$17-P39)/('Anchors'!$H$17-'Anchors'!$G$17))),"")</x:f>
        <x:v>0</x:v>
      </x:c>
      <x:c r="AI39" s="33" t="n">
        <x:f>IF(ISNUMBER(Q39),100*MAX(0,MIN(1,('Anchors'!$H$18-Q39)/('Anchors'!$H$18-'Anchors'!$G$18))),"")</x:f>
        <x:v>1.9783959161667652</x:v>
      </x:c>
      <x:c r="AJ39" s="33" t="n">
        <x:f>IF(ISNUMBER(R39),100*MAX(0,MIN(1,('Anchors'!$H$19-R39)/('Anchors'!$H$19-'Anchors'!$G$19))),"")</x:f>
        <x:v>45.492152848234774</x:v>
      </x:c>
      <x:c r="AK39" s="33" t="n">
        <x:f>IF(ISNUMBER(S39),100*MAX(0,MIN(1,('Anchors'!$H$20-S39)/('Anchors'!$H$20-'Anchors'!$G$20))),"")</x:f>
        <x:v>100</x:v>
      </x:c>
      <x:c r="AL39" s="33" t="n">
        <x:f>IF(ISNUMBER(T39),100*MAX(0,MIN(1,('Anchors'!$H$21-T39)/('Anchors'!$H$21-'Anchors'!$G$21))),"")</x:f>
        <x:v>87.0909090909091</x:v>
      </x:c>
      <x:c r="AM39" s="33" t="n">
        <x:f>IF(ISNUMBER(U39),100*MAX(0,MIN(1,('Anchors'!$H$22-U39)/('Anchors'!$H$22-'Anchors'!$G$22))),"")</x:f>
        <x:v>44.29226091355795</x:v>
      </x:c>
      <x:c r="AN39" s="33" t="n">
        <x:f>IF(ISNUMBER(V39),100*MAX(0,MIN(1,('Anchors'!$H$23-V39)/('Anchors'!$H$23-'Anchors'!$G$23))),"")</x:f>
        <x:v>68.6431055263375</x:v>
      </x:c>
      <x:c r="AO39" s="27" t="n">
        <x:f>IF(ISNUMBER(W39),IF('Scoring Setup'!$L$9=1,1-'Scoring Setup'!$B$5*(1-MAX(0,MIN(1,(W39-'Scoring Setup'!$K$9)/(100-'Scoring Setup'!$K$9)))),1),"")</x:f>
        <x:v>0.9185714285714286</x:v>
      </x:c>
      <x:c r="AP39" s="27" t="n">
        <x:f>IF(ISNUMBER(X39),IF('Scoring Setup'!$L$10=1,1-'Scoring Setup'!$B$5*(1-MAX(0,MIN(1,(X39-'Scoring Setup'!$K$10)/(100-'Scoring Setup'!$K$10)))),1),"")</x:f>
        <x:v>0.9805693069306931</x:v>
      </x:c>
      <x:c r="AQ39" s="27" t="n">
        <x:f>IF(ISNUMBER(Y39),IF('Scoring Setup'!$L$11=1,1-'Scoring Setup'!$B$5*(1-MAX(0,MIN(1,(Y39-'Scoring Setup'!$K$11)/(100-'Scoring Setup'!$K$11)))),1),"")</x:f>
        <x:v>0.8811772168545892</x:v>
      </x:c>
      <x:c r="AR39" s="27" t="n">
        <x:f>IF(ISNUMBER(Z39),IF('Scoring Setup'!$L$12=1,1-'Scoring Setup'!$B$5*(1-MAX(0,MIN(1,(Z39-'Scoring Setup'!$K$12)/(100-'Scoring Setup'!$K$12)))),1),"")</x:f>
        <x:v>0.8707613377761539</x:v>
      </x:c>
      <x:c r="AS39" s="27" t="n">
        <x:f>IF(ISNUMBER(AA39),IF('Scoring Setup'!$L$13=1,1-'Scoring Setup'!$B$5*(1-MAX(0,MIN(1,(AA39-'Scoring Setup'!$K$13)/(100-'Scoring Setup'!$K$13)))),1),"")</x:f>
        <x:v>0.9806646021827801</x:v>
      </x:c>
      <x:c r="AT39" s="27" t="n">
        <x:f>IF(ISNUMBER(AB39),IF('Scoring Setup'!$L$14=1,1-'Scoring Setup'!$B$5*(1-MAX(0,MIN(1,(AB39-'Scoring Setup'!$K$14)/(100-'Scoring Setup'!$K$14)))),1),"")</x:f>
        <x:v>0.9941520691050356</x:v>
      </x:c>
      <x:c r="AU39" s="27" t="n">
        <x:f>IF(ISNUMBER(AC39),IF('Scoring Setup'!$L$15=1,1-'Scoring Setup'!$B$5*(1-MAX(0,MIN(1,(AC39-'Scoring Setup'!$K$15)/(100-'Scoring Setup'!$K$15)))),1),"")</x:f>
        <x:v>0.9004332142764429</x:v>
      </x:c>
      <x:c r="AV39" s="27" t="n">
        <x:f>IF(ISNUMBER(AD39),IF('Scoring Setup'!$L$16=1,1-'Scoring Setup'!$B$5*(1-MAX(0,MIN(1,(AD39-'Scoring Setup'!$K$16)/(100-'Scoring Setup'!$K$16)))),1),"")</x:f>
        <x:v>0.9475285368571429</x:v>
      </x:c>
      <x:c r="AW39" s="27" t="n">
        <x:f>IF(ISNUMBER(AE39),IF('Scoring Setup'!$L$17=1,1-'Scoring Setup'!$B$5*(1-MAX(0,MIN(1,(AE39-'Scoring Setup'!$K$17)/(100-'Scoring Setup'!$K$17)))),1),"")</x:f>
        <x:v>0.9514665664999999</x:v>
      </x:c>
      <x:c r="AX39" s="27" t="n">
        <x:f>IF(ISNUMBER(AF39),IF('Scoring Setup'!$L$18=1,1-'Scoring Setup'!$B$5*(1-MAX(0,MIN(1,(AF39-'Scoring Setup'!$K$18)/(100-'Scoring Setup'!$K$18)))),1),"")</x:f>
        <x:v>0.9099445020682474</x:v>
      </x:c>
      <x:c r="AY39" s="27" t="n">
        <x:f>IF(ISNUMBER(AG39),IF('Scoring Setup'!$L$19=1,1-'Scoring Setup'!$B$5*(1-MAX(0,MIN(1,(AG39-'Scoring Setup'!$K$19)/(100-'Scoring Setup'!$K$19)))),1),"")</x:f>
        <x:v>0.8</x:v>
      </x:c>
      <x:c r="AZ39" s="27" t="n">
        <x:f>IF(ISNUMBER(AH39),IF('Scoring Setup'!$L$20=1,1-'Scoring Setup'!$B$5*(1-MAX(0,MIN(1,(AH39-'Scoring Setup'!$K$20)/(100-'Scoring Setup'!$K$20)))),1),"")</x:f>
        <x:v>0.8</x:v>
      </x:c>
      <x:c r="BA39" s="27" t="n">
        <x:f>IF(ISNUMBER(AI39),IF('Scoring Setup'!$L$21=1,1-'Scoring Setup'!$B$5*(1-MAX(0,MIN(1,(AI39-'Scoring Setup'!$K$21)/(100-'Scoring Setup'!$K$21)))),1),"")</x:f>
        <x:v>0.8039567918323335</x:v>
      </x:c>
      <x:c r="BB39" s="27" t="n">
        <x:f>IF(ISNUMBER(AJ39),IF('Scoring Setup'!$L$22=1,1-'Scoring Setup'!$B$5*(1-MAX(0,MIN(1,(AJ39-'Scoring Setup'!$K$22)/(100-'Scoring Setup'!$K$22)))),1),"")</x:f>
        <x:v>0.8909843056964696</x:v>
      </x:c>
      <x:c r="BC39" s="27" t="n">
        <x:f>IF(ISNUMBER(AK39),IF('Scoring Setup'!$L$23=1,1-'Scoring Setup'!$B$5*(1-MAX(0,MIN(1,(AK39-'Scoring Setup'!$K$23)/(100-'Scoring Setup'!$K$23)))),1),"")</x:f>
        <x:v>1</x:v>
      </x:c>
      <x:c r="BD39" s="27" t="n">
        <x:f>IF(ISNUMBER(AL39),IF('Scoring Setup'!$L$24=1,1-'Scoring Setup'!$B$5*(1-MAX(0,MIN(1,(AL39-'Scoring Setup'!$K$24)/(100-'Scoring Setup'!$K$24)))),1),"")</x:f>
        <x:v>0.9741818181818181</x:v>
      </x:c>
      <x:c r="BE39" s="27" t="n">
        <x:f>IF(ISNUMBER(AM39),IF('Scoring Setup'!$L$25=1,1-'Scoring Setup'!$B$5*(1-MAX(0,MIN(1,(AM39-'Scoring Setup'!$K$25)/(100-'Scoring Setup'!$K$25)))),1),"")</x:f>
        <x:v>0.8885845218271159</x:v>
      </x:c>
      <x:c r="BF39" s="27" t="n">
        <x:f>IF(ISNUMBER(AN39),IF('Scoring Setup'!$L$26=1,1-'Scoring Setup'!$B$5*(1-MAX(0,MIN(1,(AN39-'Scoring Setup'!$K$26)/(100-'Scoring Setup'!$K$26)))),1),"")</x:f>
        <x:v>0.937286211052675</x:v>
      </x:c>
      <x:c r="BG39" s="34" t="n">
        <x:f>IF(COUNT(W39,X39)=2,AVERAGE(W39,X39),"")</x:f>
        <x:v>74.78518387553044</x:v>
      </x:c>
      <x:c r="BH39" s="34" t="n">
        <x:f>IF(COUNT(Y39,Z39)=2,AVERAGE(Y39,Z39),"")</x:f>
        <x:v>37.984638657685785</x:v>
      </x:c>
      <x:c r="BI39" s="34" t="n">
        <x:f>IF(COUNT(AA39,AB39,AC39)=3,AVERAGE(AA39,AB39,AC39),"")</x:f>
        <x:v>79.20831426070977</x:v>
      </x:c>
      <x:c r="BJ39" s="34" t="n">
        <x:f>IF(COUNT(AD39,AE39)=2,AVERAGE(AD39,AE39),"")</x:f>
        <x:v>74.74877583928571</x:v>
      </x:c>
      <x:c r="BK39" s="34" t="n">
        <x:f>IF(COUNT(AF39,AG39)=2,AVERAGE(AF39,AG39),"")</x:f>
        <x:v>27.48612551706186</x:v>
      </x:c>
      <x:c r="BL39" s="34" t="n">
        <x:f>IF(COUNT(AH39,AI39)=2,AVERAGE(AH39,AI39),"")</x:f>
        <x:v>0.9891979580833826</x:v>
      </x:c>
      <x:c r="BM39" s="34" t="n">
        <x:f>IF(COUNT(AJ39,AK39)=2,AVERAGE(AJ39,AK39),"")</x:f>
        <x:v>72.74607642411739</x:v>
      </x:c>
      <x:c r="BN39" s="34" t="n">
        <x:f>IF(COUNT(AL39,AM39,AN39)=3,AVERAGE(AL39,AM39,AN39),"")</x:f>
        <x:v>66.67542517693484</x:v>
      </x:c>
      <x:c r="BO39" s="35" t="n">
        <x:f>IF(AND(COUNT(BG39:BN39)=8,ABS('Scoring Setup'!$C$17-1)&lt;0.000001),BG39*'Scoring Setup'!$C$9+BH39*'Scoring Setup'!$C$10+BI39*'Scoring Setup'!$C$11+BJ39*'Scoring Setup'!$C$12+BK39*'Scoring Setup'!$C$13+BL39*'Scoring Setup'!$C$14+BM39*'Scoring Setup'!$C$15+BN39*'Scoring Setup'!$C$16,"")</x:f>
        <x:v>56.909158952986424</x:v>
      </x:c>
      <x:c r="BP39" s="36" t="n">
        <x:f>IF(COUNT(AO39:BF39)=18,MIN(AO39:BF39),"")</x:f>
        <x:v>0.8</x:v>
      </x:c>
      <x:c r="BQ39" s="35" t="n">
        <x:f>IF(AND(ISNUMBER(BO39),ISNUMBER(BP39)),BO39*BP39,"")</x:f>
        <x:v>45.52732716238914</x:v>
      </x:c>
      <x:c r="BR39" s="17" t="str">
        <x:f>IF(COUNT(AO39:BF39)=18,INDEX('Scoring Setup'!$F$9:$F$26,MATCH(MIN(AO39:BF39),AO39:BF39,0),1),"")</x:f>
        <x:v>社会脆弱性百分位</x:v>
      </x:c>
    </x:row>
    <x:row r="40">
      <x:c r="A40" s="28" t="str">
        <x:v>13073</x:v>
      </x:c>
      <x:c r="B40" s="28" t="str">
        <x:v>Columbia County</x:v>
      </x:c>
      <x:c r="C40" s="28" t="str">
        <x:v>GA</x:v>
      </x:c>
      <x:c r="D40" s="31" t="n">
        <x:v>751.599702</x:v>
      </x:c>
      <x:c r="E40" s="32" t="n">
        <x:v>0.623</x:v>
      </x:c>
      <x:c r="F40" s="32" t="n">
        <x:v>0.646658415841584</x:v>
      </x:c>
      <x:c r="G40" s="32" t="n">
        <x:v>2.931926380780837</x:v>
      </x:c>
      <x:c r="H40" s="32" t="n">
        <x:v>2.735302759</x:v>
      </x:c>
      <x:c r="I40" s="32" t="n">
        <x:v>0.7706804918590429</x:v>
      </x:c>
      <x:c r="J40" s="32" t="n">
        <x:v>0.012217903661102756</x:v>
      </x:c>
      <x:c r="K40" s="32" t="n">
        <x:v>0.04431628746299839</x:v>
      </x:c>
      <x:c r="L40" s="32" t="n">
        <x:v>0.499100496</x:v>
      </x:c>
      <x:c r="M40" s="32" t="n">
        <x:v>0.498135174</x:v>
      </x:c>
      <x:c r="N40" s="32" t="n">
        <x:v>75299</x:v>
      </x:c>
      <x:c r="O40" s="32" t="n">
        <x:v>0.23</x:v>
      </x:c>
      <x:c r="P40" s="32" t="n">
        <x:v>1727.334785970052</x:v>
      </x:c>
      <x:c r="Q40" s="32" t="n">
        <x:v>57.015149688720705</x:v>
      </x:c>
      <x:c r="R40" s="32" t="n">
        <x:v>6.904872616866323</x:v>
      </x:c>
      <x:c r="S40" s="32" t="n">
        <x:v>10.61210036942745</x:v>
      </x:c>
      <x:c r="T40" s="32" t="n">
        <x:v>72.1</x:v>
      </x:c>
      <x:c r="U40" s="32" t="n">
        <x:v>211.4154781728841</x:v>
      </x:c>
      <x:c r="V40" s="32" t="n">
        <x:v>325.42757789465</x:v>
      </x:c>
      <x:c r="W40" s="33" t="n">
        <x:f>IF(ISNUMBER(E40),100*MAX(0,MIN(1,('Anchors'!$H$6-E40)/('Anchors'!$H$6-'Anchors'!$G$6))),"")</x:f>
        <x:v>39.57142857142858</x:v>
      </x:c>
      <x:c r="X40" s="33" t="n">
        <x:f>IF(ISNUMBER(F40),100*MAX(0,MIN(1,('Anchors'!$H$7-F40)/('Anchors'!$H$7-'Anchors'!$G$7))),"")</x:f>
        <x:v>21.90594059405943</x:v>
      </x:c>
      <x:c r="Y40" s="33" t="n">
        <x:f>IF(ISNUMBER(G40),100*MAX(0,MIN(1,('Anchors'!$H$8-G40)/('Anchors'!$H$8-'Anchors'!$G$8))),"")</x:f>
        <x:v>35.6024539739721</x:v>
      </x:c>
      <x:c r="Z40" s="33" t="n">
        <x:f>IF(ISNUMBER(H40),100*MAX(0,MIN(1,('Anchors'!$H$9-H40)/('Anchors'!$H$9-'Anchors'!$G$9))),"")</x:f>
        <x:v>42.1565747</x:v>
      </x:c>
      <x:c r="AA40" s="33" t="n">
        <x:f>IF(ISNUMBER(I40),100*MAX(0,MIN(1,(I40-'Anchors'!$H$10)/('Anchors'!$G$10-'Anchors'!$H$10))),"")</x:f>
        <x:v>71.32609477521136</x:v>
      </x:c>
      <x:c r="AB40" s="33" t="n">
        <x:f>IF(ISNUMBER(J40),100*MAX(0,MIN(1,('Anchors'!$H$11-J40)/('Anchors'!$H$11-'Anchors'!$G$11))),"")</x:f>
        <x:v>95.1128385355589</x:v>
      </x:c>
      <x:c r="AC40" s="33" t="n">
        <x:f>IF(ISNUMBER(K40),100*MAX(0,MIN(1,('Anchors'!$H$12-K40)/('Anchors'!$H$12-'Anchors'!$G$12))),"")</x:f>
        <x:v>88.9209281342504</x:v>
      </x:c>
      <x:c r="AD40" s="33" t="n">
        <x:f>IF(ISNUMBER(L40),100*MAX(0,MIN(1,(L40-'Anchors'!$H$13)/('Anchors'!$G$13-'Anchors'!$H$13))),"")</x:f>
        <x:v>42.72864228571429</x:v>
      </x:c>
      <x:c r="AE40" s="33" t="n">
        <x:f>IF(ISNUMBER(M40),100*MAX(0,MIN(1,(M40-'Anchors'!$H$14)/('Anchors'!$G$14-'Anchors'!$H$14))),"")</x:f>
        <x:v>49.766896749999994</x:v>
      </x:c>
      <x:c r="AF40" s="33" t="n">
        <x:f>IF(ISNUMBER(N40),100*MAX(0,MIN(1,(LN(1+N40)-LN(1+'Anchors'!$H$15))/(LN(1+'Anchors'!$G$15)-LN(1+'Anchors'!$H$15)))),"")</x:f>
        <x:v>84.03607506892236</x:v>
      </x:c>
      <x:c r="AG40" s="33" t="n">
        <x:f>IF(ISNUMBER(O40),100*MAX(0,MIN(1,('Anchors'!$H$16-O40)/('Anchors'!$H$16-'Anchors'!$G$16))),"")</x:f>
        <x:v>80</x:v>
      </x:c>
      <x:c r="AH40" s="33" t="n">
        <x:f>IF(ISNUMBER(P40),100*MAX(0,MIN(1,('Anchors'!$H$17-P40)/('Anchors'!$H$17-'Anchors'!$G$17))),"")</x:f>
        <x:v>31.511014268663196</x:v>
      </x:c>
      <x:c r="AI40" s="33" t="n">
        <x:f>IF(ISNUMBER(Q40),100*MAX(0,MIN(1,('Anchors'!$H$18-Q40)/('Anchors'!$H$18-'Anchors'!$G$18))),"")</x:f>
        <x:v>25.692643301827566</x:v>
      </x:c>
      <x:c r="AJ40" s="33" t="n">
        <x:f>IF(ISNUMBER(R40),100*MAX(0,MIN(1,('Anchors'!$H$19-R40)/('Anchors'!$H$19-'Anchors'!$G$19))),"")</x:f>
        <x:v>95.76694974029706</x:v>
      </x:c>
      <x:c r="AK40" s="33" t="n">
        <x:f>IF(ISNUMBER(S40),100*MAX(0,MIN(1,('Anchors'!$H$20-S40)/('Anchors'!$H$20-'Anchors'!$G$20))),"")</x:f>
        <x:v>49.409998055645</x:v>
      </x:c>
      <x:c r="AL40" s="33" t="n">
        <x:f>IF(ISNUMBER(T40),100*MAX(0,MIN(1,('Anchors'!$H$21-T40)/('Anchors'!$H$21-'Anchors'!$G$21))),"")</x:f>
        <x:v>87.0909090909091</x:v>
      </x:c>
      <x:c r="AM40" s="33" t="n">
        <x:f>IF(ISNUMBER(U40),100*MAX(0,MIN(1,('Anchors'!$H$22-U40)/('Anchors'!$H$22-'Anchors'!$G$22))),"")</x:f>
        <x:v>44.29226091355795</x:v>
      </x:c>
      <x:c r="AN40" s="33" t="n">
        <x:f>IF(ISNUMBER(V40),100*MAX(0,MIN(1,('Anchors'!$H$23-V40)/('Anchors'!$H$23-'Anchors'!$G$23))),"")</x:f>
        <x:v>68.6431055263375</x:v>
      </x:c>
      <x:c r="AO40" s="27" t="n">
        <x:f>IF(ISNUMBER(W40),IF('Scoring Setup'!$L$9=1,1-'Scoring Setup'!$B$5*(1-MAX(0,MIN(1,(W40-'Scoring Setup'!$K$9)/(100-'Scoring Setup'!$K$9)))),1),"")</x:f>
        <x:v>0.8791428571428571</x:v>
      </x:c>
      <x:c r="AP40" s="27" t="n">
        <x:f>IF(ISNUMBER(X40),IF('Scoring Setup'!$L$10=1,1-'Scoring Setup'!$B$5*(1-MAX(0,MIN(1,(X40-'Scoring Setup'!$K$10)/(100-'Scoring Setup'!$K$10)))),1),"")</x:f>
        <x:v>0.8438118811881189</x:v>
      </x:c>
      <x:c r="AQ40" s="27" t="n">
        <x:f>IF(ISNUMBER(Y40),IF('Scoring Setup'!$L$11=1,1-'Scoring Setup'!$B$5*(1-MAX(0,MIN(1,(Y40-'Scoring Setup'!$K$11)/(100-'Scoring Setup'!$K$11)))),1),"")</x:f>
        <x:v>0.8712049079479443</x:v>
      </x:c>
      <x:c r="AR40" s="27" t="n">
        <x:f>IF(ISNUMBER(Z40),IF('Scoring Setup'!$L$12=1,1-'Scoring Setup'!$B$5*(1-MAX(0,MIN(1,(Z40-'Scoring Setup'!$K$12)/(100-'Scoring Setup'!$K$12)))),1),"")</x:f>
        <x:v>0.8843131494</x:v>
      </x:c>
      <x:c r="AS40" s="27" t="n">
        <x:f>IF(ISNUMBER(AA40),IF('Scoring Setup'!$L$13=1,1-'Scoring Setup'!$B$5*(1-MAX(0,MIN(1,(AA40-'Scoring Setup'!$K$13)/(100-'Scoring Setup'!$K$13)))),1),"")</x:f>
        <x:v>0.9426521895504227</x:v>
      </x:c>
      <x:c r="AT40" s="27" t="n">
        <x:f>IF(ISNUMBER(AB40),IF('Scoring Setup'!$L$14=1,1-'Scoring Setup'!$B$5*(1-MAX(0,MIN(1,(AB40-'Scoring Setup'!$K$14)/(100-'Scoring Setup'!$K$14)))),1),"")</x:f>
        <x:v>0.9902256770711177</x:v>
      </x:c>
      <x:c r="AU40" s="27" t="n">
        <x:f>IF(ISNUMBER(AC40),IF('Scoring Setup'!$L$15=1,1-'Scoring Setup'!$B$5*(1-MAX(0,MIN(1,(AC40-'Scoring Setup'!$K$15)/(100-'Scoring Setup'!$K$15)))),1),"")</x:f>
        <x:v>0.9778418562685008</x:v>
      </x:c>
      <x:c r="AV40" s="27" t="n">
        <x:f>IF(ISNUMBER(AD40),IF('Scoring Setup'!$L$16=1,1-'Scoring Setup'!$B$5*(1-MAX(0,MIN(1,(AD40-'Scoring Setup'!$K$16)/(100-'Scoring Setup'!$K$16)))),1),"")</x:f>
        <x:v>0.8854572845714286</x:v>
      </x:c>
      <x:c r="AW40" s="27" t="n">
        <x:f>IF(ISNUMBER(AE40),IF('Scoring Setup'!$L$17=1,1-'Scoring Setup'!$B$5*(1-MAX(0,MIN(1,(AE40-'Scoring Setup'!$K$17)/(100-'Scoring Setup'!$K$17)))),1),"")</x:f>
        <x:v>0.8995337935</x:v>
      </x:c>
      <x:c r="AX40" s="27" t="n">
        <x:f>IF(ISNUMBER(AF40),IF('Scoring Setup'!$L$18=1,1-'Scoring Setup'!$B$5*(1-MAX(0,MIN(1,(AF40-'Scoring Setup'!$K$18)/(100-'Scoring Setup'!$K$18)))),1),"")</x:f>
        <x:v>0.9680721501378448</x:v>
      </x:c>
      <x:c r="AY40" s="27" t="n">
        <x:f>IF(ISNUMBER(AG40),IF('Scoring Setup'!$L$19=1,1-'Scoring Setup'!$B$5*(1-MAX(0,MIN(1,(AG40-'Scoring Setup'!$K$19)/(100-'Scoring Setup'!$K$19)))),1),"")</x:f>
        <x:v>0.96</x:v>
      </x:c>
      <x:c r="AZ40" s="27" t="n">
        <x:f>IF(ISNUMBER(AH40),IF('Scoring Setup'!$L$20=1,1-'Scoring Setup'!$B$5*(1-MAX(0,MIN(1,(AH40-'Scoring Setup'!$K$20)/(100-'Scoring Setup'!$K$20)))),1),"")</x:f>
        <x:v>0.8630220285373263</x:v>
      </x:c>
      <x:c r="BA40" s="27" t="n">
        <x:f>IF(ISNUMBER(AI40),IF('Scoring Setup'!$L$21=1,1-'Scoring Setup'!$B$5*(1-MAX(0,MIN(1,(AI40-'Scoring Setup'!$K$21)/(100-'Scoring Setup'!$K$21)))),1),"")</x:f>
        <x:v>0.8513852866036551</x:v>
      </x:c>
      <x:c r="BB40" s="27" t="n">
        <x:f>IF(ISNUMBER(AJ40),IF('Scoring Setup'!$L$22=1,1-'Scoring Setup'!$B$5*(1-MAX(0,MIN(1,(AJ40-'Scoring Setup'!$K$22)/(100-'Scoring Setup'!$K$22)))),1),"")</x:f>
        <x:v>0.9915338994805941</x:v>
      </x:c>
      <x:c r="BC40" s="27" t="n">
        <x:f>IF(ISNUMBER(AK40),IF('Scoring Setup'!$L$23=1,1-'Scoring Setup'!$B$5*(1-MAX(0,MIN(1,(AK40-'Scoring Setup'!$K$23)/(100-'Scoring Setup'!$K$23)))),1),"")</x:f>
        <x:v>0.8988199961112899</x:v>
      </x:c>
      <x:c r="BD40" s="27" t="n">
        <x:f>IF(ISNUMBER(AL40),IF('Scoring Setup'!$L$24=1,1-'Scoring Setup'!$B$5*(1-MAX(0,MIN(1,(AL40-'Scoring Setup'!$K$24)/(100-'Scoring Setup'!$K$24)))),1),"")</x:f>
        <x:v>0.9741818181818181</x:v>
      </x:c>
      <x:c r="BE40" s="27" t="n">
        <x:f>IF(ISNUMBER(AM40),IF('Scoring Setup'!$L$25=1,1-'Scoring Setup'!$B$5*(1-MAX(0,MIN(1,(AM40-'Scoring Setup'!$K$25)/(100-'Scoring Setup'!$K$25)))),1),"")</x:f>
        <x:v>0.8885845218271159</x:v>
      </x:c>
      <x:c r="BF40" s="27" t="n">
        <x:f>IF(ISNUMBER(AN40),IF('Scoring Setup'!$L$26=1,1-'Scoring Setup'!$B$5*(1-MAX(0,MIN(1,(AN40-'Scoring Setup'!$K$26)/(100-'Scoring Setup'!$K$26)))),1),"")</x:f>
        <x:v>0.937286211052675</x:v>
      </x:c>
      <x:c r="BG40" s="34" t="n">
        <x:f>IF(COUNT(W40,X40)=2,AVERAGE(W40,X40),"")</x:f>
        <x:v>30.738684582744003</x:v>
      </x:c>
      <x:c r="BH40" s="34" t="n">
        <x:f>IF(COUNT(Y40,Z40)=2,AVERAGE(Y40,Z40),"")</x:f>
        <x:v>38.87951433698605</x:v>
      </x:c>
      <x:c r="BI40" s="34" t="n">
        <x:f>IF(COUNT(AA40,AB40,AC40)=3,AVERAGE(AA40,AB40,AC40),"")</x:f>
        <x:v>85.1199538150069</x:v>
      </x:c>
      <x:c r="BJ40" s="34" t="n">
        <x:f>IF(COUNT(AD40,AE40)=2,AVERAGE(AD40,AE40),"")</x:f>
        <x:v>46.24776951785714</x:v>
      </x:c>
      <x:c r="BK40" s="34" t="n">
        <x:f>IF(COUNT(AF40,AG40)=2,AVERAGE(AF40,AG40),"")</x:f>
        <x:v>82.01803753446117</x:v>
      </x:c>
      <x:c r="BL40" s="34" t="n">
        <x:f>IF(COUNT(AH40,AI40)=2,AVERAGE(AH40,AI40),"")</x:f>
        <x:v>28.60182878524538</x:v>
      </x:c>
      <x:c r="BM40" s="34" t="n">
        <x:f>IF(COUNT(AJ40,AK40)=2,AVERAGE(AJ40,AK40),"")</x:f>
        <x:v>72.58847389797103</x:v>
      </x:c>
      <x:c r="BN40" s="34" t="n">
        <x:f>IF(COUNT(AL40,AM40,AN40)=3,AVERAGE(AL40,AM40,AN40),"")</x:f>
        <x:v>66.67542517693484</x:v>
      </x:c>
      <x:c r="BO40" s="35" t="n">
        <x:f>IF(AND(COUNT(BG40:BN40)=8,ABS('Scoring Setup'!$C$17-1)&lt;0.000001),BG40*'Scoring Setup'!$C$9+BH40*'Scoring Setup'!$C$10+BI40*'Scoring Setup'!$C$11+BJ40*'Scoring Setup'!$C$12+BK40*'Scoring Setup'!$C$13+BL40*'Scoring Setup'!$C$14+BM40*'Scoring Setup'!$C$15+BN40*'Scoring Setup'!$C$16,"")</x:f>
        <x:v>57.2504900996454</x:v>
      </x:c>
      <x:c r="BP40" s="36" t="n">
        <x:f>IF(COUNT(AO40:BF40)=18,MIN(AO40:BF40),"")</x:f>
        <x:v>0.8438118811881189</x:v>
      </x:c>
      <x:c r="BQ40" s="35" t="n">
        <x:f>IF(AND(ISNUMBER(BO40),ISNUMBER(BP40)),BO40*BP40,"")</x:f>
        <x:v>48.30864374992356</x:v>
      </x:c>
      <x:c r="BR40" s="17" t="str">
        <x:f>IF(COUNT(AO40:BF40)=18,INDEX('Scoring Setup'!$F$9:$F$26,MATCH(MIN(AO40:BF40),AO40:BF40,0),1),"")</x:f>
        <x:v>洪水损失率全国百分位</x:v>
      </x:c>
    </x:row>
    <x:row r="41">
      <x:c r="A41" s="28" t="str">
        <x:v>13075</x:v>
      </x:c>
      <x:c r="B41" s="28" t="str">
        <x:v>Cook County</x:v>
      </x:c>
      <x:c r="C41" s="28" t="str">
        <x:v>GA</x:v>
      </x:c>
      <x:c r="D41" s="31" t="n">
        <x:v>591.694198</x:v>
      </x:c>
      <x:c r="E41" s="32" t="n">
        <x:v>0.499</x:v>
      </x:c>
      <x:c r="F41" s="32" t="n">
        <x:v>0.225866336633663</x:v>
      </x:c>
      <x:c r="G41" s="32" t="n">
        <x:v>2.8615833765292407</x:v>
      </x:c>
      <x:c r="H41" s="32" t="n">
        <x:v>3.072920026</x:v>
      </x:c>
      <x:c r="I41" s="32" t="n">
        <x:v>0.9024384381858248</x:v>
      </x:c>
      <x:c r="J41" s="32" t="n">
        <x:v>0.004465155109666866</x:v>
      </x:c>
      <x:c r="K41" s="32" t="n">
        <x:v>0.27444559442282185</x:v>
      </x:c>
      <x:c r="L41" s="32" t="n">
        <x:v>0.741780273</x:v>
      </x:c>
      <x:c r="M41" s="32" t="n">
        <x:v>0.733417344</x:v>
      </x:c>
      <x:c r="N41" s="32" t="n">
        <x:v>7902</x:v>
      </x:c>
      <x:c r="O41" s="32" t="n">
        <x:v>0.9338</x:v>
      </x:c>
      <x:c r="P41" s="32" t="n">
        <x:v>2257.7932698567706</x:v>
      </x:c>
      <x:c r="Q41" s="32" t="n">
        <x:v>73.77168769836426</x:v>
      </x:c>
      <x:c r="R41" s="32" t="n">
        <x:v>1.4070442416438826</x:v>
      </x:c>
      <x:c r="S41" s="32" t="n">
        <x:v>0.08991112305477474</x:v>
      </x:c>
      <x:c r="T41" s="32" t="n">
        <x:v>72.1</x:v>
      </x:c>
      <x:c r="U41" s="32" t="n">
        <x:v>211.4154781728841</x:v>
      </x:c>
      <x:c r="V41" s="32" t="n">
        <x:v>325.42757789465</x:v>
      </x:c>
      <x:c r="W41" s="33" t="n">
        <x:f>IF(ISNUMBER(E41),100*MAX(0,MIN(1,('Anchors'!$H$6-E41)/('Anchors'!$H$6-'Anchors'!$G$6))),"")</x:f>
        <x:v>57.28571428571429</x:v>
      </x:c>
      <x:c r="X41" s="33" t="n">
        <x:f>IF(ISNUMBER(F41),100*MAX(0,MIN(1,('Anchors'!$H$7-F41)/('Anchors'!$H$7-'Anchors'!$G$7))),"")</x:f>
        <x:v>82.01909476661956</x:v>
      </x:c>
      <x:c r="Y41" s="33" t="n">
        <x:f>IF(ISNUMBER(G41),100*MAX(0,MIN(1,('Anchors'!$H$8-G41)/('Anchors'!$H$8-'Anchors'!$G$8))),"")</x:f>
        <x:v>37.94722078235864</x:v>
      </x:c>
      <x:c r="Z41" s="33" t="n">
        <x:f>IF(ISNUMBER(H41),100*MAX(0,MIN(1,('Anchors'!$H$9-H41)/('Anchors'!$H$9-'Anchors'!$G$9))),"")</x:f>
        <x:v>30.90266580000001</x:v>
      </x:c>
      <x:c r="AA41" s="33" t="n">
        <x:f>IF(ISNUMBER(I41),100*MAX(0,MIN(1,(I41-'Anchors'!$H$10)/('Anchors'!$G$10-'Anchors'!$H$10))),"")</x:f>
        <x:v>89.37512851860615</x:v>
      </x:c>
      <x:c r="AB41" s="33" t="n">
        <x:f>IF(ISNUMBER(J41),100*MAX(0,MIN(1,('Anchors'!$H$11-J41)/('Anchors'!$H$11-'Anchors'!$G$11))),"")</x:f>
        <x:v>98.21393795613325</x:v>
      </x:c>
      <x:c r="AC41" s="33" t="n">
        <x:f>IF(ISNUMBER(K41),100*MAX(0,MIN(1,('Anchors'!$H$12-K41)/('Anchors'!$H$12-'Anchors'!$G$12))),"")</x:f>
        <x:v>31.38860139429454</x:v>
      </x:c>
      <x:c r="AD41" s="33" t="n">
        <x:f>IF(ISNUMBER(L41),100*MAX(0,MIN(1,(L41-'Anchors'!$H$13)/('Anchors'!$G$13-'Anchors'!$H$13))),"")</x:f>
        <x:v>77.39718185714287</x:v>
      </x:c>
      <x:c r="AE41" s="33" t="n">
        <x:f>IF(ISNUMBER(M41),100*MAX(0,MIN(1,(M41-'Anchors'!$H$14)/('Anchors'!$G$14-'Anchors'!$H$14))),"")</x:f>
        <x:v>79.177168</x:v>
      </x:c>
      <x:c r="AF41" s="33" t="n">
        <x:f>IF(ISNUMBER(N41),100*MAX(0,MIN(1,(LN(1+N41)-LN(1+'Anchors'!$H$15))/(LN(1+'Anchors'!$G$15)-LN(1+'Anchors'!$H$15)))),"")</x:f>
        <x:v>31.818322902954225</x:v>
      </x:c>
      <x:c r="AG41" s="33" t="n">
        <x:f>IF(ISNUMBER(O41),100*MAX(0,MIN(1,('Anchors'!$H$16-O41)/('Anchors'!$H$16-'Anchors'!$G$16))),"")</x:f>
        <x:v>1.7999999999999992</x:v>
      </x:c>
      <x:c r="AH41" s="33" t="n">
        <x:f>IF(ISNUMBER(P41),100*MAX(0,MIN(1,('Anchors'!$H$17-P41)/('Anchors'!$H$17-'Anchors'!$G$17))),"")</x:f>
        <x:v>0</x:v>
      </x:c>
      <x:c r="AI41" s="33" t="n">
        <x:f>IF(ISNUMBER(Q41),100*MAX(0,MIN(1,('Anchors'!$H$18-Q41)/('Anchors'!$H$18-'Anchors'!$G$18))),"")</x:f>
        <x:v>1.7547318594796277</x:v>
      </x:c>
      <x:c r="AJ41" s="33" t="n">
        <x:f>IF(ISNUMBER(R41),100*MAX(0,MIN(1,('Anchors'!$H$19-R41)/('Anchors'!$H$19-'Anchors'!$G$19))),"")</x:f>
        <x:v>100</x:v>
      </x:c>
      <x:c r="AK41" s="33" t="n">
        <x:f>IF(ISNUMBER(S41),100*MAX(0,MIN(1,('Anchors'!$H$20-S41)/('Anchors'!$H$20-'Anchors'!$G$20))),"")</x:f>
        <x:v>100</x:v>
      </x:c>
      <x:c r="AL41" s="33" t="n">
        <x:f>IF(ISNUMBER(T41),100*MAX(0,MIN(1,('Anchors'!$H$21-T41)/('Anchors'!$H$21-'Anchors'!$G$21))),"")</x:f>
        <x:v>87.0909090909091</x:v>
      </x:c>
      <x:c r="AM41" s="33" t="n">
        <x:f>IF(ISNUMBER(U41),100*MAX(0,MIN(1,('Anchors'!$H$22-U41)/('Anchors'!$H$22-'Anchors'!$G$22))),"")</x:f>
        <x:v>44.29226091355795</x:v>
      </x:c>
      <x:c r="AN41" s="33" t="n">
        <x:f>IF(ISNUMBER(V41),100*MAX(0,MIN(1,('Anchors'!$H$23-V41)/('Anchors'!$H$23-'Anchors'!$G$23))),"")</x:f>
        <x:v>68.6431055263375</x:v>
      </x:c>
      <x:c r="AO41" s="27" t="n">
        <x:f>IF(ISNUMBER(W41),IF('Scoring Setup'!$L$9=1,1-'Scoring Setup'!$B$5*(1-MAX(0,MIN(1,(W41-'Scoring Setup'!$K$9)/(100-'Scoring Setup'!$K$9)))),1),"")</x:f>
        <x:v>0.9145714285714286</x:v>
      </x:c>
      <x:c r="AP41" s="27" t="n">
        <x:f>IF(ISNUMBER(X41),IF('Scoring Setup'!$L$10=1,1-'Scoring Setup'!$B$5*(1-MAX(0,MIN(1,(X41-'Scoring Setup'!$K$10)/(100-'Scoring Setup'!$K$10)))),1),"")</x:f>
        <x:v>0.9640381895332392</x:v>
      </x:c>
      <x:c r="AQ41" s="27" t="n">
        <x:f>IF(ISNUMBER(Y41),IF('Scoring Setup'!$L$11=1,1-'Scoring Setup'!$B$5*(1-MAX(0,MIN(1,(Y41-'Scoring Setup'!$K$11)/(100-'Scoring Setup'!$K$11)))),1),"")</x:f>
        <x:v>0.8758944415647173</x:v>
      </x:c>
      <x:c r="AR41" s="27" t="n">
        <x:f>IF(ISNUMBER(Z41),IF('Scoring Setup'!$L$12=1,1-'Scoring Setup'!$B$5*(1-MAX(0,MIN(1,(Z41-'Scoring Setup'!$K$12)/(100-'Scoring Setup'!$K$12)))),1),"")</x:f>
        <x:v>0.8618053316000001</x:v>
      </x:c>
      <x:c r="AS41" s="27" t="n">
        <x:f>IF(ISNUMBER(AA41),IF('Scoring Setup'!$L$13=1,1-'Scoring Setup'!$B$5*(1-MAX(0,MIN(1,(AA41-'Scoring Setup'!$K$13)/(100-'Scoring Setup'!$K$13)))),1),"")</x:f>
        <x:v>0.9787502570372123</x:v>
      </x:c>
      <x:c r="AT41" s="27" t="n">
        <x:f>IF(ISNUMBER(AB41),IF('Scoring Setup'!$L$14=1,1-'Scoring Setup'!$B$5*(1-MAX(0,MIN(1,(AB41-'Scoring Setup'!$K$14)/(100-'Scoring Setup'!$K$14)))),1),"")</x:f>
        <x:v>0.9964278759122664</x:v>
      </x:c>
      <x:c r="AU41" s="27" t="n">
        <x:f>IF(ISNUMBER(AC41),IF('Scoring Setup'!$L$15=1,1-'Scoring Setup'!$B$5*(1-MAX(0,MIN(1,(AC41-'Scoring Setup'!$K$15)/(100-'Scoring Setup'!$K$15)))),1),"")</x:f>
        <x:v>0.862777202788589</x:v>
      </x:c>
      <x:c r="AV41" s="27" t="n">
        <x:f>IF(ISNUMBER(AD41),IF('Scoring Setup'!$L$16=1,1-'Scoring Setup'!$B$5*(1-MAX(0,MIN(1,(AD41-'Scoring Setup'!$K$16)/(100-'Scoring Setup'!$K$16)))),1),"")</x:f>
        <x:v>0.9547943637142857</x:v>
      </x:c>
      <x:c r="AW41" s="27" t="n">
        <x:f>IF(ISNUMBER(AE41),IF('Scoring Setup'!$L$17=1,1-'Scoring Setup'!$B$5*(1-MAX(0,MIN(1,(AE41-'Scoring Setup'!$K$17)/(100-'Scoring Setup'!$K$17)))),1),"")</x:f>
        <x:v>0.958354336</x:v>
      </x:c>
      <x:c r="AX41" s="27" t="n">
        <x:f>IF(ISNUMBER(AF41),IF('Scoring Setup'!$L$18=1,1-'Scoring Setup'!$B$5*(1-MAX(0,MIN(1,(AF41-'Scoring Setup'!$K$18)/(100-'Scoring Setup'!$K$18)))),1),"")</x:f>
        <x:v>0.8636366458059085</x:v>
      </x:c>
      <x:c r="AY41" s="27" t="n">
        <x:f>IF(ISNUMBER(AG41),IF('Scoring Setup'!$L$19=1,1-'Scoring Setup'!$B$5*(1-MAX(0,MIN(1,(AG41-'Scoring Setup'!$K$19)/(100-'Scoring Setup'!$K$19)))),1),"")</x:f>
        <x:v>0.8036</x:v>
      </x:c>
      <x:c r="AZ41" s="27" t="n">
        <x:f>IF(ISNUMBER(AH41),IF('Scoring Setup'!$L$20=1,1-'Scoring Setup'!$B$5*(1-MAX(0,MIN(1,(AH41-'Scoring Setup'!$K$20)/(100-'Scoring Setup'!$K$20)))),1),"")</x:f>
        <x:v>0.8</x:v>
      </x:c>
      <x:c r="BA41" s="27" t="n">
        <x:f>IF(ISNUMBER(AI41),IF('Scoring Setup'!$L$21=1,1-'Scoring Setup'!$B$5*(1-MAX(0,MIN(1,(AI41-'Scoring Setup'!$K$21)/(100-'Scoring Setup'!$K$21)))),1),"")</x:f>
        <x:v>0.8035094637189593</x:v>
      </x:c>
      <x:c r="BB41" s="27" t="n">
        <x:f>IF(ISNUMBER(AJ41),IF('Scoring Setup'!$L$22=1,1-'Scoring Setup'!$B$5*(1-MAX(0,MIN(1,(AJ41-'Scoring Setup'!$K$22)/(100-'Scoring Setup'!$K$22)))),1),"")</x:f>
        <x:v>1</x:v>
      </x:c>
      <x:c r="BC41" s="27" t="n">
        <x:f>IF(ISNUMBER(AK41),IF('Scoring Setup'!$L$23=1,1-'Scoring Setup'!$B$5*(1-MAX(0,MIN(1,(AK41-'Scoring Setup'!$K$23)/(100-'Scoring Setup'!$K$23)))),1),"")</x:f>
        <x:v>1</x:v>
      </x:c>
      <x:c r="BD41" s="27" t="n">
        <x:f>IF(ISNUMBER(AL41),IF('Scoring Setup'!$L$24=1,1-'Scoring Setup'!$B$5*(1-MAX(0,MIN(1,(AL41-'Scoring Setup'!$K$24)/(100-'Scoring Setup'!$K$24)))),1),"")</x:f>
        <x:v>0.9741818181818181</x:v>
      </x:c>
      <x:c r="BE41" s="27" t="n">
        <x:f>IF(ISNUMBER(AM41),IF('Scoring Setup'!$L$25=1,1-'Scoring Setup'!$B$5*(1-MAX(0,MIN(1,(AM41-'Scoring Setup'!$K$25)/(100-'Scoring Setup'!$K$25)))),1),"")</x:f>
        <x:v>0.8885845218271159</x:v>
      </x:c>
      <x:c r="BF41" s="27" t="n">
        <x:f>IF(ISNUMBER(AN41),IF('Scoring Setup'!$L$26=1,1-'Scoring Setup'!$B$5*(1-MAX(0,MIN(1,(AN41-'Scoring Setup'!$K$26)/(100-'Scoring Setup'!$K$26)))),1),"")</x:f>
        <x:v>0.937286211052675</x:v>
      </x:c>
      <x:c r="BG41" s="34" t="n">
        <x:f>IF(COUNT(W41,X41)=2,AVERAGE(W41,X41),"")</x:f>
        <x:v>69.65240452616692</x:v>
      </x:c>
      <x:c r="BH41" s="34" t="n">
        <x:f>IF(COUNT(Y41,Z41)=2,AVERAGE(Y41,Z41),"")</x:f>
        <x:v>34.424943291179325</x:v>
      </x:c>
      <x:c r="BI41" s="34" t="n">
        <x:f>IF(COUNT(AA41,AB41,AC41)=3,AVERAGE(AA41,AB41,AC41),"")</x:f>
        <x:v>72.99255595634465</x:v>
      </x:c>
      <x:c r="BJ41" s="34" t="n">
        <x:f>IF(COUNT(AD41,AE41)=2,AVERAGE(AD41,AE41),"")</x:f>
        <x:v>78.28717492857143</x:v>
      </x:c>
      <x:c r="BK41" s="34" t="n">
        <x:f>IF(COUNT(AF41,AG41)=2,AVERAGE(AF41,AG41),"")</x:f>
        <x:v>16.809161451477113</x:v>
      </x:c>
      <x:c r="BL41" s="34" t="n">
        <x:f>IF(COUNT(AH41,AI41)=2,AVERAGE(AH41,AI41),"")</x:f>
        <x:v>0.8773659297398139</x:v>
      </x:c>
      <x:c r="BM41" s="34" t="n">
        <x:f>IF(COUNT(AJ41,AK41)=2,AVERAGE(AJ41,AK41),"")</x:f>
        <x:v>100</x:v>
      </x:c>
      <x:c r="BN41" s="34" t="n">
        <x:f>IF(COUNT(AL41,AM41,AN41)=3,AVERAGE(AL41,AM41,AN41),"")</x:f>
        <x:v>66.67542517693484</x:v>
      </x:c>
      <x:c r="BO41" s="35" t="n">
        <x:f>IF(AND(COUNT(BG41:BN41)=8,ABS('Scoring Setup'!$C$17-1)&lt;0.000001),BG41*'Scoring Setup'!$C$9+BH41*'Scoring Setup'!$C$10+BI41*'Scoring Setup'!$C$11+BJ41*'Scoring Setup'!$C$12+BK41*'Scoring Setup'!$C$13+BL41*'Scoring Setup'!$C$14+BM41*'Scoring Setup'!$C$15+BN41*'Scoring Setup'!$C$16,"")</x:f>
        <x:v>55.70561419405932</x:v>
      </x:c>
      <x:c r="BP41" s="36" t="n">
        <x:f>IF(COUNT(AO41:BF41)=18,MIN(AO41:BF41),"")</x:f>
        <x:v>0.8</x:v>
      </x:c>
      <x:c r="BQ41" s="35" t="n">
        <x:f>IF(AND(ISNUMBER(BO41),ISNUMBER(BP41)),BO41*BP41,"")</x:f>
        <x:v>44.56449135524746</x:v>
      </x:c>
      <x:c r="BR41" s="17" t="str">
        <x:f>IF(COUNT(AO41:BF41)=18,INDEX('Scoring Setup'!$F$9:$F$26,MATCH(MIN(AO41:BF41),AO41:BF41,0),1),"")</x:f>
        <x:v>历史CDD65</x:v>
      </x:c>
    </x:row>
    <x:row r="42">
      <x:c r="A42" s="28" t="str">
        <x:v>13077</x:v>
      </x:c>
      <x:c r="B42" s="28" t="str">
        <x:v>Coweta County</x:v>
      </x:c>
      <x:c r="C42" s="28" t="str">
        <x:v>GA</x:v>
      </x:c>
      <x:c r="D42" s="31" t="n">
        <x:v>1142.174889</x:v>
      </x:c>
      <x:c r="E42" s="32" t="n">
        <x:v>0.632</x:v>
      </x:c>
      <x:c r="F42" s="32" t="n">
        <x:v>0.192759900990099</x:v>
      </x:c>
      <x:c r="G42" s="32" t="n">
        <x:v>1.8500681955268017</x:v>
      </x:c>
      <x:c r="H42" s="32" t="n">
        <x:v>1.741073715173898</x:v>
      </x:c>
      <x:c r="I42" s="32" t="n">
        <x:v>0.8252593429977391</x:v>
      </x:c>
      <x:c r="J42" s="32" t="n">
        <x:v>0.01139717907384606</x:v>
      </x:c>
      <x:c r="K42" s="32" t="n">
        <x:v>0.05688921399122224</x:v>
      </x:c>
      <x:c r="L42" s="32" t="n">
        <x:v>0.467404674</x:v>
      </x:c>
      <x:c r="M42" s="32" t="n">
        <x:v>0.459348093</x:v>
      </x:c>
      <x:c r="N42" s="32" t="n">
        <x:v>80512</x:v>
      </x:c>
      <x:c r="O42" s="32" t="n">
        <x:v>0.2402</x:v>
      </x:c>
      <x:c r="P42" s="32" t="n">
        <x:v>1597.12724609375</x:v>
      </x:c>
      <x:c r="Q42" s="32" t="n">
        <x:v>36.913720703125</x:v>
      </x:c>
      <x:c r="R42" s="32" t="n">
        <x:v>0.1437519261483259</x:v>
      </x:c>
      <x:c r="S42" s="32" t="n">
        <x:v>0.10613334915219225</x:v>
      </x:c>
      <x:c r="T42" s="32" t="n">
        <x:v>72.1</x:v>
      </x:c>
      <x:c r="U42" s="32" t="n">
        <x:v>211.4154781728841</x:v>
      </x:c>
      <x:c r="V42" s="32" t="n">
        <x:v>325.42757789465</x:v>
      </x:c>
      <x:c r="W42" s="33" t="n">
        <x:f>IF(ISNUMBER(E42),100*MAX(0,MIN(1,('Anchors'!$H$6-E42)/('Anchors'!$H$6-'Anchors'!$G$6))),"")</x:f>
        <x:v>38.28571428571429</x:v>
      </x:c>
      <x:c r="X42" s="33" t="n">
        <x:f>IF(ISNUMBER(F42),100*MAX(0,MIN(1,('Anchors'!$H$7-F42)/('Anchors'!$H$7-'Anchors'!$G$7))),"")</x:f>
        <x:v>86.748585572843</x:v>
      </x:c>
      <x:c r="Y42" s="33" t="n">
        <x:f>IF(ISNUMBER(G42),100*MAX(0,MIN(1,('Anchors'!$H$8-G42)/('Anchors'!$H$8-'Anchors'!$G$8))),"")</x:f>
        <x:v>71.66439348243995</x:v>
      </x:c>
      <x:c r="Z42" s="33" t="n">
        <x:f>IF(ISNUMBER(H42),100*MAX(0,MIN(1,('Anchors'!$H$9-H42)/('Anchors'!$H$9-'Anchors'!$G$9))),"")</x:f>
        <x:v>75.29754282753673</x:v>
      </x:c>
      <x:c r="AA42" s="33" t="n">
        <x:f>IF(ISNUMBER(I42),100*MAX(0,MIN(1,(I42-'Anchors'!$H$10)/('Anchors'!$G$10-'Anchors'!$H$10))),"")</x:f>
        <x:v>78.80264972571767</x:v>
      </x:c>
      <x:c r="AB42" s="33" t="n">
        <x:f>IF(ISNUMBER(J42),100*MAX(0,MIN(1,('Anchors'!$H$11-J42)/('Anchors'!$H$11-'Anchors'!$G$11))),"")</x:f>
        <x:v>95.44112837046158</x:v>
      </x:c>
      <x:c r="AC42" s="33" t="n">
        <x:f>IF(ISNUMBER(K42),100*MAX(0,MIN(1,('Anchors'!$H$12-K42)/('Anchors'!$H$12-'Anchors'!$G$12))),"")</x:f>
        <x:v>85.77769650219443</x:v>
      </x:c>
      <x:c r="AD42" s="33" t="n">
        <x:f>IF(ISNUMBER(L42),100*MAX(0,MIN(1,(L42-'Anchors'!$H$13)/('Anchors'!$G$13-'Anchors'!$H$13))),"")</x:f>
        <x:v>38.20066771428572</x:v>
      </x:c>
      <x:c r="AE42" s="33" t="n">
        <x:f>IF(ISNUMBER(M42),100*MAX(0,MIN(1,(M42-'Anchors'!$H$14)/('Anchors'!$G$14-'Anchors'!$H$14))),"")</x:f>
        <x:v>44.918511625</x:v>
      </x:c>
      <x:c r="AF42" s="33" t="n">
        <x:f>IF(ISNUMBER(N42),100*MAX(0,MIN(1,(LN(1+N42)-LN(1+'Anchors'!$H$15))/(LN(1+'Anchors'!$G$15)-LN(1+'Anchors'!$H$15)))),"")</x:f>
        <x:v>85.58665663629918</x:v>
      </x:c>
      <x:c r="AG42" s="33" t="n">
        <x:f>IF(ISNUMBER(O42),100*MAX(0,MIN(1,('Anchors'!$H$16-O42)/('Anchors'!$H$16-'Anchors'!$G$16))),"")</x:f>
        <x:v>78.86666666666667</x:v>
      </x:c>
      <x:c r="AH42" s="33" t="n">
        <x:f>IF(ISNUMBER(P42),100*MAX(0,MIN(1,('Anchors'!$H$17-P42)/('Anchors'!$H$17-'Anchors'!$G$17))),"")</x:f>
        <x:v>40.191516927083335</x:v>
      </x:c>
      <x:c r="AI42" s="33" t="n">
        <x:f>IF(ISNUMBER(Q42),100*MAX(0,MIN(1,('Anchors'!$H$18-Q42)/('Anchors'!$H$18-'Anchors'!$G$18))),"")</x:f>
        <x:v>54.40897042410714</x:v>
      </x:c>
      <x:c r="AJ42" s="33" t="n">
        <x:f>IF(ISNUMBER(R42),100*MAX(0,MIN(1,('Anchors'!$H$19-R42)/('Anchors'!$H$19-'Anchors'!$G$19))),"")</x:f>
        <x:v>100</x:v>
      </x:c>
      <x:c r="AK42" s="33" t="n">
        <x:f>IF(ISNUMBER(S42),100*MAX(0,MIN(1,('Anchors'!$H$20-S42)/('Anchors'!$H$20-'Anchors'!$G$20))),"")</x:f>
        <x:v>100</x:v>
      </x:c>
      <x:c r="AL42" s="33" t="n">
        <x:f>IF(ISNUMBER(T42),100*MAX(0,MIN(1,('Anchors'!$H$21-T42)/('Anchors'!$H$21-'Anchors'!$G$21))),"")</x:f>
        <x:v>87.0909090909091</x:v>
      </x:c>
      <x:c r="AM42" s="33" t="n">
        <x:f>IF(ISNUMBER(U42),100*MAX(0,MIN(1,('Anchors'!$H$22-U42)/('Anchors'!$H$22-'Anchors'!$G$22))),"")</x:f>
        <x:v>44.29226091355795</x:v>
      </x:c>
      <x:c r="AN42" s="33" t="n">
        <x:f>IF(ISNUMBER(V42),100*MAX(0,MIN(1,('Anchors'!$H$23-V42)/('Anchors'!$H$23-'Anchors'!$G$23))),"")</x:f>
        <x:v>68.6431055263375</x:v>
      </x:c>
      <x:c r="AO42" s="27" t="n">
        <x:f>IF(ISNUMBER(W42),IF('Scoring Setup'!$L$9=1,1-'Scoring Setup'!$B$5*(1-MAX(0,MIN(1,(W42-'Scoring Setup'!$K$9)/(100-'Scoring Setup'!$K$9)))),1),"")</x:f>
        <x:v>0.8765714285714286</x:v>
      </x:c>
      <x:c r="AP42" s="27" t="n">
        <x:f>IF(ISNUMBER(X42),IF('Scoring Setup'!$L$10=1,1-'Scoring Setup'!$B$5*(1-MAX(0,MIN(1,(X42-'Scoring Setup'!$K$10)/(100-'Scoring Setup'!$K$10)))),1),"")</x:f>
        <x:v>0.973497171145686</x:v>
      </x:c>
      <x:c r="AQ42" s="27" t="n">
        <x:f>IF(ISNUMBER(Y42),IF('Scoring Setup'!$L$11=1,1-'Scoring Setup'!$B$5*(1-MAX(0,MIN(1,(Y42-'Scoring Setup'!$K$11)/(100-'Scoring Setup'!$K$11)))),1),"")</x:f>
        <x:v>0.9433287869648799</x:v>
      </x:c>
      <x:c r="AR42" s="27" t="n">
        <x:f>IF(ISNUMBER(Z42),IF('Scoring Setup'!$L$12=1,1-'Scoring Setup'!$B$5*(1-MAX(0,MIN(1,(Z42-'Scoring Setup'!$K$12)/(100-'Scoring Setup'!$K$12)))),1),"")</x:f>
        <x:v>0.9505950856550734</x:v>
      </x:c>
      <x:c r="AS42" s="27" t="n">
        <x:f>IF(ISNUMBER(AA42),IF('Scoring Setup'!$L$13=1,1-'Scoring Setup'!$B$5*(1-MAX(0,MIN(1,(AA42-'Scoring Setup'!$K$13)/(100-'Scoring Setup'!$K$13)))),1),"")</x:f>
        <x:v>0.9576052994514354</x:v>
      </x:c>
      <x:c r="AT42" s="27" t="n">
        <x:f>IF(ISNUMBER(AB42),IF('Scoring Setup'!$L$14=1,1-'Scoring Setup'!$B$5*(1-MAX(0,MIN(1,(AB42-'Scoring Setup'!$K$14)/(100-'Scoring Setup'!$K$14)))),1),"")</x:f>
        <x:v>0.9908822567409231</x:v>
      </x:c>
      <x:c r="AU42" s="27" t="n">
        <x:f>IF(ISNUMBER(AC42),IF('Scoring Setup'!$L$15=1,1-'Scoring Setup'!$B$5*(1-MAX(0,MIN(1,(AC42-'Scoring Setup'!$K$15)/(100-'Scoring Setup'!$K$15)))),1),"")</x:f>
        <x:v>0.9715553930043889</x:v>
      </x:c>
      <x:c r="AV42" s="27" t="n">
        <x:f>IF(ISNUMBER(AD42),IF('Scoring Setup'!$L$16=1,1-'Scoring Setup'!$B$5*(1-MAX(0,MIN(1,(AD42-'Scoring Setup'!$K$16)/(100-'Scoring Setup'!$K$16)))),1),"")</x:f>
        <x:v>0.8764013354285715</x:v>
      </x:c>
      <x:c r="AW42" s="27" t="n">
        <x:f>IF(ISNUMBER(AE42),IF('Scoring Setup'!$L$17=1,1-'Scoring Setup'!$B$5*(1-MAX(0,MIN(1,(AE42-'Scoring Setup'!$K$17)/(100-'Scoring Setup'!$K$17)))),1),"")</x:f>
        <x:v>0.88983702325</x:v>
      </x:c>
      <x:c r="AX42" s="27" t="n">
        <x:f>IF(ISNUMBER(AF42),IF('Scoring Setup'!$L$18=1,1-'Scoring Setup'!$B$5*(1-MAX(0,MIN(1,(AF42-'Scoring Setup'!$K$18)/(100-'Scoring Setup'!$K$18)))),1),"")</x:f>
        <x:v>0.9711733132725984</x:v>
      </x:c>
      <x:c r="AY42" s="27" t="n">
        <x:f>IF(ISNUMBER(AG42),IF('Scoring Setup'!$L$19=1,1-'Scoring Setup'!$B$5*(1-MAX(0,MIN(1,(AG42-'Scoring Setup'!$K$19)/(100-'Scoring Setup'!$K$19)))),1),"")</x:f>
        <x:v>0.9577333333333333</x:v>
      </x:c>
      <x:c r="AZ42" s="27" t="n">
        <x:f>IF(ISNUMBER(AH42),IF('Scoring Setup'!$L$20=1,1-'Scoring Setup'!$B$5*(1-MAX(0,MIN(1,(AH42-'Scoring Setup'!$K$20)/(100-'Scoring Setup'!$K$20)))),1),"")</x:f>
        <x:v>0.8803830338541667</x:v>
      </x:c>
      <x:c r="BA42" s="27" t="n">
        <x:f>IF(ISNUMBER(AI42),IF('Scoring Setup'!$L$21=1,1-'Scoring Setup'!$B$5*(1-MAX(0,MIN(1,(AI42-'Scoring Setup'!$K$21)/(100-'Scoring Setup'!$K$21)))),1),"")</x:f>
        <x:v>0.9088179408482142</x:v>
      </x:c>
      <x:c r="BB42" s="27" t="n">
        <x:f>IF(ISNUMBER(AJ42),IF('Scoring Setup'!$L$22=1,1-'Scoring Setup'!$B$5*(1-MAX(0,MIN(1,(AJ42-'Scoring Setup'!$K$22)/(100-'Scoring Setup'!$K$22)))),1),"")</x:f>
        <x:v>1</x:v>
      </x:c>
      <x:c r="BC42" s="27" t="n">
        <x:f>IF(ISNUMBER(AK42),IF('Scoring Setup'!$L$23=1,1-'Scoring Setup'!$B$5*(1-MAX(0,MIN(1,(AK42-'Scoring Setup'!$K$23)/(100-'Scoring Setup'!$K$23)))),1),"")</x:f>
        <x:v>1</x:v>
      </x:c>
      <x:c r="BD42" s="27" t="n">
        <x:f>IF(ISNUMBER(AL42),IF('Scoring Setup'!$L$24=1,1-'Scoring Setup'!$B$5*(1-MAX(0,MIN(1,(AL42-'Scoring Setup'!$K$24)/(100-'Scoring Setup'!$K$24)))),1),"")</x:f>
        <x:v>0.9741818181818181</x:v>
      </x:c>
      <x:c r="BE42" s="27" t="n">
        <x:f>IF(ISNUMBER(AM42),IF('Scoring Setup'!$L$25=1,1-'Scoring Setup'!$B$5*(1-MAX(0,MIN(1,(AM42-'Scoring Setup'!$K$25)/(100-'Scoring Setup'!$K$25)))),1),"")</x:f>
        <x:v>0.8885845218271159</x:v>
      </x:c>
      <x:c r="BF42" s="27" t="n">
        <x:f>IF(ISNUMBER(AN42),IF('Scoring Setup'!$L$26=1,1-'Scoring Setup'!$B$5*(1-MAX(0,MIN(1,(AN42-'Scoring Setup'!$K$26)/(100-'Scoring Setup'!$K$26)))),1),"")</x:f>
        <x:v>0.937286211052675</x:v>
      </x:c>
      <x:c r="BG42" s="34" t="n">
        <x:f>IF(COUNT(W42,X42)=2,AVERAGE(W42,X42),"")</x:f>
        <x:v>62.517149929278645</x:v>
      </x:c>
      <x:c r="BH42" s="34" t="n">
        <x:f>IF(COUNT(Y42,Z42)=2,AVERAGE(Y42,Z42),"")</x:f>
        <x:v>73.48096815498835</x:v>
      </x:c>
      <x:c r="BI42" s="34" t="n">
        <x:f>IF(COUNT(AA42,AB42,AC42)=3,AVERAGE(AA42,AB42,AC42),"")</x:f>
        <x:v>86.67382486612456</x:v>
      </x:c>
      <x:c r="BJ42" s="34" t="n">
        <x:f>IF(COUNT(AD42,AE42)=2,AVERAGE(AD42,AE42),"")</x:f>
        <x:v>41.55958966964286</x:v>
      </x:c>
      <x:c r="BK42" s="34" t="n">
        <x:f>IF(COUNT(AF42,AG42)=2,AVERAGE(AF42,AG42),"")</x:f>
        <x:v>82.22666165148293</x:v>
      </x:c>
      <x:c r="BL42" s="34" t="n">
        <x:f>IF(COUNT(AH42,AI42)=2,AVERAGE(AH42,AI42),"")</x:f>
        <x:v>47.30024367559524</x:v>
      </x:c>
      <x:c r="BM42" s="34" t="n">
        <x:f>IF(COUNT(AJ42,AK42)=2,AVERAGE(AJ42,AK42),"")</x:f>
        <x:v>100</x:v>
      </x:c>
      <x:c r="BN42" s="34" t="n">
        <x:f>IF(COUNT(AL42,AM42,AN42)=3,AVERAGE(AL42,AM42,AN42),"")</x:f>
        <x:v>66.67542517693484</x:v>
      </x:c>
      <x:c r="BO42" s="35" t="n">
        <x:f>IF(AND(COUNT(BG42:BN42)=8,ABS('Scoring Setup'!$C$17-1)&lt;0.000001),BG42*'Scoring Setup'!$C$9+BH42*'Scoring Setup'!$C$10+BI42*'Scoring Setup'!$C$11+BJ42*'Scoring Setup'!$C$12+BK42*'Scoring Setup'!$C$13+BL42*'Scoring Setup'!$C$14+BM42*'Scoring Setup'!$C$15+BN42*'Scoring Setup'!$C$16,"")</x:f>
        <x:v>69.36155597951078</x:v>
      </x:c>
      <x:c r="BP42" s="36" t="n">
        <x:f>IF(COUNT(AO42:BF42)=18,MIN(AO42:BF42),"")</x:f>
        <x:v>0.8764013354285715</x:v>
      </x:c>
      <x:c r="BQ42" s="35" t="n">
        <x:f>IF(AND(ISNUMBER(BO42),ISNUMBER(BP42)),BO42*BP42,"")</x:f>
        <x:v>60.78856028784686</x:v>
      </x:c>
      <x:c r="BR42" s="17" t="str">
        <x:f>IF(COUNT(AO42:BF42)=18,INDEX('Scoring Setup'!$F$9:$F$26,MATCH(MIN(AO42:BF42),AO42:BF42,0),1),"")</x:f>
        <x:v>商业光纤100/20覆盖率</x:v>
      </x:c>
    </x:row>
    <x:row r="43">
      <x:c r="A43" s="28" t="str">
        <x:v>13079</x:v>
      </x:c>
      <x:c r="B43" s="28" t="str">
        <x:v>Crawford County</x:v>
      </x:c>
      <x:c r="C43" s="28" t="str">
        <x:v>GA</x:v>
      </x:c>
      <x:c r="D43" s="31" t="n">
        <x:v>841.524046</x:v>
      </x:c>
      <x:c r="E43" s="32" t="n">
        <x:v>0.64</x:v>
      </x:c>
      <x:c r="F43" s="32" t="n">
        <x:v>0.379950495049505</x:v>
      </x:c>
      <x:c r="G43" s="32" t="n">
        <x:v>1.799194256201691</x:v>
      </x:c>
      <x:c r="H43" s="32" t="n">
        <x:v>1.7274985222954222</x:v>
      </x:c>
      <x:c r="I43" s="32" t="n">
        <x:v>0.9442125741318432</x:v>
      </x:c>
      <x:c r="J43" s="32" t="n">
        <x:v>0.004708260210184618</x:v>
      </x:c>
      <x:c r="K43" s="32" t="n">
        <x:v>0.11118062459291762</x:v>
      </x:c>
      <x:c r="L43" s="32" t="n">
        <x:v>0.975506757</x:v>
      </x:c>
      <x:c r="M43" s="32" t="n">
        <x:v>0.975506757</x:v>
      </x:c>
      <x:c r="N43" s="32" t="n">
        <x:v>5292</x:v>
      </x:c>
      <x:c r="O43" s="32" t="n">
        <x:v>0.6837</x:v>
      </x:c>
      <x:c r="P43" s="32" t="n">
        <x:v>1890.646337890625</x:v>
      </x:c>
      <x:c r="Q43" s="32" t="n">
        <x:v>59.046179580688474</x:v>
      </x:c>
      <x:c r="R43" s="32" t="n">
        <x:v>22.345050613504</x:v>
      </x:c>
      <x:c r="S43" s="32" t="n">
        <x:v>7.585514949974193</x:v>
      </x:c>
      <x:c r="T43" s="32" t="n">
        <x:v>72.1</x:v>
      </x:c>
      <x:c r="U43" s="32" t="n">
        <x:v>211.4154781728841</x:v>
      </x:c>
      <x:c r="V43" s="32" t="n">
        <x:v>325.42757789465</x:v>
      </x:c>
      <x:c r="W43" s="33" t="n">
        <x:f>IF(ISNUMBER(E43),100*MAX(0,MIN(1,('Anchors'!$H$6-E43)/('Anchors'!$H$6-'Anchors'!$G$6))),"")</x:f>
        <x:v>37.142857142857146</x:v>
      </x:c>
      <x:c r="X43" s="33" t="n">
        <x:f>IF(ISNUMBER(F43),100*MAX(0,MIN(1,('Anchors'!$H$7-F43)/('Anchors'!$H$7-'Anchors'!$G$7))),"")</x:f>
        <x:v>60.007072135785</x:v>
      </x:c>
      <x:c r="Y43" s="33" t="n">
        <x:f>IF(ISNUMBER(G43),100*MAX(0,MIN(1,('Anchors'!$H$8-G43)/('Anchors'!$H$8-'Anchors'!$G$8))),"")</x:f>
        <x:v>73.36019145994364</x:v>
      </x:c>
      <x:c r="Z43" s="33" t="n">
        <x:f>IF(ISNUMBER(H43),100*MAX(0,MIN(1,('Anchors'!$H$9-H43)/('Anchors'!$H$9-'Anchors'!$G$9))),"")</x:f>
        <x:v>75.75004925681927</x:v>
      </x:c>
      <x:c r="AA43" s="33" t="n">
        <x:f>IF(ISNUMBER(I43),100*MAX(0,MIN(1,(I43-'Anchors'!$H$10)/('Anchors'!$G$10-'Anchors'!$H$10))),"")</x:f>
        <x:v>95.09761289477304</x:v>
      </x:c>
      <x:c r="AB43" s="33" t="n">
        <x:f>IF(ISNUMBER(J43),100*MAX(0,MIN(1,('Anchors'!$H$11-J43)/('Anchors'!$H$11-'Anchors'!$G$11))),"")</x:f>
        <x:v>98.11669591592616</x:v>
      </x:c>
      <x:c r="AC43" s="33" t="n">
        <x:f>IF(ISNUMBER(K43),100*MAX(0,MIN(1,('Anchors'!$H$12-K43)/('Anchors'!$H$12-'Anchors'!$G$12))),"")</x:f>
        <x:v>72.20484385177059</x:v>
      </x:c>
      <x:c r="AD43" s="33" t="n">
        <x:f>IF(ISNUMBER(L43),100*MAX(0,MIN(1,(L43-'Anchors'!$H$13)/('Anchors'!$G$13-'Anchors'!$H$13))),"")</x:f>
        <x:v>100</x:v>
      </x:c>
      <x:c r="AE43" s="33" t="n">
        <x:f>IF(ISNUMBER(M43),100*MAX(0,MIN(1,(M43-'Anchors'!$H$14)/('Anchors'!$G$14-'Anchors'!$H$14))),"")</x:f>
        <x:v>100</x:v>
      </x:c>
      <x:c r="AF43" s="33" t="n">
        <x:f>IF(ISNUMBER(N43),100*MAX(0,MIN(1,(LN(1+N43)-LN(1+'Anchors'!$H$15))/(LN(1+'Anchors'!$G$15)-LN(1+'Anchors'!$H$15)))),"")</x:f>
        <x:v>22.532760835929448</x:v>
      </x:c>
      <x:c r="AG43" s="33" t="n">
        <x:f>IF(ISNUMBER(O43),100*MAX(0,MIN(1,('Anchors'!$H$16-O43)/('Anchors'!$H$16-'Anchors'!$G$16))),"")</x:f>
        <x:v>29.588888888888892</x:v>
      </x:c>
      <x:c r="AH43" s="33" t="n">
        <x:f>IF(ISNUMBER(P43),100*MAX(0,MIN(1,('Anchors'!$H$17-P43)/('Anchors'!$H$17-'Anchors'!$G$17))),"")</x:f>
        <x:v>20.623577473958328</x:v>
      </x:c>
      <x:c r="AI43" s="33" t="n">
        <x:f>IF(ISNUMBER(Q43),100*MAX(0,MIN(1,('Anchors'!$H$18-Q43)/('Anchors'!$H$18-'Anchors'!$G$18))),"")</x:f>
        <x:v>22.791172027587894</x:v>
      </x:c>
      <x:c r="AJ43" s="33" t="n">
        <x:f>IF(ISNUMBER(R43),100*MAX(0,MIN(1,('Anchors'!$H$19-R43)/('Anchors'!$H$19-'Anchors'!$G$19))),"")</x:f>
        <x:v>61.455443081102224</x:v>
      </x:c>
      <x:c r="AK43" s="33" t="n">
        <x:f>IF(ISNUMBER(S43),100*MAX(0,MIN(1,('Anchors'!$H$20-S43)/('Anchors'!$H$20-'Anchors'!$G$20))),"")</x:f>
        <x:v>65.33939500013582</x:v>
      </x:c>
      <x:c r="AL43" s="33" t="n">
        <x:f>IF(ISNUMBER(T43),100*MAX(0,MIN(1,('Anchors'!$H$21-T43)/('Anchors'!$H$21-'Anchors'!$G$21))),"")</x:f>
        <x:v>87.0909090909091</x:v>
      </x:c>
      <x:c r="AM43" s="33" t="n">
        <x:f>IF(ISNUMBER(U43),100*MAX(0,MIN(1,('Anchors'!$H$22-U43)/('Anchors'!$H$22-'Anchors'!$G$22))),"")</x:f>
        <x:v>44.29226091355795</x:v>
      </x:c>
      <x:c r="AN43" s="33" t="n">
        <x:f>IF(ISNUMBER(V43),100*MAX(0,MIN(1,('Anchors'!$H$23-V43)/('Anchors'!$H$23-'Anchors'!$G$23))),"")</x:f>
        <x:v>68.6431055263375</x:v>
      </x:c>
      <x:c r="AO43" s="27" t="n">
        <x:f>IF(ISNUMBER(W43),IF('Scoring Setup'!$L$9=1,1-'Scoring Setup'!$B$5*(1-MAX(0,MIN(1,(W43-'Scoring Setup'!$K$9)/(100-'Scoring Setup'!$K$9)))),1),"")</x:f>
        <x:v>0.8742857142857143</x:v>
      </x:c>
      <x:c r="AP43" s="27" t="n">
        <x:f>IF(ISNUMBER(X43),IF('Scoring Setup'!$L$10=1,1-'Scoring Setup'!$B$5*(1-MAX(0,MIN(1,(X43-'Scoring Setup'!$K$10)/(100-'Scoring Setup'!$K$10)))),1),"")</x:f>
        <x:v>0.92001414427157</x:v>
      </x:c>
      <x:c r="AQ43" s="27" t="n">
        <x:f>IF(ISNUMBER(Y43),IF('Scoring Setup'!$L$11=1,1-'Scoring Setup'!$B$5*(1-MAX(0,MIN(1,(Y43-'Scoring Setup'!$K$11)/(100-'Scoring Setup'!$K$11)))),1),"")</x:f>
        <x:v>0.9467203829198872</x:v>
      </x:c>
      <x:c r="AR43" s="27" t="n">
        <x:f>IF(ISNUMBER(Z43),IF('Scoring Setup'!$L$12=1,1-'Scoring Setup'!$B$5*(1-MAX(0,MIN(1,(Z43-'Scoring Setup'!$K$12)/(100-'Scoring Setup'!$K$12)))),1),"")</x:f>
        <x:v>0.9515000985136385</x:v>
      </x:c>
      <x:c r="AS43" s="27" t="n">
        <x:f>IF(ISNUMBER(AA43),IF('Scoring Setup'!$L$13=1,1-'Scoring Setup'!$B$5*(1-MAX(0,MIN(1,(AA43-'Scoring Setup'!$K$13)/(100-'Scoring Setup'!$K$13)))),1),"")</x:f>
        <x:v>0.9901952257895461</x:v>
      </x:c>
      <x:c r="AT43" s="27" t="n">
        <x:f>IF(ISNUMBER(AB43),IF('Scoring Setup'!$L$14=1,1-'Scoring Setup'!$B$5*(1-MAX(0,MIN(1,(AB43-'Scoring Setup'!$K$14)/(100-'Scoring Setup'!$K$14)))),1),"")</x:f>
        <x:v>0.9962333918318523</x:v>
      </x:c>
      <x:c r="AU43" s="27" t="n">
        <x:f>IF(ISNUMBER(AC43),IF('Scoring Setup'!$L$15=1,1-'Scoring Setup'!$B$5*(1-MAX(0,MIN(1,(AC43-'Scoring Setup'!$K$15)/(100-'Scoring Setup'!$K$15)))),1),"")</x:f>
        <x:v>0.9444096877035412</x:v>
      </x:c>
      <x:c r="AV43" s="27" t="n">
        <x:f>IF(ISNUMBER(AD43),IF('Scoring Setup'!$L$16=1,1-'Scoring Setup'!$B$5*(1-MAX(0,MIN(1,(AD43-'Scoring Setup'!$K$16)/(100-'Scoring Setup'!$K$16)))),1),"")</x:f>
        <x:v>1</x:v>
      </x:c>
      <x:c r="AW43" s="27" t="n">
        <x:f>IF(ISNUMBER(AE43),IF('Scoring Setup'!$L$17=1,1-'Scoring Setup'!$B$5*(1-MAX(0,MIN(1,(AE43-'Scoring Setup'!$K$17)/(100-'Scoring Setup'!$K$17)))),1),"")</x:f>
        <x:v>1</x:v>
      </x:c>
      <x:c r="AX43" s="27" t="n">
        <x:f>IF(ISNUMBER(AF43),IF('Scoring Setup'!$L$18=1,1-'Scoring Setup'!$B$5*(1-MAX(0,MIN(1,(AF43-'Scoring Setup'!$K$18)/(100-'Scoring Setup'!$K$18)))),1),"")</x:f>
        <x:v>0.8450655216718589</x:v>
      </x:c>
      <x:c r="AY43" s="27" t="n">
        <x:f>IF(ISNUMBER(AG43),IF('Scoring Setup'!$L$19=1,1-'Scoring Setup'!$B$5*(1-MAX(0,MIN(1,(AG43-'Scoring Setup'!$K$19)/(100-'Scoring Setup'!$K$19)))),1),"")</x:f>
        <x:v>0.8591777777777778</x:v>
      </x:c>
      <x:c r="AZ43" s="27" t="n">
        <x:f>IF(ISNUMBER(AH43),IF('Scoring Setup'!$L$20=1,1-'Scoring Setup'!$B$5*(1-MAX(0,MIN(1,(AH43-'Scoring Setup'!$K$20)/(100-'Scoring Setup'!$K$20)))),1),"")</x:f>
        <x:v>0.8412471549479167</x:v>
      </x:c>
      <x:c r="BA43" s="27" t="n">
        <x:f>IF(ISNUMBER(AI43),IF('Scoring Setup'!$L$21=1,1-'Scoring Setup'!$B$5*(1-MAX(0,MIN(1,(AI43-'Scoring Setup'!$K$21)/(100-'Scoring Setup'!$K$21)))),1),"")</x:f>
        <x:v>0.8455823440551757</x:v>
      </x:c>
      <x:c r="BB43" s="27" t="n">
        <x:f>IF(ISNUMBER(AJ43),IF('Scoring Setup'!$L$22=1,1-'Scoring Setup'!$B$5*(1-MAX(0,MIN(1,(AJ43-'Scoring Setup'!$K$22)/(100-'Scoring Setup'!$K$22)))),1),"")</x:f>
        <x:v>0.9229108861622044</x:v>
      </x:c>
      <x:c r="BC43" s="27" t="n">
        <x:f>IF(ISNUMBER(AK43),IF('Scoring Setup'!$L$23=1,1-'Scoring Setup'!$B$5*(1-MAX(0,MIN(1,(AK43-'Scoring Setup'!$K$23)/(100-'Scoring Setup'!$K$23)))),1),"")</x:f>
        <x:v>0.9306787900002716</x:v>
      </x:c>
      <x:c r="BD43" s="27" t="n">
        <x:f>IF(ISNUMBER(AL43),IF('Scoring Setup'!$L$24=1,1-'Scoring Setup'!$B$5*(1-MAX(0,MIN(1,(AL43-'Scoring Setup'!$K$24)/(100-'Scoring Setup'!$K$24)))),1),"")</x:f>
        <x:v>0.9741818181818181</x:v>
      </x:c>
      <x:c r="BE43" s="27" t="n">
        <x:f>IF(ISNUMBER(AM43),IF('Scoring Setup'!$L$25=1,1-'Scoring Setup'!$B$5*(1-MAX(0,MIN(1,(AM43-'Scoring Setup'!$K$25)/(100-'Scoring Setup'!$K$25)))),1),"")</x:f>
        <x:v>0.8885845218271159</x:v>
      </x:c>
      <x:c r="BF43" s="27" t="n">
        <x:f>IF(ISNUMBER(AN43),IF('Scoring Setup'!$L$26=1,1-'Scoring Setup'!$B$5*(1-MAX(0,MIN(1,(AN43-'Scoring Setup'!$K$26)/(100-'Scoring Setup'!$K$26)))),1),"")</x:f>
        <x:v>0.937286211052675</x:v>
      </x:c>
      <x:c r="BG43" s="34" t="n">
        <x:f>IF(COUNT(W43,X43)=2,AVERAGE(W43,X43),"")</x:f>
        <x:v>48.574964639321074</x:v>
      </x:c>
      <x:c r="BH43" s="34" t="n">
        <x:f>IF(COUNT(Y43,Z43)=2,AVERAGE(Y43,Z43),"")</x:f>
        <x:v>74.55512035838146</x:v>
      </x:c>
      <x:c r="BI43" s="34" t="n">
        <x:f>IF(COUNT(AA43,AB43,AC43)=3,AVERAGE(AA43,AB43,AC43),"")</x:f>
        <x:v>88.47305088748993</x:v>
      </x:c>
      <x:c r="BJ43" s="34" t="n">
        <x:f>IF(COUNT(AD43,AE43)=2,AVERAGE(AD43,AE43),"")</x:f>
        <x:v>100</x:v>
      </x:c>
      <x:c r="BK43" s="34" t="n">
        <x:f>IF(COUNT(AF43,AG43)=2,AVERAGE(AF43,AG43),"")</x:f>
        <x:v>26.06082486240917</x:v>
      </x:c>
      <x:c r="BL43" s="34" t="n">
        <x:f>IF(COUNT(AH43,AI43)=2,AVERAGE(AH43,AI43),"")</x:f>
        <x:v>21.707374750773113</x:v>
      </x:c>
      <x:c r="BM43" s="34" t="n">
        <x:f>IF(COUNT(AJ43,AK43)=2,AVERAGE(AJ43,AK43),"")</x:f>
        <x:v>63.39741904061903</x:v>
      </x:c>
      <x:c r="BN43" s="34" t="n">
        <x:f>IF(COUNT(AL43,AM43,AN43)=3,AVERAGE(AL43,AM43,AN43),"")</x:f>
        <x:v>66.67542517693484</x:v>
      </x:c>
      <x:c r="BO43" s="35" t="n">
        <x:f>IF(AND(COUNT(BG43:BN43)=8,ABS('Scoring Setup'!$C$17-1)&lt;0.000001),BG43*'Scoring Setup'!$C$9+BH43*'Scoring Setup'!$C$10+BI43*'Scoring Setup'!$C$11+BJ43*'Scoring Setup'!$C$12+BK43*'Scoring Setup'!$C$13+BL43*'Scoring Setup'!$C$14+BM43*'Scoring Setup'!$C$15+BN43*'Scoring Setup'!$C$16,"")</x:f>
        <x:v>65.47977535324839</x:v>
      </x:c>
      <x:c r="BP43" s="36" t="n">
        <x:f>IF(COUNT(AO43:BF43)=18,MIN(AO43:BF43),"")</x:f>
        <x:v>0.8412471549479167</x:v>
      </x:c>
      <x:c r="BQ43" s="35" t="n">
        <x:f>IF(AND(ISNUMBER(BO43),ISNUMBER(BP43)),BO43*BP43,"")</x:f>
        <x:v>55.08467472254892</x:v>
      </x:c>
      <x:c r="BR43" s="17" t="str">
        <x:f>IF(COUNT(AO43:BF43)=18,INDEX('Scoring Setup'!$F$9:$F$26,MATCH(MIN(AO43:BF43),AO43:BF43,0),1),"")</x:f>
        <x:v>历史CDD65</x:v>
      </x:c>
    </x:row>
    <x:row r="44">
      <x:c r="A44" s="28" t="str">
        <x:v>13081</x:v>
      </x:c>
      <x:c r="B44" s="28" t="str">
        <x:v>Crisp County</x:v>
      </x:c>
      <x:c r="C44" s="28" t="str">
        <x:v>GA</x:v>
      </x:c>
      <x:c r="D44" s="31" t="n">
        <x:v>706.237949</x:v>
      </x:c>
      <x:c r="E44" s="32" t="n">
        <x:v>0.478</x:v>
      </x:c>
      <x:c r="F44" s="32" t="n">
        <x:v>0.656559405940594</x:v>
      </x:c>
      <x:c r="G44" s="32" t="n">
        <x:v>1.7001656942400494</x:v>
      </x:c>
      <x:c r="H44" s="32" t="n">
        <x:v>1.7455198790481</x:v>
      </x:c>
      <x:c r="I44" s="32" t="n">
        <x:v>0.8885609193533638</x:v>
      </x:c>
      <x:c r="J44" s="32" t="n">
        <x:v>0.008437378184025728</x:v>
      </x:c>
      <x:c r="K44" s="32" t="n">
        <x:v>0.17765096477234624</x:v>
      </x:c>
      <x:c r="L44" s="32" t="n">
        <x:v>0.505662021</x:v>
      </x:c>
      <x:c r="M44" s="32" t="n">
        <x:v>0.500174216</x:v>
      </x:c>
      <x:c r="N44" s="32" t="n">
        <x:v>9116</x:v>
      </x:c>
      <x:c r="O44" s="32" t="n">
        <x:v>0.978</x:v>
      </x:c>
      <x:c r="P44" s="32" t="n">
        <x:v>2269.278141276042</x:v>
      </x:c>
      <x:c r="Q44" s="32" t="n">
        <x:v>78.02267990112304</x:v>
      </x:c>
      <x:c r="R44" s="32" t="n">
        <x:v>1.1842628497360703</x:v>
      </x:c>
      <x:c r="S44" s="32" t="n">
        <x:v>1.0098458920017688</x:v>
      </x:c>
      <x:c r="T44" s="32" t="n">
        <x:v>72.1</x:v>
      </x:c>
      <x:c r="U44" s="32" t="n">
        <x:v>211.4154781728841</x:v>
      </x:c>
      <x:c r="V44" s="32" t="n">
        <x:v>325.42757789465</x:v>
      </x:c>
      <x:c r="W44" s="33" t="n">
        <x:f>IF(ISNUMBER(E44),100*MAX(0,MIN(1,('Anchors'!$H$6-E44)/('Anchors'!$H$6-'Anchors'!$G$6))),"")</x:f>
        <x:v>60.2857142857143</x:v>
      </x:c>
      <x:c r="X44" s="33" t="n">
        <x:f>IF(ISNUMBER(F44),100*MAX(0,MIN(1,('Anchors'!$H$7-F44)/('Anchors'!$H$7-'Anchors'!$G$7))),"")</x:f>
        <x:v>20.491513437058</x:v>
      </x:c>
      <x:c r="Y44" s="33" t="n">
        <x:f>IF(ISNUMBER(G44),100*MAX(0,MIN(1,('Anchors'!$H$8-G44)/('Anchors'!$H$8-'Anchors'!$G$8))),"")</x:f>
        <x:v>76.66114352533168</x:v>
      </x:c>
      <x:c r="Z44" s="33" t="n">
        <x:f>IF(ISNUMBER(H44),100*MAX(0,MIN(1,('Anchors'!$H$9-H44)/('Anchors'!$H$9-'Anchors'!$G$9))),"")</x:f>
        <x:v>75.14933736506335</x:v>
      </x:c>
      <x:c r="AA44" s="33" t="n">
        <x:f>IF(ISNUMBER(I44),100*MAX(0,MIN(1,(I44-'Anchors'!$H$10)/('Anchors'!$G$10-'Anchors'!$H$10))),"")</x:f>
        <x:v>87.47409854155669</x:v>
      </x:c>
      <x:c r="AB44" s="33" t="n">
        <x:f>IF(ISNUMBER(J44),100*MAX(0,MIN(1,('Anchors'!$H$11-J44)/('Anchors'!$H$11-'Anchors'!$G$11))),"")</x:f>
        <x:v>96.6250487263897</x:v>
      </x:c>
      <x:c r="AC44" s="33" t="n">
        <x:f>IF(ISNUMBER(K44),100*MAX(0,MIN(1,('Anchors'!$H$12-K44)/('Anchors'!$H$12-'Anchors'!$G$12))),"")</x:f>
        <x:v>55.58725880691344</x:v>
      </x:c>
      <x:c r="AD44" s="33" t="n">
        <x:f>IF(ISNUMBER(L44),100*MAX(0,MIN(1,(L44-'Anchors'!$H$13)/('Anchors'!$G$13-'Anchors'!$H$13))),"")</x:f>
        <x:v>43.666003</x:v>
      </x:c>
      <x:c r="AE44" s="33" t="n">
        <x:f>IF(ISNUMBER(M44),100*MAX(0,MIN(1,(M44-'Anchors'!$H$14)/('Anchors'!$G$14-'Anchors'!$H$14))),"")</x:f>
        <x:v>50.021777</x:v>
      </x:c>
      <x:c r="AF44" s="33" t="n">
        <x:f>IF(ISNUMBER(N44),100*MAX(0,MIN(1,(LN(1+N44)-LN(1+'Anchors'!$H$15))/(LN(1+'Anchors'!$G$15)-LN(1+'Anchors'!$H$15)))),"")</x:f>
        <x:v>35.128458113209284</x:v>
      </x:c>
      <x:c r="AG44" s="33" t="n">
        <x:f>IF(ISNUMBER(O44),100*MAX(0,MIN(1,('Anchors'!$H$16-O44)/('Anchors'!$H$16-'Anchors'!$G$16))),"")</x:f>
        <x:v>0</x:v>
      </x:c>
      <x:c r="AH44" s="33" t="n">
        <x:f>IF(ISNUMBER(P44),100*MAX(0,MIN(1,('Anchors'!$H$17-P44)/('Anchors'!$H$17-'Anchors'!$G$17))),"")</x:f>
        <x:v>0</x:v>
      </x:c>
      <x:c r="AI44" s="33" t="n">
        <x:f>IF(ISNUMBER(Q44),100*MAX(0,MIN(1,('Anchors'!$H$18-Q44)/('Anchors'!$H$18-'Anchors'!$G$18))),"")</x:f>
        <x:v>0</x:v>
      </x:c>
      <x:c r="AJ44" s="33" t="n">
        <x:f>IF(ISNUMBER(R44),100*MAX(0,MIN(1,('Anchors'!$H$19-R44)/('Anchors'!$H$19-'Anchors'!$G$19))),"")</x:f>
        <x:v>100</x:v>
      </x:c>
      <x:c r="AK44" s="33" t="n">
        <x:f>IF(ISNUMBER(S44),100*MAX(0,MIN(1,('Anchors'!$H$20-S44)/('Anchors'!$H$20-'Anchors'!$G$20))),"")</x:f>
        <x:v>99.94817951578015</x:v>
      </x:c>
      <x:c r="AL44" s="33" t="n">
        <x:f>IF(ISNUMBER(T44),100*MAX(0,MIN(1,('Anchors'!$H$21-T44)/('Anchors'!$H$21-'Anchors'!$G$21))),"")</x:f>
        <x:v>87.0909090909091</x:v>
      </x:c>
      <x:c r="AM44" s="33" t="n">
        <x:f>IF(ISNUMBER(U44),100*MAX(0,MIN(1,('Anchors'!$H$22-U44)/('Anchors'!$H$22-'Anchors'!$G$22))),"")</x:f>
        <x:v>44.29226091355795</x:v>
      </x:c>
      <x:c r="AN44" s="33" t="n">
        <x:f>IF(ISNUMBER(V44),100*MAX(0,MIN(1,('Anchors'!$H$23-V44)/('Anchors'!$H$23-'Anchors'!$G$23))),"")</x:f>
        <x:v>68.6431055263375</x:v>
      </x:c>
      <x:c r="AO44" s="27" t="n">
        <x:f>IF(ISNUMBER(W44),IF('Scoring Setup'!$L$9=1,1-'Scoring Setup'!$B$5*(1-MAX(0,MIN(1,(W44-'Scoring Setup'!$K$9)/(100-'Scoring Setup'!$K$9)))),1),"")</x:f>
        <x:v>0.9205714285714286</x:v>
      </x:c>
      <x:c r="AP44" s="27" t="n">
        <x:f>IF(ISNUMBER(X44),IF('Scoring Setup'!$L$10=1,1-'Scoring Setup'!$B$5*(1-MAX(0,MIN(1,(X44-'Scoring Setup'!$K$10)/(100-'Scoring Setup'!$K$10)))),1),"")</x:f>
        <x:v>0.840983026874116</x:v>
      </x:c>
      <x:c r="AQ44" s="27" t="n">
        <x:f>IF(ISNUMBER(Y44),IF('Scoring Setup'!$L$11=1,1-'Scoring Setup'!$B$5*(1-MAX(0,MIN(1,(Y44-'Scoring Setup'!$K$11)/(100-'Scoring Setup'!$K$11)))),1),"")</x:f>
        <x:v>0.9533222870506634</x:v>
      </x:c>
      <x:c r="AR44" s="27" t="n">
        <x:f>IF(ISNUMBER(Z44),IF('Scoring Setup'!$L$12=1,1-'Scoring Setup'!$B$5*(1-MAX(0,MIN(1,(Z44-'Scoring Setup'!$K$12)/(100-'Scoring Setup'!$K$12)))),1),"")</x:f>
        <x:v>0.9502986747301267</x:v>
      </x:c>
      <x:c r="AS44" s="27" t="n">
        <x:f>IF(ISNUMBER(AA44),IF('Scoring Setup'!$L$13=1,1-'Scoring Setup'!$B$5*(1-MAX(0,MIN(1,(AA44-'Scoring Setup'!$K$13)/(100-'Scoring Setup'!$K$13)))),1),"")</x:f>
        <x:v>0.9749481970831134</x:v>
      </x:c>
      <x:c r="AT44" s="27" t="n">
        <x:f>IF(ISNUMBER(AB44),IF('Scoring Setup'!$L$14=1,1-'Scoring Setup'!$B$5*(1-MAX(0,MIN(1,(AB44-'Scoring Setup'!$K$14)/(100-'Scoring Setup'!$K$14)))),1),"")</x:f>
        <x:v>0.9932500974527794</x:v>
      </x:c>
      <x:c r="AU44" s="27" t="n">
        <x:f>IF(ISNUMBER(AC44),IF('Scoring Setup'!$L$15=1,1-'Scoring Setup'!$B$5*(1-MAX(0,MIN(1,(AC44-'Scoring Setup'!$K$15)/(100-'Scoring Setup'!$K$15)))),1),"")</x:f>
        <x:v>0.9111745176138268</x:v>
      </x:c>
      <x:c r="AV44" s="27" t="n">
        <x:f>IF(ISNUMBER(AD44),IF('Scoring Setup'!$L$16=1,1-'Scoring Setup'!$B$5*(1-MAX(0,MIN(1,(AD44-'Scoring Setup'!$K$16)/(100-'Scoring Setup'!$K$16)))),1),"")</x:f>
        <x:v>0.8873320060000001</x:v>
      </x:c>
      <x:c r="AW44" s="27" t="n">
        <x:f>IF(ISNUMBER(AE44),IF('Scoring Setup'!$L$17=1,1-'Scoring Setup'!$B$5*(1-MAX(0,MIN(1,(AE44-'Scoring Setup'!$K$17)/(100-'Scoring Setup'!$K$17)))),1),"")</x:f>
        <x:v>0.900043554</x:v>
      </x:c>
      <x:c r="AX44" s="27" t="n">
        <x:f>IF(ISNUMBER(AF44),IF('Scoring Setup'!$L$18=1,1-'Scoring Setup'!$B$5*(1-MAX(0,MIN(1,(AF44-'Scoring Setup'!$K$18)/(100-'Scoring Setup'!$K$18)))),1),"")</x:f>
        <x:v>0.8702569162264185</x:v>
      </x:c>
      <x:c r="AY44" s="27" t="n">
        <x:f>IF(ISNUMBER(AG44),IF('Scoring Setup'!$L$19=1,1-'Scoring Setup'!$B$5*(1-MAX(0,MIN(1,(AG44-'Scoring Setup'!$K$19)/(100-'Scoring Setup'!$K$19)))),1),"")</x:f>
        <x:v>0.8</x:v>
      </x:c>
      <x:c r="AZ44" s="27" t="n">
        <x:f>IF(ISNUMBER(AH44),IF('Scoring Setup'!$L$20=1,1-'Scoring Setup'!$B$5*(1-MAX(0,MIN(1,(AH44-'Scoring Setup'!$K$20)/(100-'Scoring Setup'!$K$20)))),1),"")</x:f>
        <x:v>0.8</x:v>
      </x:c>
      <x:c r="BA44" s="27" t="n">
        <x:f>IF(ISNUMBER(AI44),IF('Scoring Setup'!$L$21=1,1-'Scoring Setup'!$B$5*(1-MAX(0,MIN(1,(AI44-'Scoring Setup'!$K$21)/(100-'Scoring Setup'!$K$21)))),1),"")</x:f>
        <x:v>0.8</x:v>
      </x:c>
      <x:c r="BB44" s="27" t="n">
        <x:f>IF(ISNUMBER(AJ44),IF('Scoring Setup'!$L$22=1,1-'Scoring Setup'!$B$5*(1-MAX(0,MIN(1,(AJ44-'Scoring Setup'!$K$22)/(100-'Scoring Setup'!$K$22)))),1),"")</x:f>
        <x:v>1</x:v>
      </x:c>
      <x:c r="BC44" s="27" t="n">
        <x:f>IF(ISNUMBER(AK44),IF('Scoring Setup'!$L$23=1,1-'Scoring Setup'!$B$5*(1-MAX(0,MIN(1,(AK44-'Scoring Setup'!$K$23)/(100-'Scoring Setup'!$K$23)))),1),"")</x:f>
        <x:v>0.9998963590315603</x:v>
      </x:c>
      <x:c r="BD44" s="27" t="n">
        <x:f>IF(ISNUMBER(AL44),IF('Scoring Setup'!$L$24=1,1-'Scoring Setup'!$B$5*(1-MAX(0,MIN(1,(AL44-'Scoring Setup'!$K$24)/(100-'Scoring Setup'!$K$24)))),1),"")</x:f>
        <x:v>0.9741818181818181</x:v>
      </x:c>
      <x:c r="BE44" s="27" t="n">
        <x:f>IF(ISNUMBER(AM44),IF('Scoring Setup'!$L$25=1,1-'Scoring Setup'!$B$5*(1-MAX(0,MIN(1,(AM44-'Scoring Setup'!$K$25)/(100-'Scoring Setup'!$K$25)))),1),"")</x:f>
        <x:v>0.8885845218271159</x:v>
      </x:c>
      <x:c r="BF44" s="27" t="n">
        <x:f>IF(ISNUMBER(AN44),IF('Scoring Setup'!$L$26=1,1-'Scoring Setup'!$B$5*(1-MAX(0,MIN(1,(AN44-'Scoring Setup'!$K$26)/(100-'Scoring Setup'!$K$26)))),1),"")</x:f>
        <x:v>0.937286211052675</x:v>
      </x:c>
      <x:c r="BG44" s="34" t="n">
        <x:f>IF(COUNT(W44,X44)=2,AVERAGE(W44,X44),"")</x:f>
        <x:v>40.38861386138615</x:v>
      </x:c>
      <x:c r="BH44" s="34" t="n">
        <x:f>IF(COUNT(Y44,Z44)=2,AVERAGE(Y44,Z44),"")</x:f>
        <x:v>75.9052404451975</x:v>
      </x:c>
      <x:c r="BI44" s="34" t="n">
        <x:f>IF(COUNT(AA44,AB44,AC44)=3,AVERAGE(AA44,AB44,AC44),"")</x:f>
        <x:v>79.89546869161994</x:v>
      </x:c>
      <x:c r="BJ44" s="34" t="n">
        <x:f>IF(COUNT(AD44,AE44)=2,AVERAGE(AD44,AE44),"")</x:f>
        <x:v>46.84389</x:v>
      </x:c>
      <x:c r="BK44" s="34" t="n">
        <x:f>IF(COUNT(AF44,AG44)=2,AVERAGE(AF44,AG44),"")</x:f>
        <x:v>17.564229056604642</x:v>
      </x:c>
      <x:c r="BL44" s="34" t="n">
        <x:f>IF(COUNT(AH44,AI44)=2,AVERAGE(AH44,AI44),"")</x:f>
        <x:v>0</x:v>
      </x:c>
      <x:c r="BM44" s="34" t="n">
        <x:f>IF(COUNT(AJ44,AK44)=2,AVERAGE(AJ44,AK44),"")</x:f>
        <x:v>99.97408975789008</x:v>
      </x:c>
      <x:c r="BN44" s="34" t="n">
        <x:f>IF(COUNT(AL44,AM44,AN44)=3,AVERAGE(AL44,AM44,AN44),"")</x:f>
        <x:v>66.67542517693484</x:v>
      </x:c>
      <x:c r="BO44" s="35" t="n">
        <x:f>IF(AND(COUNT(BG44:BN44)=8,ABS('Scoring Setup'!$C$17-1)&lt;0.000001),BG44*'Scoring Setup'!$C$9+BH44*'Scoring Setup'!$C$10+BI44*'Scoring Setup'!$C$11+BJ44*'Scoring Setup'!$C$12+BK44*'Scoring Setup'!$C$13+BL44*'Scoring Setup'!$C$14+BM44*'Scoring Setup'!$C$15+BN44*'Scoring Setup'!$C$16,"")</x:f>
        <x:v>58.65160029097553</x:v>
      </x:c>
      <x:c r="BP44" s="36" t="n">
        <x:f>IF(COUNT(AO44:BF44)=18,MIN(AO44:BF44),"")</x:f>
        <x:v>0.8</x:v>
      </x:c>
      <x:c r="BQ44" s="35" t="n">
        <x:f>IF(AND(ISNUMBER(BO44),ISNUMBER(BP44)),BO44*BP44,"")</x:f>
        <x:v>46.921280232780425</x:v>
      </x:c>
      <x:c r="BR44" s="17" t="str">
        <x:f>IF(COUNT(AO44:BF44)=18,INDEX('Scoring Setup'!$F$9:$F$26,MATCH(MIN(AO44:BF44),AO44:BF44,0),1),"")</x:f>
        <x:v>社会脆弱性百分位</x:v>
      </x:c>
    </x:row>
    <x:row r="45">
      <x:c r="A45" s="28" t="str">
        <x:v>13083</x:v>
      </x:c>
      <x:c r="B45" s="28" t="str">
        <x:v>Dade County</x:v>
      </x:c>
      <x:c r="C45" s="28" t="str">
        <x:v>GA</x:v>
      </x:c>
      <x:c r="D45" s="31" t="n">
        <x:v>450.855119</x:v>
      </x:c>
      <x:c r="E45" s="32" t="n">
        <x:v>0.779</x:v>
      </x:c>
      <x:c r="F45" s="32" t="n">
        <x:v>0.7611386138613859</x:v>
      </x:c>
      <x:c r="G45" s="32" t="n">
        <x:v>0.36800309843004714</x:v>
      </x:c>
      <x:c r="H45" s="32" t="n">
        <x:v>0.3218472875790615</x:v>
      </x:c>
      <x:c r="I45" s="32" t="n">
        <x:v>0.9240915445492673</x:v>
      </x:c>
      <x:c r="J45" s="32" t="n">
        <x:v>0.05609039518490801</x:v>
      </x:c>
      <x:c r="K45" s="32" t="n">
        <x:v>0.0021460128760772564</x:v>
      </x:c>
      <x:c r="L45" s="32" t="n">
        <x:v>0.987699259</x:v>
      </x:c>
      <x:c r="M45" s="32" t="n">
        <x:v>0.987699259</x:v>
      </x:c>
      <x:c r="N45" s="32" t="n">
        <x:v>7449</x:v>
      </x:c>
      <x:c r="O45" s="32" t="n">
        <x:v>0.4388</x:v>
      </x:c>
      <x:c r="P45" s="32" t="n">
        <x:v>1110.4251708984375</x:v>
      </x:c>
      <x:c r="Q45" s="32" t="n">
        <x:v>19.0670134862264</x:v>
      </x:c>
      <x:c r="R45" s="32" t="n">
        <x:v>1.556626345502701</x:v>
      </x:c>
      <x:c r="S45" s="32" t="n">
        <x:v>0.5397568939245759</x:v>
      </x:c>
      <x:c r="T45" s="32" t="n">
        <x:v>72.1</x:v>
      </x:c>
      <x:c r="U45" s="32" t="n">
        <x:v>211.4154781728841</x:v>
      </x:c>
      <x:c r="V45" s="32" t="n">
        <x:v>325.42757789465</x:v>
      </x:c>
      <x:c r="W45" s="33" t="n">
        <x:f>IF(ISNUMBER(E45),100*MAX(0,MIN(1,('Anchors'!$H$6-E45)/('Anchors'!$H$6-'Anchors'!$G$6))),"")</x:f>
        <x:v>17.28571428571429</x:v>
      </x:c>
      <x:c r="X45" s="33" t="n">
        <x:f>IF(ISNUMBER(F45),100*MAX(0,MIN(1,('Anchors'!$H$7-F45)/('Anchors'!$H$7-'Anchors'!$G$7))),"")</x:f>
        <x:v>5.551626591230588</x:v>
      </x:c>
      <x:c r="Y45" s="33" t="n">
        <x:f>IF(ISNUMBER(G45),100*MAX(0,MIN(1,('Anchors'!$H$8-G45)/('Anchors'!$H$8-'Anchors'!$G$8))),"")</x:f>
        <x:v>100</x:v>
      </x:c>
      <x:c r="Z45" s="33" t="n">
        <x:f>IF(ISNUMBER(H45),100*MAX(0,MIN(1,('Anchors'!$H$9-H45)/('Anchors'!$H$9-'Anchors'!$G$9))),"")</x:f>
        <x:v>100</x:v>
      </x:c>
      <x:c r="AA45" s="33" t="n">
        <x:f>IF(ISNUMBER(I45),100*MAX(0,MIN(1,(I45-'Anchors'!$H$10)/('Anchors'!$G$10-'Anchors'!$H$10))),"")</x:f>
        <x:v>92.34130747250238</x:v>
      </x:c>
      <x:c r="AB45" s="33" t="n">
        <x:f>IF(ISNUMBER(J45),100*MAX(0,MIN(1,('Anchors'!$H$11-J45)/('Anchors'!$H$11-'Anchors'!$G$11))),"")</x:f>
        <x:v>77.5638419260368</x:v>
      </x:c>
      <x:c r="AC45" s="33" t="n">
        <x:f>IF(ISNUMBER(K45),100*MAX(0,MIN(1,('Anchors'!$H$12-K45)/('Anchors'!$H$12-'Anchors'!$G$12))),"")</x:f>
        <x:v>99.46349678098069</x:v>
      </x:c>
      <x:c r="AD45" s="33" t="n">
        <x:f>IF(ISNUMBER(L45),100*MAX(0,MIN(1,(L45-'Anchors'!$H$13)/('Anchors'!$G$13-'Anchors'!$H$13))),"")</x:f>
        <x:v>100</x:v>
      </x:c>
      <x:c r="AE45" s="33" t="n">
        <x:f>IF(ISNUMBER(M45),100*MAX(0,MIN(1,(M45-'Anchors'!$H$14)/('Anchors'!$G$14-'Anchors'!$H$14))),"")</x:f>
        <x:v>100</x:v>
      </x:c>
      <x:c r="AF45" s="33" t="n">
        <x:f>IF(ISNUMBER(N45),100*MAX(0,MIN(1,(LN(1+N45)-LN(1+'Anchors'!$H$15))/(LN(1+'Anchors'!$G$15)-LN(1+'Anchors'!$H$15)))),"")</x:f>
        <x:v>30.450973551647326</x:v>
      </x:c>
      <x:c r="AG45" s="33" t="n">
        <x:f>IF(ISNUMBER(O45),100*MAX(0,MIN(1,('Anchors'!$H$16-O45)/('Anchors'!$H$16-'Anchors'!$G$16))),"")</x:f>
        <x:v>56.8</x:v>
      </x:c>
      <x:c r="AH45" s="33" t="n">
        <x:f>IF(ISNUMBER(P45),100*MAX(0,MIN(1,('Anchors'!$H$17-P45)/('Anchors'!$H$17-'Anchors'!$G$17))),"")</x:f>
        <x:v>72.63832194010416</x:v>
      </x:c>
      <x:c r="AI45" s="33" t="n">
        <x:f>IF(ISNUMBER(Q45),100*MAX(0,MIN(1,('Anchors'!$H$18-Q45)/('Anchors'!$H$18-'Anchors'!$G$18))),"")</x:f>
        <x:v>79.904266448248</x:v>
      </x:c>
      <x:c r="AJ45" s="33" t="n">
        <x:f>IF(ISNUMBER(R45),100*MAX(0,MIN(1,('Anchors'!$H$19-R45)/('Anchors'!$H$19-'Anchors'!$G$19))),"")</x:f>
        <x:v>100</x:v>
      </x:c>
      <x:c r="AK45" s="33" t="n">
        <x:f>IF(ISNUMBER(S45),100*MAX(0,MIN(1,('Anchors'!$H$20-S45)/('Anchors'!$H$20-'Anchors'!$G$20))),"")</x:f>
        <x:v>100</x:v>
      </x:c>
      <x:c r="AL45" s="33" t="n">
        <x:f>IF(ISNUMBER(T45),100*MAX(0,MIN(1,('Anchors'!$H$21-T45)/('Anchors'!$H$21-'Anchors'!$G$21))),"")</x:f>
        <x:v>87.0909090909091</x:v>
      </x:c>
      <x:c r="AM45" s="33" t="n">
        <x:f>IF(ISNUMBER(U45),100*MAX(0,MIN(1,('Anchors'!$H$22-U45)/('Anchors'!$H$22-'Anchors'!$G$22))),"")</x:f>
        <x:v>44.29226091355795</x:v>
      </x:c>
      <x:c r="AN45" s="33" t="n">
        <x:f>IF(ISNUMBER(V45),100*MAX(0,MIN(1,('Anchors'!$H$23-V45)/('Anchors'!$H$23-'Anchors'!$G$23))),"")</x:f>
        <x:v>68.6431055263375</x:v>
      </x:c>
      <x:c r="AO45" s="27" t="n">
        <x:f>IF(ISNUMBER(W45),IF('Scoring Setup'!$L$9=1,1-'Scoring Setup'!$B$5*(1-MAX(0,MIN(1,(W45-'Scoring Setup'!$K$9)/(100-'Scoring Setup'!$K$9)))),1),"")</x:f>
        <x:v>0.8345714285714285</x:v>
      </x:c>
      <x:c r="AP45" s="27" t="n">
        <x:f>IF(ISNUMBER(X45),IF('Scoring Setup'!$L$10=1,1-'Scoring Setup'!$B$5*(1-MAX(0,MIN(1,(X45-'Scoring Setup'!$K$10)/(100-'Scoring Setup'!$K$10)))),1),"")</x:f>
        <x:v>0.8111032531824611</x:v>
      </x:c>
      <x:c r="AQ45" s="27" t="n">
        <x:f>IF(ISNUMBER(Y45),IF('Scoring Setup'!$L$11=1,1-'Scoring Setup'!$B$5*(1-MAX(0,MIN(1,(Y45-'Scoring Setup'!$K$11)/(100-'Scoring Setup'!$K$11)))),1),"")</x:f>
        <x:v>1</x:v>
      </x:c>
      <x:c r="AR45" s="27" t="n">
        <x:f>IF(ISNUMBER(Z45),IF('Scoring Setup'!$L$12=1,1-'Scoring Setup'!$B$5*(1-MAX(0,MIN(1,(Z45-'Scoring Setup'!$K$12)/(100-'Scoring Setup'!$K$12)))),1),"")</x:f>
        <x:v>1</x:v>
      </x:c>
      <x:c r="AS45" s="27" t="n">
        <x:f>IF(ISNUMBER(AA45),IF('Scoring Setup'!$L$13=1,1-'Scoring Setup'!$B$5*(1-MAX(0,MIN(1,(AA45-'Scoring Setup'!$K$13)/(100-'Scoring Setup'!$K$13)))),1),"")</x:f>
        <x:v>0.9846826149450048</x:v>
      </x:c>
      <x:c r="AT45" s="27" t="n">
        <x:f>IF(ISNUMBER(AB45),IF('Scoring Setup'!$L$14=1,1-'Scoring Setup'!$B$5*(1-MAX(0,MIN(1,(AB45-'Scoring Setup'!$K$14)/(100-'Scoring Setup'!$K$14)))),1),"")</x:f>
        <x:v>0.9551276838520736</x:v>
      </x:c>
      <x:c r="AU45" s="27" t="n">
        <x:f>IF(ISNUMBER(AC45),IF('Scoring Setup'!$L$15=1,1-'Scoring Setup'!$B$5*(1-MAX(0,MIN(1,(AC45-'Scoring Setup'!$K$15)/(100-'Scoring Setup'!$K$15)))),1),"")</x:f>
        <x:v>0.9989269935619614</x:v>
      </x:c>
      <x:c r="AV45" s="27" t="n">
        <x:f>IF(ISNUMBER(AD45),IF('Scoring Setup'!$L$16=1,1-'Scoring Setup'!$B$5*(1-MAX(0,MIN(1,(AD45-'Scoring Setup'!$K$16)/(100-'Scoring Setup'!$K$16)))),1),"")</x:f>
        <x:v>1</x:v>
      </x:c>
      <x:c r="AW45" s="27" t="n">
        <x:f>IF(ISNUMBER(AE45),IF('Scoring Setup'!$L$17=1,1-'Scoring Setup'!$B$5*(1-MAX(0,MIN(1,(AE45-'Scoring Setup'!$K$17)/(100-'Scoring Setup'!$K$17)))),1),"")</x:f>
        <x:v>1</x:v>
      </x:c>
      <x:c r="AX45" s="27" t="n">
        <x:f>IF(ISNUMBER(AF45),IF('Scoring Setup'!$L$18=1,1-'Scoring Setup'!$B$5*(1-MAX(0,MIN(1,(AF45-'Scoring Setup'!$K$18)/(100-'Scoring Setup'!$K$18)))),1),"")</x:f>
        <x:v>0.8609019471032946</x:v>
      </x:c>
      <x:c r="AY45" s="27" t="n">
        <x:f>IF(ISNUMBER(AG45),IF('Scoring Setup'!$L$19=1,1-'Scoring Setup'!$B$5*(1-MAX(0,MIN(1,(AG45-'Scoring Setup'!$K$19)/(100-'Scoring Setup'!$K$19)))),1),"")</x:f>
        <x:v>0.9136</x:v>
      </x:c>
      <x:c r="AZ45" s="27" t="n">
        <x:f>IF(ISNUMBER(AH45),IF('Scoring Setup'!$L$20=1,1-'Scoring Setup'!$B$5*(1-MAX(0,MIN(1,(AH45-'Scoring Setup'!$K$20)/(100-'Scoring Setup'!$K$20)))),1),"")</x:f>
        <x:v>0.9452766438802084</x:v>
      </x:c>
      <x:c r="BA45" s="27" t="n">
        <x:f>IF(ISNUMBER(AI45),IF('Scoring Setup'!$L$21=1,1-'Scoring Setup'!$B$5*(1-MAX(0,MIN(1,(AI45-'Scoring Setup'!$K$21)/(100-'Scoring Setup'!$K$21)))),1),"")</x:f>
        <x:v>0.959808532896496</x:v>
      </x:c>
      <x:c r="BB45" s="27" t="n">
        <x:f>IF(ISNUMBER(AJ45),IF('Scoring Setup'!$L$22=1,1-'Scoring Setup'!$B$5*(1-MAX(0,MIN(1,(AJ45-'Scoring Setup'!$K$22)/(100-'Scoring Setup'!$K$22)))),1),"")</x:f>
        <x:v>1</x:v>
      </x:c>
      <x:c r="BC45" s="27" t="n">
        <x:f>IF(ISNUMBER(AK45),IF('Scoring Setup'!$L$23=1,1-'Scoring Setup'!$B$5*(1-MAX(0,MIN(1,(AK45-'Scoring Setup'!$K$23)/(100-'Scoring Setup'!$K$23)))),1),"")</x:f>
        <x:v>1</x:v>
      </x:c>
      <x:c r="BD45" s="27" t="n">
        <x:f>IF(ISNUMBER(AL45),IF('Scoring Setup'!$L$24=1,1-'Scoring Setup'!$B$5*(1-MAX(0,MIN(1,(AL45-'Scoring Setup'!$K$24)/(100-'Scoring Setup'!$K$24)))),1),"")</x:f>
        <x:v>0.9741818181818181</x:v>
      </x:c>
      <x:c r="BE45" s="27" t="n">
        <x:f>IF(ISNUMBER(AM45),IF('Scoring Setup'!$L$25=1,1-'Scoring Setup'!$B$5*(1-MAX(0,MIN(1,(AM45-'Scoring Setup'!$K$25)/(100-'Scoring Setup'!$K$25)))),1),"")</x:f>
        <x:v>0.8885845218271159</x:v>
      </x:c>
      <x:c r="BF45" s="27" t="n">
        <x:f>IF(ISNUMBER(AN45),IF('Scoring Setup'!$L$26=1,1-'Scoring Setup'!$B$5*(1-MAX(0,MIN(1,(AN45-'Scoring Setup'!$K$26)/(100-'Scoring Setup'!$K$26)))),1),"")</x:f>
        <x:v>0.937286211052675</x:v>
      </x:c>
      <x:c r="BG45" s="34" t="n">
        <x:f>IF(COUNT(W45,X45)=2,AVERAGE(W45,X45),"")</x:f>
        <x:v>11.418670438472438</x:v>
      </x:c>
      <x:c r="BH45" s="34" t="n">
        <x:f>IF(COUNT(Y45,Z45)=2,AVERAGE(Y45,Z45),"")</x:f>
        <x:v>100</x:v>
      </x:c>
      <x:c r="BI45" s="34" t="n">
        <x:f>IF(COUNT(AA45,AB45,AC45)=3,AVERAGE(AA45,AB45,AC45),"")</x:f>
        <x:v>89.78954872650662</x:v>
      </x:c>
      <x:c r="BJ45" s="34" t="n">
        <x:f>IF(COUNT(AD45,AE45)=2,AVERAGE(AD45,AE45),"")</x:f>
        <x:v>100</x:v>
      </x:c>
      <x:c r="BK45" s="34" t="n">
        <x:f>IF(COUNT(AF45,AG45)=2,AVERAGE(AF45,AG45),"")</x:f>
        <x:v>43.62548677582366</x:v>
      </x:c>
      <x:c r="BL45" s="34" t="n">
        <x:f>IF(COUNT(AH45,AI45)=2,AVERAGE(AH45,AI45),"")</x:f>
        <x:v>76.27129419417608</x:v>
      </x:c>
      <x:c r="BM45" s="34" t="n">
        <x:f>IF(COUNT(AJ45,AK45)=2,AVERAGE(AJ45,AK45),"")</x:f>
        <x:v>100</x:v>
      </x:c>
      <x:c r="BN45" s="34" t="n">
        <x:f>IF(COUNT(AL45,AM45,AN45)=3,AVERAGE(AL45,AM45,AN45),"")</x:f>
        <x:v>66.67542517693484</x:v>
      </x:c>
      <x:c r="BO45" s="35" t="n">
        <x:f>IF(AND(COUNT(BG45:BN45)=8,ABS('Scoring Setup'!$C$17-1)&lt;0.000001),BG45*'Scoring Setup'!$C$9+BH45*'Scoring Setup'!$C$10+BI45*'Scoring Setup'!$C$11+BJ45*'Scoring Setup'!$C$12+BK45*'Scoring Setup'!$C$13+BL45*'Scoring Setup'!$C$14+BM45*'Scoring Setup'!$C$15+BN45*'Scoring Setup'!$C$16,"")</x:f>
        <x:v>73.29956285686953</x:v>
      </x:c>
      <x:c r="BP45" s="36" t="n">
        <x:f>IF(COUNT(AO45:BF45)=18,MIN(AO45:BF45),"")</x:f>
        <x:v>0.8111032531824611</x:v>
      </x:c>
      <x:c r="BQ45" s="35" t="n">
        <x:f>IF(AND(ISNUMBER(BO45),ISNUMBER(BP45)),BO45*BP45,"")</x:f>
        <x:v>59.45351389005917</x:v>
      </x:c>
      <x:c r="BR45" s="17" t="str">
        <x:f>IF(COUNT(AO45:BF45)=18,INDEX('Scoring Setup'!$F$9:$F$26,MATCH(MIN(AO45:BF45),AO45:BF45,0),1),"")</x:f>
        <x:v>洪水损失率全国百分位</x:v>
      </x:c>
    </x:row>
    <x:row r="46">
      <x:c r="A46" s="28" t="str">
        <x:v>13085</x:v>
      </x:c>
      <x:c r="B46" s="28" t="str">
        <x:v>Dawson County</x:v>
      </x:c>
      <x:c r="C46" s="28" t="str">
        <x:v>GA</x:v>
      </x:c>
      <x:c r="D46" s="31" t="n">
        <x:v>546.042252</x:v>
      </x:c>
      <x:c r="E46" s="32" t="n">
        <x:v>0.677</x:v>
      </x:c>
      <x:c r="F46" s="32" t="n">
        <x:v>0.543935643564356</x:v>
      </x:c>
      <x:c r="G46" s="32" t="n">
        <x:v>3.583708945904366</x:v>
      </x:c>
      <x:c r="H46" s="32" t="n">
        <x:v>3.300675767225076</x:v>
      </x:c>
      <x:c r="I46" s="32" t="n">
        <x:v>0.9147645973336491</x:v>
      </x:c>
      <x:c r="J46" s="32" t="n">
        <x:v>0.19885893875378496</x:v>
      </x:c>
      <x:c r="K46" s="32" t="n">
        <x:v>0.004716934584603847</x:v>
      </x:c>
      <x:c r="L46" s="32" t="n">
        <x:v>0.497816594</x:v>
      </x:c>
      <x:c r="M46" s="32" t="n">
        <x:v>0.497816594</x:v>
      </x:c>
      <x:c r="N46" s="32" t="n">
        <x:v>16781</x:v>
      </x:c>
      <x:c r="O46" s="32" t="n">
        <x:v>0.1861</x:v>
      </x:c>
      <x:c r="P46" s="32" t="n">
        <x:v>1131.3368611653646</x:v>
      </x:c>
      <x:c r="Q46" s="32" t="n">
        <x:v>16.084179083506267</x:v>
      </x:c>
      <x:c r="R46" s="32" t="n">
        <x:v>21.37959478011754</x:v>
      </x:c>
      <x:c r="S46" s="32" t="n">
        <x:v>15.398765415009276</x:v>
      </x:c>
      <x:c r="T46" s="32" t="n">
        <x:v>72.1</x:v>
      </x:c>
      <x:c r="U46" s="32" t="n">
        <x:v>211.4154781728841</x:v>
      </x:c>
      <x:c r="V46" s="32" t="n">
        <x:v>325.42757789465</x:v>
      </x:c>
      <x:c r="W46" s="33" t="n">
        <x:f>IF(ISNUMBER(E46),100*MAX(0,MIN(1,('Anchors'!$H$6-E46)/('Anchors'!$H$6-'Anchors'!$G$6))),"")</x:f>
        <x:v>31.857142857142858</x:v>
      </x:c>
      <x:c r="X46" s="33" t="n">
        <x:f>IF(ISNUMBER(F46),100*MAX(0,MIN(1,('Anchors'!$H$7-F46)/('Anchors'!$H$7-'Anchors'!$G$7))),"")</x:f>
        <x:v>36.58062234794915</x:v>
      </x:c>
      <x:c r="Y46" s="33" t="n">
        <x:f>IF(ISNUMBER(G46),100*MAX(0,MIN(1,('Anchors'!$H$8-G46)/('Anchors'!$H$8-'Anchors'!$G$8))),"")</x:f>
        <x:v>13.876368469854464</x:v>
      </x:c>
      <x:c r="Z46" s="33" t="n">
        <x:f>IF(ISNUMBER(H46),100*MAX(0,MIN(1,('Anchors'!$H$9-H46)/('Anchors'!$H$9-'Anchors'!$G$9))),"")</x:f>
        <x:v>23.310807759164135</x:v>
      </x:c>
      <x:c r="AA46" s="33" t="n">
        <x:f>IF(ISNUMBER(I46),100*MAX(0,MIN(1,(I46-'Anchors'!$H$10)/('Anchors'!$G$10-'Anchors'!$H$10))),"")</x:f>
        <x:v>91.0636434703629</x:v>
      </x:c>
      <x:c r="AB46" s="33" t="n">
        <x:f>IF(ISNUMBER(J46),100*MAX(0,MIN(1,('Anchors'!$H$11-J46)/('Anchors'!$H$11-'Anchors'!$G$11))),"")</x:f>
        <x:v>20.456424498486015</x:v>
      </x:c>
      <x:c r="AC46" s="33" t="n">
        <x:f>IF(ISNUMBER(K46),100*MAX(0,MIN(1,('Anchors'!$H$12-K46)/('Anchors'!$H$12-'Anchors'!$G$12))),"")</x:f>
        <x:v>98.82076635384904</x:v>
      </x:c>
      <x:c r="AD46" s="33" t="n">
        <x:f>IF(ISNUMBER(L46),100*MAX(0,MIN(1,(L46-'Anchors'!$H$13)/('Anchors'!$G$13-'Anchors'!$H$13))),"")</x:f>
        <x:v>42.545227714285716</x:v>
      </x:c>
      <x:c r="AE46" s="33" t="n">
        <x:f>IF(ISNUMBER(M46),100*MAX(0,MIN(1,(M46-'Anchors'!$H$14)/('Anchors'!$G$14-'Anchors'!$H$14))),"")</x:f>
        <x:v>49.72707425</x:v>
      </x:c>
      <x:c r="AF46" s="33" t="n">
        <x:f>IF(ISNUMBER(N46),100*MAX(0,MIN(1,(LN(1+N46)-LN(1+'Anchors'!$H$15))/(LN(1+'Anchors'!$G$15)-LN(1+'Anchors'!$H$15)))),"")</x:f>
        <x:v>49.2625049270878</x:v>
      </x:c>
      <x:c r="AG46" s="33" t="n">
        <x:f>IF(ISNUMBER(O46),100*MAX(0,MIN(1,('Anchors'!$H$16-O46)/('Anchors'!$H$16-'Anchors'!$G$16))),"")</x:f>
        <x:v>84.87777777777778</x:v>
      </x:c>
      <x:c r="AH46" s="33" t="n">
        <x:f>IF(ISNUMBER(P46),100*MAX(0,MIN(1,('Anchors'!$H$17-P46)/('Anchors'!$H$17-'Anchors'!$G$17))),"")</x:f>
        <x:v>71.24420925564236</x:v>
      </x:c>
      <x:c r="AI46" s="33" t="n">
        <x:f>IF(ISNUMBER(Q46),100*MAX(0,MIN(1,('Anchors'!$H$18-Q46)/('Anchors'!$H$18-'Anchors'!$G$18))),"")</x:f>
        <x:v>84.1654584521339</x:v>
      </x:c>
      <x:c r="AJ46" s="33" t="n">
        <x:f>IF(ISNUMBER(R46),100*MAX(0,MIN(1,('Anchors'!$H$19-R46)/('Anchors'!$H$19-'Anchors'!$G$19))),"")</x:f>
        <x:v>63.60090048862769</x:v>
      </x:c>
      <x:c r="AK46" s="33" t="n">
        <x:f>IF(ISNUMBER(S46),100*MAX(0,MIN(1,('Anchors'!$H$20-S46)/('Anchors'!$H$20-'Anchors'!$G$20))),"")</x:f>
        <x:v>24.217024131530128</x:v>
      </x:c>
      <x:c r="AL46" s="33" t="n">
        <x:f>IF(ISNUMBER(T46),100*MAX(0,MIN(1,('Anchors'!$H$21-T46)/('Anchors'!$H$21-'Anchors'!$G$21))),"")</x:f>
        <x:v>87.0909090909091</x:v>
      </x:c>
      <x:c r="AM46" s="33" t="n">
        <x:f>IF(ISNUMBER(U46),100*MAX(0,MIN(1,('Anchors'!$H$22-U46)/('Anchors'!$H$22-'Anchors'!$G$22))),"")</x:f>
        <x:v>44.29226091355795</x:v>
      </x:c>
      <x:c r="AN46" s="33" t="n">
        <x:f>IF(ISNUMBER(V46),100*MAX(0,MIN(1,('Anchors'!$H$23-V46)/('Anchors'!$H$23-'Anchors'!$G$23))),"")</x:f>
        <x:v>68.6431055263375</x:v>
      </x:c>
      <x:c r="AO46" s="27" t="n">
        <x:f>IF(ISNUMBER(W46),IF('Scoring Setup'!$L$9=1,1-'Scoring Setup'!$B$5*(1-MAX(0,MIN(1,(W46-'Scoring Setup'!$K$9)/(100-'Scoring Setup'!$K$9)))),1),"")</x:f>
        <x:v>0.8637142857142857</x:v>
      </x:c>
      <x:c r="AP46" s="27" t="n">
        <x:f>IF(ISNUMBER(X46),IF('Scoring Setup'!$L$10=1,1-'Scoring Setup'!$B$5*(1-MAX(0,MIN(1,(X46-'Scoring Setup'!$K$10)/(100-'Scoring Setup'!$K$10)))),1),"")</x:f>
        <x:v>0.8731612446958983</x:v>
      </x:c>
      <x:c r="AQ46" s="27" t="n">
        <x:f>IF(ISNUMBER(Y46),IF('Scoring Setup'!$L$11=1,1-'Scoring Setup'!$B$5*(1-MAX(0,MIN(1,(Y46-'Scoring Setup'!$K$11)/(100-'Scoring Setup'!$K$11)))),1),"")</x:f>
        <x:v>0.8277527369397089</x:v>
      </x:c>
      <x:c r="AR46" s="27" t="n">
        <x:f>IF(ISNUMBER(Z46),IF('Scoring Setup'!$L$12=1,1-'Scoring Setup'!$B$5*(1-MAX(0,MIN(1,(Z46-'Scoring Setup'!$K$12)/(100-'Scoring Setup'!$K$12)))),1),"")</x:f>
        <x:v>0.8466216155183283</x:v>
      </x:c>
      <x:c r="AS46" s="27" t="n">
        <x:f>IF(ISNUMBER(AA46),IF('Scoring Setup'!$L$13=1,1-'Scoring Setup'!$B$5*(1-MAX(0,MIN(1,(AA46-'Scoring Setup'!$K$13)/(100-'Scoring Setup'!$K$13)))),1),"")</x:f>
        <x:v>0.9821272869407258</x:v>
      </x:c>
      <x:c r="AT46" s="27" t="n">
        <x:f>IF(ISNUMBER(AB46),IF('Scoring Setup'!$L$14=1,1-'Scoring Setup'!$B$5*(1-MAX(0,MIN(1,(AB46-'Scoring Setup'!$K$14)/(100-'Scoring Setup'!$K$14)))),1),"")</x:f>
        <x:v>0.840912848996972</x:v>
      </x:c>
      <x:c r="AU46" s="27" t="n">
        <x:f>IF(ISNUMBER(AC46),IF('Scoring Setup'!$L$15=1,1-'Scoring Setup'!$B$5*(1-MAX(0,MIN(1,(AC46-'Scoring Setup'!$K$15)/(100-'Scoring Setup'!$K$15)))),1),"")</x:f>
        <x:v>0.9976415327076981</x:v>
      </x:c>
      <x:c r="AV46" s="27" t="n">
        <x:f>IF(ISNUMBER(AD46),IF('Scoring Setup'!$L$16=1,1-'Scoring Setup'!$B$5*(1-MAX(0,MIN(1,(AD46-'Scoring Setup'!$K$16)/(100-'Scoring Setup'!$K$16)))),1),"")</x:f>
        <x:v>0.8850904554285715</x:v>
      </x:c>
      <x:c r="AW46" s="27" t="n">
        <x:f>IF(ISNUMBER(AE46),IF('Scoring Setup'!$L$17=1,1-'Scoring Setup'!$B$5*(1-MAX(0,MIN(1,(AE46-'Scoring Setup'!$K$17)/(100-'Scoring Setup'!$K$17)))),1),"")</x:f>
        <x:v>0.8994541485</x:v>
      </x:c>
      <x:c r="AX46" s="27" t="n">
        <x:f>IF(ISNUMBER(AF46),IF('Scoring Setup'!$L$18=1,1-'Scoring Setup'!$B$5*(1-MAX(0,MIN(1,(AF46-'Scoring Setup'!$K$18)/(100-'Scoring Setup'!$K$18)))),1),"")</x:f>
        <x:v>0.8985250098541756</x:v>
      </x:c>
      <x:c r="AY46" s="27" t="n">
        <x:f>IF(ISNUMBER(AG46),IF('Scoring Setup'!$L$19=1,1-'Scoring Setup'!$B$5*(1-MAX(0,MIN(1,(AG46-'Scoring Setup'!$K$19)/(100-'Scoring Setup'!$K$19)))),1),"")</x:f>
        <x:v>0.9697555555555556</x:v>
      </x:c>
      <x:c r="AZ46" s="27" t="n">
        <x:f>IF(ISNUMBER(AH46),IF('Scoring Setup'!$L$20=1,1-'Scoring Setup'!$B$5*(1-MAX(0,MIN(1,(AH46-'Scoring Setup'!$K$20)/(100-'Scoring Setup'!$K$20)))),1),"")</x:f>
        <x:v>0.9424884185112847</x:v>
      </x:c>
      <x:c r="BA46" s="27" t="n">
        <x:f>IF(ISNUMBER(AI46),IF('Scoring Setup'!$L$21=1,1-'Scoring Setup'!$B$5*(1-MAX(0,MIN(1,(AI46-'Scoring Setup'!$K$21)/(100-'Scoring Setup'!$K$21)))),1),"")</x:f>
        <x:v>0.9683309169042678</x:v>
      </x:c>
      <x:c r="BB46" s="27" t="n">
        <x:f>IF(ISNUMBER(AJ46),IF('Scoring Setup'!$L$22=1,1-'Scoring Setup'!$B$5*(1-MAX(0,MIN(1,(AJ46-'Scoring Setup'!$K$22)/(100-'Scoring Setup'!$K$22)))),1),"")</x:f>
        <x:v>0.9272018009772554</x:v>
      </x:c>
      <x:c r="BC46" s="27" t="n">
        <x:f>IF(ISNUMBER(AK46),IF('Scoring Setup'!$L$23=1,1-'Scoring Setup'!$B$5*(1-MAX(0,MIN(1,(AK46-'Scoring Setup'!$K$23)/(100-'Scoring Setup'!$K$23)))),1),"")</x:f>
        <x:v>0.8484340482630602</x:v>
      </x:c>
      <x:c r="BD46" s="27" t="n">
        <x:f>IF(ISNUMBER(AL46),IF('Scoring Setup'!$L$24=1,1-'Scoring Setup'!$B$5*(1-MAX(0,MIN(1,(AL46-'Scoring Setup'!$K$24)/(100-'Scoring Setup'!$K$24)))),1),"")</x:f>
        <x:v>0.9741818181818181</x:v>
      </x:c>
      <x:c r="BE46" s="27" t="n">
        <x:f>IF(ISNUMBER(AM46),IF('Scoring Setup'!$L$25=1,1-'Scoring Setup'!$B$5*(1-MAX(0,MIN(1,(AM46-'Scoring Setup'!$K$25)/(100-'Scoring Setup'!$K$25)))),1),"")</x:f>
        <x:v>0.8885845218271159</x:v>
      </x:c>
      <x:c r="BF46" s="27" t="n">
        <x:f>IF(ISNUMBER(AN46),IF('Scoring Setup'!$L$26=1,1-'Scoring Setup'!$B$5*(1-MAX(0,MIN(1,(AN46-'Scoring Setup'!$K$26)/(100-'Scoring Setup'!$K$26)))),1),"")</x:f>
        <x:v>0.937286211052675</x:v>
      </x:c>
      <x:c r="BG46" s="34" t="n">
        <x:f>IF(COUNT(W46,X46)=2,AVERAGE(W46,X46),"")</x:f>
        <x:v>34.218882602546</x:v>
      </x:c>
      <x:c r="BH46" s="34" t="n">
        <x:f>IF(COUNT(Y46,Z46)=2,AVERAGE(Y46,Z46),"")</x:f>
        <x:v>18.5935881145093</x:v>
      </x:c>
      <x:c r="BI46" s="34" t="n">
        <x:f>IF(COUNT(AA46,AB46,AC46)=3,AVERAGE(AA46,AB46,AC46),"")</x:f>
        <x:v>70.11361144089932</x:v>
      </x:c>
      <x:c r="BJ46" s="34" t="n">
        <x:f>IF(COUNT(AD46,AE46)=2,AVERAGE(AD46,AE46),"")</x:f>
        <x:v>46.13615098214286</x:v>
      </x:c>
      <x:c r="BK46" s="34" t="n">
        <x:f>IF(COUNT(AF46,AG46)=2,AVERAGE(AF46,AG46),"")</x:f>
        <x:v>67.07014135243278</x:v>
      </x:c>
      <x:c r="BL46" s="34" t="n">
        <x:f>IF(COUNT(AH46,AI46)=2,AVERAGE(AH46,AI46),"")</x:f>
        <x:v>77.70483385388813</x:v>
      </x:c>
      <x:c r="BM46" s="34" t="n">
        <x:f>IF(COUNT(AJ46,AK46)=2,AVERAGE(AJ46,AK46),"")</x:f>
        <x:v>43.908962310078905</x:v>
      </x:c>
      <x:c r="BN46" s="34" t="n">
        <x:f>IF(COUNT(AL46,AM46,AN46)=3,AVERAGE(AL46,AM46,AN46),"")</x:f>
        <x:v>66.67542517693484</x:v>
      </x:c>
      <x:c r="BO46" s="35" t="n">
        <x:f>IF(AND(COUNT(BG46:BN46)=8,ABS('Scoring Setup'!$C$17-1)&lt;0.000001),BG46*'Scoring Setup'!$C$9+BH46*'Scoring Setup'!$C$10+BI46*'Scoring Setup'!$C$11+BJ46*'Scoring Setup'!$C$12+BK46*'Scoring Setup'!$C$13+BL46*'Scoring Setup'!$C$14+BM46*'Scoring Setup'!$C$15+BN46*'Scoring Setup'!$C$16,"")</x:f>
        <x:v>51.55591362198277</x:v>
      </x:c>
      <x:c r="BP46" s="36" t="n">
        <x:f>IF(COUNT(AO46:BF46)=18,MIN(AO46:BF46),"")</x:f>
        <x:v>0.8277527369397089</x:v>
      </x:c>
      <x:c r="BQ46" s="35" t="n">
        <x:f>IF(AND(ISNUMBER(BO46),ISNUMBER(BP46)),BO46*BP46,"")</x:f>
        <x:v>42.675548606023455</x:v>
      </x:c>
      <x:c r="BR46" s="17" t="str">
        <x:f>IF(COUNT(AO46:BF46)=18,INDEX('Scoring Setup'!$F$9:$F$26,MATCH(MIN(AO46:BF46),AO46:BF46,0),1),"")</x:f>
        <x:v>基线水压力</x:v>
      </x:c>
    </x:row>
    <x:row r="47">
      <x:c r="A47" s="28" t="str">
        <x:v>13087</x:v>
      </x:c>
      <x:c r="B47" s="28" t="str">
        <x:v>Decatur County</x:v>
      </x:c>
      <x:c r="C47" s="28" t="str">
        <x:v>GA</x:v>
      </x:c>
      <x:c r="D47" s="31" t="n">
        <x:v>1546.842847</x:v>
      </x:c>
      <x:c r="E47" s="32" t="n">
        <x:v>0.54</x:v>
      </x:c>
      <x:c r="F47" s="32" t="n">
        <x:v>0.962871287128713</x:v>
      </x:c>
      <x:c r="G47" s="32" t="n">
        <x:v>1.4503219759903994</x:v>
      </x:c>
      <x:c r="H47" s="32" t="n">
        <x:v>1.4487019016453258</x:v>
      </x:c>
      <x:c r="I47" s="32" t="n">
        <x:v>0.9277591969390965</x:v>
      </x:c>
      <x:c r="J47" s="32" t="n">
        <x:v>0.0380891490879645</x:v>
      </x:c>
      <x:c r="K47" s="32" t="n">
        <x:v>0.1593489012983033</x:v>
      </x:c>
      <x:c r="L47" s="32" t="n">
        <x:v>0.491375905</x:v>
      </x:c>
      <x:c r="M47" s="32" t="n">
        <x:v>0.400394997</x:v>
      </x:c>
      <x:c r="N47" s="32" t="n">
        <x:v>11938</x:v>
      </x:c>
      <x:c r="O47" s="32" t="n">
        <x:v>0.9679</x:v>
      </x:c>
      <x:c r="P47" s="32" t="n">
        <x:v>2337.2658935546874</x:v>
      </x:c>
      <x:c r="Q47" s="32" t="n">
        <x:v>77.88280995686848</x:v>
      </x:c>
      <x:c r="R47" s="32" t="n">
        <x:v>33.79467428592054</x:v>
      </x:c>
      <x:c r="S47" s="32" t="n">
        <x:v>0.7629870235584567</x:v>
      </x:c>
      <x:c r="T47" s="32" t="n">
        <x:v>72.1</x:v>
      </x:c>
      <x:c r="U47" s="32" t="n">
        <x:v>211.4154781728841</x:v>
      </x:c>
      <x:c r="V47" s="32" t="n">
        <x:v>325.42757789465</x:v>
      </x:c>
      <x:c r="W47" s="33" t="n">
        <x:f>IF(ISNUMBER(E47),100*MAX(0,MIN(1,('Anchors'!$H$6-E47)/('Anchors'!$H$6-'Anchors'!$G$6))),"")</x:f>
        <x:v>51.42857142857144</x:v>
      </x:c>
      <x:c r="X47" s="33" t="n">
        <x:f>IF(ISNUMBER(F47),100*MAX(0,MIN(1,('Anchors'!$H$7-F47)/('Anchors'!$H$7-'Anchors'!$G$7))),"")</x:f>
        <x:v>0</x:v>
      </x:c>
      <x:c r="Y47" s="33" t="n">
        <x:f>IF(ISNUMBER(G47),100*MAX(0,MIN(1,('Anchors'!$H$8-G47)/('Anchors'!$H$8-'Anchors'!$G$8))),"")</x:f>
        <x:v>84.98926746698669</x:v>
      </x:c>
      <x:c r="Z47" s="33" t="n">
        <x:f>IF(ISNUMBER(H47),100*MAX(0,MIN(1,('Anchors'!$H$9-H47)/('Anchors'!$H$9-'Anchors'!$G$9))),"")</x:f>
        <x:v>85.04326994515581</x:v>
      </x:c>
      <x:c r="AA47" s="33" t="n">
        <x:f>IF(ISNUMBER(I47),100*MAX(0,MIN(1,(I47-'Anchors'!$H$10)/('Anchors'!$G$10-'Anchors'!$H$10))),"")</x:f>
        <x:v>92.84372560809541</x:v>
      </x:c>
      <x:c r="AB47" s="33" t="n">
        <x:f>IF(ISNUMBER(J47),100*MAX(0,MIN(1,('Anchors'!$H$11-J47)/('Anchors'!$H$11-'Anchors'!$G$11))),"")</x:f>
        <x:v>84.76434036481419</x:v>
      </x:c>
      <x:c r="AC47" s="33" t="n">
        <x:f>IF(ISNUMBER(K47),100*MAX(0,MIN(1,('Anchors'!$H$12-K47)/('Anchors'!$H$12-'Anchors'!$G$12))),"")</x:f>
        <x:v>60.16277467542417</x:v>
      </x:c>
      <x:c r="AD47" s="33" t="n">
        <x:f>IF(ISNUMBER(L47),100*MAX(0,MIN(1,(L47-'Anchors'!$H$13)/('Anchors'!$G$13-'Anchors'!$H$13))),"")</x:f>
        <x:v>41.62512928571429</x:v>
      </x:c>
      <x:c r="AE47" s="33" t="n">
        <x:f>IF(ISNUMBER(M47),100*MAX(0,MIN(1,(M47-'Anchors'!$H$14)/('Anchors'!$G$14-'Anchors'!$H$14))),"")</x:f>
        <x:v>37.54937462499999</x:v>
      </x:c>
      <x:c r="AF47" s="33" t="n">
        <x:f>IF(ISNUMBER(N47),100*MAX(0,MIN(1,(LN(1+N47)-LN(1+'Anchors'!$H$15))/(LN(1+'Anchors'!$G$15)-LN(1+'Anchors'!$H$15)))),"")</x:f>
        <x:v>41.37515415261072</x:v>
      </x:c>
      <x:c r="AG47" s="33" t="n">
        <x:f>IF(ISNUMBER(O47),100*MAX(0,MIN(1,('Anchors'!$H$16-O47)/('Anchors'!$H$16-'Anchors'!$G$16))),"")</x:f>
        <x:v>0</x:v>
      </x:c>
      <x:c r="AH47" s="33" t="n">
        <x:f>IF(ISNUMBER(P47),100*MAX(0,MIN(1,('Anchors'!$H$17-P47)/('Anchors'!$H$17-'Anchors'!$G$17))),"")</x:f>
        <x:v>0</x:v>
      </x:c>
      <x:c r="AI47" s="33" t="n">
        <x:f>IF(ISNUMBER(Q47),100*MAX(0,MIN(1,('Anchors'!$H$18-Q47)/('Anchors'!$H$18-'Anchors'!$G$18))),"")</x:f>
        <x:v>0</x:v>
      </x:c>
      <x:c r="AJ47" s="33" t="n">
        <x:f>IF(ISNUMBER(R47),100*MAX(0,MIN(1,('Anchors'!$H$19-R47)/('Anchors'!$H$19-'Anchors'!$G$19))),"")</x:f>
        <x:v>36.011834920176575</x:v>
      </x:c>
      <x:c r="AK47" s="33" t="n">
        <x:f>IF(ISNUMBER(S47),100*MAX(0,MIN(1,('Anchors'!$H$20-S47)/('Anchors'!$H$20-'Anchors'!$G$20))),"")</x:f>
        <x:v>100</x:v>
      </x:c>
      <x:c r="AL47" s="33" t="n">
        <x:f>IF(ISNUMBER(T47),100*MAX(0,MIN(1,('Anchors'!$H$21-T47)/('Anchors'!$H$21-'Anchors'!$G$21))),"")</x:f>
        <x:v>87.0909090909091</x:v>
      </x:c>
      <x:c r="AM47" s="33" t="n">
        <x:f>IF(ISNUMBER(U47),100*MAX(0,MIN(1,('Anchors'!$H$22-U47)/('Anchors'!$H$22-'Anchors'!$G$22))),"")</x:f>
        <x:v>44.29226091355795</x:v>
      </x:c>
      <x:c r="AN47" s="33" t="n">
        <x:f>IF(ISNUMBER(V47),100*MAX(0,MIN(1,('Anchors'!$H$23-V47)/('Anchors'!$H$23-'Anchors'!$G$23))),"")</x:f>
        <x:v>68.6431055263375</x:v>
      </x:c>
      <x:c r="AO47" s="27" t="n">
        <x:f>IF(ISNUMBER(W47),IF('Scoring Setup'!$L$9=1,1-'Scoring Setup'!$B$5*(1-MAX(0,MIN(1,(W47-'Scoring Setup'!$K$9)/(100-'Scoring Setup'!$K$9)))),1),"")</x:f>
        <x:v>0.9028571428571428</x:v>
      </x:c>
      <x:c r="AP47" s="27" t="n">
        <x:f>IF(ISNUMBER(X47),IF('Scoring Setup'!$L$10=1,1-'Scoring Setup'!$B$5*(1-MAX(0,MIN(1,(X47-'Scoring Setup'!$K$10)/(100-'Scoring Setup'!$K$10)))),1),"")</x:f>
        <x:v>0.8</x:v>
      </x:c>
      <x:c r="AQ47" s="27" t="n">
        <x:f>IF(ISNUMBER(Y47),IF('Scoring Setup'!$L$11=1,1-'Scoring Setup'!$B$5*(1-MAX(0,MIN(1,(Y47-'Scoring Setup'!$K$11)/(100-'Scoring Setup'!$K$11)))),1),"")</x:f>
        <x:v>0.9699785349339733</x:v>
      </x:c>
      <x:c r="AR47" s="27" t="n">
        <x:f>IF(ISNUMBER(Z47),IF('Scoring Setup'!$L$12=1,1-'Scoring Setup'!$B$5*(1-MAX(0,MIN(1,(Z47-'Scoring Setup'!$K$12)/(100-'Scoring Setup'!$K$12)))),1),"")</x:f>
        <x:v>0.9700865398903116</x:v>
      </x:c>
      <x:c r="AS47" s="27" t="n">
        <x:f>IF(ISNUMBER(AA47),IF('Scoring Setup'!$L$13=1,1-'Scoring Setup'!$B$5*(1-MAX(0,MIN(1,(AA47-'Scoring Setup'!$K$13)/(100-'Scoring Setup'!$K$13)))),1),"")</x:f>
        <x:v>0.9856874512161908</x:v>
      </x:c>
      <x:c r="AT47" s="27" t="n">
        <x:f>IF(ISNUMBER(AB47),IF('Scoring Setup'!$L$14=1,1-'Scoring Setup'!$B$5*(1-MAX(0,MIN(1,(AB47-'Scoring Setup'!$K$14)/(100-'Scoring Setup'!$K$14)))),1),"")</x:f>
        <x:v>0.9695286807296284</x:v>
      </x:c>
      <x:c r="AU47" s="27" t="n">
        <x:f>IF(ISNUMBER(AC47),IF('Scoring Setup'!$L$15=1,1-'Scoring Setup'!$B$5*(1-MAX(0,MIN(1,(AC47-'Scoring Setup'!$K$15)/(100-'Scoring Setup'!$K$15)))),1),"")</x:f>
        <x:v>0.9203255493508483</x:v>
      </x:c>
      <x:c r="AV47" s="27" t="n">
        <x:f>IF(ISNUMBER(AD47),IF('Scoring Setup'!$L$16=1,1-'Scoring Setup'!$B$5*(1-MAX(0,MIN(1,(AD47-'Scoring Setup'!$K$16)/(100-'Scoring Setup'!$K$16)))),1),"")</x:f>
        <x:v>0.8832502585714286</x:v>
      </x:c>
      <x:c r="AW47" s="27" t="n">
        <x:f>IF(ISNUMBER(AE47),IF('Scoring Setup'!$L$17=1,1-'Scoring Setup'!$B$5*(1-MAX(0,MIN(1,(AE47-'Scoring Setup'!$K$17)/(100-'Scoring Setup'!$K$17)))),1),"")</x:f>
        <x:v>0.87509874925</x:v>
      </x:c>
      <x:c r="AX47" s="27" t="n">
        <x:f>IF(ISNUMBER(AF47),IF('Scoring Setup'!$L$18=1,1-'Scoring Setup'!$B$5*(1-MAX(0,MIN(1,(AF47-'Scoring Setup'!$K$18)/(100-'Scoring Setup'!$K$18)))),1),"")</x:f>
        <x:v>0.8827503083052215</x:v>
      </x:c>
      <x:c r="AY47" s="27" t="n">
        <x:f>IF(ISNUMBER(AG47),IF('Scoring Setup'!$L$19=1,1-'Scoring Setup'!$B$5*(1-MAX(0,MIN(1,(AG47-'Scoring Setup'!$K$19)/(100-'Scoring Setup'!$K$19)))),1),"")</x:f>
        <x:v>0.8</x:v>
      </x:c>
      <x:c r="AZ47" s="27" t="n">
        <x:f>IF(ISNUMBER(AH47),IF('Scoring Setup'!$L$20=1,1-'Scoring Setup'!$B$5*(1-MAX(0,MIN(1,(AH47-'Scoring Setup'!$K$20)/(100-'Scoring Setup'!$K$20)))),1),"")</x:f>
        <x:v>0.8</x:v>
      </x:c>
      <x:c r="BA47" s="27" t="n">
        <x:f>IF(ISNUMBER(AI47),IF('Scoring Setup'!$L$21=1,1-'Scoring Setup'!$B$5*(1-MAX(0,MIN(1,(AI47-'Scoring Setup'!$K$21)/(100-'Scoring Setup'!$K$21)))),1),"")</x:f>
        <x:v>0.8</x:v>
      </x:c>
      <x:c r="BB47" s="27" t="n">
        <x:f>IF(ISNUMBER(AJ47),IF('Scoring Setup'!$L$22=1,1-'Scoring Setup'!$B$5*(1-MAX(0,MIN(1,(AJ47-'Scoring Setup'!$K$22)/(100-'Scoring Setup'!$K$22)))),1),"")</x:f>
        <x:v>0.8720236698403532</x:v>
      </x:c>
      <x:c r="BC47" s="27" t="n">
        <x:f>IF(ISNUMBER(AK47),IF('Scoring Setup'!$L$23=1,1-'Scoring Setup'!$B$5*(1-MAX(0,MIN(1,(AK47-'Scoring Setup'!$K$23)/(100-'Scoring Setup'!$K$23)))),1),"")</x:f>
        <x:v>1</x:v>
      </x:c>
      <x:c r="BD47" s="27" t="n">
        <x:f>IF(ISNUMBER(AL47),IF('Scoring Setup'!$L$24=1,1-'Scoring Setup'!$B$5*(1-MAX(0,MIN(1,(AL47-'Scoring Setup'!$K$24)/(100-'Scoring Setup'!$K$24)))),1),"")</x:f>
        <x:v>0.9741818181818181</x:v>
      </x:c>
      <x:c r="BE47" s="27" t="n">
        <x:f>IF(ISNUMBER(AM47),IF('Scoring Setup'!$L$25=1,1-'Scoring Setup'!$B$5*(1-MAX(0,MIN(1,(AM47-'Scoring Setup'!$K$25)/(100-'Scoring Setup'!$K$25)))),1),"")</x:f>
        <x:v>0.8885845218271159</x:v>
      </x:c>
      <x:c r="BF47" s="27" t="n">
        <x:f>IF(ISNUMBER(AN47),IF('Scoring Setup'!$L$26=1,1-'Scoring Setup'!$B$5*(1-MAX(0,MIN(1,(AN47-'Scoring Setup'!$K$26)/(100-'Scoring Setup'!$K$26)))),1),"")</x:f>
        <x:v>0.937286211052675</x:v>
      </x:c>
      <x:c r="BG47" s="34" t="n">
        <x:f>IF(COUNT(W47,X47)=2,AVERAGE(W47,X47),"")</x:f>
        <x:v>25.71428571428572</x:v>
      </x:c>
      <x:c r="BH47" s="34" t="n">
        <x:f>IF(COUNT(Y47,Z47)=2,AVERAGE(Y47,Z47),"")</x:f>
        <x:v>85.01626870607126</x:v>
      </x:c>
      <x:c r="BI47" s="34" t="n">
        <x:f>IF(COUNT(AA47,AB47,AC47)=3,AVERAGE(AA47,AB47,AC47),"")</x:f>
        <x:v>79.25694688277792</x:v>
      </x:c>
      <x:c r="BJ47" s="34" t="n">
        <x:f>IF(COUNT(AD47,AE47)=2,AVERAGE(AD47,AE47),"")</x:f>
        <x:v>39.58725195535714</x:v>
      </x:c>
      <x:c r="BK47" s="34" t="n">
        <x:f>IF(COUNT(AF47,AG47)=2,AVERAGE(AF47,AG47),"")</x:f>
        <x:v>20.68757707630536</x:v>
      </x:c>
      <x:c r="BL47" s="34" t="n">
        <x:f>IF(COUNT(AH47,AI47)=2,AVERAGE(AH47,AI47),"")</x:f>
        <x:v>0</x:v>
      </x:c>
      <x:c r="BM47" s="34" t="n">
        <x:f>IF(COUNT(AJ47,AK47)=2,AVERAGE(AJ47,AK47),"")</x:f>
        <x:v>68.00591746008828</x:v>
      </x:c>
      <x:c r="BN47" s="34" t="n">
        <x:f>IF(COUNT(AL47,AM47,AN47)=3,AVERAGE(AL47,AM47,AN47),"")</x:f>
        <x:v>66.67542517693484</x:v>
      </x:c>
      <x:c r="BO47" s="35" t="n">
        <x:f>IF(AND(COUNT(BG47:BN47)=8,ABS('Scoring Setup'!$C$17-1)&lt;0.000001),BG47*'Scoring Setup'!$C$9+BH47*'Scoring Setup'!$C$10+BI47*'Scoring Setup'!$C$11+BJ47*'Scoring Setup'!$C$12+BK47*'Scoring Setup'!$C$13+BL47*'Scoring Setup'!$C$14+BM47*'Scoring Setup'!$C$15+BN47*'Scoring Setup'!$C$16,"")</x:f>
        <x:v>56.930783330171735</x:v>
      </x:c>
      <x:c r="BP47" s="36" t="n">
        <x:f>IF(COUNT(AO47:BF47)=18,MIN(AO47:BF47),"")</x:f>
        <x:v>0.8</x:v>
      </x:c>
      <x:c r="BQ47" s="35" t="n">
        <x:f>IF(AND(ISNUMBER(BO47),ISNUMBER(BP47)),BO47*BP47,"")</x:f>
        <x:v>45.54462666413739</x:v>
      </x:c>
      <x:c r="BR47" s="17" t="str">
        <x:f>IF(COUNT(AO47:BF47)=18,INDEX('Scoring Setup'!$F$9:$F$26,MATCH(MIN(AO47:BF47),AO47:BF47,0),1),"")</x:f>
        <x:v>洪水损失率全国百分位</x:v>
      </x:c>
    </x:row>
    <x:row r="48">
      <x:c r="A48" s="28" t="str">
        <x:v>13089</x:v>
      </x:c>
      <x:c r="B48" s="28" t="str">
        <x:v>DeKalb County</x:v>
      </x:c>
      <x:c r="C48" s="28" t="str">
        <x:v>GA</x:v>
      </x:c>
      <x:c r="D48" s="31" t="n">
        <x:v>693.251647</x:v>
      </x:c>
      <x:c r="E48" s="32" t="n">
        <x:v>0.387</x:v>
      </x:c>
      <x:c r="F48" s="32" t="n">
        <x:v>0.312190594059406</x:v>
      </x:c>
      <x:c r="G48" s="32" t="n">
        <x:v>3.172049455819984</x:v>
      </x:c>
      <x:c r="H48" s="32" t="n">
        <x:v>3.0803540763493626</x:v>
      </x:c>
      <x:c r="I48" s="32" t="n">
        <x:v>0.3217347720440914</x:v>
      </x:c>
      <x:c r="J48" s="32" t="n">
        <x:v>0.03116157334305546</x:v>
      </x:c>
      <x:c r="K48" s="32" t="n">
        <x:v>0.015347769528974228</x:v>
      </x:c>
      <x:c r="L48" s="32" t="n">
        <x:v>0.606447408</x:v>
      </x:c>
      <x:c r="M48" s="32" t="n">
        <x:v>0.599244199</x:v>
      </x:c>
      <x:c r="N48" s="32" t="n">
        <x:v>402796</x:v>
      </x:c>
      <x:c r="O48" s="32" t="n">
        <x:v>0.7903</x:v>
      </x:c>
      <x:c r="P48" s="32" t="n">
        <x:v>1587.7737630208333</x:v>
      </x:c>
      <x:c r="Q48" s="32" t="n">
        <x:v>31.47008934020996</x:v>
      </x:c>
      <x:c r="R48" s="32" t="n">
        <x:v>0.5926811913762783</x:v>
      </x:c>
      <x:c r="S48" s="32" t="n">
        <x:v>3.8154950061874193</x:v>
      </x:c>
      <x:c r="T48" s="32" t="n">
        <x:v>72.1</x:v>
      </x:c>
      <x:c r="U48" s="32" t="n">
        <x:v>211.4154781728841</x:v>
      </x:c>
      <x:c r="V48" s="32" t="n">
        <x:v>325.42757789465</x:v>
      </x:c>
      <x:c r="W48" s="33" t="n">
        <x:f>IF(ISNUMBER(E48),100*MAX(0,MIN(1,('Anchors'!$H$6-E48)/('Anchors'!$H$6-'Anchors'!$G$6))),"")</x:f>
        <x:v>73.28571428571429</x:v>
      </x:c>
      <x:c r="X48" s="33" t="n">
        <x:f>IF(ISNUMBER(F48),100*MAX(0,MIN(1,('Anchors'!$H$7-F48)/('Anchors'!$H$7-'Anchors'!$G$7))),"")</x:f>
        <x:v>69.68705799151343</x:v>
      </x:c>
      <x:c r="Y48" s="33" t="n">
        <x:f>IF(ISNUMBER(G48),100*MAX(0,MIN(1,('Anchors'!$H$8-G48)/('Anchors'!$H$8-'Anchors'!$G$8))),"")</x:f>
        <x:v>27.598351472667204</x:v>
      </x:c>
      <x:c r="Z48" s="33" t="n">
        <x:f>IF(ISNUMBER(H48),100*MAX(0,MIN(1,('Anchors'!$H$9-H48)/('Anchors'!$H$9-'Anchors'!$G$9))),"")</x:f>
        <x:v>30.654864121687915</x:v>
      </x:c>
      <x:c r="AA48" s="33" t="n">
        <x:f>IF(ISNUMBER(I48),100*MAX(0,MIN(1,(I48-'Anchors'!$H$10)/('Anchors'!$G$10-'Anchors'!$H$10))),"")</x:f>
        <x:v>9.82668110193033</x:v>
      </x:c>
      <x:c r="AB48" s="33" t="n">
        <x:f>IF(ISNUMBER(J48),100*MAX(0,MIN(1,('Anchors'!$H$11-J48)/('Anchors'!$H$11-'Anchors'!$G$11))),"")</x:f>
        <x:v>87.53537066277781</x:v>
      </x:c>
      <x:c r="AC48" s="33" t="n">
        <x:f>IF(ISNUMBER(K48),100*MAX(0,MIN(1,('Anchors'!$H$12-K48)/('Anchors'!$H$12-'Anchors'!$G$12))),"")</x:f>
        <x:v>96.16305761775645</x:v>
      </x:c>
      <x:c r="AD48" s="33" t="n">
        <x:f>IF(ISNUMBER(L48),100*MAX(0,MIN(1,(L48-'Anchors'!$H$13)/('Anchors'!$G$13-'Anchors'!$H$13))),"")</x:f>
        <x:v>58.06391542857142</x:v>
      </x:c>
      <x:c r="AE48" s="33" t="n">
        <x:f>IF(ISNUMBER(M48),100*MAX(0,MIN(1,(M48-'Anchors'!$H$14)/('Anchors'!$G$14-'Anchors'!$H$14))),"")</x:f>
        <x:v>62.405524875000005</x:v>
      </x:c>
      <x:c r="AF48" s="33" t="n">
        <x:f>IF(ISNUMBER(N48),100*MAX(0,MIN(1,(LN(1+N48)-LN(1+'Anchors'!$H$15))/(LN(1+'Anchors'!$G$15)-LN(1+'Anchors'!$H$15)))),"")</x:f>
        <x:v>100</x:v>
      </x:c>
      <x:c r="AG48" s="33" t="n">
        <x:f>IF(ISNUMBER(O48),100*MAX(0,MIN(1,('Anchors'!$H$16-O48)/('Anchors'!$H$16-'Anchors'!$G$16))),"")</x:f>
        <x:v>17.74444444444444</x:v>
      </x:c>
      <x:c r="AH48" s="33" t="n">
        <x:f>IF(ISNUMBER(P48),100*MAX(0,MIN(1,('Anchors'!$H$17-P48)/('Anchors'!$H$17-'Anchors'!$G$17))),"")</x:f>
        <x:v>40.81508246527778</x:v>
      </x:c>
      <x:c r="AI48" s="33" t="n">
        <x:f>IF(ISNUMBER(Q48),100*MAX(0,MIN(1,('Anchors'!$H$18-Q48)/('Anchors'!$H$18-'Anchors'!$G$18))),"")</x:f>
        <x:v>62.185586656842915</x:v>
      </x:c>
      <x:c r="AJ48" s="33" t="n">
        <x:f>IF(ISNUMBER(R48),100*MAX(0,MIN(1,('Anchors'!$H$19-R48)/('Anchors'!$H$19-'Anchors'!$G$19))),"")</x:f>
        <x:v>100</x:v>
      </x:c>
      <x:c r="AK48" s="33" t="n">
        <x:f>IF(ISNUMBER(S48),100*MAX(0,MIN(1,('Anchors'!$H$20-S48)/('Anchors'!$H$20-'Anchors'!$G$20))),"")</x:f>
        <x:v>85.18160523059252</x:v>
      </x:c>
      <x:c r="AL48" s="33" t="n">
        <x:f>IF(ISNUMBER(T48),100*MAX(0,MIN(1,('Anchors'!$H$21-T48)/('Anchors'!$H$21-'Anchors'!$G$21))),"")</x:f>
        <x:v>87.0909090909091</x:v>
      </x:c>
      <x:c r="AM48" s="33" t="n">
        <x:f>IF(ISNUMBER(U48),100*MAX(0,MIN(1,('Anchors'!$H$22-U48)/('Anchors'!$H$22-'Anchors'!$G$22))),"")</x:f>
        <x:v>44.29226091355795</x:v>
      </x:c>
      <x:c r="AN48" s="33" t="n">
        <x:f>IF(ISNUMBER(V48),100*MAX(0,MIN(1,('Anchors'!$H$23-V48)/('Anchors'!$H$23-'Anchors'!$G$23))),"")</x:f>
        <x:v>68.6431055263375</x:v>
      </x:c>
      <x:c r="AO48" s="27" t="n">
        <x:f>IF(ISNUMBER(W48),IF('Scoring Setup'!$L$9=1,1-'Scoring Setup'!$B$5*(1-MAX(0,MIN(1,(W48-'Scoring Setup'!$K$9)/(100-'Scoring Setup'!$K$9)))),1),"")</x:f>
        <x:v>0.9465714285714286</x:v>
      </x:c>
      <x:c r="AP48" s="27" t="n">
        <x:f>IF(ISNUMBER(X48),IF('Scoring Setup'!$L$10=1,1-'Scoring Setup'!$B$5*(1-MAX(0,MIN(1,(X48-'Scoring Setup'!$K$10)/(100-'Scoring Setup'!$K$10)))),1),"")</x:f>
        <x:v>0.9393741159830269</x:v>
      </x:c>
      <x:c r="AQ48" s="27" t="n">
        <x:f>IF(ISNUMBER(Y48),IF('Scoring Setup'!$L$11=1,1-'Scoring Setup'!$B$5*(1-MAX(0,MIN(1,(Y48-'Scoring Setup'!$K$11)/(100-'Scoring Setup'!$K$11)))),1),"")</x:f>
        <x:v>0.8551967029453345</x:v>
      </x:c>
      <x:c r="AR48" s="27" t="n">
        <x:f>IF(ISNUMBER(Z48),IF('Scoring Setup'!$L$12=1,1-'Scoring Setup'!$B$5*(1-MAX(0,MIN(1,(Z48-'Scoring Setup'!$K$12)/(100-'Scoring Setup'!$K$12)))),1),"")</x:f>
        <x:v>0.8613097282433758</x:v>
      </x:c>
      <x:c r="AS48" s="27" t="n">
        <x:f>IF(ISNUMBER(AA48),IF('Scoring Setup'!$L$13=1,1-'Scoring Setup'!$B$5*(1-MAX(0,MIN(1,(AA48-'Scoring Setup'!$K$13)/(100-'Scoring Setup'!$K$13)))),1),"")</x:f>
        <x:v>0.8196533622038606</x:v>
      </x:c>
      <x:c r="AT48" s="27" t="n">
        <x:f>IF(ISNUMBER(AB48),IF('Scoring Setup'!$L$14=1,1-'Scoring Setup'!$B$5*(1-MAX(0,MIN(1,(AB48-'Scoring Setup'!$K$14)/(100-'Scoring Setup'!$K$14)))),1),"")</x:f>
        <x:v>0.9750707413255556</x:v>
      </x:c>
      <x:c r="AU48" s="27" t="n">
        <x:f>IF(ISNUMBER(AC48),IF('Scoring Setup'!$L$15=1,1-'Scoring Setup'!$B$5*(1-MAX(0,MIN(1,(AC48-'Scoring Setup'!$K$15)/(100-'Scoring Setup'!$K$15)))),1),"")</x:f>
        <x:v>0.992326115235513</x:v>
      </x:c>
      <x:c r="AV48" s="27" t="n">
        <x:f>IF(ISNUMBER(AD48),IF('Scoring Setup'!$L$16=1,1-'Scoring Setup'!$B$5*(1-MAX(0,MIN(1,(AD48-'Scoring Setup'!$K$16)/(100-'Scoring Setup'!$K$16)))),1),"")</x:f>
        <x:v>0.9161278308571428</x:v>
      </x:c>
      <x:c r="AW48" s="27" t="n">
        <x:f>IF(ISNUMBER(AE48),IF('Scoring Setup'!$L$17=1,1-'Scoring Setup'!$B$5*(1-MAX(0,MIN(1,(AE48-'Scoring Setup'!$K$17)/(100-'Scoring Setup'!$K$17)))),1),"")</x:f>
        <x:v>0.92481104975</x:v>
      </x:c>
      <x:c r="AX48" s="27" t="n">
        <x:f>IF(ISNUMBER(AF48),IF('Scoring Setup'!$L$18=1,1-'Scoring Setup'!$B$5*(1-MAX(0,MIN(1,(AF48-'Scoring Setup'!$K$18)/(100-'Scoring Setup'!$K$18)))),1),"")</x:f>
        <x:v>1</x:v>
      </x:c>
      <x:c r="AY48" s="27" t="n">
        <x:f>IF(ISNUMBER(AG48),IF('Scoring Setup'!$L$19=1,1-'Scoring Setup'!$B$5*(1-MAX(0,MIN(1,(AG48-'Scoring Setup'!$K$19)/(100-'Scoring Setup'!$K$19)))),1),"")</x:f>
        <x:v>0.8354888888888888</x:v>
      </x:c>
      <x:c r="AZ48" s="27" t="n">
        <x:f>IF(ISNUMBER(AH48),IF('Scoring Setup'!$L$20=1,1-'Scoring Setup'!$B$5*(1-MAX(0,MIN(1,(AH48-'Scoring Setup'!$K$20)/(100-'Scoring Setup'!$K$20)))),1),"")</x:f>
        <x:v>0.8816301649305556</x:v>
      </x:c>
      <x:c r="BA48" s="27" t="n">
        <x:f>IF(ISNUMBER(AI48),IF('Scoring Setup'!$L$21=1,1-'Scoring Setup'!$B$5*(1-MAX(0,MIN(1,(AI48-'Scoring Setup'!$K$21)/(100-'Scoring Setup'!$K$21)))),1),"")</x:f>
        <x:v>0.9243711733136858</x:v>
      </x:c>
      <x:c r="BB48" s="27" t="n">
        <x:f>IF(ISNUMBER(AJ48),IF('Scoring Setup'!$L$22=1,1-'Scoring Setup'!$B$5*(1-MAX(0,MIN(1,(AJ48-'Scoring Setup'!$K$22)/(100-'Scoring Setup'!$K$22)))),1),"")</x:f>
        <x:v>1</x:v>
      </x:c>
      <x:c r="BC48" s="27" t="n">
        <x:f>IF(ISNUMBER(AK48),IF('Scoring Setup'!$L$23=1,1-'Scoring Setup'!$B$5*(1-MAX(0,MIN(1,(AK48-'Scoring Setup'!$K$23)/(100-'Scoring Setup'!$K$23)))),1),"")</x:f>
        <x:v>0.970363210461185</x:v>
      </x:c>
      <x:c r="BD48" s="27" t="n">
        <x:f>IF(ISNUMBER(AL48),IF('Scoring Setup'!$L$24=1,1-'Scoring Setup'!$B$5*(1-MAX(0,MIN(1,(AL48-'Scoring Setup'!$K$24)/(100-'Scoring Setup'!$K$24)))),1),"")</x:f>
        <x:v>0.9741818181818181</x:v>
      </x:c>
      <x:c r="BE48" s="27" t="n">
        <x:f>IF(ISNUMBER(AM48),IF('Scoring Setup'!$L$25=1,1-'Scoring Setup'!$B$5*(1-MAX(0,MIN(1,(AM48-'Scoring Setup'!$K$25)/(100-'Scoring Setup'!$K$25)))),1),"")</x:f>
        <x:v>0.8885845218271159</x:v>
      </x:c>
      <x:c r="BF48" s="27" t="n">
        <x:f>IF(ISNUMBER(AN48),IF('Scoring Setup'!$L$26=1,1-'Scoring Setup'!$B$5*(1-MAX(0,MIN(1,(AN48-'Scoring Setup'!$K$26)/(100-'Scoring Setup'!$K$26)))),1),"")</x:f>
        <x:v>0.937286211052675</x:v>
      </x:c>
      <x:c r="BG48" s="34" t="n">
        <x:f>IF(COUNT(W48,X48)=2,AVERAGE(W48,X48),"")</x:f>
        <x:v>71.48638613861385</x:v>
      </x:c>
      <x:c r="BH48" s="34" t="n">
        <x:f>IF(COUNT(Y48,Z48)=2,AVERAGE(Y48,Z48),"")</x:f>
        <x:v>29.12660779717756</x:v>
      </x:c>
      <x:c r="BI48" s="34" t="n">
        <x:f>IF(COUNT(AA48,AB48,AC48)=3,AVERAGE(AA48,AB48,AC48),"")</x:f>
        <x:v>64.50836979415486</x:v>
      </x:c>
      <x:c r="BJ48" s="34" t="n">
        <x:f>IF(COUNT(AD48,AE48)=2,AVERAGE(AD48,AE48),"")</x:f>
        <x:v>60.23472015178571</x:v>
      </x:c>
      <x:c r="BK48" s="34" t="n">
        <x:f>IF(COUNT(AF48,AG48)=2,AVERAGE(AF48,AG48),"")</x:f>
        <x:v>58.87222222222222</x:v>
      </x:c>
      <x:c r="BL48" s="34" t="n">
        <x:f>IF(COUNT(AH48,AI48)=2,AVERAGE(AH48,AI48),"")</x:f>
        <x:v>51.50033456106035</x:v>
      </x:c>
      <x:c r="BM48" s="34" t="n">
        <x:f>IF(COUNT(AJ48,AK48)=2,AVERAGE(AJ48,AK48),"")</x:f>
        <x:v>92.59080261529627</x:v>
      </x:c>
      <x:c r="BN48" s="34" t="n">
        <x:f>IF(COUNT(AL48,AM48,AN48)=3,AVERAGE(AL48,AM48,AN48),"")</x:f>
        <x:v>66.67542517693484</x:v>
      </x:c>
      <x:c r="BO48" s="35" t="n">
        <x:f>IF(AND(COUNT(BG48:BN48)=8,ABS('Scoring Setup'!$C$17-1)&lt;0.000001),BG48*'Scoring Setup'!$C$9+BH48*'Scoring Setup'!$C$10+BI48*'Scoring Setup'!$C$11+BJ48*'Scoring Setup'!$C$12+BK48*'Scoring Setup'!$C$13+BL48*'Scoring Setup'!$C$14+BM48*'Scoring Setup'!$C$15+BN48*'Scoring Setup'!$C$16,"")</x:f>
        <x:v>58.54267580201146</x:v>
      </x:c>
      <x:c r="BP48" s="36" t="n">
        <x:f>IF(COUNT(AO48:BF48)=18,MIN(AO48:BF48),"")</x:f>
        <x:v>0.8196533622038606</x:v>
      </x:c>
      <x:c r="BQ48" s="35" t="n">
        <x:f>IF(AND(ISNUMBER(BO48),ISNUMBER(BP48)),BO48*BP48,"")</x:f>
        <x:v>47.984701053529285</x:v>
      </x:c>
      <x:c r="BR48" s="17" t="str">
        <x:f>IF(COUNT(AO48:BF48)=18,INDEX('Scoring Setup'!$F$9:$F$26,MATCH(MIN(AO48:BF48),AO48:BF48,0),1),"")</x:f>
        <x:v>低不透水土地比例</x:v>
      </x:c>
    </x:row>
    <x:row r="49">
      <x:c r="A49" s="28" t="str">
        <x:v>13091</x:v>
      </x:c>
      <x:c r="B49" s="28" t="str">
        <x:v>Dodge County</x:v>
      </x:c>
      <x:c r="C49" s="28" t="str">
        <x:v>GA</x:v>
      </x:c>
      <x:c r="D49" s="31" t="n">
        <x:v>1284.55487</x:v>
      </x:c>
      <x:c r="E49" s="32" t="n">
        <x:v>0.545</x:v>
      </x:c>
      <x:c r="F49" s="32" t="n">
        <x:v>0.265779702970297</x:v>
      </x:c>
      <x:c r="G49" s="32" t="n">
        <x:v>2.5018170263070596</x:v>
      </x:c>
      <x:c r="H49" s="32" t="n">
        <x:v>2.356824039722772</x:v>
      </x:c>
      <x:c r="I49" s="32" t="n">
        <x:v>0.9287717561371699</x:v>
      </x:c>
      <x:c r="J49" s="32" t="n">
        <x:v>0</x:v>
      </x:c>
      <x:c r="K49" s="32" t="n">
        <x:v>0.23923110919034252</x:v>
      </x:c>
      <x:c r="L49" s="32" t="n">
        <x:v>0.694769549</x:v>
      </x:c>
      <x:c r="M49" s="32" t="n">
        <x:v>0.689798032</x:v>
      </x:c>
      <x:c r="N49" s="32" t="n">
        <x:v>8091</x:v>
      </x:c>
      <x:c r="O49" s="32" t="n">
        <x:v>0.8559</x:v>
      </x:c>
      <x:c r="P49" s="32" t="n">
        <x:v>2204.7614501953126</x:v>
      </x:c>
      <x:c r="Q49" s="32" t="n">
        <x:v>76.10488306681314</x:v>
      </x:c>
      <x:c r="R49" s="32" t="n">
        <x:v>39.70630004553085</x:v>
      </x:c>
      <x:c r="S49" s="32" t="n">
        <x:v>1.2513124020287172</x:v>
      </x:c>
      <x:c r="T49" s="32" t="n">
        <x:v>72.1</x:v>
      </x:c>
      <x:c r="U49" s="32" t="n">
        <x:v>211.4154781728841</x:v>
      </x:c>
      <x:c r="V49" s="32" t="n">
        <x:v>325.42757789465</x:v>
      </x:c>
      <x:c r="W49" s="33" t="n">
        <x:f>IF(ISNUMBER(E49),100*MAX(0,MIN(1,('Anchors'!$H$6-E49)/('Anchors'!$H$6-'Anchors'!$G$6))),"")</x:f>
        <x:v>50.71428571428571</x:v>
      </x:c>
      <x:c r="X49" s="33" t="n">
        <x:f>IF(ISNUMBER(F49),100*MAX(0,MIN(1,('Anchors'!$H$7-F49)/('Anchors'!$H$7-'Anchors'!$G$7))),"")</x:f>
        <x:v>76.31718528995755</x:v>
      </x:c>
      <x:c r="Y49" s="33" t="n">
        <x:f>IF(ISNUMBER(G49),100*MAX(0,MIN(1,('Anchors'!$H$8-G49)/('Anchors'!$H$8-'Anchors'!$G$8))),"")</x:f>
        <x:v>49.93943245643135</x:v>
      </x:c>
      <x:c r="Z49" s="33" t="n">
        <x:f>IF(ISNUMBER(H49),100*MAX(0,MIN(1,('Anchors'!$H$9-H49)/('Anchors'!$H$9-'Anchors'!$G$9))),"")</x:f>
        <x:v>54.772532009240926</x:v>
      </x:c>
      <x:c r="AA49" s="33" t="n">
        <x:f>IF(ISNUMBER(I49),100*MAX(0,MIN(1,(I49-'Anchors'!$H$10)/('Anchors'!$G$10-'Anchors'!$H$10))),"")</x:f>
        <x:v>92.98243234755752</x:v>
      </x:c>
      <x:c r="AB49" s="33" t="n">
        <x:f>IF(ISNUMBER(J49),100*MAX(0,MIN(1,('Anchors'!$H$11-J49)/('Anchors'!$H$11-'Anchors'!$G$11))),"")</x:f>
        <x:v>100</x:v>
      </x:c>
      <x:c r="AC49" s="33" t="n">
        <x:f>IF(ISNUMBER(K49),100*MAX(0,MIN(1,('Anchors'!$H$12-K49)/('Anchors'!$H$12-'Anchors'!$G$12))),"")</x:f>
        <x:v>40.19222270241438</x:v>
      </x:c>
      <x:c r="AD49" s="33" t="n">
        <x:f>IF(ISNUMBER(L49),100*MAX(0,MIN(1,(L49-'Anchors'!$H$13)/('Anchors'!$G$13-'Anchors'!$H$13))),"")</x:f>
        <x:v>70.68136414285713</x:v>
      </x:c>
      <x:c r="AE49" s="33" t="n">
        <x:f>IF(ISNUMBER(M49),100*MAX(0,MIN(1,(M49-'Anchors'!$H$14)/('Anchors'!$G$14-'Anchors'!$H$14))),"")</x:f>
        <x:v>73.724754</x:v>
      </x:c>
      <x:c r="AF49" s="33" t="n">
        <x:f>IF(ISNUMBER(N49),100*MAX(0,MIN(1,(LN(1+N49)-LN(1+'Anchors'!$H$15))/(LN(1+'Anchors'!$G$15)-LN(1+'Anchors'!$H$15)))),"")</x:f>
        <x:v>32.36577513771425</x:v>
      </x:c>
      <x:c r="AG49" s="33" t="n">
        <x:f>IF(ISNUMBER(O49),100*MAX(0,MIN(1,('Anchors'!$H$16-O49)/('Anchors'!$H$16-'Anchors'!$G$16))),"")</x:f>
        <x:v>10.455555555555552</x:v>
      </x:c>
      <x:c r="AH49" s="33" t="n">
        <x:f>IF(ISNUMBER(P49),100*MAX(0,MIN(1,('Anchors'!$H$17-P49)/('Anchors'!$H$17-'Anchors'!$G$17))),"")</x:f>
        <x:v>0</x:v>
      </x:c>
      <x:c r="AI49" s="33" t="n">
        <x:f>IF(ISNUMBER(Q49),100*MAX(0,MIN(1,('Anchors'!$H$18-Q49)/('Anchors'!$H$18-'Anchors'!$G$18))),"")</x:f>
        <x:v>0</x:v>
      </x:c>
      <x:c r="AJ49" s="33" t="n">
        <x:f>IF(ISNUMBER(R49),100*MAX(0,MIN(1,('Anchors'!$H$19-R49)/('Anchors'!$H$19-'Anchors'!$G$19))),"")</x:f>
        <x:v>22.874888787709217</x:v>
      </x:c>
      <x:c r="AK49" s="33" t="n">
        <x:f>IF(ISNUMBER(S49),100*MAX(0,MIN(1,('Anchors'!$H$20-S49)/('Anchors'!$H$20-'Anchors'!$G$20))),"")</x:f>
        <x:v>98.67730314721727</x:v>
      </x:c>
      <x:c r="AL49" s="33" t="n">
        <x:f>IF(ISNUMBER(T49),100*MAX(0,MIN(1,('Anchors'!$H$21-T49)/('Anchors'!$H$21-'Anchors'!$G$21))),"")</x:f>
        <x:v>87.0909090909091</x:v>
      </x:c>
      <x:c r="AM49" s="33" t="n">
        <x:f>IF(ISNUMBER(U49),100*MAX(0,MIN(1,('Anchors'!$H$22-U49)/('Anchors'!$H$22-'Anchors'!$G$22))),"")</x:f>
        <x:v>44.29226091355795</x:v>
      </x:c>
      <x:c r="AN49" s="33" t="n">
        <x:f>IF(ISNUMBER(V49),100*MAX(0,MIN(1,('Anchors'!$H$23-V49)/('Anchors'!$H$23-'Anchors'!$G$23))),"")</x:f>
        <x:v>68.6431055263375</x:v>
      </x:c>
      <x:c r="AO49" s="27" t="n">
        <x:f>IF(ISNUMBER(W49),IF('Scoring Setup'!$L$9=1,1-'Scoring Setup'!$B$5*(1-MAX(0,MIN(1,(W49-'Scoring Setup'!$K$9)/(100-'Scoring Setup'!$K$9)))),1),"")</x:f>
        <x:v>0.9014285714285715</x:v>
      </x:c>
      <x:c r="AP49" s="27" t="n">
        <x:f>IF(ISNUMBER(X49),IF('Scoring Setup'!$L$10=1,1-'Scoring Setup'!$B$5*(1-MAX(0,MIN(1,(X49-'Scoring Setup'!$K$10)/(100-'Scoring Setup'!$K$10)))),1),"")</x:f>
        <x:v>0.9526343705799151</x:v>
      </x:c>
      <x:c r="AQ49" s="27" t="n">
        <x:f>IF(ISNUMBER(Y49),IF('Scoring Setup'!$L$11=1,1-'Scoring Setup'!$B$5*(1-MAX(0,MIN(1,(Y49-'Scoring Setup'!$K$11)/(100-'Scoring Setup'!$K$11)))),1),"")</x:f>
        <x:v>0.8998788649128627</x:v>
      </x:c>
      <x:c r="AR49" s="27" t="n">
        <x:f>IF(ISNUMBER(Z49),IF('Scoring Setup'!$L$12=1,1-'Scoring Setup'!$B$5*(1-MAX(0,MIN(1,(Z49-'Scoring Setup'!$K$12)/(100-'Scoring Setup'!$K$12)))),1),"")</x:f>
        <x:v>0.9095450640184819</x:v>
      </x:c>
      <x:c r="AS49" s="27" t="n">
        <x:f>IF(ISNUMBER(AA49),IF('Scoring Setup'!$L$13=1,1-'Scoring Setup'!$B$5*(1-MAX(0,MIN(1,(AA49-'Scoring Setup'!$K$13)/(100-'Scoring Setup'!$K$13)))),1),"")</x:f>
        <x:v>0.985964864695115</x:v>
      </x:c>
      <x:c r="AT49" s="27" t="n">
        <x:f>IF(ISNUMBER(AB49),IF('Scoring Setup'!$L$14=1,1-'Scoring Setup'!$B$5*(1-MAX(0,MIN(1,(AB49-'Scoring Setup'!$K$14)/(100-'Scoring Setup'!$K$14)))),1),"")</x:f>
        <x:v>1</x:v>
      </x:c>
      <x:c r="AU49" s="27" t="n">
        <x:f>IF(ISNUMBER(AC49),IF('Scoring Setup'!$L$15=1,1-'Scoring Setup'!$B$5*(1-MAX(0,MIN(1,(AC49-'Scoring Setup'!$K$15)/(100-'Scoring Setup'!$K$15)))),1),"")</x:f>
        <x:v>0.8803844454048287</x:v>
      </x:c>
      <x:c r="AV49" s="27" t="n">
        <x:f>IF(ISNUMBER(AD49),IF('Scoring Setup'!$L$16=1,1-'Scoring Setup'!$B$5*(1-MAX(0,MIN(1,(AD49-'Scoring Setup'!$K$16)/(100-'Scoring Setup'!$K$16)))),1),"")</x:f>
        <x:v>0.9413627282857143</x:v>
      </x:c>
      <x:c r="AW49" s="27" t="n">
        <x:f>IF(ISNUMBER(AE49),IF('Scoring Setup'!$L$17=1,1-'Scoring Setup'!$B$5*(1-MAX(0,MIN(1,(AE49-'Scoring Setup'!$K$17)/(100-'Scoring Setup'!$K$17)))),1),"")</x:f>
        <x:v>0.947449508</x:v>
      </x:c>
      <x:c r="AX49" s="27" t="n">
        <x:f>IF(ISNUMBER(AF49),IF('Scoring Setup'!$L$18=1,1-'Scoring Setup'!$B$5*(1-MAX(0,MIN(1,(AF49-'Scoring Setup'!$K$18)/(100-'Scoring Setup'!$K$18)))),1),"")</x:f>
        <x:v>0.8647315502754285</x:v>
      </x:c>
      <x:c r="AY49" s="27" t="n">
        <x:f>IF(ISNUMBER(AG49),IF('Scoring Setup'!$L$19=1,1-'Scoring Setup'!$B$5*(1-MAX(0,MIN(1,(AG49-'Scoring Setup'!$K$19)/(100-'Scoring Setup'!$K$19)))),1),"")</x:f>
        <x:v>0.8209111111111111</x:v>
      </x:c>
      <x:c r="AZ49" s="27" t="n">
        <x:f>IF(ISNUMBER(AH49),IF('Scoring Setup'!$L$20=1,1-'Scoring Setup'!$B$5*(1-MAX(0,MIN(1,(AH49-'Scoring Setup'!$K$20)/(100-'Scoring Setup'!$K$20)))),1),"")</x:f>
        <x:v>0.8</x:v>
      </x:c>
      <x:c r="BA49" s="27" t="n">
        <x:f>IF(ISNUMBER(AI49),IF('Scoring Setup'!$L$21=1,1-'Scoring Setup'!$B$5*(1-MAX(0,MIN(1,(AI49-'Scoring Setup'!$K$21)/(100-'Scoring Setup'!$K$21)))),1),"")</x:f>
        <x:v>0.8</x:v>
      </x:c>
      <x:c r="BB49" s="27" t="n">
        <x:f>IF(ISNUMBER(AJ49),IF('Scoring Setup'!$L$22=1,1-'Scoring Setup'!$B$5*(1-MAX(0,MIN(1,(AJ49-'Scoring Setup'!$K$22)/(100-'Scoring Setup'!$K$22)))),1),"")</x:f>
        <x:v>0.8457497775754184</x:v>
      </x:c>
      <x:c r="BC49" s="27" t="n">
        <x:f>IF(ISNUMBER(AK49),IF('Scoring Setup'!$L$23=1,1-'Scoring Setup'!$B$5*(1-MAX(0,MIN(1,(AK49-'Scoring Setup'!$K$23)/(100-'Scoring Setup'!$K$23)))),1),"")</x:f>
        <x:v>0.9973546062944345</x:v>
      </x:c>
      <x:c r="BD49" s="27" t="n">
        <x:f>IF(ISNUMBER(AL49),IF('Scoring Setup'!$L$24=1,1-'Scoring Setup'!$B$5*(1-MAX(0,MIN(1,(AL49-'Scoring Setup'!$K$24)/(100-'Scoring Setup'!$K$24)))),1),"")</x:f>
        <x:v>0.9741818181818181</x:v>
      </x:c>
      <x:c r="BE49" s="27" t="n">
        <x:f>IF(ISNUMBER(AM49),IF('Scoring Setup'!$L$25=1,1-'Scoring Setup'!$B$5*(1-MAX(0,MIN(1,(AM49-'Scoring Setup'!$K$25)/(100-'Scoring Setup'!$K$25)))),1),"")</x:f>
        <x:v>0.8885845218271159</x:v>
      </x:c>
      <x:c r="BF49" s="27" t="n">
        <x:f>IF(ISNUMBER(AN49),IF('Scoring Setup'!$L$26=1,1-'Scoring Setup'!$B$5*(1-MAX(0,MIN(1,(AN49-'Scoring Setup'!$K$26)/(100-'Scoring Setup'!$K$26)))),1),"")</x:f>
        <x:v>0.937286211052675</x:v>
      </x:c>
      <x:c r="BG49" s="34" t="n">
        <x:f>IF(COUNT(W49,X49)=2,AVERAGE(W49,X49),"")</x:f>
        <x:v>63.51573550212163</x:v>
      </x:c>
      <x:c r="BH49" s="34" t="n">
        <x:f>IF(COUNT(Y49,Z49)=2,AVERAGE(Y49,Z49),"")</x:f>
        <x:v>52.35598223283614</x:v>
      </x:c>
      <x:c r="BI49" s="34" t="n">
        <x:f>IF(COUNT(AA49,AB49,AC49)=3,AVERAGE(AA49,AB49,AC49),"")</x:f>
        <x:v>77.7248850166573</x:v>
      </x:c>
      <x:c r="BJ49" s="34" t="n">
        <x:f>IF(COUNT(AD49,AE49)=2,AVERAGE(AD49,AE49),"")</x:f>
        <x:v>72.20305907142857</x:v>
      </x:c>
      <x:c r="BK49" s="34" t="n">
        <x:f>IF(COUNT(AF49,AG49)=2,AVERAGE(AF49,AG49),"")</x:f>
        <x:v>21.4106653466349</x:v>
      </x:c>
      <x:c r="BL49" s="34" t="n">
        <x:f>IF(COUNT(AH49,AI49)=2,AVERAGE(AH49,AI49),"")</x:f>
        <x:v>0</x:v>
      </x:c>
      <x:c r="BM49" s="34" t="n">
        <x:f>IF(COUNT(AJ49,AK49)=2,AVERAGE(AJ49,AK49),"")</x:f>
        <x:v>60.77609596746325</x:v>
      </x:c>
      <x:c r="BN49" s="34" t="n">
        <x:f>IF(COUNT(AL49,AM49,AN49)=3,AVERAGE(AL49,AM49,AN49),"")</x:f>
        <x:v>66.67542517693484</x:v>
      </x:c>
      <x:c r="BO49" s="35" t="n">
        <x:f>IF(AND(COUNT(BG49:BN49)=8,ABS('Scoring Setup'!$C$17-1)&lt;0.000001),BG49*'Scoring Setup'!$C$9+BH49*'Scoring Setup'!$C$10+BI49*'Scoring Setup'!$C$11+BJ49*'Scoring Setup'!$C$12+BK49*'Scoring Setup'!$C$13+BL49*'Scoring Setup'!$C$14+BM49*'Scoring Setup'!$C$15+BN49*'Scoring Setup'!$C$16,"")</x:f>
        <x:v>56.99806329170509</x:v>
      </x:c>
      <x:c r="BP49" s="36" t="n">
        <x:f>IF(COUNT(AO49:BF49)=18,MIN(AO49:BF49),"")</x:f>
        <x:v>0.8</x:v>
      </x:c>
      <x:c r="BQ49" s="35" t="n">
        <x:f>IF(AND(ISNUMBER(BO49),ISNUMBER(BP49)),BO49*BP49,"")</x:f>
        <x:v>45.598450633364074</x:v>
      </x:c>
      <x:c r="BR49" s="17" t="str">
        <x:f>IF(COUNT(AO49:BF49)=18,INDEX('Scoring Setup'!$F$9:$F$26,MATCH(MIN(AO49:BF49),AO49:BF49,0),1),"")</x:f>
        <x:v>历史CDD65</x:v>
      </x:c>
    </x:row>
    <x:row r="50">
      <x:c r="A50" s="28" t="str">
        <x:v>13093</x:v>
      </x:c>
      <x:c r="B50" s="28" t="str">
        <x:v>Dooly County</x:v>
      </x:c>
      <x:c r="C50" s="28" t="str">
        <x:v>GA</x:v>
      </x:c>
      <x:c r="D50" s="31" t="n">
        <x:v>1016.908643</x:v>
      </x:c>
      <x:c r="E50" s="32" t="n">
        <x:v>0.445</x:v>
      </x:c>
      <x:c r="F50" s="32" t="n">
        <x:v>0.436262376237624</x:v>
      </x:c>
      <x:c r="G50" s="32" t="n">
        <x:v>1.6081599877808328</x:v>
      </x:c>
      <x:c r="H50" s="32" t="n">
        <x:v>1.5525399260643384</x:v>
      </x:c>
      <x:c r="I50" s="32" t="n">
        <x:v>0.9317614560978891</x:v>
      </x:c>
      <x:c r="J50" s="32" t="n">
        <x:v>0.013222434374790485</x:v>
      </x:c>
      <x:c r="K50" s="32" t="n">
        <x:v>0.16633156065623925</x:v>
      </x:c>
      <x:c r="L50" s="32" t="n">
        <x:v>0.88271824</x:v>
      </x:c>
      <x:c r="M50" s="32" t="n">
        <x:v>0.88271824</x:v>
      </x:c>
      <x:c r="N50" s="32" t="n">
        <x:v>3950</x:v>
      </x:c>
      <x:c r="O50" s="32" t="n">
        <x:v>0.9313</x:v>
      </x:c>
      <x:c r="P50" s="32" t="n">
        <x:v>2171.769970703125</x:v>
      </x:c>
      <x:c r="Q50" s="32" t="n">
        <x:v>73.29885711669922</x:v>
      </x:c>
      <x:c r="R50" s="32" t="n">
        <x:v>4.766621519486076</x:v>
      </x:c>
      <x:c r="S50" s="32" t="n">
        <x:v>3.191547165909338</x:v>
      </x:c>
      <x:c r="T50" s="32" t="n">
        <x:v>72.1</x:v>
      </x:c>
      <x:c r="U50" s="32" t="n">
        <x:v>211.4154781728841</x:v>
      </x:c>
      <x:c r="V50" s="32" t="n">
        <x:v>325.42757789465</x:v>
      </x:c>
      <x:c r="W50" s="33" t="n">
        <x:f>IF(ISNUMBER(E50),100*MAX(0,MIN(1,('Anchors'!$H$6-E50)/('Anchors'!$H$6-'Anchors'!$G$6))),"")</x:f>
        <x:v>65</x:v>
      </x:c>
      <x:c r="X50" s="33" t="n">
        <x:f>IF(ISNUMBER(F50),100*MAX(0,MIN(1,('Anchors'!$H$7-F50)/('Anchors'!$H$7-'Anchors'!$G$7))),"")</x:f>
        <x:v>51.96251768033944</x:v>
      </x:c>
      <x:c r="Y50" s="33" t="n">
        <x:f>IF(ISNUMBER(G50),100*MAX(0,MIN(1,('Anchors'!$H$8-G50)/('Anchors'!$H$8-'Anchors'!$G$8))),"")</x:f>
        <x:v>79.72800040730557</x:v>
      </x:c>
      <x:c r="Z50" s="33" t="n">
        <x:f>IF(ISNUMBER(H50),100*MAX(0,MIN(1,('Anchors'!$H$9-H50)/('Anchors'!$H$9-'Anchors'!$G$9))),"")</x:f>
        <x:v>81.58200246452205</x:v>
      </x:c>
      <x:c r="AA50" s="33" t="n">
        <x:f>IF(ISNUMBER(I50),100*MAX(0,MIN(1,(I50-'Anchors'!$H$10)/('Anchors'!$G$10-'Anchors'!$H$10))),"")</x:f>
        <x:v>93.39198028738207</x:v>
      </x:c>
      <x:c r="AB50" s="33" t="n">
        <x:f>IF(ISNUMBER(J50),100*MAX(0,MIN(1,('Anchors'!$H$11-J50)/('Anchors'!$H$11-'Anchors'!$G$11))),"")</x:f>
        <x:v>94.7110262500838</x:v>
      </x:c>
      <x:c r="AC50" s="33" t="n">
        <x:f>IF(ISNUMBER(K50),100*MAX(0,MIN(1,('Anchors'!$H$12-K50)/('Anchors'!$H$12-'Anchors'!$G$12))),"")</x:f>
        <x:v>58.417109835940195</x:v>
      </x:c>
      <x:c r="AD50" s="33" t="n">
        <x:f>IF(ISNUMBER(L50),100*MAX(0,MIN(1,(L50-'Anchors'!$H$13)/('Anchors'!$G$13-'Anchors'!$H$13))),"")</x:f>
        <x:v>97.53117714285715</x:v>
      </x:c>
      <x:c r="AE50" s="33" t="n">
        <x:f>IF(ISNUMBER(M50),100*MAX(0,MIN(1,(M50-'Anchors'!$H$14)/('Anchors'!$G$14-'Anchors'!$H$14))),"")</x:f>
        <x:v>97.83978</x:v>
      </x:c>
      <x:c r="AF50" s="33" t="n">
        <x:f>IF(ISNUMBER(N50),100*MAX(0,MIN(1,(LN(1+N50)-LN(1+'Anchors'!$H$15))/(LN(1+'Anchors'!$G$15)-LN(1+'Anchors'!$H$15)))),"")</x:f>
        <x:v>15.759148916710073</x:v>
      </x:c>
      <x:c r="AG50" s="33" t="n">
        <x:f>IF(ISNUMBER(O50),100*MAX(0,MIN(1,('Anchors'!$H$16-O50)/('Anchors'!$H$16-'Anchors'!$G$16))),"")</x:f>
        <x:v>2.0777777777777713</x:v>
      </x:c>
      <x:c r="AH50" s="33" t="n">
        <x:f>IF(ISNUMBER(P50),100*MAX(0,MIN(1,('Anchors'!$H$17-P50)/('Anchors'!$H$17-'Anchors'!$G$17))),"")</x:f>
        <x:v>1.8820019531249879</x:v>
      </x:c>
      <x:c r="AI50" s="33" t="n">
        <x:f>IF(ISNUMBER(Q50),100*MAX(0,MIN(1,('Anchors'!$H$18-Q50)/('Anchors'!$H$18-'Anchors'!$G$18))),"")</x:f>
        <x:v>2.430204119001108</x:v>
      </x:c>
      <x:c r="AJ50" s="33" t="n">
        <x:f>IF(ISNUMBER(R50),100*MAX(0,MIN(1,('Anchors'!$H$19-R50)/('Anchors'!$H$19-'Anchors'!$G$19))),"")</x:f>
        <x:v>100</x:v>
      </x:c>
      <x:c r="AK50" s="33" t="n">
        <x:f>IF(ISNUMBER(S50),100*MAX(0,MIN(1,('Anchors'!$H$20-S50)/('Anchors'!$H$20-'Anchors'!$G$20))),"")</x:f>
        <x:v>88.46554123205613</x:v>
      </x:c>
      <x:c r="AL50" s="33" t="n">
        <x:f>IF(ISNUMBER(T50),100*MAX(0,MIN(1,('Anchors'!$H$21-T50)/('Anchors'!$H$21-'Anchors'!$G$21))),"")</x:f>
        <x:v>87.0909090909091</x:v>
      </x:c>
      <x:c r="AM50" s="33" t="n">
        <x:f>IF(ISNUMBER(U50),100*MAX(0,MIN(1,('Anchors'!$H$22-U50)/('Anchors'!$H$22-'Anchors'!$G$22))),"")</x:f>
        <x:v>44.29226091355795</x:v>
      </x:c>
      <x:c r="AN50" s="33" t="n">
        <x:f>IF(ISNUMBER(V50),100*MAX(0,MIN(1,('Anchors'!$H$23-V50)/('Anchors'!$H$23-'Anchors'!$G$23))),"")</x:f>
        <x:v>68.6431055263375</x:v>
      </x:c>
      <x:c r="AO50" s="27" t="n">
        <x:f>IF(ISNUMBER(W50),IF('Scoring Setup'!$L$9=1,1-'Scoring Setup'!$B$5*(1-MAX(0,MIN(1,(W50-'Scoring Setup'!$K$9)/(100-'Scoring Setup'!$K$9)))),1),"")</x:f>
        <x:v>0.93</x:v>
      </x:c>
      <x:c r="AP50" s="27" t="n">
        <x:f>IF(ISNUMBER(X50),IF('Scoring Setup'!$L$10=1,1-'Scoring Setup'!$B$5*(1-MAX(0,MIN(1,(X50-'Scoring Setup'!$K$10)/(100-'Scoring Setup'!$K$10)))),1),"")</x:f>
        <x:v>0.9039250353606789</x:v>
      </x:c>
      <x:c r="AQ50" s="27" t="n">
        <x:f>IF(ISNUMBER(Y50),IF('Scoring Setup'!$L$11=1,1-'Scoring Setup'!$B$5*(1-MAX(0,MIN(1,(Y50-'Scoring Setup'!$K$11)/(100-'Scoring Setup'!$K$11)))),1),"")</x:f>
        <x:v>0.9594560008146111</x:v>
      </x:c>
      <x:c r="AR50" s="27" t="n">
        <x:f>IF(ISNUMBER(Z50),IF('Scoring Setup'!$L$12=1,1-'Scoring Setup'!$B$5*(1-MAX(0,MIN(1,(Z50-'Scoring Setup'!$K$12)/(100-'Scoring Setup'!$K$12)))),1),"")</x:f>
        <x:v>0.9631640049290441</x:v>
      </x:c>
      <x:c r="AS50" s="27" t="n">
        <x:f>IF(ISNUMBER(AA50),IF('Scoring Setup'!$L$13=1,1-'Scoring Setup'!$B$5*(1-MAX(0,MIN(1,(AA50-'Scoring Setup'!$K$13)/(100-'Scoring Setup'!$K$13)))),1),"")</x:f>
        <x:v>0.9867839605747641</x:v>
      </x:c>
      <x:c r="AT50" s="27" t="n">
        <x:f>IF(ISNUMBER(AB50),IF('Scoring Setup'!$L$14=1,1-'Scoring Setup'!$B$5*(1-MAX(0,MIN(1,(AB50-'Scoring Setup'!$K$14)/(100-'Scoring Setup'!$K$14)))),1),"")</x:f>
        <x:v>0.9894220525001676</x:v>
      </x:c>
      <x:c r="AU50" s="27" t="n">
        <x:f>IF(ISNUMBER(AC50),IF('Scoring Setup'!$L$15=1,1-'Scoring Setup'!$B$5*(1-MAX(0,MIN(1,(AC50-'Scoring Setup'!$K$15)/(100-'Scoring Setup'!$K$15)))),1),"")</x:f>
        <x:v>0.9168342196718804</x:v>
      </x:c>
      <x:c r="AV50" s="27" t="n">
        <x:f>IF(ISNUMBER(AD50),IF('Scoring Setup'!$L$16=1,1-'Scoring Setup'!$B$5*(1-MAX(0,MIN(1,(AD50-'Scoring Setup'!$K$16)/(100-'Scoring Setup'!$K$16)))),1),"")</x:f>
        <x:v>0.9950623542857143</x:v>
      </x:c>
      <x:c r="AW50" s="27" t="n">
        <x:f>IF(ISNUMBER(AE50),IF('Scoring Setup'!$L$17=1,1-'Scoring Setup'!$B$5*(1-MAX(0,MIN(1,(AE50-'Scoring Setup'!$K$17)/(100-'Scoring Setup'!$K$17)))),1),"")</x:f>
        <x:v>0.99567956</x:v>
      </x:c>
      <x:c r="AX50" s="27" t="n">
        <x:f>IF(ISNUMBER(AF50),IF('Scoring Setup'!$L$18=1,1-'Scoring Setup'!$B$5*(1-MAX(0,MIN(1,(AF50-'Scoring Setup'!$K$18)/(100-'Scoring Setup'!$K$18)))),1),"")</x:f>
        <x:v>0.8315182978334201</x:v>
      </x:c>
      <x:c r="AY50" s="27" t="n">
        <x:f>IF(ISNUMBER(AG50),IF('Scoring Setup'!$L$19=1,1-'Scoring Setup'!$B$5*(1-MAX(0,MIN(1,(AG50-'Scoring Setup'!$K$19)/(100-'Scoring Setup'!$K$19)))),1),"")</x:f>
        <x:v>0.8041555555555555</x:v>
      </x:c>
      <x:c r="AZ50" s="27" t="n">
        <x:f>IF(ISNUMBER(AH50),IF('Scoring Setup'!$L$20=1,1-'Scoring Setup'!$B$5*(1-MAX(0,MIN(1,(AH50-'Scoring Setup'!$K$20)/(100-'Scoring Setup'!$K$20)))),1),"")</x:f>
        <x:v>0.8037640039062499</x:v>
      </x:c>
      <x:c r="BA50" s="27" t="n">
        <x:f>IF(ISNUMBER(AI50),IF('Scoring Setup'!$L$21=1,1-'Scoring Setup'!$B$5*(1-MAX(0,MIN(1,(AI50-'Scoring Setup'!$K$21)/(100-'Scoring Setup'!$K$21)))),1),"")</x:f>
        <x:v>0.8048604082380022</x:v>
      </x:c>
      <x:c r="BB50" s="27" t="n">
        <x:f>IF(ISNUMBER(AJ50),IF('Scoring Setup'!$L$22=1,1-'Scoring Setup'!$B$5*(1-MAX(0,MIN(1,(AJ50-'Scoring Setup'!$K$22)/(100-'Scoring Setup'!$K$22)))),1),"")</x:f>
        <x:v>1</x:v>
      </x:c>
      <x:c r="BC50" s="27" t="n">
        <x:f>IF(ISNUMBER(AK50),IF('Scoring Setup'!$L$23=1,1-'Scoring Setup'!$B$5*(1-MAX(0,MIN(1,(AK50-'Scoring Setup'!$K$23)/(100-'Scoring Setup'!$K$23)))),1),"")</x:f>
        <x:v>0.9769310824641122</x:v>
      </x:c>
      <x:c r="BD50" s="27" t="n">
        <x:f>IF(ISNUMBER(AL50),IF('Scoring Setup'!$L$24=1,1-'Scoring Setup'!$B$5*(1-MAX(0,MIN(1,(AL50-'Scoring Setup'!$K$24)/(100-'Scoring Setup'!$K$24)))),1),"")</x:f>
        <x:v>0.9741818181818181</x:v>
      </x:c>
      <x:c r="BE50" s="27" t="n">
        <x:f>IF(ISNUMBER(AM50),IF('Scoring Setup'!$L$25=1,1-'Scoring Setup'!$B$5*(1-MAX(0,MIN(1,(AM50-'Scoring Setup'!$K$25)/(100-'Scoring Setup'!$K$25)))),1),"")</x:f>
        <x:v>0.8885845218271159</x:v>
      </x:c>
      <x:c r="BF50" s="27" t="n">
        <x:f>IF(ISNUMBER(AN50),IF('Scoring Setup'!$L$26=1,1-'Scoring Setup'!$B$5*(1-MAX(0,MIN(1,(AN50-'Scoring Setup'!$K$26)/(100-'Scoring Setup'!$K$26)))),1),"")</x:f>
        <x:v>0.937286211052675</x:v>
      </x:c>
      <x:c r="BG50" s="34" t="n">
        <x:f>IF(COUNT(W50,X50)=2,AVERAGE(W50,X50),"")</x:f>
        <x:v>58.481258840169716</x:v>
      </x:c>
      <x:c r="BH50" s="34" t="n">
        <x:f>IF(COUNT(Y50,Z50)=2,AVERAGE(Y50,Z50),"")</x:f>
        <x:v>80.65500143591382</x:v>
      </x:c>
      <x:c r="BI50" s="34" t="n">
        <x:f>IF(COUNT(AA50,AB50,AC50)=3,AVERAGE(AA50,AB50,AC50),"")</x:f>
        <x:v>82.1733721244687</x:v>
      </x:c>
      <x:c r="BJ50" s="34" t="n">
        <x:f>IF(COUNT(AD50,AE50)=2,AVERAGE(AD50,AE50),"")</x:f>
        <x:v>97.68547857142858</x:v>
      </x:c>
      <x:c r="BK50" s="34" t="n">
        <x:f>IF(COUNT(AF50,AG50)=2,AVERAGE(AF50,AG50),"")</x:f>
        <x:v>8.918463347243922</x:v>
      </x:c>
      <x:c r="BL50" s="34" t="n">
        <x:f>IF(COUNT(AH50,AI50)=2,AVERAGE(AH50,AI50),"")</x:f>
        <x:v>2.156103036063048</x:v>
      </x:c>
      <x:c r="BM50" s="34" t="n">
        <x:f>IF(COUNT(AJ50,AK50)=2,AVERAGE(AJ50,AK50),"")</x:f>
        <x:v>94.23277061602806</x:v>
      </x:c>
      <x:c r="BN50" s="34" t="n">
        <x:f>IF(COUNT(AL50,AM50,AN50)=3,AVERAGE(AL50,AM50,AN50),"")</x:f>
        <x:v>66.67542517693484</x:v>
      </x:c>
      <x:c r="BO50" s="35" t="n">
        <x:f>IF(AND(COUNT(BG50:BN50)=8,ABS('Scoring Setup'!$C$17-1)&lt;0.000001),BG50*'Scoring Setup'!$C$9+BH50*'Scoring Setup'!$C$10+BI50*'Scoring Setup'!$C$11+BJ50*'Scoring Setup'!$C$12+BK50*'Scoring Setup'!$C$13+BL50*'Scoring Setup'!$C$14+BM50*'Scoring Setup'!$C$15+BN50*'Scoring Setup'!$C$16,"")</x:f>
        <x:v>65.67892881119886</x:v>
      </x:c>
      <x:c r="BP50" s="36" t="n">
        <x:f>IF(COUNT(AO50:BF50)=18,MIN(AO50:BF50),"")</x:f>
        <x:v>0.8037640039062499</x:v>
      </x:c>
      <x:c r="BQ50" s="35" t="n">
        <x:f>IF(AND(ISNUMBER(BO50),ISNUMBER(BP50)),BO50*BP50,"")</x:f>
        <x:v>52.790358793562746</x:v>
      </x:c>
      <x:c r="BR50" s="17" t="str">
        <x:f>IF(COUNT(AO50:BF50)=18,INDEX('Scoring Setup'!$F$9:$F$26,MATCH(MIN(AO50:BF50),AO50:BF50,0),1),"")</x:f>
        <x:v>历史CDD65</x:v>
      </x:c>
    </x:row>
    <x:row r="51">
      <x:c r="A51" s="28" t="str">
        <x:v>13095</x:v>
      </x:c>
      <x:c r="B51" s="28" t="str">
        <x:v>Dougherty County</x:v>
      </x:c>
      <x:c r="C51" s="28" t="str">
        <x:v>GA</x:v>
      </x:c>
      <x:c r="D51" s="31" t="n">
        <x:v>851.183382</x:v>
      </x:c>
      <x:c r="E51" s="32" t="n">
        <x:v>0.561</x:v>
      </x:c>
      <x:c r="F51" s="32" t="n">
        <x:v>0.703589108910891</x:v>
      </x:c>
      <x:c r="G51" s="32" t="n">
        <x:v>1.1652933984148754</x:v>
      </x:c>
      <x:c r="H51" s="32" t="n">
        <x:v>1.134330805</x:v>
      </x:c>
      <x:c r="I51" s="32" t="n">
        <x:v>0.819325252063721</x:v>
      </x:c>
      <x:c r="J51" s="32" t="n">
        <x:v>0.05667547562103595</x:v>
      </x:c>
      <x:c r="K51" s="32" t="n">
        <x:v>0.2357467803647575</x:v>
      </x:c>
      <x:c r="L51" s="32" t="n">
        <x:v>0.478248426</x:v>
      </x:c>
      <x:c r="M51" s="32" t="n">
        <x:v>0.448527145</x:v>
      </x:c>
      <x:c r="N51" s="32" t="n">
        <x:v>32613</x:v>
      </x:c>
      <x:c r="O51" s="32" t="n">
        <x:v>0.9761</x:v>
      </x:c>
      <x:c r="P51" s="32" t="n">
        <x:v>2238.0760579427083</x:v>
      </x:c>
      <x:c r="Q51" s="32" t="n">
        <x:v>76.10166625976562</x:v>
      </x:c>
      <x:c r="R51" s="32" t="n">
        <x:v>56.5900465470188</x:v>
      </x:c>
      <x:c r="S51" s="32" t="n">
        <x:v>2.9210732046214014</x:v>
      </x:c>
      <x:c r="T51" s="32" t="n">
        <x:v>72.1</x:v>
      </x:c>
      <x:c r="U51" s="32" t="n">
        <x:v>211.4154781728841</x:v>
      </x:c>
      <x:c r="V51" s="32" t="n">
        <x:v>325.42757789465</x:v>
      </x:c>
      <x:c r="W51" s="33" t="n">
        <x:f>IF(ISNUMBER(E51),100*MAX(0,MIN(1,('Anchors'!$H$6-E51)/('Anchors'!$H$6-'Anchors'!$G$6))),"")</x:f>
        <x:v>48.42857142857142</x:v>
      </x:c>
      <x:c r="X51" s="33" t="n">
        <x:f>IF(ISNUMBER(F51),100*MAX(0,MIN(1,('Anchors'!$H$7-F51)/('Anchors'!$H$7-'Anchors'!$G$7))),"")</x:f>
        <x:v>13.772984441301292</x:v>
      </x:c>
      <x:c r="Y51" s="33" t="n">
        <x:f>IF(ISNUMBER(G51),100*MAX(0,MIN(1,('Anchors'!$H$8-G51)/('Anchors'!$H$8-'Anchors'!$G$8))),"")</x:f>
        <x:v>94.49022005283749</x:v>
      </x:c>
      <x:c r="Z51" s="33" t="n">
        <x:f>IF(ISNUMBER(H51),100*MAX(0,MIN(1,('Anchors'!$H$9-H51)/('Anchors'!$H$9-'Anchors'!$G$9))),"")</x:f>
        <x:v>95.52230649999998</x:v>
      </x:c>
      <x:c r="AA51" s="33" t="n">
        <x:f>IF(ISNUMBER(I51),100*MAX(0,MIN(1,(I51-'Anchors'!$H$10)/('Anchors'!$G$10-'Anchors'!$H$10))),"")</x:f>
        <x:v>77.9897605566741</x:v>
      </x:c>
      <x:c r="AB51" s="33" t="n">
        <x:f>IF(ISNUMBER(J51),100*MAX(0,MIN(1,('Anchors'!$H$11-J51)/('Anchors'!$H$11-'Anchors'!$G$11))),"")</x:f>
        <x:v>77.32980975158561</x:v>
      </x:c>
      <x:c r="AC51" s="33" t="n">
        <x:f>IF(ISNUMBER(K51),100*MAX(0,MIN(1,('Anchors'!$H$12-K51)/('Anchors'!$H$12-'Anchors'!$G$12))),"")</x:f>
        <x:v>41.063304908810636</x:v>
      </x:c>
      <x:c r="AD51" s="33" t="n">
        <x:f>IF(ISNUMBER(L51),100*MAX(0,MIN(1,(L51-'Anchors'!$H$13)/('Anchors'!$G$13-'Anchors'!$H$13))),"")</x:f>
        <x:v>39.749775142857146</x:v>
      </x:c>
      <x:c r="AE51" s="33" t="n">
        <x:f>IF(ISNUMBER(M51),100*MAX(0,MIN(1,(M51-'Anchors'!$H$14)/('Anchors'!$G$14-'Anchors'!$H$14))),"")</x:f>
        <x:v>43.565893125</x:v>
      </x:c>
      <x:c r="AF51" s="33" t="n">
        <x:f>IF(ISNUMBER(N51),100*MAX(0,MIN(1,(LN(1+N51)-LN(1+'Anchors'!$H$15))/(LN(1+'Anchors'!$G$15)-LN(1+'Anchors'!$H$15)))),"")</x:f>
        <x:v>64.65364564398419</x:v>
      </x:c>
      <x:c r="AG51" s="33" t="n">
        <x:f>IF(ISNUMBER(O51),100*MAX(0,MIN(1,('Anchors'!$H$16-O51)/('Anchors'!$H$16-'Anchors'!$G$16))),"")</x:f>
        <x:v>0</x:v>
      </x:c>
      <x:c r="AH51" s="33" t="n">
        <x:f>IF(ISNUMBER(P51),100*MAX(0,MIN(1,('Anchors'!$H$17-P51)/('Anchors'!$H$17-'Anchors'!$G$17))),"")</x:f>
        <x:v>0</x:v>
      </x:c>
      <x:c r="AI51" s="33" t="n">
        <x:f>IF(ISNUMBER(Q51),100*MAX(0,MIN(1,('Anchors'!$H$18-Q51)/('Anchors'!$H$18-'Anchors'!$G$18))),"")</x:f>
        <x:v>0</x:v>
      </x:c>
      <x:c r="AJ51" s="33" t="n">
        <x:f>IF(ISNUMBER(R51),100*MAX(0,MIN(1,('Anchors'!$H$19-R51)/('Anchors'!$H$19-'Anchors'!$G$19))),"")</x:f>
        <x:v>0</x:v>
      </x:c>
      <x:c r="AK51" s="33" t="n">
        <x:f>IF(ISNUMBER(S51),100*MAX(0,MIN(1,('Anchors'!$H$20-S51)/('Anchors'!$H$20-'Anchors'!$G$20))),"")</x:f>
        <x:v>89.88908839672946</x:v>
      </x:c>
      <x:c r="AL51" s="33" t="n">
        <x:f>IF(ISNUMBER(T51),100*MAX(0,MIN(1,('Anchors'!$H$21-T51)/('Anchors'!$H$21-'Anchors'!$G$21))),"")</x:f>
        <x:v>87.0909090909091</x:v>
      </x:c>
      <x:c r="AM51" s="33" t="n">
        <x:f>IF(ISNUMBER(U51),100*MAX(0,MIN(1,('Anchors'!$H$22-U51)/('Anchors'!$H$22-'Anchors'!$G$22))),"")</x:f>
        <x:v>44.29226091355795</x:v>
      </x:c>
      <x:c r="AN51" s="33" t="n">
        <x:f>IF(ISNUMBER(V51),100*MAX(0,MIN(1,('Anchors'!$H$23-V51)/('Anchors'!$H$23-'Anchors'!$G$23))),"")</x:f>
        <x:v>68.6431055263375</x:v>
      </x:c>
      <x:c r="AO51" s="27" t="n">
        <x:f>IF(ISNUMBER(W51),IF('Scoring Setup'!$L$9=1,1-'Scoring Setup'!$B$5*(1-MAX(0,MIN(1,(W51-'Scoring Setup'!$K$9)/(100-'Scoring Setup'!$K$9)))),1),"")</x:f>
        <x:v>0.8968571428571428</x:v>
      </x:c>
      <x:c r="AP51" s="27" t="n">
        <x:f>IF(ISNUMBER(X51),IF('Scoring Setup'!$L$10=1,1-'Scoring Setup'!$B$5*(1-MAX(0,MIN(1,(X51-'Scoring Setup'!$K$10)/(100-'Scoring Setup'!$K$10)))),1),"")</x:f>
        <x:v>0.8275459688826026</x:v>
      </x:c>
      <x:c r="AQ51" s="27" t="n">
        <x:f>IF(ISNUMBER(Y51),IF('Scoring Setup'!$L$11=1,1-'Scoring Setup'!$B$5*(1-MAX(0,MIN(1,(Y51-'Scoring Setup'!$K$11)/(100-'Scoring Setup'!$K$11)))),1),"")</x:f>
        <x:v>0.988980440105675</x:v>
      </x:c>
      <x:c r="AR51" s="27" t="n">
        <x:f>IF(ISNUMBER(Z51),IF('Scoring Setup'!$L$12=1,1-'Scoring Setup'!$B$5*(1-MAX(0,MIN(1,(Z51-'Scoring Setup'!$K$12)/(100-'Scoring Setup'!$K$12)))),1),"")</x:f>
        <x:v>0.991044613</x:v>
      </x:c>
      <x:c r="AS51" s="27" t="n">
        <x:f>IF(ISNUMBER(AA51),IF('Scoring Setup'!$L$13=1,1-'Scoring Setup'!$B$5*(1-MAX(0,MIN(1,(AA51-'Scoring Setup'!$K$13)/(100-'Scoring Setup'!$K$13)))),1),"")</x:f>
        <x:v>0.9559795211133482</x:v>
      </x:c>
      <x:c r="AT51" s="27" t="n">
        <x:f>IF(ISNUMBER(AB51),IF('Scoring Setup'!$L$14=1,1-'Scoring Setup'!$B$5*(1-MAX(0,MIN(1,(AB51-'Scoring Setup'!$K$14)/(100-'Scoring Setup'!$K$14)))),1),"")</x:f>
        <x:v>0.9546596195031712</x:v>
      </x:c>
      <x:c r="AU51" s="27" t="n">
        <x:f>IF(ISNUMBER(AC51),IF('Scoring Setup'!$L$15=1,1-'Scoring Setup'!$B$5*(1-MAX(0,MIN(1,(AC51-'Scoring Setup'!$K$15)/(100-'Scoring Setup'!$K$15)))),1),"")</x:f>
        <x:v>0.8821266098176213</x:v>
      </x:c>
      <x:c r="AV51" s="27" t="n">
        <x:f>IF(ISNUMBER(AD51),IF('Scoring Setup'!$L$16=1,1-'Scoring Setup'!$B$5*(1-MAX(0,MIN(1,(AD51-'Scoring Setup'!$K$16)/(100-'Scoring Setup'!$K$16)))),1),"")</x:f>
        <x:v>0.8794995502857142</x:v>
      </x:c>
      <x:c r="AW51" s="27" t="n">
        <x:f>IF(ISNUMBER(AE51),IF('Scoring Setup'!$L$17=1,1-'Scoring Setup'!$B$5*(1-MAX(0,MIN(1,(AE51-'Scoring Setup'!$K$17)/(100-'Scoring Setup'!$K$17)))),1),"")</x:f>
        <x:v>0.88713178625</x:v>
      </x:c>
      <x:c r="AX51" s="27" t="n">
        <x:f>IF(ISNUMBER(AF51),IF('Scoring Setup'!$L$18=1,1-'Scoring Setup'!$B$5*(1-MAX(0,MIN(1,(AF51-'Scoring Setup'!$K$18)/(100-'Scoring Setup'!$K$18)))),1),"")</x:f>
        <x:v>0.9293072912879684</x:v>
      </x:c>
      <x:c r="AY51" s="27" t="n">
        <x:f>IF(ISNUMBER(AG51),IF('Scoring Setup'!$L$19=1,1-'Scoring Setup'!$B$5*(1-MAX(0,MIN(1,(AG51-'Scoring Setup'!$K$19)/(100-'Scoring Setup'!$K$19)))),1),"")</x:f>
        <x:v>0.8</x:v>
      </x:c>
      <x:c r="AZ51" s="27" t="n">
        <x:f>IF(ISNUMBER(AH51),IF('Scoring Setup'!$L$20=1,1-'Scoring Setup'!$B$5*(1-MAX(0,MIN(1,(AH51-'Scoring Setup'!$K$20)/(100-'Scoring Setup'!$K$20)))),1),"")</x:f>
        <x:v>0.8</x:v>
      </x:c>
      <x:c r="BA51" s="27" t="n">
        <x:f>IF(ISNUMBER(AI51),IF('Scoring Setup'!$L$21=1,1-'Scoring Setup'!$B$5*(1-MAX(0,MIN(1,(AI51-'Scoring Setup'!$K$21)/(100-'Scoring Setup'!$K$21)))),1),"")</x:f>
        <x:v>0.8</x:v>
      </x:c>
      <x:c r="BB51" s="27" t="n">
        <x:f>IF(ISNUMBER(AJ51),IF('Scoring Setup'!$L$22=1,1-'Scoring Setup'!$B$5*(1-MAX(0,MIN(1,(AJ51-'Scoring Setup'!$K$22)/(100-'Scoring Setup'!$K$22)))),1),"")</x:f>
        <x:v>0.8</x:v>
      </x:c>
      <x:c r="BC51" s="27" t="n">
        <x:f>IF(ISNUMBER(AK51),IF('Scoring Setup'!$L$23=1,1-'Scoring Setup'!$B$5*(1-MAX(0,MIN(1,(AK51-'Scoring Setup'!$K$23)/(100-'Scoring Setup'!$K$23)))),1),"")</x:f>
        <x:v>0.9797781767934589</x:v>
      </x:c>
      <x:c r="BD51" s="27" t="n">
        <x:f>IF(ISNUMBER(AL51),IF('Scoring Setup'!$L$24=1,1-'Scoring Setup'!$B$5*(1-MAX(0,MIN(1,(AL51-'Scoring Setup'!$K$24)/(100-'Scoring Setup'!$K$24)))),1),"")</x:f>
        <x:v>0.9741818181818181</x:v>
      </x:c>
      <x:c r="BE51" s="27" t="n">
        <x:f>IF(ISNUMBER(AM51),IF('Scoring Setup'!$L$25=1,1-'Scoring Setup'!$B$5*(1-MAX(0,MIN(1,(AM51-'Scoring Setup'!$K$25)/(100-'Scoring Setup'!$K$25)))),1),"")</x:f>
        <x:v>0.8885845218271159</x:v>
      </x:c>
      <x:c r="BF51" s="27" t="n">
        <x:f>IF(ISNUMBER(AN51),IF('Scoring Setup'!$L$26=1,1-'Scoring Setup'!$B$5*(1-MAX(0,MIN(1,(AN51-'Scoring Setup'!$K$26)/(100-'Scoring Setup'!$K$26)))),1),"")</x:f>
        <x:v>0.937286211052675</x:v>
      </x:c>
      <x:c r="BG51" s="34" t="n">
        <x:f>IF(COUNT(W51,X51)=2,AVERAGE(W51,X51),"")</x:f>
        <x:v>31.100777934936357</x:v>
      </x:c>
      <x:c r="BH51" s="34" t="n">
        <x:f>IF(COUNT(Y51,Z51)=2,AVERAGE(Y51,Z51),"")</x:f>
        <x:v>95.00626327641874</x:v>
      </x:c>
      <x:c r="BI51" s="34" t="n">
        <x:f>IF(COUNT(AA51,AB51,AC51)=3,AVERAGE(AA51,AB51,AC51),"")</x:f>
        <x:v>65.4609584056901</x:v>
      </x:c>
      <x:c r="BJ51" s="34" t="n">
        <x:f>IF(COUNT(AD51,AE51)=2,AVERAGE(AD51,AE51),"")</x:f>
        <x:v>41.657834133928574</x:v>
      </x:c>
      <x:c r="BK51" s="34" t="n">
        <x:f>IF(COUNT(AF51,AG51)=2,AVERAGE(AF51,AG51),"")</x:f>
        <x:v>32.326822821992096</x:v>
      </x:c>
      <x:c r="BL51" s="34" t="n">
        <x:f>IF(COUNT(AH51,AI51)=2,AVERAGE(AH51,AI51),"")</x:f>
        <x:v>0</x:v>
      </x:c>
      <x:c r="BM51" s="34" t="n">
        <x:f>IF(COUNT(AJ51,AK51)=2,AVERAGE(AJ51,AK51),"")</x:f>
        <x:v>44.94454419836473</x:v>
      </x:c>
      <x:c r="BN51" s="34" t="n">
        <x:f>IF(COUNT(AL51,AM51,AN51)=3,AVERAGE(AL51,AM51,AN51),"")</x:f>
        <x:v>66.67542517693484</x:v>
      </x:c>
      <x:c r="BO51" s="35" t="n">
        <x:f>IF(AND(COUNT(BG51:BN51)=8,ABS('Scoring Setup'!$C$17-1)&lt;0.000001),BG51*'Scoring Setup'!$C$9+BH51*'Scoring Setup'!$C$10+BI51*'Scoring Setup'!$C$11+BJ51*'Scoring Setup'!$C$12+BK51*'Scoring Setup'!$C$13+BL51*'Scoring Setup'!$C$14+BM51*'Scoring Setup'!$C$15+BN51*'Scoring Setup'!$C$16,"")</x:f>
        <x:v>58.30574674793714</x:v>
      </x:c>
      <x:c r="BP51" s="36" t="n">
        <x:f>IF(COUNT(AO51:BF51)=18,MIN(AO51:BF51),"")</x:f>
        <x:v>0.8</x:v>
      </x:c>
      <x:c r="BQ51" s="35" t="n">
        <x:f>IF(AND(ISNUMBER(BO51),ISNUMBER(BP51)),BO51*BP51,"")</x:f>
        <x:v>46.64459739834972</x:v>
      </x:c>
      <x:c r="BR51" s="17" t="str">
        <x:f>IF(COUNT(AO51:BF51)=18,INDEX('Scoring Setup'!$F$9:$F$26,MATCH(MIN(AO51:BF51),AO51:BF51,0),1),"")</x:f>
        <x:v>社会脆弱性百分位</x:v>
      </x:c>
    </x:row>
    <x:row r="52">
      <x:c r="A52" s="28" t="str">
        <x:v>13097</x:v>
      </x:c>
      <x:c r="B52" s="28" t="str">
        <x:v>Douglas County</x:v>
      </x:c>
      <x:c r="C52" s="28" t="str">
        <x:v>GA</x:v>
      </x:c>
      <x:c r="D52" s="31" t="n">
        <x:v>518.35001</x:v>
      </x:c>
      <x:c r="E52" s="32" t="n">
        <x:v>0.67</x:v>
      </x:c>
      <x:c r="F52" s="32" t="n">
        <x:v>0.160272277227723</x:v>
      </x:c>
      <x:c r="G52" s="32" t="n">
        <x:v>2.4115917257827646</x:v>
      </x:c>
      <x:c r="H52" s="32" t="n">
        <x:v>2.238973366</x:v>
      </x:c>
      <x:c r="I52" s="32" t="n">
        <x:v>0.6811356897320843</x:v>
      </x:c>
      <x:c r="J52" s="32" t="n">
        <x:v>0.032397871041348246</x:v>
      </x:c>
      <x:c r="K52" s="32" t="n">
        <x:v>0.01785055148827486</x:v>
      </x:c>
      <x:c r="L52" s="32" t="n">
        <x:v>0.72373324</x:v>
      </x:c>
      <x:c r="M52" s="32" t="n">
        <x:v>0.722905188</x:v>
      </x:c>
      <x:c r="N52" s="32" t="n">
        <x:v>76333</x:v>
      </x:c>
      <x:c r="O52" s="32" t="n">
        <x:v>0.7012</x:v>
      </x:c>
      <x:c r="P52" s="32" t="n">
        <x:v>1493.1599446614584</x:v>
      </x:c>
      <x:c r="Q52" s="32" t="n">
        <x:v>30.84349708557129</x:v>
      </x:c>
      <x:c r="R52" s="32" t="n">
        <x:v>2.5919288512739995</x:v>
      </x:c>
      <x:c r="S52" s="32" t="n">
        <x:v>4.71093106588416</x:v>
      </x:c>
      <x:c r="T52" s="32" t="n">
        <x:v>72.1</x:v>
      </x:c>
      <x:c r="U52" s="32" t="n">
        <x:v>211.4154781728841</x:v>
      </x:c>
      <x:c r="V52" s="32" t="n">
        <x:v>325.42757789465</x:v>
      </x:c>
      <x:c r="W52" s="33" t="n">
        <x:f>IF(ISNUMBER(E52),100*MAX(0,MIN(1,('Anchors'!$H$6-E52)/('Anchors'!$H$6-'Anchors'!$G$6))),"")</x:f>
        <x:v>32.857142857142854</x:v>
      </x:c>
      <x:c r="X52" s="33" t="n">
        <x:f>IF(ISNUMBER(F52),100*MAX(0,MIN(1,('Anchors'!$H$7-F52)/('Anchors'!$H$7-'Anchors'!$G$7))),"")</x:f>
        <x:v>91.38967468175386</x:v>
      </x:c>
      <x:c r="Y52" s="33" t="n">
        <x:f>IF(ISNUMBER(G52),100*MAX(0,MIN(1,('Anchors'!$H$8-G52)/('Anchors'!$H$8-'Anchors'!$G$8))),"")</x:f>
        <x:v>52.946942473907846</x:v>
      </x:c>
      <x:c r="Z52" s="33" t="n">
        <x:f>IF(ISNUMBER(H52),100*MAX(0,MIN(1,('Anchors'!$H$9-H52)/('Anchors'!$H$9-'Anchors'!$G$9))),"")</x:f>
        <x:v>58.70088779999999</x:v>
      </x:c>
      <x:c r="AA52" s="33" t="n">
        <x:f>IF(ISNUMBER(I52),100*MAX(0,MIN(1,(I52-'Anchors'!$H$10)/('Anchors'!$G$10-'Anchors'!$H$10))),"")</x:f>
        <x:v>59.059683524943054</x:v>
      </x:c>
      <x:c r="AB52" s="33" t="n">
        <x:f>IF(ISNUMBER(J52),100*MAX(0,MIN(1,('Anchors'!$H$11-J52)/('Anchors'!$H$11-'Anchors'!$G$11))),"")</x:f>
        <x:v>87.0408515834607</x:v>
      </x:c>
      <x:c r="AC52" s="33" t="n">
        <x:f>IF(ISNUMBER(K52),100*MAX(0,MIN(1,('Anchors'!$H$12-K52)/('Anchors'!$H$12-'Anchors'!$G$12))),"")</x:f>
        <x:v>95.53736212793129</x:v>
      </x:c>
      <x:c r="AD52" s="33" t="n">
        <x:f>IF(ISNUMBER(L52),100*MAX(0,MIN(1,(L52-'Anchors'!$H$13)/('Anchors'!$G$13-'Anchors'!$H$13))),"")</x:f>
        <x:v>74.81903428571431</x:v>
      </x:c>
      <x:c r="AE52" s="33" t="n">
        <x:f>IF(ISNUMBER(M52),100*MAX(0,MIN(1,(M52-'Anchors'!$H$14)/('Anchors'!$G$14-'Anchors'!$H$14))),"")</x:f>
        <x:v>77.8631485</x:v>
      </x:c>
      <x:c r="AF52" s="33" t="n">
        <x:f>IF(ISNUMBER(N52),100*MAX(0,MIN(1,(LN(1+N52)-LN(1+'Anchors'!$H$15))/(LN(1+'Anchors'!$G$15)-LN(1+'Anchors'!$H$15)))),"")</x:f>
        <x:v>84.35199653666287</x:v>
      </x:c>
      <x:c r="AG52" s="33" t="n">
        <x:f>IF(ISNUMBER(O52),100*MAX(0,MIN(1,('Anchors'!$H$16-O52)/('Anchors'!$H$16-'Anchors'!$G$16))),"")</x:f>
        <x:v>27.64444444444444</x:v>
      </x:c>
      <x:c r="AH52" s="33" t="n">
        <x:f>IF(ISNUMBER(P52),100*MAX(0,MIN(1,('Anchors'!$H$17-P52)/('Anchors'!$H$17-'Anchors'!$G$17))),"")</x:f>
        <x:v>47.12267035590277</x:v>
      </x:c>
      <x:c r="AI52" s="33" t="n">
        <x:f>IF(ISNUMBER(Q52),100*MAX(0,MIN(1,('Anchors'!$H$18-Q52)/('Anchors'!$H$18-'Anchors'!$G$18))),"")</x:f>
        <x:v>63.080718449183884</x:v>
      </x:c>
      <x:c r="AJ52" s="33" t="n">
        <x:f>IF(ISNUMBER(R52),100*MAX(0,MIN(1,('Anchors'!$H$19-R52)/('Anchors'!$H$19-'Anchors'!$G$19))),"")</x:f>
        <x:v>100</x:v>
      </x:c>
      <x:c r="AK52" s="33" t="n">
        <x:f>IF(ISNUMBER(S52),100*MAX(0,MIN(1,('Anchors'!$H$20-S52)/('Anchors'!$H$20-'Anchors'!$G$20))),"")</x:f>
        <x:v>80.46878386376758</x:v>
      </x:c>
      <x:c r="AL52" s="33" t="n">
        <x:f>IF(ISNUMBER(T52),100*MAX(0,MIN(1,('Anchors'!$H$21-T52)/('Anchors'!$H$21-'Anchors'!$G$21))),"")</x:f>
        <x:v>87.0909090909091</x:v>
      </x:c>
      <x:c r="AM52" s="33" t="n">
        <x:f>IF(ISNUMBER(U52),100*MAX(0,MIN(1,('Anchors'!$H$22-U52)/('Anchors'!$H$22-'Anchors'!$G$22))),"")</x:f>
        <x:v>44.29226091355795</x:v>
      </x:c>
      <x:c r="AN52" s="33" t="n">
        <x:f>IF(ISNUMBER(V52),100*MAX(0,MIN(1,('Anchors'!$H$23-V52)/('Anchors'!$H$23-'Anchors'!$G$23))),"")</x:f>
        <x:v>68.6431055263375</x:v>
      </x:c>
      <x:c r="AO52" s="27" t="n">
        <x:f>IF(ISNUMBER(W52),IF('Scoring Setup'!$L$9=1,1-'Scoring Setup'!$B$5*(1-MAX(0,MIN(1,(W52-'Scoring Setup'!$K$9)/(100-'Scoring Setup'!$K$9)))),1),"")</x:f>
        <x:v>0.8657142857142857</x:v>
      </x:c>
      <x:c r="AP52" s="27" t="n">
        <x:f>IF(ISNUMBER(X52),IF('Scoring Setup'!$L$10=1,1-'Scoring Setup'!$B$5*(1-MAX(0,MIN(1,(X52-'Scoring Setup'!$K$10)/(100-'Scoring Setup'!$K$10)))),1),"")</x:f>
        <x:v>0.9827793493635077</x:v>
      </x:c>
      <x:c r="AQ52" s="27" t="n">
        <x:f>IF(ISNUMBER(Y52),IF('Scoring Setup'!$L$11=1,1-'Scoring Setup'!$B$5*(1-MAX(0,MIN(1,(Y52-'Scoring Setup'!$K$11)/(100-'Scoring Setup'!$K$11)))),1),"")</x:f>
        <x:v>0.9058938849478156</x:v>
      </x:c>
      <x:c r="AR52" s="27" t="n">
        <x:f>IF(ISNUMBER(Z52),IF('Scoring Setup'!$L$12=1,1-'Scoring Setup'!$B$5*(1-MAX(0,MIN(1,(Z52-'Scoring Setup'!$K$12)/(100-'Scoring Setup'!$K$12)))),1),"")</x:f>
        <x:v>0.9174017755999999</x:v>
      </x:c>
      <x:c r="AS52" s="27" t="n">
        <x:f>IF(ISNUMBER(AA52),IF('Scoring Setup'!$L$13=1,1-'Scoring Setup'!$B$5*(1-MAX(0,MIN(1,(AA52-'Scoring Setup'!$K$13)/(100-'Scoring Setup'!$K$13)))),1),"")</x:f>
        <x:v>0.9181193670498861</x:v>
      </x:c>
      <x:c r="AT52" s="27" t="n">
        <x:f>IF(ISNUMBER(AB52),IF('Scoring Setup'!$L$14=1,1-'Scoring Setup'!$B$5*(1-MAX(0,MIN(1,(AB52-'Scoring Setup'!$K$14)/(100-'Scoring Setup'!$K$14)))),1),"")</x:f>
        <x:v>0.9740817031669213</x:v>
      </x:c>
      <x:c r="AU52" s="27" t="n">
        <x:f>IF(ISNUMBER(AC52),IF('Scoring Setup'!$L$15=1,1-'Scoring Setup'!$B$5*(1-MAX(0,MIN(1,(AC52-'Scoring Setup'!$K$15)/(100-'Scoring Setup'!$K$15)))),1),"")</x:f>
        <x:v>0.9910747242558626</x:v>
      </x:c>
      <x:c r="AV52" s="27" t="n">
        <x:f>IF(ISNUMBER(AD52),IF('Scoring Setup'!$L$16=1,1-'Scoring Setup'!$B$5*(1-MAX(0,MIN(1,(AD52-'Scoring Setup'!$K$16)/(100-'Scoring Setup'!$K$16)))),1),"")</x:f>
        <x:v>0.9496380685714286</x:v>
      </x:c>
      <x:c r="AW52" s="27" t="n">
        <x:f>IF(ISNUMBER(AE52),IF('Scoring Setup'!$L$17=1,1-'Scoring Setup'!$B$5*(1-MAX(0,MIN(1,(AE52-'Scoring Setup'!$K$17)/(100-'Scoring Setup'!$K$17)))),1),"")</x:f>
        <x:v>0.955726297</x:v>
      </x:c>
      <x:c r="AX52" s="27" t="n">
        <x:f>IF(ISNUMBER(AF52),IF('Scoring Setup'!$L$18=1,1-'Scoring Setup'!$B$5*(1-MAX(0,MIN(1,(AF52-'Scoring Setup'!$K$18)/(100-'Scoring Setup'!$K$18)))),1),"")</x:f>
        <x:v>0.9687039930733258</x:v>
      </x:c>
      <x:c r="AY52" s="27" t="n">
        <x:f>IF(ISNUMBER(AG52),IF('Scoring Setup'!$L$19=1,1-'Scoring Setup'!$B$5*(1-MAX(0,MIN(1,(AG52-'Scoring Setup'!$K$19)/(100-'Scoring Setup'!$K$19)))),1),"")</x:f>
        <x:v>0.8552888888888889</x:v>
      </x:c>
      <x:c r="AZ52" s="27" t="n">
        <x:f>IF(ISNUMBER(AH52),IF('Scoring Setup'!$L$20=1,1-'Scoring Setup'!$B$5*(1-MAX(0,MIN(1,(AH52-'Scoring Setup'!$K$20)/(100-'Scoring Setup'!$K$20)))),1),"")</x:f>
        <x:v>0.8942453407118055</x:v>
      </x:c>
      <x:c r="BA52" s="27" t="n">
        <x:f>IF(ISNUMBER(AI52),IF('Scoring Setup'!$L$21=1,1-'Scoring Setup'!$B$5*(1-MAX(0,MIN(1,(AI52-'Scoring Setup'!$K$21)/(100-'Scoring Setup'!$K$21)))),1),"")</x:f>
        <x:v>0.9261614368983677</x:v>
      </x:c>
      <x:c r="BB52" s="27" t="n">
        <x:f>IF(ISNUMBER(AJ52),IF('Scoring Setup'!$L$22=1,1-'Scoring Setup'!$B$5*(1-MAX(0,MIN(1,(AJ52-'Scoring Setup'!$K$22)/(100-'Scoring Setup'!$K$22)))),1),"")</x:f>
        <x:v>1</x:v>
      </x:c>
      <x:c r="BC52" s="27" t="n">
        <x:f>IF(ISNUMBER(AK52),IF('Scoring Setup'!$L$23=1,1-'Scoring Setup'!$B$5*(1-MAX(0,MIN(1,(AK52-'Scoring Setup'!$K$23)/(100-'Scoring Setup'!$K$23)))),1),"")</x:f>
        <x:v>0.9609375677275351</x:v>
      </x:c>
      <x:c r="BD52" s="27" t="n">
        <x:f>IF(ISNUMBER(AL52),IF('Scoring Setup'!$L$24=1,1-'Scoring Setup'!$B$5*(1-MAX(0,MIN(1,(AL52-'Scoring Setup'!$K$24)/(100-'Scoring Setup'!$K$24)))),1),"")</x:f>
        <x:v>0.9741818181818181</x:v>
      </x:c>
      <x:c r="BE52" s="27" t="n">
        <x:f>IF(ISNUMBER(AM52),IF('Scoring Setup'!$L$25=1,1-'Scoring Setup'!$B$5*(1-MAX(0,MIN(1,(AM52-'Scoring Setup'!$K$25)/(100-'Scoring Setup'!$K$25)))),1),"")</x:f>
        <x:v>0.8885845218271159</x:v>
      </x:c>
      <x:c r="BF52" s="27" t="n">
        <x:f>IF(ISNUMBER(AN52),IF('Scoring Setup'!$L$26=1,1-'Scoring Setup'!$B$5*(1-MAX(0,MIN(1,(AN52-'Scoring Setup'!$K$26)/(100-'Scoring Setup'!$K$26)))),1),"")</x:f>
        <x:v>0.937286211052675</x:v>
      </x:c>
      <x:c r="BG52" s="34" t="n">
        <x:f>IF(COUNT(W52,X52)=2,AVERAGE(W52,X52),"")</x:f>
        <x:v>62.12340876944836</x:v>
      </x:c>
      <x:c r="BH52" s="34" t="n">
        <x:f>IF(COUNT(Y52,Z52)=2,AVERAGE(Y52,Z52),"")</x:f>
        <x:v>55.823915136953914</x:v>
      </x:c>
      <x:c r="BI52" s="34" t="n">
        <x:f>IF(COUNT(AA52,AB52,AC52)=3,AVERAGE(AA52,AB52,AC52),"")</x:f>
        <x:v>80.545965745445</x:v>
      </x:c>
      <x:c r="BJ52" s="34" t="n">
        <x:f>IF(COUNT(AD52,AE52)=2,AVERAGE(AD52,AE52),"")</x:f>
        <x:v>76.34109139285715</x:v>
      </x:c>
      <x:c r="BK52" s="34" t="n">
        <x:f>IF(COUNT(AF52,AG52)=2,AVERAGE(AF52,AG52),"")</x:f>
        <x:v>55.99822049055365</x:v>
      </x:c>
      <x:c r="BL52" s="34" t="n">
        <x:f>IF(COUNT(AH52,AI52)=2,AVERAGE(AH52,AI52),"")</x:f>
        <x:v>55.10169440254333</x:v>
      </x:c>
      <x:c r="BM52" s="34" t="n">
        <x:f>IF(COUNT(AJ52,AK52)=2,AVERAGE(AJ52,AK52),"")</x:f>
        <x:v>90.23439193188379</x:v>
      </x:c>
      <x:c r="BN52" s="34" t="n">
        <x:f>IF(COUNT(AL52,AM52,AN52)=3,AVERAGE(AL52,AM52,AN52),"")</x:f>
        <x:v>66.67542517693484</x:v>
      </x:c>
      <x:c r="BO52" s="35" t="n">
        <x:f>IF(AND(COUNT(BG52:BN52)=8,ABS('Scoring Setup'!$C$17-1)&lt;0.000001),BG52*'Scoring Setup'!$C$9+BH52*'Scoring Setup'!$C$10+BI52*'Scoring Setup'!$C$11+BJ52*'Scoring Setup'!$C$12+BK52*'Scoring Setup'!$C$13+BL52*'Scoring Setup'!$C$14+BM52*'Scoring Setup'!$C$15+BN52*'Scoring Setup'!$C$16,"")</x:f>
        <x:v>65.935083537023</x:v>
      </x:c>
      <x:c r="BP52" s="36" t="n">
        <x:f>IF(COUNT(AO52:BF52)=18,MIN(AO52:BF52),"")</x:f>
        <x:v>0.8552888888888889</x:v>
      </x:c>
      <x:c r="BQ52" s="35" t="n">
        <x:f>IF(AND(ISNUMBER(BO52),ISNUMBER(BP52)),BO52*BP52,"")</x:f>
        <x:v>56.39354433717647</x:v>
      </x:c>
      <x:c r="BR52" s="17" t="str">
        <x:f>IF(COUNT(AO52:BF52)=18,INDEX('Scoring Setup'!$F$9:$F$26,MATCH(MIN(AO52:BF52),AO52:BF52,0),1),"")</x:f>
        <x:v>社会脆弱性百分位</x:v>
      </x:c>
    </x:row>
    <x:row r="53">
      <x:c r="A53" s="28" t="str">
        <x:v>13099</x:v>
      </x:c>
      <x:c r="B53" s="28" t="str">
        <x:v>Early County</x:v>
      </x:c>
      <x:c r="C53" s="28" t="str">
        <x:v>GA</x:v>
      </x:c>
      <x:c r="D53" s="31" t="n">
        <x:v>1327.626624</x:v>
      </x:c>
      <x:c r="E53" s="32" t="n">
        <x:v>0.501</x:v>
      </x:c>
      <x:c r="F53" s="32" t="n">
        <x:v>0.43935643564356397</x:v>
      </x:c>
      <x:c r="G53" s="32" t="n">
        <x:v>0.6190411351461493</x:v>
      </x:c>
      <x:c r="H53" s="32" t="n">
        <x:v>0.6027513536949357</x:v>
      </x:c>
      <x:c r="I53" s="32" t="n">
        <x:v>0.9509260308321896</x:v>
      </x:c>
      <x:c r="J53" s="32" t="n">
        <x:v>0.017010954001655556</x:v>
      </x:c>
      <x:c r="K53" s="32" t="n">
        <x:v>0.19995400205837396</x:v>
      </x:c>
      <x:c r="L53" s="32" t="n">
        <x:v>0.543959732</x:v>
      </x:c>
      <x:c r="M53" s="32" t="n">
        <x:v>0.543959732</x:v>
      </x:c>
      <x:c r="N53" s="32" t="n">
        <x:v>3540</x:v>
      </x:c>
      <x:c r="O53" s="32" t="n">
        <x:v>0.9357</x:v>
      </x:c>
      <x:c r="P53" s="32" t="n">
        <x:v>2234.7774251302085</x:v>
      </x:c>
      <x:c r="Q53" s="32" t="n">
        <x:v>74.15402259826661</x:v>
      </x:c>
      <x:c r="R53" s="32" t="n">
        <x:v>71.80599060301233</x:v>
      </x:c>
      <x:c r="S53" s="32" t="n">
        <x:v>6.64501235582381</x:v>
      </x:c>
      <x:c r="T53" s="32" t="n">
        <x:v>72.1</x:v>
      </x:c>
      <x:c r="U53" s="32" t="n">
        <x:v>211.4154781728841</x:v>
      </x:c>
      <x:c r="V53" s="32" t="n">
        <x:v>325.42757789465</x:v>
      </x:c>
      <x:c r="W53" s="33" t="n">
        <x:f>IF(ISNUMBER(E53),100*MAX(0,MIN(1,('Anchors'!$H$6-E53)/('Anchors'!$H$6-'Anchors'!$G$6))),"")</x:f>
        <x:v>57.00000000000001</x:v>
      </x:c>
      <x:c r="X53" s="33" t="n">
        <x:f>IF(ISNUMBER(F53),100*MAX(0,MIN(1,('Anchors'!$H$7-F53)/('Anchors'!$H$7-'Anchors'!$G$7))),"")</x:f>
        <x:v>51.520509193776576</x:v>
      </x:c>
      <x:c r="Y53" s="33" t="n">
        <x:f>IF(ISNUMBER(G53),100*MAX(0,MIN(1,('Anchors'!$H$8-G53)/('Anchors'!$H$8-'Anchors'!$G$8))),"")</x:f>
        <x:v>100</x:v>
      </x:c>
      <x:c r="Z53" s="33" t="n">
        <x:f>IF(ISNUMBER(H53),100*MAX(0,MIN(1,('Anchors'!$H$9-H53)/('Anchors'!$H$9-'Anchors'!$G$9))),"")</x:f>
        <x:v>100</x:v>
      </x:c>
      <x:c r="AA53" s="33" t="n">
        <x:f>IF(ISNUMBER(I53),100*MAX(0,MIN(1,(I53-'Anchors'!$H$10)/('Anchors'!$G$10-'Anchors'!$H$10))),"")</x:f>
        <x:v>96.01726449756023</x:v>
      </x:c>
      <x:c r="AB53" s="33" t="n">
        <x:f>IF(ISNUMBER(J53),100*MAX(0,MIN(1,('Anchors'!$H$11-J53)/('Anchors'!$H$11-'Anchors'!$G$11))),"")</x:f>
        <x:v>93.19561839933777</x:v>
      </x:c>
      <x:c r="AC53" s="33" t="n">
        <x:f>IF(ISNUMBER(K53),100*MAX(0,MIN(1,('Anchors'!$H$12-K53)/('Anchors'!$H$12-'Anchors'!$G$12))),"")</x:f>
        <x:v>50.01149948540651</x:v>
      </x:c>
      <x:c r="AD53" s="33" t="n">
        <x:f>IF(ISNUMBER(L53),100*MAX(0,MIN(1,(L53-'Anchors'!$H$13)/('Anchors'!$G$13-'Anchors'!$H$13))),"")</x:f>
        <x:v>49.13710457142857</x:v>
      </x:c>
      <x:c r="AE53" s="33" t="n">
        <x:f>IF(ISNUMBER(M53),100*MAX(0,MIN(1,(M53-'Anchors'!$H$14)/('Anchors'!$G$14-'Anchors'!$H$14))),"")</x:f>
        <x:v>55.4949665</x:v>
      </x:c>
      <x:c r="AF53" s="33" t="n">
        <x:f>IF(ISNUMBER(N53),100*MAX(0,MIN(1,(LN(1+N53)-LN(1+'Anchors'!$H$15))/(LN(1+'Anchors'!$G$15)-LN(1+'Anchors'!$H$15)))),"")</x:f>
        <x:v>13.221283093216417</x:v>
      </x:c>
      <x:c r="AG53" s="33" t="n">
        <x:f>IF(ISNUMBER(O53),100*MAX(0,MIN(1,('Anchors'!$H$16-O53)/('Anchors'!$H$16-'Anchors'!$G$16))),"")</x:f>
        <x:v>1.5888888888888868</x:v>
      </x:c>
      <x:c r="AH53" s="33" t="n">
        <x:f>IF(ISNUMBER(P53),100*MAX(0,MIN(1,('Anchors'!$H$17-P53)/('Anchors'!$H$17-'Anchors'!$G$17))),"")</x:f>
        <x:v>0</x:v>
      </x:c>
      <x:c r="AI53" s="33" t="n">
        <x:f>IF(ISNUMBER(Q53),100*MAX(0,MIN(1,('Anchors'!$H$18-Q53)/('Anchors'!$H$18-'Anchors'!$G$18))),"")</x:f>
        <x:v>1.2085391453334182</x:v>
      </x:c>
      <x:c r="AJ53" s="33" t="n">
        <x:f>IF(ISNUMBER(R53),100*MAX(0,MIN(1,('Anchors'!$H$19-R53)/('Anchors'!$H$19-'Anchors'!$G$19))),"")</x:f>
        <x:v>0</x:v>
      </x:c>
      <x:c r="AK53" s="33" t="n">
        <x:f>IF(ISNUMBER(S53),100*MAX(0,MIN(1,('Anchors'!$H$20-S53)/('Anchors'!$H$20-'Anchors'!$G$20))),"")</x:f>
        <x:v>70.28940865355891</x:v>
      </x:c>
      <x:c r="AL53" s="33" t="n">
        <x:f>IF(ISNUMBER(T53),100*MAX(0,MIN(1,('Anchors'!$H$21-T53)/('Anchors'!$H$21-'Anchors'!$G$21))),"")</x:f>
        <x:v>87.0909090909091</x:v>
      </x:c>
      <x:c r="AM53" s="33" t="n">
        <x:f>IF(ISNUMBER(U53),100*MAX(0,MIN(1,('Anchors'!$H$22-U53)/('Anchors'!$H$22-'Anchors'!$G$22))),"")</x:f>
        <x:v>44.29226091355795</x:v>
      </x:c>
      <x:c r="AN53" s="33" t="n">
        <x:f>IF(ISNUMBER(V53),100*MAX(0,MIN(1,('Anchors'!$H$23-V53)/('Anchors'!$H$23-'Anchors'!$G$23))),"")</x:f>
        <x:v>68.6431055263375</x:v>
      </x:c>
      <x:c r="AO53" s="27" t="n">
        <x:f>IF(ISNUMBER(W53),IF('Scoring Setup'!$L$9=1,1-'Scoring Setup'!$B$5*(1-MAX(0,MIN(1,(W53-'Scoring Setup'!$K$9)/(100-'Scoring Setup'!$K$9)))),1),"")</x:f>
        <x:v>0.914</x:v>
      </x:c>
      <x:c r="AP53" s="27" t="n">
        <x:f>IF(ISNUMBER(X53),IF('Scoring Setup'!$L$10=1,1-'Scoring Setup'!$B$5*(1-MAX(0,MIN(1,(X53-'Scoring Setup'!$K$10)/(100-'Scoring Setup'!$K$10)))),1),"")</x:f>
        <x:v>0.9030410183875531</x:v>
      </x:c>
      <x:c r="AQ53" s="27" t="n">
        <x:f>IF(ISNUMBER(Y53),IF('Scoring Setup'!$L$11=1,1-'Scoring Setup'!$B$5*(1-MAX(0,MIN(1,(Y53-'Scoring Setup'!$K$11)/(100-'Scoring Setup'!$K$11)))),1),"")</x:f>
        <x:v>1</x:v>
      </x:c>
      <x:c r="AR53" s="27" t="n">
        <x:f>IF(ISNUMBER(Z53),IF('Scoring Setup'!$L$12=1,1-'Scoring Setup'!$B$5*(1-MAX(0,MIN(1,(Z53-'Scoring Setup'!$K$12)/(100-'Scoring Setup'!$K$12)))),1),"")</x:f>
        <x:v>1</x:v>
      </x:c>
      <x:c r="AS53" s="27" t="n">
        <x:f>IF(ISNUMBER(AA53),IF('Scoring Setup'!$L$13=1,1-'Scoring Setup'!$B$5*(1-MAX(0,MIN(1,(AA53-'Scoring Setup'!$K$13)/(100-'Scoring Setup'!$K$13)))),1),"")</x:f>
        <x:v>0.9920345289951205</x:v>
      </x:c>
      <x:c r="AT53" s="27" t="n">
        <x:f>IF(ISNUMBER(AB53),IF('Scoring Setup'!$L$14=1,1-'Scoring Setup'!$B$5*(1-MAX(0,MIN(1,(AB53-'Scoring Setup'!$K$14)/(100-'Scoring Setup'!$K$14)))),1),"")</x:f>
        <x:v>0.9863912367986756</x:v>
      </x:c>
      <x:c r="AU53" s="27" t="n">
        <x:f>IF(ISNUMBER(AC53),IF('Scoring Setup'!$L$15=1,1-'Scoring Setup'!$B$5*(1-MAX(0,MIN(1,(AC53-'Scoring Setup'!$K$15)/(100-'Scoring Setup'!$K$15)))),1),"")</x:f>
        <x:v>0.9000229989708131</x:v>
      </x:c>
      <x:c r="AV53" s="27" t="n">
        <x:f>IF(ISNUMBER(AD53),IF('Scoring Setup'!$L$16=1,1-'Scoring Setup'!$B$5*(1-MAX(0,MIN(1,(AD53-'Scoring Setup'!$K$16)/(100-'Scoring Setup'!$K$16)))),1),"")</x:f>
        <x:v>0.8982742091428572</x:v>
      </x:c>
      <x:c r="AW53" s="27" t="n">
        <x:f>IF(ISNUMBER(AE53),IF('Scoring Setup'!$L$17=1,1-'Scoring Setup'!$B$5*(1-MAX(0,MIN(1,(AE53-'Scoring Setup'!$K$17)/(100-'Scoring Setup'!$K$17)))),1),"")</x:f>
        <x:v>0.910989933</x:v>
      </x:c>
      <x:c r="AX53" s="27" t="n">
        <x:f>IF(ISNUMBER(AF53),IF('Scoring Setup'!$L$18=1,1-'Scoring Setup'!$B$5*(1-MAX(0,MIN(1,(AF53-'Scoring Setup'!$K$18)/(100-'Scoring Setup'!$K$18)))),1),"")</x:f>
        <x:v>0.8264425661864329</x:v>
      </x:c>
      <x:c r="AY53" s="27" t="n">
        <x:f>IF(ISNUMBER(AG53),IF('Scoring Setup'!$L$19=1,1-'Scoring Setup'!$B$5*(1-MAX(0,MIN(1,(AG53-'Scoring Setup'!$K$19)/(100-'Scoring Setup'!$K$19)))),1),"")</x:f>
        <x:v>0.8031777777777778</x:v>
      </x:c>
      <x:c r="AZ53" s="27" t="n">
        <x:f>IF(ISNUMBER(AH53),IF('Scoring Setup'!$L$20=1,1-'Scoring Setup'!$B$5*(1-MAX(0,MIN(1,(AH53-'Scoring Setup'!$K$20)/(100-'Scoring Setup'!$K$20)))),1),"")</x:f>
        <x:v>0.8</x:v>
      </x:c>
      <x:c r="BA53" s="27" t="n">
        <x:f>IF(ISNUMBER(AI53),IF('Scoring Setup'!$L$21=1,1-'Scoring Setup'!$B$5*(1-MAX(0,MIN(1,(AI53-'Scoring Setup'!$K$21)/(100-'Scoring Setup'!$K$21)))),1),"")</x:f>
        <x:v>0.8024170782906668</x:v>
      </x:c>
      <x:c r="BB53" s="27" t="n">
        <x:f>IF(ISNUMBER(AJ53),IF('Scoring Setup'!$L$22=1,1-'Scoring Setup'!$B$5*(1-MAX(0,MIN(1,(AJ53-'Scoring Setup'!$K$22)/(100-'Scoring Setup'!$K$22)))),1),"")</x:f>
        <x:v>0.8</x:v>
      </x:c>
      <x:c r="BC53" s="27" t="n">
        <x:f>IF(ISNUMBER(AK53),IF('Scoring Setup'!$L$23=1,1-'Scoring Setup'!$B$5*(1-MAX(0,MIN(1,(AK53-'Scoring Setup'!$K$23)/(100-'Scoring Setup'!$K$23)))),1),"")</x:f>
        <x:v>0.9405788173071178</x:v>
      </x:c>
      <x:c r="BD53" s="27" t="n">
        <x:f>IF(ISNUMBER(AL53),IF('Scoring Setup'!$L$24=1,1-'Scoring Setup'!$B$5*(1-MAX(0,MIN(1,(AL53-'Scoring Setup'!$K$24)/(100-'Scoring Setup'!$K$24)))),1),"")</x:f>
        <x:v>0.9741818181818181</x:v>
      </x:c>
      <x:c r="BE53" s="27" t="n">
        <x:f>IF(ISNUMBER(AM53),IF('Scoring Setup'!$L$25=1,1-'Scoring Setup'!$B$5*(1-MAX(0,MIN(1,(AM53-'Scoring Setup'!$K$25)/(100-'Scoring Setup'!$K$25)))),1),"")</x:f>
        <x:v>0.8885845218271159</x:v>
      </x:c>
      <x:c r="BF53" s="27" t="n">
        <x:f>IF(ISNUMBER(AN53),IF('Scoring Setup'!$L$26=1,1-'Scoring Setup'!$B$5*(1-MAX(0,MIN(1,(AN53-'Scoring Setup'!$K$26)/(100-'Scoring Setup'!$K$26)))),1),"")</x:f>
        <x:v>0.937286211052675</x:v>
      </x:c>
      <x:c r="BG53" s="34" t="n">
        <x:f>IF(COUNT(W53,X53)=2,AVERAGE(W53,X53),"")</x:f>
        <x:v>54.26025459688829</x:v>
      </x:c>
      <x:c r="BH53" s="34" t="n">
        <x:f>IF(COUNT(Y53,Z53)=2,AVERAGE(Y53,Z53),"")</x:f>
        <x:v>100</x:v>
      </x:c>
      <x:c r="BI53" s="34" t="n">
        <x:f>IF(COUNT(AA53,AB53,AC53)=3,AVERAGE(AA53,AB53,AC53),"")</x:f>
        <x:v>79.74146079410151</x:v>
      </x:c>
      <x:c r="BJ53" s="34" t="n">
        <x:f>IF(COUNT(AD53,AE53)=2,AVERAGE(AD53,AE53),"")</x:f>
        <x:v>52.316035535714285</x:v>
      </x:c>
      <x:c r="BK53" s="34" t="n">
        <x:f>IF(COUNT(AF53,AG53)=2,AVERAGE(AF53,AG53),"")</x:f>
        <x:v>7.405085991052652</x:v>
      </x:c>
      <x:c r="BL53" s="34" t="n">
        <x:f>IF(COUNT(AH53,AI53)=2,AVERAGE(AH53,AI53),"")</x:f>
        <x:v>0.6042695726667091</x:v>
      </x:c>
      <x:c r="BM53" s="34" t="n">
        <x:f>IF(COUNT(AJ53,AK53)=2,AVERAGE(AJ53,AK53),"")</x:f>
        <x:v>35.144704326779454</x:v>
      </x:c>
      <x:c r="BN53" s="34" t="n">
        <x:f>IF(COUNT(AL53,AM53,AN53)=3,AVERAGE(AL53,AM53,AN53),"")</x:f>
        <x:v>66.67542517693484</x:v>
      </x:c>
      <x:c r="BO53" s="35" t="n">
        <x:f>IF(AND(COUNT(BG53:BN53)=8,ABS('Scoring Setup'!$C$17-1)&lt;0.000001),BG53*'Scoring Setup'!$C$9+BH53*'Scoring Setup'!$C$10+BI53*'Scoring Setup'!$C$11+BJ53*'Scoring Setup'!$C$12+BK53*'Scoring Setup'!$C$13+BL53*'Scoring Setup'!$C$14+BM53*'Scoring Setup'!$C$15+BN53*'Scoring Setup'!$C$16,"")</x:f>
        <x:v>61.162359939828434</x:v>
      </x:c>
      <x:c r="BP53" s="36" t="n">
        <x:f>IF(COUNT(AO53:BF53)=18,MIN(AO53:BF53),"")</x:f>
        <x:v>0.8</x:v>
      </x:c>
      <x:c r="BQ53" s="35" t="n">
        <x:f>IF(AND(ISNUMBER(BO53),ISNUMBER(BP53)),BO53*BP53,"")</x:f>
        <x:v>48.92988795186275</x:v>
      </x:c>
      <x:c r="BR53" s="17" t="str">
        <x:f>IF(COUNT(AO53:BF53)=18,INDEX('Scoring Setup'!$F$9:$F$26,MATCH(MIN(AO53:BF53),AO53:BF53,0),1),"")</x:f>
        <x:v>历史CDD65</x:v>
      </x:c>
    </x:row>
    <x:row r="54">
      <x:c r="A54" s="28" t="str">
        <x:v>13101</x:v>
      </x:c>
      <x:c r="B54" s="28" t="str">
        <x:v>Echols County</x:v>
      </x:c>
      <x:c r="C54" s="28" t="str">
        <x:v>GA</x:v>
      </x:c>
      <x:c r="D54" s="31" t="n">
        <x:v>1088.84947</x:v>
      </x:c>
      <x:c r="E54" s="32" t="n">
        <x:v>0.681</x:v>
      </x:c>
      <x:c r="F54" s="32" t="n">
        <x:v>0.45884900990099</x:v>
      </x:c>
      <x:c r="G54" s="32" t="n">
        <x:v>2.8615833765292407</x:v>
      </x:c>
      <x:c r="H54" s="32" t="n">
        <x:v>3.072920026</x:v>
      </x:c>
      <x:c r="I54" s="32" t="n">
        <x:v>0.9495218591663923</x:v>
      </x:c>
      <x:c r="J54" s="32" t="n">
        <x:v>0</x:v>
      </x:c>
      <x:c r="K54" s="32" t="n">
        <x:v>0.4253203733815913</x:v>
      </x:c>
      <x:c r="L54" s="32" t="n">
        <x:v>0.220869565</x:v>
      </x:c>
      <x:c r="M54" s="32" t="n">
        <x:v>0.220869565</x:v>
      </x:c>
      <x:c r="N54" s="32" t="n">
        <x:v>1785</x:v>
      </x:c>
      <x:c r="O54" s="32" t="n">
        <x:v>0.4623</x:v>
      </x:c>
      <x:c r="P54" s="32" t="n">
        <x:v>2306.42822265625</x:v>
      </x:c>
      <x:c r="Q54" s="32" t="n">
        <x:v>80.1769276936849</x:v>
      </x:c>
      <x:c r="R54" s="32" t="n">
        <x:v>24.80069324264903</x:v>
      </x:c>
      <x:c r="S54" s="32" t="n">
        <x:v>12.298869669975595</x:v>
      </x:c>
      <x:c r="T54" s="32" t="n">
        <x:v>72.1</x:v>
      </x:c>
      <x:c r="U54" s="32" t="n">
        <x:v>211.4154781728841</x:v>
      </x:c>
      <x:c r="V54" s="32" t="n">
        <x:v>325.42757789465</x:v>
      </x:c>
      <x:c r="W54" s="33" t="n">
        <x:f>IF(ISNUMBER(E54),100*MAX(0,MIN(1,('Anchors'!$H$6-E54)/('Anchors'!$H$6-'Anchors'!$G$6))),"")</x:f>
        <x:v>31.285714285714285</x:v>
      </x:c>
      <x:c r="X54" s="33" t="n">
        <x:f>IF(ISNUMBER(F54),100*MAX(0,MIN(1,('Anchors'!$H$7-F54)/('Anchors'!$H$7-'Anchors'!$G$7))),"")</x:f>
        <x:v>48.73585572843</x:v>
      </x:c>
      <x:c r="Y54" s="33" t="n">
        <x:f>IF(ISNUMBER(G54),100*MAX(0,MIN(1,('Anchors'!$H$8-G54)/('Anchors'!$H$8-'Anchors'!$G$8))),"")</x:f>
        <x:v>37.94722078235864</x:v>
      </x:c>
      <x:c r="Z54" s="33" t="n">
        <x:f>IF(ISNUMBER(H54),100*MAX(0,MIN(1,('Anchors'!$H$9-H54)/('Anchors'!$H$9-'Anchors'!$G$9))),"")</x:f>
        <x:v>30.90266580000001</x:v>
      </x:c>
      <x:c r="AA54" s="33" t="n">
        <x:f>IF(ISNUMBER(I54),100*MAX(0,MIN(1,(I54-'Anchors'!$H$10)/('Anchors'!$G$10-'Anchors'!$H$10))),"")</x:f>
        <x:v>95.82491221457428</x:v>
      </x:c>
      <x:c r="AB54" s="33" t="n">
        <x:f>IF(ISNUMBER(J54),100*MAX(0,MIN(1,('Anchors'!$H$11-J54)/('Anchors'!$H$11-'Anchors'!$G$11))),"")</x:f>
        <x:v>100</x:v>
      </x:c>
      <x:c r="AC54" s="33" t="n">
        <x:f>IF(ISNUMBER(K54),100*MAX(0,MIN(1,('Anchors'!$H$12-K54)/('Anchors'!$H$12-'Anchors'!$G$12))),"")</x:f>
        <x:v>0</x:v>
      </x:c>
      <x:c r="AD54" s="33" t="n">
        <x:f>IF(ISNUMBER(L54),100*MAX(0,MIN(1,(L54-'Anchors'!$H$13)/('Anchors'!$G$13-'Anchors'!$H$13))),"")</x:f>
        <x:v>2.981366428571426</x:v>
      </x:c>
      <x:c r="AE54" s="33" t="n">
        <x:f>IF(ISNUMBER(M54),100*MAX(0,MIN(1,(M54-'Anchors'!$H$14)/('Anchors'!$G$14-'Anchors'!$H$14))),"")</x:f>
        <x:v>15.108695624999996</x:v>
      </x:c>
      <x:c r="AF54" s="33" t="n">
        <x:f>IF(ISNUMBER(N54),100*MAX(0,MIN(1,(LN(1+N54)-LN(1+'Anchors'!$H$15))/(LN(1+'Anchors'!$G$15)-LN(1+'Anchors'!$H$15)))),"")</x:f>
        <x:v>0</x:v>
      </x:c>
      <x:c r="AG54" s="33" t="n">
        <x:f>IF(ISNUMBER(O54),100*MAX(0,MIN(1,('Anchors'!$H$16-O54)/('Anchors'!$H$16-'Anchors'!$G$16))),"")</x:f>
        <x:v>54.18888888888888</x:v>
      </x:c>
      <x:c r="AH54" s="33" t="n">
        <x:f>IF(ISNUMBER(P54),100*MAX(0,MIN(1,('Anchors'!$H$17-P54)/('Anchors'!$H$17-'Anchors'!$G$17))),"")</x:f>
        <x:v>0</x:v>
      </x:c>
      <x:c r="AI54" s="33" t="n">
        <x:f>IF(ISNUMBER(Q54),100*MAX(0,MIN(1,('Anchors'!$H$18-Q54)/('Anchors'!$H$18-'Anchors'!$G$18))),"")</x:f>
        <x:v>0</x:v>
      </x:c>
      <x:c r="AJ54" s="33" t="n">
        <x:f>IF(ISNUMBER(R54),100*MAX(0,MIN(1,('Anchors'!$H$19-R54)/('Anchors'!$H$19-'Anchors'!$G$19))),"")</x:f>
        <x:v>55.998459460779934</x:v>
      </x:c>
      <x:c r="AK54" s="33" t="n">
        <x:f>IF(ISNUMBER(S54),100*MAX(0,MIN(1,('Anchors'!$H$20-S54)/('Anchors'!$H$20-'Anchors'!$G$20))),"")</x:f>
        <x:v>40.532264894865285</x:v>
      </x:c>
      <x:c r="AL54" s="33" t="n">
        <x:f>IF(ISNUMBER(T54),100*MAX(0,MIN(1,('Anchors'!$H$21-T54)/('Anchors'!$H$21-'Anchors'!$G$21))),"")</x:f>
        <x:v>87.0909090909091</x:v>
      </x:c>
      <x:c r="AM54" s="33" t="n">
        <x:f>IF(ISNUMBER(U54),100*MAX(0,MIN(1,('Anchors'!$H$22-U54)/('Anchors'!$H$22-'Anchors'!$G$22))),"")</x:f>
        <x:v>44.29226091355795</x:v>
      </x:c>
      <x:c r="AN54" s="33" t="n">
        <x:f>IF(ISNUMBER(V54),100*MAX(0,MIN(1,('Anchors'!$H$23-V54)/('Anchors'!$H$23-'Anchors'!$G$23))),"")</x:f>
        <x:v>68.6431055263375</x:v>
      </x:c>
      <x:c r="AO54" s="27" t="n">
        <x:f>IF(ISNUMBER(W54),IF('Scoring Setup'!$L$9=1,1-'Scoring Setup'!$B$5*(1-MAX(0,MIN(1,(W54-'Scoring Setup'!$K$9)/(100-'Scoring Setup'!$K$9)))),1),"")</x:f>
        <x:v>0.8625714285714285</x:v>
      </x:c>
      <x:c r="AP54" s="27" t="n">
        <x:f>IF(ISNUMBER(X54),IF('Scoring Setup'!$L$10=1,1-'Scoring Setup'!$B$5*(1-MAX(0,MIN(1,(X54-'Scoring Setup'!$K$10)/(100-'Scoring Setup'!$K$10)))),1),"")</x:f>
        <x:v>0.89747171145686</x:v>
      </x:c>
      <x:c r="AQ54" s="27" t="n">
        <x:f>IF(ISNUMBER(Y54),IF('Scoring Setup'!$L$11=1,1-'Scoring Setup'!$B$5*(1-MAX(0,MIN(1,(Y54-'Scoring Setup'!$K$11)/(100-'Scoring Setup'!$K$11)))),1),"")</x:f>
        <x:v>0.8758944415647173</x:v>
      </x:c>
      <x:c r="AR54" s="27" t="n">
        <x:f>IF(ISNUMBER(Z54),IF('Scoring Setup'!$L$12=1,1-'Scoring Setup'!$B$5*(1-MAX(0,MIN(1,(Z54-'Scoring Setup'!$K$12)/(100-'Scoring Setup'!$K$12)))),1),"")</x:f>
        <x:v>0.8618053316000001</x:v>
      </x:c>
      <x:c r="AS54" s="27" t="n">
        <x:f>IF(ISNUMBER(AA54),IF('Scoring Setup'!$L$13=1,1-'Scoring Setup'!$B$5*(1-MAX(0,MIN(1,(AA54-'Scoring Setup'!$K$13)/(100-'Scoring Setup'!$K$13)))),1),"")</x:f>
        <x:v>0.9916498244291486</x:v>
      </x:c>
      <x:c r="AT54" s="27" t="n">
        <x:f>IF(ISNUMBER(AB54),IF('Scoring Setup'!$L$14=1,1-'Scoring Setup'!$B$5*(1-MAX(0,MIN(1,(AB54-'Scoring Setup'!$K$14)/(100-'Scoring Setup'!$K$14)))),1),"")</x:f>
        <x:v>1</x:v>
      </x:c>
      <x:c r="AU54" s="27" t="n">
        <x:f>IF(ISNUMBER(AC54),IF('Scoring Setup'!$L$15=1,1-'Scoring Setup'!$B$5*(1-MAX(0,MIN(1,(AC54-'Scoring Setup'!$K$15)/(100-'Scoring Setup'!$K$15)))),1),"")</x:f>
        <x:v>0.8</x:v>
      </x:c>
      <x:c r="AV54" s="27" t="n">
        <x:f>IF(ISNUMBER(AD54),IF('Scoring Setup'!$L$16=1,1-'Scoring Setup'!$B$5*(1-MAX(0,MIN(1,(AD54-'Scoring Setup'!$K$16)/(100-'Scoring Setup'!$K$16)))),1),"")</x:f>
        <x:v>0.8059627328571428</x:v>
      </x:c>
      <x:c r="AW54" s="27" t="n">
        <x:f>IF(ISNUMBER(AE54),IF('Scoring Setup'!$L$17=1,1-'Scoring Setup'!$B$5*(1-MAX(0,MIN(1,(AE54-'Scoring Setup'!$K$17)/(100-'Scoring Setup'!$K$17)))),1),"")</x:f>
        <x:v>0.8302173912499999</x:v>
      </x:c>
      <x:c r="AX54" s="27" t="n">
        <x:f>IF(ISNUMBER(AF54),IF('Scoring Setup'!$L$18=1,1-'Scoring Setup'!$B$5*(1-MAX(0,MIN(1,(AF54-'Scoring Setup'!$K$18)/(100-'Scoring Setup'!$K$18)))),1),"")</x:f>
        <x:v>0.8</x:v>
      </x:c>
      <x:c r="AY54" s="27" t="n">
        <x:f>IF(ISNUMBER(AG54),IF('Scoring Setup'!$L$19=1,1-'Scoring Setup'!$B$5*(1-MAX(0,MIN(1,(AG54-'Scoring Setup'!$K$19)/(100-'Scoring Setup'!$K$19)))),1),"")</x:f>
        <x:v>0.9083777777777777</x:v>
      </x:c>
      <x:c r="AZ54" s="27" t="n">
        <x:f>IF(ISNUMBER(AH54),IF('Scoring Setup'!$L$20=1,1-'Scoring Setup'!$B$5*(1-MAX(0,MIN(1,(AH54-'Scoring Setup'!$K$20)/(100-'Scoring Setup'!$K$20)))),1),"")</x:f>
        <x:v>0.8</x:v>
      </x:c>
      <x:c r="BA54" s="27" t="n">
        <x:f>IF(ISNUMBER(AI54),IF('Scoring Setup'!$L$21=1,1-'Scoring Setup'!$B$5*(1-MAX(0,MIN(1,(AI54-'Scoring Setup'!$K$21)/(100-'Scoring Setup'!$K$21)))),1),"")</x:f>
        <x:v>0.8</x:v>
      </x:c>
      <x:c r="BB54" s="27" t="n">
        <x:f>IF(ISNUMBER(AJ54),IF('Scoring Setup'!$L$22=1,1-'Scoring Setup'!$B$5*(1-MAX(0,MIN(1,(AJ54-'Scoring Setup'!$K$22)/(100-'Scoring Setup'!$K$22)))),1),"")</x:f>
        <x:v>0.9119969189215599</x:v>
      </x:c>
      <x:c r="BC54" s="27" t="n">
        <x:f>IF(ISNUMBER(AK54),IF('Scoring Setup'!$L$23=1,1-'Scoring Setup'!$B$5*(1-MAX(0,MIN(1,(AK54-'Scoring Setup'!$K$23)/(100-'Scoring Setup'!$K$23)))),1),"")</x:f>
        <x:v>0.8810645297897306</x:v>
      </x:c>
      <x:c r="BD54" s="27" t="n">
        <x:f>IF(ISNUMBER(AL54),IF('Scoring Setup'!$L$24=1,1-'Scoring Setup'!$B$5*(1-MAX(0,MIN(1,(AL54-'Scoring Setup'!$K$24)/(100-'Scoring Setup'!$K$24)))),1),"")</x:f>
        <x:v>0.9741818181818181</x:v>
      </x:c>
      <x:c r="BE54" s="27" t="n">
        <x:f>IF(ISNUMBER(AM54),IF('Scoring Setup'!$L$25=1,1-'Scoring Setup'!$B$5*(1-MAX(0,MIN(1,(AM54-'Scoring Setup'!$K$25)/(100-'Scoring Setup'!$K$25)))),1),"")</x:f>
        <x:v>0.8885845218271159</x:v>
      </x:c>
      <x:c r="BF54" s="27" t="n">
        <x:f>IF(ISNUMBER(AN54),IF('Scoring Setup'!$L$26=1,1-'Scoring Setup'!$B$5*(1-MAX(0,MIN(1,(AN54-'Scoring Setup'!$K$26)/(100-'Scoring Setup'!$K$26)))),1),"")</x:f>
        <x:v>0.937286211052675</x:v>
      </x:c>
      <x:c r="BG54" s="34" t="n">
        <x:f>IF(COUNT(W54,X54)=2,AVERAGE(W54,X54),"")</x:f>
        <x:v>40.010785007072144</x:v>
      </x:c>
      <x:c r="BH54" s="34" t="n">
        <x:f>IF(COUNT(Y54,Z54)=2,AVERAGE(Y54,Z54),"")</x:f>
        <x:v>34.424943291179325</x:v>
      </x:c>
      <x:c r="BI54" s="34" t="n">
        <x:f>IF(COUNT(AA54,AB54,AC54)=3,AVERAGE(AA54,AB54,AC54),"")</x:f>
        <x:v>65.27497073819143</x:v>
      </x:c>
      <x:c r="BJ54" s="34" t="n">
        <x:f>IF(COUNT(AD54,AE54)=2,AVERAGE(AD54,AE54),"")</x:f>
        <x:v>9.045031026785711</x:v>
      </x:c>
      <x:c r="BK54" s="34" t="n">
        <x:f>IF(COUNT(AF54,AG54)=2,AVERAGE(AF54,AG54),"")</x:f>
        <x:v>27.09444444444444</x:v>
      </x:c>
      <x:c r="BL54" s="34" t="n">
        <x:f>IF(COUNT(AH54,AI54)=2,AVERAGE(AH54,AI54),"")</x:f>
        <x:v>0</x:v>
      </x:c>
      <x:c r="BM54" s="34" t="n">
        <x:f>IF(COUNT(AJ54,AK54)=2,AVERAGE(AJ54,AK54),"")</x:f>
        <x:v>48.26536217782261</x:v>
      </x:c>
      <x:c r="BN54" s="34" t="n">
        <x:f>IF(COUNT(AL54,AM54,AN54)=3,AVERAGE(AL54,AM54,AN54),"")</x:f>
        <x:v>66.67542517693484</x:v>
      </x:c>
      <x:c r="BO54" s="35" t="n">
        <x:f>IF(AND(COUNT(BG54:BN54)=8,ABS('Scoring Setup'!$C$17-1)&lt;0.000001),BG54*'Scoring Setup'!$C$9+BH54*'Scoring Setup'!$C$10+BI54*'Scoring Setup'!$C$11+BJ54*'Scoring Setup'!$C$12+BK54*'Scoring Setup'!$C$13+BL54*'Scoring Setup'!$C$14+BM54*'Scoring Setup'!$C$15+BN54*'Scoring Setup'!$C$16,"")</x:f>
        <x:v>43.44340744185682</x:v>
      </x:c>
      <x:c r="BP54" s="36" t="n">
        <x:f>IF(COUNT(AO54:BF54)=18,MIN(AO54:BF54),"")</x:f>
        <x:v>0.8</x:v>
      </x:c>
      <x:c r="BQ54" s="35" t="n">
        <x:f>IF(AND(ISNUMBER(BO54),ISNUMBER(BP54)),BO54*BP54,"")</x:f>
        <x:v>34.754725953485455</x:v>
      </x:c>
      <x:c r="BR54" s="17" t="str">
        <x:f>IF(COUNT(AO54:BF54)=18,INDEX('Scoring Setup'!$F$9:$F$26,MATCH(MIN(AO54:BF54),AO54:BF54,0),1),"")</x:f>
        <x:v>湿地陆地比例</x:v>
      </x:c>
    </x:row>
    <x:row r="55">
      <x:c r="A55" s="28" t="str">
        <x:v>13103</x:v>
      </x:c>
      <x:c r="B55" s="28" t="str">
        <x:v>Effingham County</x:v>
      </x:c>
      <x:c r="C55" s="28" t="str">
        <x:v>GA</x:v>
      </x:c>
      <x:c r="D55" s="31" t="n">
        <x:v>1240.163625</x:v>
      </x:c>
      <x:c r="E55" s="32" t="n">
        <x:v>0.548</x:v>
      </x:c>
      <x:c r="F55" s="32" t="n">
        <x:v>0.451732673267327</x:v>
      </x:c>
      <x:c r="G55" s="32" t="n">
        <x:v>2.077444130333897</x:v>
      </x:c>
      <x:c r="H55" s="32" t="n">
        <x:v>1.8830344054232628</x:v>
      </x:c>
      <x:c r="I55" s="32" t="n">
        <x:v>0.8892998648241622</x:v>
      </x:c>
      <x:c r="J55" s="32" t="n">
        <x:v>0.04556814149155849</x:v>
      </x:c>
      <x:c r="K55" s="32" t="n">
        <x:v>0.4293142408981845</x:v>
      </x:c>
      <x:c r="L55" s="32" t="n">
        <x:v>0.28550492</x:v>
      </x:c>
      <x:c r="M55" s="32" t="n">
        <x:v>0.285190872</x:v>
      </x:c>
      <x:c r="N55" s="32" t="n">
        <x:v>36576</x:v>
      </x:c>
      <x:c r="O55" s="32" t="n">
        <x:v>0.2851</x:v>
      </x:c>
      <x:c r="P55" s="32" t="n">
        <x:v>2232.722420247396</x:v>
      </x:c>
      <x:c r="Q55" s="32" t="n">
        <x:v>62.613263575236</x:v>
      </x:c>
      <x:c r="R55" s="32" t="n">
        <x:v>22.257026782051714</x:v>
      </x:c>
      <x:c r="S55" s="32" t="n">
        <x:v>2.7663552062636056</x:v>
      </x:c>
      <x:c r="T55" s="32" t="n">
        <x:v>72.1</x:v>
      </x:c>
      <x:c r="U55" s="32" t="n">
        <x:v>211.4154781728841</x:v>
      </x:c>
      <x:c r="V55" s="32" t="n">
        <x:v>325.42757789465</x:v>
      </x:c>
      <x:c r="W55" s="33" t="n">
        <x:f>IF(ISNUMBER(E55),100*MAX(0,MIN(1,('Anchors'!$H$6-E55)/('Anchors'!$H$6-'Anchors'!$G$6))),"")</x:f>
        <x:v>50.28571428571429</x:v>
      </x:c>
      <x:c r="X55" s="33" t="n">
        <x:f>IF(ISNUMBER(F55),100*MAX(0,MIN(1,('Anchors'!$H$7-F55)/('Anchors'!$H$7-'Anchors'!$G$7))),"")</x:f>
        <x:v>49.752475247524714</x:v>
      </x:c>
      <x:c r="Y55" s="33" t="n">
        <x:f>IF(ISNUMBER(G55),100*MAX(0,MIN(1,('Anchors'!$H$8-G55)/('Anchors'!$H$8-'Anchors'!$G$8))),"")</x:f>
        <x:v>64.08519565553678</x:v>
      </x:c>
      <x:c r="Z55" s="33" t="n">
        <x:f>IF(ISNUMBER(H55),100*MAX(0,MIN(1,('Anchors'!$H$9-H55)/('Anchors'!$H$9-'Anchors'!$G$9))),"")</x:f>
        <x:v>70.56551981922458</x:v>
      </x:c>
      <x:c r="AA55" s="33" t="n">
        <x:f>IF(ISNUMBER(I55),100*MAX(0,MIN(1,(I55-'Anchors'!$H$10)/('Anchors'!$G$10-'Anchors'!$H$10))),"")</x:f>
        <x:v>87.57532394851538</x:v>
      </x:c>
      <x:c r="AB55" s="33" t="n">
        <x:f>IF(ISNUMBER(J55),100*MAX(0,MIN(1,('Anchors'!$H$11-J55)/('Anchors'!$H$11-'Anchors'!$G$11))),"")</x:f>
        <x:v>81.77274340337661</x:v>
      </x:c>
      <x:c r="AC55" s="33" t="n">
        <x:f>IF(ISNUMBER(K55),100*MAX(0,MIN(1,('Anchors'!$H$12-K55)/('Anchors'!$H$12-'Anchors'!$G$12))),"")</x:f>
        <x:v>0</x:v>
      </x:c>
      <x:c r="AD55" s="33" t="n">
        <x:f>IF(ISNUMBER(L55),100*MAX(0,MIN(1,(L55-'Anchors'!$H$13)/('Anchors'!$G$13-'Anchors'!$H$13))),"")</x:f>
        <x:v>12.21498857142857</x:v>
      </x:c>
      <x:c r="AE55" s="33" t="n">
        <x:f>IF(ISNUMBER(M55),100*MAX(0,MIN(1,(M55-'Anchors'!$H$14)/('Anchors'!$G$14-'Anchors'!$H$14))),"")</x:f>
        <x:v>23.148858999999998</x:v>
      </x:c>
      <x:c r="AF55" s="33" t="n">
        <x:f>IF(ISNUMBER(N55),100*MAX(0,MIN(1,(LN(1+N55)-LN(1+'Anchors'!$H$15))/(LN(1+'Anchors'!$G$15)-LN(1+'Anchors'!$H$15)))),"")</x:f>
        <x:v>67.31007647264967</x:v>
      </x:c>
      <x:c r="AG55" s="33" t="n">
        <x:f>IF(ISNUMBER(O55),100*MAX(0,MIN(1,('Anchors'!$H$16-O55)/('Anchors'!$H$16-'Anchors'!$G$16))),"")</x:f>
        <x:v>73.87777777777778</x:v>
      </x:c>
      <x:c r="AH55" s="33" t="n">
        <x:f>IF(ISNUMBER(P55),100*MAX(0,MIN(1,('Anchors'!$H$17-P55)/('Anchors'!$H$17-'Anchors'!$G$17))),"")</x:f>
        <x:v>0</x:v>
      </x:c>
      <x:c r="AI55" s="33" t="n">
        <x:f>IF(ISNUMBER(Q55),100*MAX(0,MIN(1,('Anchors'!$H$18-Q55)/('Anchors'!$H$18-'Anchors'!$G$18))),"")</x:f>
        <x:v>17.695337749662862</x:v>
      </x:c>
      <x:c r="AJ55" s="33" t="n">
        <x:f>IF(ISNUMBER(R55),100*MAX(0,MIN(1,('Anchors'!$H$19-R55)/('Anchors'!$H$19-'Anchors'!$G$19))),"")</x:f>
        <x:v>61.651051595440634</x:v>
      </x:c>
      <x:c r="AK55" s="33" t="n">
        <x:f>IF(ISNUMBER(S55),100*MAX(0,MIN(1,('Anchors'!$H$20-S55)/('Anchors'!$H$20-'Anchors'!$G$20))),"")</x:f>
        <x:v>90.70339365124418</x:v>
      </x:c>
      <x:c r="AL55" s="33" t="n">
        <x:f>IF(ISNUMBER(T55),100*MAX(0,MIN(1,('Anchors'!$H$21-T55)/('Anchors'!$H$21-'Anchors'!$G$21))),"")</x:f>
        <x:v>87.0909090909091</x:v>
      </x:c>
      <x:c r="AM55" s="33" t="n">
        <x:f>IF(ISNUMBER(U55),100*MAX(0,MIN(1,('Anchors'!$H$22-U55)/('Anchors'!$H$22-'Anchors'!$G$22))),"")</x:f>
        <x:v>44.29226091355795</x:v>
      </x:c>
      <x:c r="AN55" s="33" t="n">
        <x:f>IF(ISNUMBER(V55),100*MAX(0,MIN(1,('Anchors'!$H$23-V55)/('Anchors'!$H$23-'Anchors'!$G$23))),"")</x:f>
        <x:v>68.6431055263375</x:v>
      </x:c>
      <x:c r="AO55" s="27" t="n">
        <x:f>IF(ISNUMBER(W55),IF('Scoring Setup'!$L$9=1,1-'Scoring Setup'!$B$5*(1-MAX(0,MIN(1,(W55-'Scoring Setup'!$K$9)/(100-'Scoring Setup'!$K$9)))),1),"")</x:f>
        <x:v>0.9005714285714286</x:v>
      </x:c>
      <x:c r="AP55" s="27" t="n">
        <x:f>IF(ISNUMBER(X55),IF('Scoring Setup'!$L$10=1,1-'Scoring Setup'!$B$5*(1-MAX(0,MIN(1,(X55-'Scoring Setup'!$K$10)/(100-'Scoring Setup'!$K$10)))),1),"")</x:f>
        <x:v>0.8995049504950494</x:v>
      </x:c>
      <x:c r="AQ55" s="27" t="n">
        <x:f>IF(ISNUMBER(Y55),IF('Scoring Setup'!$L$11=1,1-'Scoring Setup'!$B$5*(1-MAX(0,MIN(1,(Y55-'Scoring Setup'!$K$11)/(100-'Scoring Setup'!$K$11)))),1),"")</x:f>
        <x:v>0.9281703913110736</x:v>
      </x:c>
      <x:c r="AR55" s="27" t="n">
        <x:f>IF(ISNUMBER(Z55),IF('Scoring Setup'!$L$12=1,1-'Scoring Setup'!$B$5*(1-MAX(0,MIN(1,(Z55-'Scoring Setup'!$K$12)/(100-'Scoring Setup'!$K$12)))),1),"")</x:f>
        <x:v>0.9411310396384491</x:v>
      </x:c>
      <x:c r="AS55" s="27" t="n">
        <x:f>IF(ISNUMBER(AA55),IF('Scoring Setup'!$L$13=1,1-'Scoring Setup'!$B$5*(1-MAX(0,MIN(1,(AA55-'Scoring Setup'!$K$13)/(100-'Scoring Setup'!$K$13)))),1),"")</x:f>
        <x:v>0.9751506478970308</x:v>
      </x:c>
      <x:c r="AT55" s="27" t="n">
        <x:f>IF(ISNUMBER(AB55),IF('Scoring Setup'!$L$14=1,1-'Scoring Setup'!$B$5*(1-MAX(0,MIN(1,(AB55-'Scoring Setup'!$K$14)/(100-'Scoring Setup'!$K$14)))),1),"")</x:f>
        <x:v>0.9635454868067532</x:v>
      </x:c>
      <x:c r="AU55" s="27" t="n">
        <x:f>IF(ISNUMBER(AC55),IF('Scoring Setup'!$L$15=1,1-'Scoring Setup'!$B$5*(1-MAX(0,MIN(1,(AC55-'Scoring Setup'!$K$15)/(100-'Scoring Setup'!$K$15)))),1),"")</x:f>
        <x:v>0.8</x:v>
      </x:c>
      <x:c r="AV55" s="27" t="n">
        <x:f>IF(ISNUMBER(AD55),IF('Scoring Setup'!$L$16=1,1-'Scoring Setup'!$B$5*(1-MAX(0,MIN(1,(AD55-'Scoring Setup'!$K$16)/(100-'Scoring Setup'!$K$16)))),1),"")</x:f>
        <x:v>0.8244299771428572</x:v>
      </x:c>
      <x:c r="AW55" s="27" t="n">
        <x:f>IF(ISNUMBER(AE55),IF('Scoring Setup'!$L$17=1,1-'Scoring Setup'!$B$5*(1-MAX(0,MIN(1,(AE55-'Scoring Setup'!$K$17)/(100-'Scoring Setup'!$K$17)))),1),"")</x:f>
        <x:v>0.846297718</x:v>
      </x:c>
      <x:c r="AX55" s="27" t="n">
        <x:f>IF(ISNUMBER(AF55),IF('Scoring Setup'!$L$18=1,1-'Scoring Setup'!$B$5*(1-MAX(0,MIN(1,(AF55-'Scoring Setup'!$K$18)/(100-'Scoring Setup'!$K$18)))),1),"")</x:f>
        <x:v>0.9346201529452993</x:v>
      </x:c>
      <x:c r="AY55" s="27" t="n">
        <x:f>IF(ISNUMBER(AG55),IF('Scoring Setup'!$L$19=1,1-'Scoring Setup'!$B$5*(1-MAX(0,MIN(1,(AG55-'Scoring Setup'!$K$19)/(100-'Scoring Setup'!$K$19)))),1),"")</x:f>
        <x:v>0.9477555555555556</x:v>
      </x:c>
      <x:c r="AZ55" s="27" t="n">
        <x:f>IF(ISNUMBER(AH55),IF('Scoring Setup'!$L$20=1,1-'Scoring Setup'!$B$5*(1-MAX(0,MIN(1,(AH55-'Scoring Setup'!$K$20)/(100-'Scoring Setup'!$K$20)))),1),"")</x:f>
        <x:v>0.8</x:v>
      </x:c>
      <x:c r="BA55" s="27" t="n">
        <x:f>IF(ISNUMBER(AI55),IF('Scoring Setup'!$L$21=1,1-'Scoring Setup'!$B$5*(1-MAX(0,MIN(1,(AI55-'Scoring Setup'!$K$21)/(100-'Scoring Setup'!$K$21)))),1),"")</x:f>
        <x:v>0.8353906754993257</x:v>
      </x:c>
      <x:c r="BB55" s="27" t="n">
        <x:f>IF(ISNUMBER(AJ55),IF('Scoring Setup'!$L$22=1,1-'Scoring Setup'!$B$5*(1-MAX(0,MIN(1,(AJ55-'Scoring Setup'!$K$22)/(100-'Scoring Setup'!$K$22)))),1),"")</x:f>
        <x:v>0.9233021031908812</x:v>
      </x:c>
      <x:c r="BC55" s="27" t="n">
        <x:f>IF(ISNUMBER(AK55),IF('Scoring Setup'!$L$23=1,1-'Scoring Setup'!$B$5*(1-MAX(0,MIN(1,(AK55-'Scoring Setup'!$K$23)/(100-'Scoring Setup'!$K$23)))),1),"")</x:f>
        <x:v>0.9814067873024883</x:v>
      </x:c>
      <x:c r="BD55" s="27" t="n">
        <x:f>IF(ISNUMBER(AL55),IF('Scoring Setup'!$L$24=1,1-'Scoring Setup'!$B$5*(1-MAX(0,MIN(1,(AL55-'Scoring Setup'!$K$24)/(100-'Scoring Setup'!$K$24)))),1),"")</x:f>
        <x:v>0.9741818181818181</x:v>
      </x:c>
      <x:c r="BE55" s="27" t="n">
        <x:f>IF(ISNUMBER(AM55),IF('Scoring Setup'!$L$25=1,1-'Scoring Setup'!$B$5*(1-MAX(0,MIN(1,(AM55-'Scoring Setup'!$K$25)/(100-'Scoring Setup'!$K$25)))),1),"")</x:f>
        <x:v>0.8885845218271159</x:v>
      </x:c>
      <x:c r="BF55" s="27" t="n">
        <x:f>IF(ISNUMBER(AN55),IF('Scoring Setup'!$L$26=1,1-'Scoring Setup'!$B$5*(1-MAX(0,MIN(1,(AN55-'Scoring Setup'!$K$26)/(100-'Scoring Setup'!$K$26)))),1),"")</x:f>
        <x:v>0.937286211052675</x:v>
      </x:c>
      <x:c r="BG55" s="34" t="n">
        <x:f>IF(COUNT(W55,X55)=2,AVERAGE(W55,X55),"")</x:f>
        <x:v>50.0190947666195</x:v>
      </x:c>
      <x:c r="BH55" s="34" t="n">
        <x:f>IF(COUNT(Y55,Z55)=2,AVERAGE(Y55,Z55),"")</x:f>
        <x:v>67.32535773738067</x:v>
      </x:c>
      <x:c r="BI55" s="34" t="n">
        <x:f>IF(COUNT(AA55,AB55,AC55)=3,AVERAGE(AA55,AB55,AC55),"")</x:f>
        <x:v>56.449355783963995</x:v>
      </x:c>
      <x:c r="BJ55" s="34" t="n">
        <x:f>IF(COUNT(AD55,AE55)=2,AVERAGE(AD55,AE55),"")</x:f>
        <x:v>17.681923785714282</x:v>
      </x:c>
      <x:c r="BK55" s="34" t="n">
        <x:f>IF(COUNT(AF55,AG55)=2,AVERAGE(AF55,AG55),"")</x:f>
        <x:v>70.59392712521372</x:v>
      </x:c>
      <x:c r="BL55" s="34" t="n">
        <x:f>IF(COUNT(AH55,AI55)=2,AVERAGE(AH55,AI55),"")</x:f>
        <x:v>8.847668874831431</x:v>
      </x:c>
      <x:c r="BM55" s="34" t="n">
        <x:f>IF(COUNT(AJ55,AK55)=2,AVERAGE(AJ55,AK55),"")</x:f>
        <x:v>76.1772226233424</x:v>
      </x:c>
      <x:c r="BN55" s="34" t="n">
        <x:f>IF(COUNT(AL55,AM55,AN55)=3,AVERAGE(AL55,AM55,AN55),"")</x:f>
        <x:v>66.67542517693484</x:v>
      </x:c>
      <x:c r="BO55" s="35" t="n">
        <x:f>IF(AND(COUNT(BG55:BN55)=8,ABS('Scoring Setup'!$C$17-1)&lt;0.000001),BG55*'Scoring Setup'!$C$9+BH55*'Scoring Setup'!$C$10+BI55*'Scoring Setup'!$C$11+BJ55*'Scoring Setup'!$C$12+BK55*'Scoring Setup'!$C$13+BL55*'Scoring Setup'!$C$14+BM55*'Scoring Setup'!$C$15+BN55*'Scoring Setup'!$C$16,"")</x:f>
        <x:v>57.193373821616426</x:v>
      </x:c>
      <x:c r="BP55" s="36" t="n">
        <x:f>IF(COUNT(AO55:BF55)=18,MIN(AO55:BF55),"")</x:f>
        <x:v>0.8</x:v>
      </x:c>
      <x:c r="BQ55" s="35" t="n">
        <x:f>IF(AND(ISNUMBER(BO55),ISNUMBER(BP55)),BO55*BP55,"")</x:f>
        <x:v>45.754699057293145</x:v>
      </x:c>
      <x:c r="BR55" s="17" t="str">
        <x:f>IF(COUNT(AO55:BF55)=18,INDEX('Scoring Setup'!$F$9:$F$26,MATCH(MIN(AO55:BF55),AO55:BF55,0),1),"")</x:f>
        <x:v>湿地陆地比例</x:v>
      </x:c>
    </x:row>
    <x:row r="56">
      <x:c r="A56" s="28" t="str">
        <x:v>13105</x:v>
      </x:c>
      <x:c r="B56" s="28" t="str">
        <x:v>Elbert County</x:v>
      </x:c>
      <x:c r="C56" s="28" t="str">
        <x:v>GA</x:v>
      </x:c>
      <x:c r="D56" s="31" t="n">
        <x:v>909.35214</x:v>
      </x:c>
      <x:c r="E56" s="32" t="n">
        <x:v>0.58</x:v>
      </x:c>
      <x:c r="F56" s="32" t="n">
        <x:v>0.18873762376237602</x:v>
      </x:c>
      <x:c r="G56" s="32" t="n">
        <x:v>2.931926380780837</x:v>
      </x:c>
      <x:c r="H56" s="32" t="n">
        <x:v>2.735302759</x:v>
      </x:c>
      <x:c r="I56" s="32" t="n">
        <x:v>0.928242189046846</x:v>
      </x:c>
      <x:c r="J56" s="32" t="n">
        <x:v>0.024660285315146788</x:v>
      </x:c>
      <x:c r="K56" s="32" t="n">
        <x:v>0.024462440106126006</x:v>
      </x:c>
      <x:c r="L56" s="32" t="n">
        <x:v>0.310938215</x:v>
      </x:c>
      <x:c r="M56" s="32" t="n">
        <x:v>0.005125858</x:v>
      </x:c>
      <x:c r="N56" s="32" t="n">
        <x:v>8738</x:v>
      </x:c>
      <x:c r="O56" s="32" t="n">
        <x:v>0.9224</x:v>
      </x:c>
      <x:c r="P56" s="32" t="n">
        <x:v>1519.6598592122396</x:v>
      </x:c>
      <x:c r="Q56" s="32" t="n">
        <x:v>40.93811111450195</x:v>
      </x:c>
      <x:c r="R56" s="32" t="n">
        <x:v>43.931550209007995</x:v>
      </x:c>
      <x:c r="S56" s="32" t="n">
        <x:v>1.5804643371462135</x:v>
      </x:c>
      <x:c r="T56" s="32" t="n">
        <x:v>72.1</x:v>
      </x:c>
      <x:c r="U56" s="32" t="n">
        <x:v>211.4154781728841</x:v>
      </x:c>
      <x:c r="V56" s="32" t="n">
        <x:v>325.42757789465</x:v>
      </x:c>
      <x:c r="W56" s="33" t="n">
        <x:f>IF(ISNUMBER(E56),100*MAX(0,MIN(1,('Anchors'!$H$6-E56)/('Anchors'!$H$6-'Anchors'!$G$6))),"")</x:f>
        <x:v>45.71428571428572</x:v>
      </x:c>
      <x:c r="X56" s="33" t="n">
        <x:f>IF(ISNUMBER(F56),100*MAX(0,MIN(1,('Anchors'!$H$7-F56)/('Anchors'!$H$7-'Anchors'!$G$7))),"")</x:f>
        <x:v>87.32319660537485</x:v>
      </x:c>
      <x:c r="Y56" s="33" t="n">
        <x:f>IF(ISNUMBER(G56),100*MAX(0,MIN(1,('Anchors'!$H$8-G56)/('Anchors'!$H$8-'Anchors'!$G$8))),"")</x:f>
        <x:v>35.6024539739721</x:v>
      </x:c>
      <x:c r="Z56" s="33" t="n">
        <x:f>IF(ISNUMBER(H56),100*MAX(0,MIN(1,('Anchors'!$H$9-H56)/('Anchors'!$H$9-'Anchors'!$G$9))),"")</x:f>
        <x:v>42.1565747</x:v>
      </x:c>
      <x:c r="AA56" s="33" t="n">
        <x:f>IF(ISNUMBER(I56),100*MAX(0,MIN(1,(I56-'Anchors'!$H$10)/('Anchors'!$G$10-'Anchors'!$H$10))),"")</x:f>
        <x:v>92.90988891052685</x:v>
      </x:c>
      <x:c r="AB56" s="33" t="n">
        <x:f>IF(ISNUMBER(J56),100*MAX(0,MIN(1,('Anchors'!$H$11-J56)/('Anchors'!$H$11-'Anchors'!$G$11))),"")</x:f>
        <x:v>90.13588587394128</x:v>
      </x:c>
      <x:c r="AC56" s="33" t="n">
        <x:f>IF(ISNUMBER(K56),100*MAX(0,MIN(1,('Anchors'!$H$12-K56)/('Anchors'!$H$12-'Anchors'!$G$12))),"")</x:f>
        <x:v>93.8843899734685</x:v>
      </x:c>
      <x:c r="AD56" s="33" t="n">
        <x:f>IF(ISNUMBER(L56),100*MAX(0,MIN(1,(L56-'Anchors'!$H$13)/('Anchors'!$G$13-'Anchors'!$H$13))),"")</x:f>
        <x:v>15.84831642857143</x:v>
      </x:c>
      <x:c r="AE56" s="33" t="n">
        <x:f>IF(ISNUMBER(M56),100*MAX(0,MIN(1,(M56-'Anchors'!$H$14)/('Anchors'!$G$14-'Anchors'!$H$14))),"")</x:f>
        <x:v>0</x:v>
      </x:c>
      <x:c r="AF56" s="33" t="n">
        <x:f>IF(ISNUMBER(N56),100*MAX(0,MIN(1,(LN(1+N56)-LN(1+'Anchors'!$H$15))/(LN(1+'Anchors'!$G$15)-LN(1+'Anchors'!$H$15)))),"")</x:f>
        <x:v>34.14756661604884</x:v>
      </x:c>
      <x:c r="AG56" s="33" t="n">
        <x:f>IF(ISNUMBER(O56),100*MAX(0,MIN(1,('Anchors'!$H$16-O56)/('Anchors'!$H$16-'Anchors'!$G$16))),"")</x:f>
        <x:v>3.0666666666666624</x:v>
      </x:c>
      <x:c r="AH56" s="33" t="n">
        <x:f>IF(ISNUMBER(P56),100*MAX(0,MIN(1,('Anchors'!$H$17-P56)/('Anchors'!$H$17-'Anchors'!$G$17))),"")</x:f>
        <x:v>45.3560093858507</x:v>
      </x:c>
      <x:c r="AI56" s="33" t="n">
        <x:f>IF(ISNUMBER(Q56),100*MAX(0,MIN(1,('Anchors'!$H$18-Q56)/('Anchors'!$H$18-'Anchors'!$G$18))),"")</x:f>
        <x:v>48.65984126499721</x:v>
      </x:c>
      <x:c r="AJ56" s="33" t="n">
        <x:f>IF(ISNUMBER(R56),100*MAX(0,MIN(1,('Anchors'!$H$19-R56)/('Anchors'!$H$19-'Anchors'!$G$19))),"")</x:f>
        <x:v>13.485443979982234</x:v>
      </x:c>
      <x:c r="AK56" s="33" t="n">
        <x:f>IF(ISNUMBER(S56),100*MAX(0,MIN(1,('Anchors'!$H$20-S56)/('Anchors'!$H$20-'Anchors'!$G$20))),"")</x:f>
        <x:v>96.94492454133572</x:v>
      </x:c>
      <x:c r="AL56" s="33" t="n">
        <x:f>IF(ISNUMBER(T56),100*MAX(0,MIN(1,('Anchors'!$H$21-T56)/('Anchors'!$H$21-'Anchors'!$G$21))),"")</x:f>
        <x:v>87.0909090909091</x:v>
      </x:c>
      <x:c r="AM56" s="33" t="n">
        <x:f>IF(ISNUMBER(U56),100*MAX(0,MIN(1,('Anchors'!$H$22-U56)/('Anchors'!$H$22-'Anchors'!$G$22))),"")</x:f>
        <x:v>44.29226091355795</x:v>
      </x:c>
      <x:c r="AN56" s="33" t="n">
        <x:f>IF(ISNUMBER(V56),100*MAX(0,MIN(1,('Anchors'!$H$23-V56)/('Anchors'!$H$23-'Anchors'!$G$23))),"")</x:f>
        <x:v>68.6431055263375</x:v>
      </x:c>
      <x:c r="AO56" s="27" t="n">
        <x:f>IF(ISNUMBER(W56),IF('Scoring Setup'!$L$9=1,1-'Scoring Setup'!$B$5*(1-MAX(0,MIN(1,(W56-'Scoring Setup'!$K$9)/(100-'Scoring Setup'!$K$9)))),1),"")</x:f>
        <x:v>0.8914285714285715</x:v>
      </x:c>
      <x:c r="AP56" s="27" t="n">
        <x:f>IF(ISNUMBER(X56),IF('Scoring Setup'!$L$10=1,1-'Scoring Setup'!$B$5*(1-MAX(0,MIN(1,(X56-'Scoring Setup'!$K$10)/(100-'Scoring Setup'!$K$10)))),1),"")</x:f>
        <x:v>0.9746463932107496</x:v>
      </x:c>
      <x:c r="AQ56" s="27" t="n">
        <x:f>IF(ISNUMBER(Y56),IF('Scoring Setup'!$L$11=1,1-'Scoring Setup'!$B$5*(1-MAX(0,MIN(1,(Y56-'Scoring Setup'!$K$11)/(100-'Scoring Setup'!$K$11)))),1),"")</x:f>
        <x:v>0.8712049079479443</x:v>
      </x:c>
      <x:c r="AR56" s="27" t="n">
        <x:f>IF(ISNUMBER(Z56),IF('Scoring Setup'!$L$12=1,1-'Scoring Setup'!$B$5*(1-MAX(0,MIN(1,(Z56-'Scoring Setup'!$K$12)/(100-'Scoring Setup'!$K$12)))),1),"")</x:f>
        <x:v>0.8843131494</x:v>
      </x:c>
      <x:c r="AS56" s="27" t="n">
        <x:f>IF(ISNUMBER(AA56),IF('Scoring Setup'!$L$13=1,1-'Scoring Setup'!$B$5*(1-MAX(0,MIN(1,(AA56-'Scoring Setup'!$K$13)/(100-'Scoring Setup'!$K$13)))),1),"")</x:f>
        <x:v>0.9858197778210537</x:v>
      </x:c>
      <x:c r="AT56" s="27" t="n">
        <x:f>IF(ISNUMBER(AB56),IF('Scoring Setup'!$L$14=1,1-'Scoring Setup'!$B$5*(1-MAX(0,MIN(1,(AB56-'Scoring Setup'!$K$14)/(100-'Scoring Setup'!$K$14)))),1),"")</x:f>
        <x:v>0.9802717717478826</x:v>
      </x:c>
      <x:c r="AU56" s="27" t="n">
        <x:f>IF(ISNUMBER(AC56),IF('Scoring Setup'!$L$15=1,1-'Scoring Setup'!$B$5*(1-MAX(0,MIN(1,(AC56-'Scoring Setup'!$K$15)/(100-'Scoring Setup'!$K$15)))),1),"")</x:f>
        <x:v>0.987768779946937</x:v>
      </x:c>
      <x:c r="AV56" s="27" t="n">
        <x:f>IF(ISNUMBER(AD56),IF('Scoring Setup'!$L$16=1,1-'Scoring Setup'!$B$5*(1-MAX(0,MIN(1,(AD56-'Scoring Setup'!$K$16)/(100-'Scoring Setup'!$K$16)))),1),"")</x:f>
        <x:v>0.8316966328571429</x:v>
      </x:c>
      <x:c r="AW56" s="27" t="n">
        <x:f>IF(ISNUMBER(AE56),IF('Scoring Setup'!$L$17=1,1-'Scoring Setup'!$B$5*(1-MAX(0,MIN(1,(AE56-'Scoring Setup'!$K$17)/(100-'Scoring Setup'!$K$17)))),1),"")</x:f>
        <x:v>0.8</x:v>
      </x:c>
      <x:c r="AX56" s="27" t="n">
        <x:f>IF(ISNUMBER(AF56),IF('Scoring Setup'!$L$18=1,1-'Scoring Setup'!$B$5*(1-MAX(0,MIN(1,(AF56-'Scoring Setup'!$K$18)/(100-'Scoring Setup'!$K$18)))),1),"")</x:f>
        <x:v>0.8682951332320976</x:v>
      </x:c>
      <x:c r="AY56" s="27" t="n">
        <x:f>IF(ISNUMBER(AG56),IF('Scoring Setup'!$L$19=1,1-'Scoring Setup'!$B$5*(1-MAX(0,MIN(1,(AG56-'Scoring Setup'!$K$19)/(100-'Scoring Setup'!$K$19)))),1),"")</x:f>
        <x:v>0.8061333333333334</x:v>
      </x:c>
      <x:c r="AZ56" s="27" t="n">
        <x:f>IF(ISNUMBER(AH56),IF('Scoring Setup'!$L$20=1,1-'Scoring Setup'!$B$5*(1-MAX(0,MIN(1,(AH56-'Scoring Setup'!$K$20)/(100-'Scoring Setup'!$K$20)))),1),"")</x:f>
        <x:v>0.8907120187717014</x:v>
      </x:c>
      <x:c r="BA56" s="27" t="n">
        <x:f>IF(ISNUMBER(AI56),IF('Scoring Setup'!$L$21=1,1-'Scoring Setup'!$B$5*(1-MAX(0,MIN(1,(AI56-'Scoring Setup'!$K$21)/(100-'Scoring Setup'!$K$21)))),1),"")</x:f>
        <x:v>0.8973196825299944</x:v>
      </x:c>
      <x:c r="BB56" s="27" t="n">
        <x:f>IF(ISNUMBER(AJ56),IF('Scoring Setup'!$L$22=1,1-'Scoring Setup'!$B$5*(1-MAX(0,MIN(1,(AJ56-'Scoring Setup'!$K$22)/(100-'Scoring Setup'!$K$22)))),1),"")</x:f>
        <x:v>0.8269708879599644</x:v>
      </x:c>
      <x:c r="BC56" s="27" t="n">
        <x:f>IF(ISNUMBER(AK56),IF('Scoring Setup'!$L$23=1,1-'Scoring Setup'!$B$5*(1-MAX(0,MIN(1,(AK56-'Scoring Setup'!$K$23)/(100-'Scoring Setup'!$K$23)))),1),"")</x:f>
        <x:v>0.9938898490826714</x:v>
      </x:c>
      <x:c r="BD56" s="27" t="n">
        <x:f>IF(ISNUMBER(AL56),IF('Scoring Setup'!$L$24=1,1-'Scoring Setup'!$B$5*(1-MAX(0,MIN(1,(AL56-'Scoring Setup'!$K$24)/(100-'Scoring Setup'!$K$24)))),1),"")</x:f>
        <x:v>0.9741818181818181</x:v>
      </x:c>
      <x:c r="BE56" s="27" t="n">
        <x:f>IF(ISNUMBER(AM56),IF('Scoring Setup'!$L$25=1,1-'Scoring Setup'!$B$5*(1-MAX(0,MIN(1,(AM56-'Scoring Setup'!$K$25)/(100-'Scoring Setup'!$K$25)))),1),"")</x:f>
        <x:v>0.8885845218271159</x:v>
      </x:c>
      <x:c r="BF56" s="27" t="n">
        <x:f>IF(ISNUMBER(AN56),IF('Scoring Setup'!$L$26=1,1-'Scoring Setup'!$B$5*(1-MAX(0,MIN(1,(AN56-'Scoring Setup'!$K$26)/(100-'Scoring Setup'!$K$26)))),1),"")</x:f>
        <x:v>0.937286211052675</x:v>
      </x:c>
      <x:c r="BG56" s="34" t="n">
        <x:f>IF(COUNT(W56,X56)=2,AVERAGE(W56,X56),"")</x:f>
        <x:v>66.51874115983028</x:v>
      </x:c>
      <x:c r="BH56" s="34" t="n">
        <x:f>IF(COUNT(Y56,Z56)=2,AVERAGE(Y56,Z56),"")</x:f>
        <x:v>38.87951433698605</x:v>
      </x:c>
      <x:c r="BI56" s="34" t="n">
        <x:f>IF(COUNT(AA56,AB56,AC56)=3,AVERAGE(AA56,AB56,AC56),"")</x:f>
        <x:v>92.31005491931221</x:v>
      </x:c>
      <x:c r="BJ56" s="34" t="n">
        <x:f>IF(COUNT(AD56,AE56)=2,AVERAGE(AD56,AE56),"")</x:f>
        <x:v>7.924158214285715</x:v>
      </x:c>
      <x:c r="BK56" s="34" t="n">
        <x:f>IF(COUNT(AF56,AG56)=2,AVERAGE(AF56,AG56),"")</x:f>
        <x:v>18.607116641357752</x:v>
      </x:c>
      <x:c r="BL56" s="34" t="n">
        <x:f>IF(COUNT(AH56,AI56)=2,AVERAGE(AH56,AI56),"")</x:f>
        <x:v>47.007925325423955</x:v>
      </x:c>
      <x:c r="BM56" s="34" t="n">
        <x:f>IF(COUNT(AJ56,AK56)=2,AVERAGE(AJ56,AK56),"")</x:f>
        <x:v>55.21518426065898</x:v>
      </x:c>
      <x:c r="BN56" s="34" t="n">
        <x:f>IF(COUNT(AL56,AM56,AN56)=3,AVERAGE(AL56,AM56,AN56),"")</x:f>
        <x:v>66.67542517693484</x:v>
      </x:c>
      <x:c r="BO56" s="35" t="n">
        <x:f>IF(AND(COUNT(BG56:BN56)=8,ABS('Scoring Setup'!$C$17-1)&lt;0.000001),BG56*'Scoring Setup'!$C$9+BH56*'Scoring Setup'!$C$10+BI56*'Scoring Setup'!$C$11+BJ56*'Scoring Setup'!$C$12+BK56*'Scoring Setup'!$C$13+BL56*'Scoring Setup'!$C$14+BM56*'Scoring Setup'!$C$15+BN56*'Scoring Setup'!$C$16,"")</x:f>
        <x:v>51.4256929932604</x:v>
      </x:c>
      <x:c r="BP56" s="36" t="n">
        <x:f>IF(COUNT(AO56:BF56)=18,MIN(AO56:BF56),"")</x:f>
        <x:v>0.8</x:v>
      </x:c>
      <x:c r="BQ56" s="35" t="n">
        <x:f>IF(AND(ISNUMBER(BO56),ISNUMBER(BP56)),BO56*BP56,"")</x:f>
        <x:v>41.14055439460832</x:v>
      </x:c>
      <x:c r="BR56" s="17" t="str">
        <x:f>IF(COUNT(AO56:BF56)=18,INDEX('Scoring Setup'!$F$9:$F$26,MATCH(MIN(AO56:BF56),AO56:BF56,0),1),"")</x:f>
        <x:v>商业光纤1000/100覆盖率</x:v>
      </x:c>
    </x:row>
    <x:row r="57">
      <x:c r="A57" s="28" t="str">
        <x:v>13107</x:v>
      </x:c>
      <x:c r="B57" s="28" t="str">
        <x:v>Emanuel County</x:v>
      </x:c>
      <x:c r="C57" s="28" t="str">
        <x:v>GA</x:v>
      </x:c>
      <x:c r="D57" s="31" t="n">
        <x:v>1762.679432</x:v>
      </x:c>
      <x:c r="E57" s="32" t="n">
        <x:v>0.547</x:v>
      </x:c>
      <x:c r="F57" s="32" t="n">
        <x:v>0.13861386138613901</x:v>
      </x:c>
      <x:c r="G57" s="32" t="n">
        <x:v>1.410200843271213</x:v>
      </x:c>
      <x:c r="H57" s="32" t="n">
        <x:v>1.2430649536867935</x:v>
      </x:c>
      <x:c r="I57" s="32" t="n">
        <x:v>0.931517573692406</x:v>
      </x:c>
      <x:c r="J57" s="32" t="n">
        <x:v>0.027096642150668114</x:v>
      </x:c>
      <x:c r="K57" s="32" t="n">
        <x:v>0.25773683374692846</x:v>
      </x:c>
      <x:c r="L57" s="32" t="n">
        <x:v>0.99982678</x:v>
      </x:c>
      <x:c r="M57" s="32" t="n">
        <x:v>0.99982678</x:v>
      </x:c>
      <x:c r="N57" s="32" t="n">
        <x:v>9870</x:v>
      </x:c>
      <x:c r="O57" s="32" t="n">
        <x:v>0.9494</x:v>
      </x:c>
      <x:c r="P57" s="32" t="n">
        <x:v>2126.059855143229</x:v>
      </x:c>
      <x:c r="Q57" s="32" t="n">
        <x:v>71.30938873291015</x:v>
      </x:c>
      <x:c r="R57" s="32" t="n">
        <x:v>20.37225277889497</x:v>
      </x:c>
      <x:c r="S57" s="32" t="n">
        <x:v>2.9257154521154796</x:v>
      </x:c>
      <x:c r="T57" s="32" t="n">
        <x:v>72.1</x:v>
      </x:c>
      <x:c r="U57" s="32" t="n">
        <x:v>211.4154781728841</x:v>
      </x:c>
      <x:c r="V57" s="32" t="n">
        <x:v>325.42757789465</x:v>
      </x:c>
      <x:c r="W57" s="33" t="n">
        <x:f>IF(ISNUMBER(E57),100*MAX(0,MIN(1,('Anchors'!$H$6-E57)/('Anchors'!$H$6-'Anchors'!$G$6))),"")</x:f>
        <x:v>50.42857142857143</x:v>
      </x:c>
      <x:c r="X57" s="33" t="n">
        <x:f>IF(ISNUMBER(F57),100*MAX(0,MIN(1,('Anchors'!$H$7-F57)/('Anchors'!$H$7-'Anchors'!$G$7))),"")</x:f>
        <x:v>94.48373408769443</x:v>
      </x:c>
      <x:c r="Y57" s="33" t="n">
        <x:f>IF(ISNUMBER(G57),100*MAX(0,MIN(1,('Anchors'!$H$8-G57)/('Anchors'!$H$8-'Anchors'!$G$8))),"")</x:f>
        <x:v>86.32663855762624</x:v>
      </x:c>
      <x:c r="Z57" s="33" t="n">
        <x:f>IF(ISNUMBER(H57),100*MAX(0,MIN(1,('Anchors'!$H$9-H57)/('Anchors'!$H$9-'Anchors'!$G$9))),"")</x:f>
        <x:v>91.89783487710689</x:v>
      </x:c>
      <x:c r="AA57" s="33" t="n">
        <x:f>IF(ISNUMBER(I57),100*MAX(0,MIN(1,(I57-'Anchors'!$H$10)/('Anchors'!$G$10-'Anchors'!$H$10))),"")</x:f>
        <x:v>93.35857173868575</x:v>
      </x:c>
      <x:c r="AB57" s="33" t="n">
        <x:f>IF(ISNUMBER(J57),100*MAX(0,MIN(1,('Anchors'!$H$11-J57)/('Anchors'!$H$11-'Anchors'!$G$11))),"")</x:f>
        <x:v>89.16134313973275</x:v>
      </x:c>
      <x:c r="AC57" s="33" t="n">
        <x:f>IF(ISNUMBER(K57),100*MAX(0,MIN(1,('Anchors'!$H$12-K57)/('Anchors'!$H$12-'Anchors'!$G$12))),"")</x:f>
        <x:v>35.565791563267894</x:v>
      </x:c>
      <x:c r="AD57" s="33" t="n">
        <x:f>IF(ISNUMBER(L57),100*MAX(0,MIN(1,(L57-'Anchors'!$H$13)/('Anchors'!$G$13-'Anchors'!$H$13))),"")</x:f>
        <x:v>100</x:v>
      </x:c>
      <x:c r="AE57" s="33" t="n">
        <x:f>IF(ISNUMBER(M57),100*MAX(0,MIN(1,(M57-'Anchors'!$H$14)/('Anchors'!$G$14-'Anchors'!$H$14))),"")</x:f>
        <x:v>100</x:v>
      </x:c>
      <x:c r="AF57" s="33" t="n">
        <x:f>IF(ISNUMBER(N57),100*MAX(0,MIN(1,(LN(1+N57)-LN(1+'Anchors'!$H$15))/(LN(1+'Anchors'!$G$15)-LN(1+'Anchors'!$H$15)))),"")</x:f>
        <x:v>36.96909875743134</x:v>
      </x:c>
      <x:c r="AG57" s="33" t="n">
        <x:f>IF(ISNUMBER(O57),100*MAX(0,MIN(1,('Anchors'!$H$16-O57)/('Anchors'!$H$16-'Anchors'!$G$16))),"")</x:f>
        <x:v>0.06666666666665934</x:v>
      </x:c>
      <x:c r="AH57" s="33" t="n">
        <x:f>IF(ISNUMBER(P57),100*MAX(0,MIN(1,('Anchors'!$H$17-P57)/('Anchors'!$H$17-'Anchors'!$G$17))),"")</x:f>
        <x:v>4.929342990451399</x:v>
      </x:c>
      <x:c r="AI57" s="33" t="n">
        <x:f>IF(ISNUMBER(Q57),100*MAX(0,MIN(1,('Anchors'!$H$18-Q57)/('Anchors'!$H$18-'Anchors'!$G$18))),"")</x:f>
        <x:v>5.272301810128356</x:v>
      </x:c>
      <x:c r="AJ57" s="33" t="n">
        <x:f>IF(ISNUMBER(R57),100*MAX(0,MIN(1,('Anchors'!$H$19-R57)/('Anchors'!$H$19-'Anchors'!$G$19))),"")</x:f>
        <x:v>65.83943826912228</x:v>
      </x:c>
      <x:c r="AK57" s="33" t="n">
        <x:f>IF(ISNUMBER(S57),100*MAX(0,MIN(1,('Anchors'!$H$20-S57)/('Anchors'!$H$20-'Anchors'!$G$20))),"")</x:f>
        <x:v>89.8646555151817</x:v>
      </x:c>
      <x:c r="AL57" s="33" t="n">
        <x:f>IF(ISNUMBER(T57),100*MAX(0,MIN(1,('Anchors'!$H$21-T57)/('Anchors'!$H$21-'Anchors'!$G$21))),"")</x:f>
        <x:v>87.0909090909091</x:v>
      </x:c>
      <x:c r="AM57" s="33" t="n">
        <x:f>IF(ISNUMBER(U57),100*MAX(0,MIN(1,('Anchors'!$H$22-U57)/('Anchors'!$H$22-'Anchors'!$G$22))),"")</x:f>
        <x:v>44.29226091355795</x:v>
      </x:c>
      <x:c r="AN57" s="33" t="n">
        <x:f>IF(ISNUMBER(V57),100*MAX(0,MIN(1,('Anchors'!$H$23-V57)/('Anchors'!$H$23-'Anchors'!$G$23))),"")</x:f>
        <x:v>68.6431055263375</x:v>
      </x:c>
      <x:c r="AO57" s="27" t="n">
        <x:f>IF(ISNUMBER(W57),IF('Scoring Setup'!$L$9=1,1-'Scoring Setup'!$B$5*(1-MAX(0,MIN(1,(W57-'Scoring Setup'!$K$9)/(100-'Scoring Setup'!$K$9)))),1),"")</x:f>
        <x:v>0.9008571428571428</x:v>
      </x:c>
      <x:c r="AP57" s="27" t="n">
        <x:f>IF(ISNUMBER(X57),IF('Scoring Setup'!$L$10=1,1-'Scoring Setup'!$B$5*(1-MAX(0,MIN(1,(X57-'Scoring Setup'!$K$10)/(100-'Scoring Setup'!$K$10)))),1),"")</x:f>
        <x:v>0.9889674681753888</x:v>
      </x:c>
      <x:c r="AQ57" s="27" t="n">
        <x:f>IF(ISNUMBER(Y57),IF('Scoring Setup'!$L$11=1,1-'Scoring Setup'!$B$5*(1-MAX(0,MIN(1,(Y57-'Scoring Setup'!$K$11)/(100-'Scoring Setup'!$K$11)))),1),"")</x:f>
        <x:v>0.9726532771152525</x:v>
      </x:c>
      <x:c r="AR57" s="27" t="n">
        <x:f>IF(ISNUMBER(Z57),IF('Scoring Setup'!$L$12=1,1-'Scoring Setup'!$B$5*(1-MAX(0,MIN(1,(Z57-'Scoring Setup'!$K$12)/(100-'Scoring Setup'!$K$12)))),1),"")</x:f>
        <x:v>0.9837956697542137</x:v>
      </x:c>
      <x:c r="AS57" s="27" t="n">
        <x:f>IF(ISNUMBER(AA57),IF('Scoring Setup'!$L$13=1,1-'Scoring Setup'!$B$5*(1-MAX(0,MIN(1,(AA57-'Scoring Setup'!$K$13)/(100-'Scoring Setup'!$K$13)))),1),"")</x:f>
        <x:v>0.9867171434773715</x:v>
      </x:c>
      <x:c r="AT57" s="27" t="n">
        <x:f>IF(ISNUMBER(AB57),IF('Scoring Setup'!$L$14=1,1-'Scoring Setup'!$B$5*(1-MAX(0,MIN(1,(AB57-'Scoring Setup'!$K$14)/(100-'Scoring Setup'!$K$14)))),1),"")</x:f>
        <x:v>0.9783226862794655</x:v>
      </x:c>
      <x:c r="AU57" s="27" t="n">
        <x:f>IF(ISNUMBER(AC57),IF('Scoring Setup'!$L$15=1,1-'Scoring Setup'!$B$5*(1-MAX(0,MIN(1,(AC57-'Scoring Setup'!$K$15)/(100-'Scoring Setup'!$K$15)))),1),"")</x:f>
        <x:v>0.8711315831265358</x:v>
      </x:c>
      <x:c r="AV57" s="27" t="n">
        <x:f>IF(ISNUMBER(AD57),IF('Scoring Setup'!$L$16=1,1-'Scoring Setup'!$B$5*(1-MAX(0,MIN(1,(AD57-'Scoring Setup'!$K$16)/(100-'Scoring Setup'!$K$16)))),1),"")</x:f>
        <x:v>1</x:v>
      </x:c>
      <x:c r="AW57" s="27" t="n">
        <x:f>IF(ISNUMBER(AE57),IF('Scoring Setup'!$L$17=1,1-'Scoring Setup'!$B$5*(1-MAX(0,MIN(1,(AE57-'Scoring Setup'!$K$17)/(100-'Scoring Setup'!$K$17)))),1),"")</x:f>
        <x:v>1</x:v>
      </x:c>
      <x:c r="AX57" s="27" t="n">
        <x:f>IF(ISNUMBER(AF57),IF('Scoring Setup'!$L$18=1,1-'Scoring Setup'!$B$5*(1-MAX(0,MIN(1,(AF57-'Scoring Setup'!$K$18)/(100-'Scoring Setup'!$K$18)))),1),"")</x:f>
        <x:v>0.8739381975148627</x:v>
      </x:c>
      <x:c r="AY57" s="27" t="n">
        <x:f>IF(ISNUMBER(AG57),IF('Scoring Setup'!$L$19=1,1-'Scoring Setup'!$B$5*(1-MAX(0,MIN(1,(AG57-'Scoring Setup'!$K$19)/(100-'Scoring Setup'!$K$19)))),1),"")</x:f>
        <x:v>0.8001333333333334</x:v>
      </x:c>
      <x:c r="AZ57" s="27" t="n">
        <x:f>IF(ISNUMBER(AH57),IF('Scoring Setup'!$L$20=1,1-'Scoring Setup'!$B$5*(1-MAX(0,MIN(1,(AH57-'Scoring Setup'!$K$20)/(100-'Scoring Setup'!$K$20)))),1),"")</x:f>
        <x:v>0.8098586859809028</x:v>
      </x:c>
      <x:c r="BA57" s="27" t="n">
        <x:f>IF(ISNUMBER(AI57),IF('Scoring Setup'!$L$21=1,1-'Scoring Setup'!$B$5*(1-MAX(0,MIN(1,(AI57-'Scoring Setup'!$K$21)/(100-'Scoring Setup'!$K$21)))),1),"")</x:f>
        <x:v>0.8105446036202567</x:v>
      </x:c>
      <x:c r="BB57" s="27" t="n">
        <x:f>IF(ISNUMBER(AJ57),IF('Scoring Setup'!$L$22=1,1-'Scoring Setup'!$B$5*(1-MAX(0,MIN(1,(AJ57-'Scoring Setup'!$K$22)/(100-'Scoring Setup'!$K$22)))),1),"")</x:f>
        <x:v>0.9316788765382445</x:v>
      </x:c>
      <x:c r="BC57" s="27" t="n">
        <x:f>IF(ISNUMBER(AK57),IF('Scoring Setup'!$L$23=1,1-'Scoring Setup'!$B$5*(1-MAX(0,MIN(1,(AK57-'Scoring Setup'!$K$23)/(100-'Scoring Setup'!$K$23)))),1),"")</x:f>
        <x:v>0.9797293110303634</x:v>
      </x:c>
      <x:c r="BD57" s="27" t="n">
        <x:f>IF(ISNUMBER(AL57),IF('Scoring Setup'!$L$24=1,1-'Scoring Setup'!$B$5*(1-MAX(0,MIN(1,(AL57-'Scoring Setup'!$K$24)/(100-'Scoring Setup'!$K$24)))),1),"")</x:f>
        <x:v>0.9741818181818181</x:v>
      </x:c>
      <x:c r="BE57" s="27" t="n">
        <x:f>IF(ISNUMBER(AM57),IF('Scoring Setup'!$L$25=1,1-'Scoring Setup'!$B$5*(1-MAX(0,MIN(1,(AM57-'Scoring Setup'!$K$25)/(100-'Scoring Setup'!$K$25)))),1),"")</x:f>
        <x:v>0.8885845218271159</x:v>
      </x:c>
      <x:c r="BF57" s="27" t="n">
        <x:f>IF(ISNUMBER(AN57),IF('Scoring Setup'!$L$26=1,1-'Scoring Setup'!$B$5*(1-MAX(0,MIN(1,(AN57-'Scoring Setup'!$K$26)/(100-'Scoring Setup'!$K$26)))),1),"")</x:f>
        <x:v>0.937286211052675</x:v>
      </x:c>
      <x:c r="BG57" s="34" t="n">
        <x:f>IF(COUNT(W57,X57)=2,AVERAGE(W57,X57),"")</x:f>
        <x:v>72.45615275813293</x:v>
      </x:c>
      <x:c r="BH57" s="34" t="n">
        <x:f>IF(COUNT(Y57,Z57)=2,AVERAGE(Y57,Z57),"")</x:f>
        <x:v>89.11223671736656</x:v>
      </x:c>
      <x:c r="BI57" s="34" t="n">
        <x:f>IF(COUNT(AA57,AB57,AC57)=3,AVERAGE(AA57,AB57,AC57),"")</x:f>
        <x:v>72.69523548056213</x:v>
      </x:c>
      <x:c r="BJ57" s="34" t="n">
        <x:f>IF(COUNT(AD57,AE57)=2,AVERAGE(AD57,AE57),"")</x:f>
        <x:v>100</x:v>
      </x:c>
      <x:c r="BK57" s="34" t="n">
        <x:f>IF(COUNT(AF57,AG57)=2,AVERAGE(AF57,AG57),"")</x:f>
        <x:v>18.517882712049</x:v>
      </x:c>
      <x:c r="BL57" s="34" t="n">
        <x:f>IF(COUNT(AH57,AI57)=2,AVERAGE(AH57,AI57),"")</x:f>
        <x:v>5.100822400289878</x:v>
      </x:c>
      <x:c r="BM57" s="34" t="n">
        <x:f>IF(COUNT(AJ57,AK57)=2,AVERAGE(AJ57,AK57),"")</x:f>
        <x:v>77.85204689215199</x:v>
      </x:c>
      <x:c r="BN57" s="34" t="n">
        <x:f>IF(COUNT(AL57,AM57,AN57)=3,AVERAGE(AL57,AM57,AN57),"")</x:f>
        <x:v>66.67542517693484</x:v>
      </x:c>
      <x:c r="BO57" s="35" t="n">
        <x:f>IF(AND(COUNT(BG57:BN57)=8,ABS('Scoring Setup'!$C$17-1)&lt;0.000001),BG57*'Scoring Setup'!$C$9+BH57*'Scoring Setup'!$C$10+BI57*'Scoring Setup'!$C$11+BJ57*'Scoring Setup'!$C$12+BK57*'Scoring Setup'!$C$13+BL57*'Scoring Setup'!$C$14+BM57*'Scoring Setup'!$C$15+BN57*'Scoring Setup'!$C$16,"")</x:f>
        <x:v>68.33964545625028</x:v>
      </x:c>
      <x:c r="BP57" s="36" t="n">
        <x:f>IF(COUNT(AO57:BF57)=18,MIN(AO57:BF57),"")</x:f>
        <x:v>0.8001333333333334</x:v>
      </x:c>
      <x:c r="BQ57" s="35" t="n">
        <x:f>IF(AND(ISNUMBER(BO57),ISNUMBER(BP57)),BO57*BP57,"")</x:f>
        <x:v>54.68082831772773</x:v>
      </x:c>
      <x:c r="BR57" s="17" t="str">
        <x:f>IF(COUNT(AO57:BF57)=18,INDEX('Scoring Setup'!$F$9:$F$26,MATCH(MIN(AO57:BF57),AO57:BF57,0),1),"")</x:f>
        <x:v>社会脆弱性百分位</x:v>
      </x:c>
    </x:row>
    <x:row r="58">
      <x:c r="A58" s="28" t="str">
        <x:v>13109</x:v>
      </x:c>
      <x:c r="B58" s="28" t="str">
        <x:v>Evans County</x:v>
      </x:c>
      <x:c r="C58" s="28" t="str">
        <x:v>GA</x:v>
      </x:c>
      <x:c r="D58" s="31" t="n">
        <x:v>473.690212</x:v>
      </x:c>
      <x:c r="E58" s="32" t="n">
        <x:v>0.568</x:v>
      </x:c>
      <x:c r="F58" s="32" t="n">
        <x:v>0.401608910891089</x:v>
      </x:c>
      <x:c r="G58" s="32" t="n">
        <x:v>0.806921346324734</x:v>
      </x:c>
      <x:c r="H58" s="32" t="n">
        <x:v>0.6195925129101186</x:v>
      </x:c>
      <x:c r="I58" s="32" t="n">
        <x:v>0.9176092289083307</x:v>
      </x:c>
      <x:c r="J58" s="32" t="n">
        <x:v>0.00003924115582226239</x:v>
      </x:c>
      <x:c r="K58" s="32" t="n">
        <x:v>0.30402280931756115</x:v>
      </x:c>
      <x:c r="L58" s="32" t="n">
        <x:v>0.851496121</x:v>
      </x:c>
      <x:c r="M58" s="32" t="n">
        <x:v>0.851496121</x:v>
      </x:c>
      <x:c r="N58" s="32" t="n">
        <x:v>4900</x:v>
      </x:c>
      <x:c r="O58" s="32" t="n">
        <x:v>0.9784</x:v>
      </x:c>
      <x:c r="P58" s="32" t="n">
        <x:v>2246.2558430989584</x:v>
      </x:c>
      <x:c r="Q58" s="32" t="n">
        <x:v>71.0933671315511</x:v>
      </x:c>
      <x:c r="R58" s="32" t="n">
        <x:v>17.046720073165893</x:v>
      </x:c>
      <x:c r="S58" s="32" t="n">
        <x:v>0.9098507290676416</x:v>
      </x:c>
      <x:c r="T58" s="32" t="n">
        <x:v>72.1</x:v>
      </x:c>
      <x:c r="U58" s="32" t="n">
        <x:v>211.4154781728841</x:v>
      </x:c>
      <x:c r="V58" s="32" t="n">
        <x:v>325.42757789465</x:v>
      </x:c>
      <x:c r="W58" s="33" t="n">
        <x:f>IF(ISNUMBER(E58),100*MAX(0,MIN(1,('Anchors'!$H$6-E58)/('Anchors'!$H$6-'Anchors'!$G$6))),"")</x:f>
        <x:v>47.428571428571445</x:v>
      </x:c>
      <x:c r="X58" s="33" t="n">
        <x:f>IF(ISNUMBER(F58),100*MAX(0,MIN(1,('Anchors'!$H$7-F58)/('Anchors'!$H$7-'Anchors'!$G$7))),"")</x:f>
        <x:v>56.913012729844425</x:v>
      </x:c>
      <x:c r="Y58" s="33" t="n">
        <x:f>IF(ISNUMBER(G58),100*MAX(0,MIN(1,('Anchors'!$H$8-G58)/('Anchors'!$H$8-'Anchors'!$G$8))),"")</x:f>
        <x:v>100</x:v>
      </x:c>
      <x:c r="Z58" s="33" t="n">
        <x:f>IF(ISNUMBER(H58),100*MAX(0,MIN(1,('Anchors'!$H$9-H58)/('Anchors'!$H$9-'Anchors'!$G$9))),"")</x:f>
        <x:v>100</x:v>
      </x:c>
      <x:c r="AA58" s="33" t="n">
        <x:f>IF(ISNUMBER(I58),100*MAX(0,MIN(1,(I58-'Anchors'!$H$10)/('Anchors'!$G$10-'Anchors'!$H$10))),"")</x:f>
        <x:v>91.45331902853846</x:v>
      </x:c>
      <x:c r="AB58" s="33" t="n">
        <x:f>IF(ISNUMBER(J58),100*MAX(0,MIN(1,('Anchors'!$H$11-J58)/('Anchors'!$H$11-'Anchors'!$G$11))),"")</x:f>
        <x:v>99.9843035376711</x:v>
      </x:c>
      <x:c r="AC58" s="33" t="n">
        <x:f>IF(ISNUMBER(K58),100*MAX(0,MIN(1,('Anchors'!$H$12-K58)/('Anchors'!$H$12-'Anchors'!$G$12))),"")</x:f>
        <x:v>23.99429767060972</x:v>
      </x:c>
      <x:c r="AD58" s="33" t="n">
        <x:f>IF(ISNUMBER(L58),100*MAX(0,MIN(1,(L58-'Anchors'!$H$13)/('Anchors'!$G$13-'Anchors'!$H$13))),"")</x:f>
        <x:v>93.07087442857144</x:v>
      </x:c>
      <x:c r="AE58" s="33" t="n">
        <x:f>IF(ISNUMBER(M58),100*MAX(0,MIN(1,(M58-'Anchors'!$H$14)/('Anchors'!$G$14-'Anchors'!$H$14))),"")</x:f>
        <x:v>93.937015125</x:v>
      </x:c>
      <x:c r="AF58" s="33" t="n">
        <x:f>IF(ISNUMBER(N58),100*MAX(0,MIN(1,(LN(1+N58)-LN(1+'Anchors'!$H$15))/(LN(1+'Anchors'!$G$15)-LN(1+'Anchors'!$H$15)))),"")</x:f>
        <x:v>20.7503652427162</x:v>
      </x:c>
      <x:c r="AG58" s="33" t="n">
        <x:f>IF(ISNUMBER(O58),100*MAX(0,MIN(1,('Anchors'!$H$16-O58)/('Anchors'!$H$16-'Anchors'!$G$16))),"")</x:f>
        <x:v>0</x:v>
      </x:c>
      <x:c r="AH58" s="33" t="n">
        <x:f>IF(ISNUMBER(P58),100*MAX(0,MIN(1,('Anchors'!$H$17-P58)/('Anchors'!$H$17-'Anchors'!$G$17))),"")</x:f>
        <x:v>0</x:v>
      </x:c>
      <x:c r="AI58" s="33" t="n">
        <x:f>IF(ISNUMBER(Q58),100*MAX(0,MIN(1,('Anchors'!$H$18-Q58)/('Anchors'!$H$18-'Anchors'!$G$18))),"")</x:f>
        <x:v>5.580904097784136</x:v>
      </x:c>
      <x:c r="AJ58" s="33" t="n">
        <x:f>IF(ISNUMBER(R58),100*MAX(0,MIN(1,('Anchors'!$H$19-R58)/('Anchors'!$H$19-'Anchors'!$G$19))),"")</x:f>
        <x:v>73.22951094852024</x:v>
      </x:c>
      <x:c r="AK58" s="33" t="n">
        <x:f>IF(ISNUMBER(S58),100*MAX(0,MIN(1,('Anchors'!$H$20-S58)/('Anchors'!$H$20-'Anchors'!$G$20))),"")</x:f>
        <x:v>100</x:v>
      </x:c>
      <x:c r="AL58" s="33" t="n">
        <x:f>IF(ISNUMBER(T58),100*MAX(0,MIN(1,('Anchors'!$H$21-T58)/('Anchors'!$H$21-'Anchors'!$G$21))),"")</x:f>
        <x:v>87.0909090909091</x:v>
      </x:c>
      <x:c r="AM58" s="33" t="n">
        <x:f>IF(ISNUMBER(U58),100*MAX(0,MIN(1,('Anchors'!$H$22-U58)/('Anchors'!$H$22-'Anchors'!$G$22))),"")</x:f>
        <x:v>44.29226091355795</x:v>
      </x:c>
      <x:c r="AN58" s="33" t="n">
        <x:f>IF(ISNUMBER(V58),100*MAX(0,MIN(1,('Anchors'!$H$23-V58)/('Anchors'!$H$23-'Anchors'!$G$23))),"")</x:f>
        <x:v>68.6431055263375</x:v>
      </x:c>
      <x:c r="AO58" s="27" t="n">
        <x:f>IF(ISNUMBER(W58),IF('Scoring Setup'!$L$9=1,1-'Scoring Setup'!$B$5*(1-MAX(0,MIN(1,(W58-'Scoring Setup'!$K$9)/(100-'Scoring Setup'!$K$9)))),1),"")</x:f>
        <x:v>0.8948571428571429</x:v>
      </x:c>
      <x:c r="AP58" s="27" t="n">
        <x:f>IF(ISNUMBER(X58),IF('Scoring Setup'!$L$10=1,1-'Scoring Setup'!$B$5*(1-MAX(0,MIN(1,(X58-'Scoring Setup'!$K$10)/(100-'Scoring Setup'!$K$10)))),1),"")</x:f>
        <x:v>0.9138260254596888</x:v>
      </x:c>
      <x:c r="AQ58" s="27" t="n">
        <x:f>IF(ISNUMBER(Y58),IF('Scoring Setup'!$L$11=1,1-'Scoring Setup'!$B$5*(1-MAX(0,MIN(1,(Y58-'Scoring Setup'!$K$11)/(100-'Scoring Setup'!$K$11)))),1),"")</x:f>
        <x:v>1</x:v>
      </x:c>
      <x:c r="AR58" s="27" t="n">
        <x:f>IF(ISNUMBER(Z58),IF('Scoring Setup'!$L$12=1,1-'Scoring Setup'!$B$5*(1-MAX(0,MIN(1,(Z58-'Scoring Setup'!$K$12)/(100-'Scoring Setup'!$K$12)))),1),"")</x:f>
        <x:v>1</x:v>
      </x:c>
      <x:c r="AS58" s="27" t="n">
        <x:f>IF(ISNUMBER(AA58),IF('Scoring Setup'!$L$13=1,1-'Scoring Setup'!$B$5*(1-MAX(0,MIN(1,(AA58-'Scoring Setup'!$K$13)/(100-'Scoring Setup'!$K$13)))),1),"")</x:f>
        <x:v>0.9829066380570769</x:v>
      </x:c>
      <x:c r="AT58" s="27" t="n">
        <x:f>IF(ISNUMBER(AB58),IF('Scoring Setup'!$L$14=1,1-'Scoring Setup'!$B$5*(1-MAX(0,MIN(1,(AB58-'Scoring Setup'!$K$14)/(100-'Scoring Setup'!$K$14)))),1),"")</x:f>
        <x:v>0.9999686070753422</x:v>
      </x:c>
      <x:c r="AU58" s="27" t="n">
        <x:f>IF(ISNUMBER(AC58),IF('Scoring Setup'!$L$15=1,1-'Scoring Setup'!$B$5*(1-MAX(0,MIN(1,(AC58-'Scoring Setup'!$K$15)/(100-'Scoring Setup'!$K$15)))),1),"")</x:f>
        <x:v>0.8479885953412194</x:v>
      </x:c>
      <x:c r="AV58" s="27" t="n">
        <x:f>IF(ISNUMBER(AD58),IF('Scoring Setup'!$L$16=1,1-'Scoring Setup'!$B$5*(1-MAX(0,MIN(1,(AD58-'Scoring Setup'!$K$16)/(100-'Scoring Setup'!$K$16)))),1),"")</x:f>
        <x:v>0.9861417488571429</x:v>
      </x:c>
      <x:c r="AW58" s="27" t="n">
        <x:f>IF(ISNUMBER(AE58),IF('Scoring Setup'!$L$17=1,1-'Scoring Setup'!$B$5*(1-MAX(0,MIN(1,(AE58-'Scoring Setup'!$K$17)/(100-'Scoring Setup'!$K$17)))),1),"")</x:f>
        <x:v>0.98787403025</x:v>
      </x:c>
      <x:c r="AX58" s="27" t="n">
        <x:f>IF(ISNUMBER(AF58),IF('Scoring Setup'!$L$18=1,1-'Scoring Setup'!$B$5*(1-MAX(0,MIN(1,(AF58-'Scoring Setup'!$K$18)/(100-'Scoring Setup'!$K$18)))),1),"")</x:f>
        <x:v>0.8415007304854324</x:v>
      </x:c>
      <x:c r="AY58" s="27" t="n">
        <x:f>IF(ISNUMBER(AG58),IF('Scoring Setup'!$L$19=1,1-'Scoring Setup'!$B$5*(1-MAX(0,MIN(1,(AG58-'Scoring Setup'!$K$19)/(100-'Scoring Setup'!$K$19)))),1),"")</x:f>
        <x:v>0.8</x:v>
      </x:c>
      <x:c r="AZ58" s="27" t="n">
        <x:f>IF(ISNUMBER(AH58),IF('Scoring Setup'!$L$20=1,1-'Scoring Setup'!$B$5*(1-MAX(0,MIN(1,(AH58-'Scoring Setup'!$K$20)/(100-'Scoring Setup'!$K$20)))),1),"")</x:f>
        <x:v>0.8</x:v>
      </x:c>
      <x:c r="BA58" s="27" t="n">
        <x:f>IF(ISNUMBER(AI58),IF('Scoring Setup'!$L$21=1,1-'Scoring Setup'!$B$5*(1-MAX(0,MIN(1,(AI58-'Scoring Setup'!$K$21)/(100-'Scoring Setup'!$K$21)))),1),"")</x:f>
        <x:v>0.8111618081955683</x:v>
      </x:c>
      <x:c r="BB58" s="27" t="n">
        <x:f>IF(ISNUMBER(AJ58),IF('Scoring Setup'!$L$22=1,1-'Scoring Setup'!$B$5*(1-MAX(0,MIN(1,(AJ58-'Scoring Setup'!$K$22)/(100-'Scoring Setup'!$K$22)))),1),"")</x:f>
        <x:v>0.9464590218970405</x:v>
      </x:c>
      <x:c r="BC58" s="27" t="n">
        <x:f>IF(ISNUMBER(AK58),IF('Scoring Setup'!$L$23=1,1-'Scoring Setup'!$B$5*(1-MAX(0,MIN(1,(AK58-'Scoring Setup'!$K$23)/(100-'Scoring Setup'!$K$23)))),1),"")</x:f>
        <x:v>1</x:v>
      </x:c>
      <x:c r="BD58" s="27" t="n">
        <x:f>IF(ISNUMBER(AL58),IF('Scoring Setup'!$L$24=1,1-'Scoring Setup'!$B$5*(1-MAX(0,MIN(1,(AL58-'Scoring Setup'!$K$24)/(100-'Scoring Setup'!$K$24)))),1),"")</x:f>
        <x:v>0.9741818181818181</x:v>
      </x:c>
      <x:c r="BE58" s="27" t="n">
        <x:f>IF(ISNUMBER(AM58),IF('Scoring Setup'!$L$25=1,1-'Scoring Setup'!$B$5*(1-MAX(0,MIN(1,(AM58-'Scoring Setup'!$K$25)/(100-'Scoring Setup'!$K$25)))),1),"")</x:f>
        <x:v>0.8885845218271159</x:v>
      </x:c>
      <x:c r="BF58" s="27" t="n">
        <x:f>IF(ISNUMBER(AN58),IF('Scoring Setup'!$L$26=1,1-'Scoring Setup'!$B$5*(1-MAX(0,MIN(1,(AN58-'Scoring Setup'!$K$26)/(100-'Scoring Setup'!$K$26)))),1),"")</x:f>
        <x:v>0.937286211052675</x:v>
      </x:c>
      <x:c r="BG58" s="34" t="n">
        <x:f>IF(COUNT(W58,X58)=2,AVERAGE(W58,X58),"")</x:f>
        <x:v>52.170792079207935</x:v>
      </x:c>
      <x:c r="BH58" s="34" t="n">
        <x:f>IF(COUNT(Y58,Z58)=2,AVERAGE(Y58,Z58),"")</x:f>
        <x:v>100</x:v>
      </x:c>
      <x:c r="BI58" s="34" t="n">
        <x:f>IF(COUNT(AA58,AB58,AC58)=3,AVERAGE(AA58,AB58,AC58),"")</x:f>
        <x:v>71.81064007893976</x:v>
      </x:c>
      <x:c r="BJ58" s="34" t="n">
        <x:f>IF(COUNT(AD58,AE58)=2,AVERAGE(AD58,AE58),"")</x:f>
        <x:v>93.50394477678572</x:v>
      </x:c>
      <x:c r="BK58" s="34" t="n">
        <x:f>IF(COUNT(AF58,AG58)=2,AVERAGE(AF58,AG58),"")</x:f>
        <x:v>10.3751826213581</x:v>
      </x:c>
      <x:c r="BL58" s="34" t="n">
        <x:f>IF(COUNT(AH58,AI58)=2,AVERAGE(AH58,AI58),"")</x:f>
        <x:v>2.790452048892068</x:v>
      </x:c>
      <x:c r="BM58" s="34" t="n">
        <x:f>IF(COUNT(AJ58,AK58)=2,AVERAGE(AJ58,AK58),"")</x:f>
        <x:v>86.61475547426012</x:v>
      </x:c>
      <x:c r="BN58" s="34" t="n">
        <x:f>IF(COUNT(AL58,AM58,AN58)=3,AVERAGE(AL58,AM58,AN58),"")</x:f>
        <x:v>66.67542517693484</x:v>
      </x:c>
      <x:c r="BO58" s="35" t="n">
        <x:f>IF(AND(COUNT(BG58:BN58)=8,ABS('Scoring Setup'!$C$17-1)&lt;0.000001),BG58*'Scoring Setup'!$C$9+BH58*'Scoring Setup'!$C$10+BI58*'Scoring Setup'!$C$11+BJ58*'Scoring Setup'!$C$12+BK58*'Scoring Setup'!$C$13+BL58*'Scoring Setup'!$C$14+BM58*'Scoring Setup'!$C$15+BN58*'Scoring Setup'!$C$16,"")</x:f>
        <x:v>67.25894388486721</x:v>
      </x:c>
      <x:c r="BP58" s="36" t="n">
        <x:f>IF(COUNT(AO58:BF58)=18,MIN(AO58:BF58),"")</x:f>
        <x:v>0.8</x:v>
      </x:c>
      <x:c r="BQ58" s="35" t="n">
        <x:f>IF(AND(ISNUMBER(BO58),ISNUMBER(BP58)),BO58*BP58,"")</x:f>
        <x:v>53.80715510789377</x:v>
      </x:c>
      <x:c r="BR58" s="17" t="str">
        <x:f>IF(COUNT(AO58:BF58)=18,INDEX('Scoring Setup'!$F$9:$F$26,MATCH(MIN(AO58:BF58),AO58:BF58,0),1),"")</x:f>
        <x:v>社会脆弱性百分位</x:v>
      </x:c>
    </x:row>
    <x:row r="59">
      <x:c r="A59" s="28" t="str">
        <x:v>13111</x:v>
      </x:c>
      <x:c r="B59" s="28" t="str">
        <x:v>Fannin County</x:v>
      </x:c>
      <x:c r="C59" s="28" t="str">
        <x:v>GA</x:v>
      </x:c>
      <x:c r="D59" s="31" t="n">
        <x:v>1002.600783</x:v>
      </x:c>
      <x:c r="E59" s="32" t="n">
        <x:v>0.752</x:v>
      </x:c>
      <x:c r="F59" s="32" t="n">
        <x:v>0.8233292079207919</x:v>
      </x:c>
      <x:c r="G59" s="32" t="n">
        <x:v>0.440935588670593</x:v>
      </x:c>
      <x:c r="H59" s="32" t="n">
        <x:v>0.40894887067343544</x:v>
      </x:c>
      <x:c r="I59" s="32" t="n">
        <x:v>0.9564572273875414</x:v>
      </x:c>
      <x:c r="J59" s="32" t="n">
        <x:v>0.27419272115124516</x:v>
      </x:c>
      <x:c r="K59" s="32" t="n">
        <x:v>0.00021004367831361855</x:v>
      </x:c>
      <x:c r="L59" s="32" t="n">
        <x:v>0.362969044</x:v>
      </x:c>
      <x:c r="M59" s="32" t="n">
        <x:v>0.36272758</x:v>
      </x:c>
      <x:c r="N59" s="32" t="n">
        <x:v>11123</x:v>
      </x:c>
      <x:c r="O59" s="32" t="n">
        <x:v>0.6172</x:v>
      </x:c>
      <x:c r="P59" s="32" t="n">
        <x:v>708.5736287434896</x:v>
      </x:c>
      <x:c r="Q59" s="32" t="n">
        <x:v>6.025788577397664</x:v>
      </x:c>
      <x:c r="R59" s="32" t="n">
        <x:v>54.324152388042215</x:v>
      </x:c>
      <x:c r="S59" s="32" t="n">
        <x:v>0.520140126975239</x:v>
      </x:c>
      <x:c r="T59" s="32" t="n">
        <x:v>72.1</x:v>
      </x:c>
      <x:c r="U59" s="32" t="n">
        <x:v>211.4154781728841</x:v>
      </x:c>
      <x:c r="V59" s="32" t="n">
        <x:v>325.42757789465</x:v>
      </x:c>
      <x:c r="W59" s="33" t="n">
        <x:f>IF(ISNUMBER(E59),100*MAX(0,MIN(1,('Anchors'!$H$6-E59)/('Anchors'!$H$6-'Anchors'!$G$6))),"")</x:f>
        <x:v>21.142857142857146</x:v>
      </x:c>
      <x:c r="X59" s="33" t="n">
        <x:f>IF(ISNUMBER(F59),100*MAX(0,MIN(1,('Anchors'!$H$7-F59)/('Anchors'!$H$7-'Anchors'!$G$7))),"")</x:f>
        <x:v>0</x:v>
      </x:c>
      <x:c r="Y59" s="33" t="n">
        <x:f>IF(ISNUMBER(G59),100*MAX(0,MIN(1,('Anchors'!$H$8-G59)/('Anchors'!$H$8-'Anchors'!$G$8))),"")</x:f>
        <x:v>100</x:v>
      </x:c>
      <x:c r="Z59" s="33" t="n">
        <x:f>IF(ISNUMBER(H59),100*MAX(0,MIN(1,('Anchors'!$H$9-H59)/('Anchors'!$H$9-'Anchors'!$G$9))),"")</x:f>
        <x:v>100</x:v>
      </x:c>
      <x:c r="AA59" s="33" t="n">
        <x:f>IF(ISNUMBER(I59),100*MAX(0,MIN(1,(I59-'Anchors'!$H$10)/('Anchors'!$G$10-'Anchors'!$H$10))),"")</x:f>
        <x:v>96.7749626558276</x:v>
      </x:c>
      <x:c r="AB59" s="33" t="n">
        <x:f>IF(ISNUMBER(J59),100*MAX(0,MIN(1,('Anchors'!$H$11-J59)/('Anchors'!$H$11-'Anchors'!$G$11))),"")</x:f>
        <x:v>0</x:v>
      </x:c>
      <x:c r="AC59" s="33" t="n">
        <x:f>IF(ISNUMBER(K59),100*MAX(0,MIN(1,('Anchors'!$H$12-K59)/('Anchors'!$H$12-'Anchors'!$G$12))),"")</x:f>
        <x:v>99.94748908042159</x:v>
      </x:c>
      <x:c r="AD59" s="33" t="n">
        <x:f>IF(ISNUMBER(L59),100*MAX(0,MIN(1,(L59-'Anchors'!$H$13)/('Anchors'!$G$13-'Anchors'!$H$13))),"")</x:f>
        <x:v>23.281292000000004</x:v>
      </x:c>
      <x:c r="AE59" s="33" t="n">
        <x:f>IF(ISNUMBER(M59),100*MAX(0,MIN(1,(M59-'Anchors'!$H$14)/('Anchors'!$G$14-'Anchors'!$H$14))),"")</x:f>
        <x:v>32.8409475</x:v>
      </x:c>
      <x:c r="AF59" s="33" t="n">
        <x:f>IF(ISNUMBER(N59),100*MAX(0,MIN(1,(LN(1+N59)-LN(1+'Anchors'!$H$15))/(LN(1+'Anchors'!$G$15)-LN(1+'Anchors'!$H$15)))),"")</x:f>
        <x:v>39.73731538872053</x:v>
      </x:c>
      <x:c r="AG59" s="33" t="n">
        <x:f>IF(ISNUMBER(O59),100*MAX(0,MIN(1,('Anchors'!$H$16-O59)/('Anchors'!$H$16-'Anchors'!$G$16))),"")</x:f>
        <x:v>36.97777777777778</x:v>
      </x:c>
      <x:c r="AH59" s="33" t="n">
        <x:f>IF(ISNUMBER(P59),100*MAX(0,MIN(1,('Anchors'!$H$17-P59)/('Anchors'!$H$17-'Anchors'!$G$17))),"")</x:f>
        <x:v>99.42842475043402</x:v>
      </x:c>
      <x:c r="AI59" s="33" t="n">
        <x:f>IF(ISNUMBER(Q59),100*MAX(0,MIN(1,('Anchors'!$H$18-Q59)/('Anchors'!$H$18-'Anchors'!$G$18))),"")</x:f>
        <x:v>98.53458774657476</x:v>
      </x:c>
      <x:c r="AJ59" s="33" t="n">
        <x:f>IF(ISNUMBER(R59),100*MAX(0,MIN(1,('Anchors'!$H$19-R59)/('Anchors'!$H$19-'Anchors'!$G$19))),"")</x:f>
        <x:v>0</x:v>
      </x:c>
      <x:c r="AK59" s="33" t="n">
        <x:f>IF(ISNUMBER(S59),100*MAX(0,MIN(1,('Anchors'!$H$20-S59)/('Anchors'!$H$20-'Anchors'!$G$20))),"")</x:f>
        <x:v>100</x:v>
      </x:c>
      <x:c r="AL59" s="33" t="n">
        <x:f>IF(ISNUMBER(T59),100*MAX(0,MIN(1,('Anchors'!$H$21-T59)/('Anchors'!$H$21-'Anchors'!$G$21))),"")</x:f>
        <x:v>87.0909090909091</x:v>
      </x:c>
      <x:c r="AM59" s="33" t="n">
        <x:f>IF(ISNUMBER(U59),100*MAX(0,MIN(1,('Anchors'!$H$22-U59)/('Anchors'!$H$22-'Anchors'!$G$22))),"")</x:f>
        <x:v>44.29226091355795</x:v>
      </x:c>
      <x:c r="AN59" s="33" t="n">
        <x:f>IF(ISNUMBER(V59),100*MAX(0,MIN(1,('Anchors'!$H$23-V59)/('Anchors'!$H$23-'Anchors'!$G$23))),"")</x:f>
        <x:v>68.6431055263375</x:v>
      </x:c>
      <x:c r="AO59" s="27" t="n">
        <x:f>IF(ISNUMBER(W59),IF('Scoring Setup'!$L$9=1,1-'Scoring Setup'!$B$5*(1-MAX(0,MIN(1,(W59-'Scoring Setup'!$K$9)/(100-'Scoring Setup'!$K$9)))),1),"")</x:f>
        <x:v>0.8422857142857143</x:v>
      </x:c>
      <x:c r="AP59" s="27" t="n">
        <x:f>IF(ISNUMBER(X59),IF('Scoring Setup'!$L$10=1,1-'Scoring Setup'!$B$5*(1-MAX(0,MIN(1,(X59-'Scoring Setup'!$K$10)/(100-'Scoring Setup'!$K$10)))),1),"")</x:f>
        <x:v>0.8</x:v>
      </x:c>
      <x:c r="AQ59" s="27" t="n">
        <x:f>IF(ISNUMBER(Y59),IF('Scoring Setup'!$L$11=1,1-'Scoring Setup'!$B$5*(1-MAX(0,MIN(1,(Y59-'Scoring Setup'!$K$11)/(100-'Scoring Setup'!$K$11)))),1),"")</x:f>
        <x:v>1</x:v>
      </x:c>
      <x:c r="AR59" s="27" t="n">
        <x:f>IF(ISNUMBER(Z59),IF('Scoring Setup'!$L$12=1,1-'Scoring Setup'!$B$5*(1-MAX(0,MIN(1,(Z59-'Scoring Setup'!$K$12)/(100-'Scoring Setup'!$K$12)))),1),"")</x:f>
        <x:v>1</x:v>
      </x:c>
      <x:c r="AS59" s="27" t="n">
        <x:f>IF(ISNUMBER(AA59),IF('Scoring Setup'!$L$13=1,1-'Scoring Setup'!$B$5*(1-MAX(0,MIN(1,(AA59-'Scoring Setup'!$K$13)/(100-'Scoring Setup'!$K$13)))),1),"")</x:f>
        <x:v>0.9935499253116552</x:v>
      </x:c>
      <x:c r="AT59" s="27" t="n">
        <x:f>IF(ISNUMBER(AB59),IF('Scoring Setup'!$L$14=1,1-'Scoring Setup'!$B$5*(1-MAX(0,MIN(1,(AB59-'Scoring Setup'!$K$14)/(100-'Scoring Setup'!$K$14)))),1),"")</x:f>
        <x:v>0.8</x:v>
      </x:c>
      <x:c r="AU59" s="27" t="n">
        <x:f>IF(ISNUMBER(AC59),IF('Scoring Setup'!$L$15=1,1-'Scoring Setup'!$B$5*(1-MAX(0,MIN(1,(AC59-'Scoring Setup'!$K$15)/(100-'Scoring Setup'!$K$15)))),1),"")</x:f>
        <x:v>0.9998949781608432</x:v>
      </x:c>
      <x:c r="AV59" s="27" t="n">
        <x:f>IF(ISNUMBER(AD59),IF('Scoring Setup'!$L$16=1,1-'Scoring Setup'!$B$5*(1-MAX(0,MIN(1,(AD59-'Scoring Setup'!$K$16)/(100-'Scoring Setup'!$K$16)))),1),"")</x:f>
        <x:v>0.846562584</x:v>
      </x:c>
      <x:c r="AW59" s="27" t="n">
        <x:f>IF(ISNUMBER(AE59),IF('Scoring Setup'!$L$17=1,1-'Scoring Setup'!$B$5*(1-MAX(0,MIN(1,(AE59-'Scoring Setup'!$K$17)/(100-'Scoring Setup'!$K$17)))),1),"")</x:f>
        <x:v>0.865681895</x:v>
      </x:c>
      <x:c r="AX59" s="27" t="n">
        <x:f>IF(ISNUMBER(AF59),IF('Scoring Setup'!$L$18=1,1-'Scoring Setup'!$B$5*(1-MAX(0,MIN(1,(AF59-'Scoring Setup'!$K$18)/(100-'Scoring Setup'!$K$18)))),1),"")</x:f>
        <x:v>0.879474630777441</x:v>
      </x:c>
      <x:c r="AY59" s="27" t="n">
        <x:f>IF(ISNUMBER(AG59),IF('Scoring Setup'!$L$19=1,1-'Scoring Setup'!$B$5*(1-MAX(0,MIN(1,(AG59-'Scoring Setup'!$K$19)/(100-'Scoring Setup'!$K$19)))),1),"")</x:f>
        <x:v>0.8739555555555556</x:v>
      </x:c>
      <x:c r="AZ59" s="27" t="n">
        <x:f>IF(ISNUMBER(AH59),IF('Scoring Setup'!$L$20=1,1-'Scoring Setup'!$B$5*(1-MAX(0,MIN(1,(AH59-'Scoring Setup'!$K$20)/(100-'Scoring Setup'!$K$20)))),1),"")</x:f>
        <x:v>0.9988568495008681</x:v>
      </x:c>
      <x:c r="BA59" s="27" t="n">
        <x:f>IF(ISNUMBER(AI59),IF('Scoring Setup'!$L$21=1,1-'Scoring Setup'!$B$5*(1-MAX(0,MIN(1,(AI59-'Scoring Setup'!$K$21)/(100-'Scoring Setup'!$K$21)))),1),"")</x:f>
        <x:v>0.9970691754931496</x:v>
      </x:c>
      <x:c r="BB59" s="27" t="n">
        <x:f>IF(ISNUMBER(AJ59),IF('Scoring Setup'!$L$22=1,1-'Scoring Setup'!$B$5*(1-MAX(0,MIN(1,(AJ59-'Scoring Setup'!$K$22)/(100-'Scoring Setup'!$K$22)))),1),"")</x:f>
        <x:v>0.8</x:v>
      </x:c>
      <x:c r="BC59" s="27" t="n">
        <x:f>IF(ISNUMBER(AK59),IF('Scoring Setup'!$L$23=1,1-'Scoring Setup'!$B$5*(1-MAX(0,MIN(1,(AK59-'Scoring Setup'!$K$23)/(100-'Scoring Setup'!$K$23)))),1),"")</x:f>
        <x:v>1</x:v>
      </x:c>
      <x:c r="BD59" s="27" t="n">
        <x:f>IF(ISNUMBER(AL59),IF('Scoring Setup'!$L$24=1,1-'Scoring Setup'!$B$5*(1-MAX(0,MIN(1,(AL59-'Scoring Setup'!$K$24)/(100-'Scoring Setup'!$K$24)))),1),"")</x:f>
        <x:v>0.9741818181818181</x:v>
      </x:c>
      <x:c r="BE59" s="27" t="n">
        <x:f>IF(ISNUMBER(AM59),IF('Scoring Setup'!$L$25=1,1-'Scoring Setup'!$B$5*(1-MAX(0,MIN(1,(AM59-'Scoring Setup'!$K$25)/(100-'Scoring Setup'!$K$25)))),1),"")</x:f>
        <x:v>0.8885845218271159</x:v>
      </x:c>
      <x:c r="BF59" s="27" t="n">
        <x:f>IF(ISNUMBER(AN59),IF('Scoring Setup'!$L$26=1,1-'Scoring Setup'!$B$5*(1-MAX(0,MIN(1,(AN59-'Scoring Setup'!$K$26)/(100-'Scoring Setup'!$K$26)))),1),"")</x:f>
        <x:v>0.937286211052675</x:v>
      </x:c>
      <x:c r="BG59" s="34" t="n">
        <x:f>IF(COUNT(W59,X59)=2,AVERAGE(W59,X59),"")</x:f>
        <x:v>10.571428571428573</x:v>
      </x:c>
      <x:c r="BH59" s="34" t="n">
        <x:f>IF(COUNT(Y59,Z59)=2,AVERAGE(Y59,Z59),"")</x:f>
        <x:v>100</x:v>
      </x:c>
      <x:c r="BI59" s="34" t="n">
        <x:f>IF(COUNT(AA59,AB59,AC59)=3,AVERAGE(AA59,AB59,AC59),"")</x:f>
        <x:v>65.57415057874972</x:v>
      </x:c>
      <x:c r="BJ59" s="34" t="n">
        <x:f>IF(COUNT(AD59,AE59)=2,AVERAGE(AD59,AE59),"")</x:f>
        <x:v>28.061119750000003</x:v>
      </x:c>
      <x:c r="BK59" s="34" t="n">
        <x:f>IF(COUNT(AF59,AG59)=2,AVERAGE(AF59,AG59),"")</x:f>
        <x:v>38.35754658324916</x:v>
      </x:c>
      <x:c r="BL59" s="34" t="n">
        <x:f>IF(COUNT(AH59,AI59)=2,AVERAGE(AH59,AI59),"")</x:f>
        <x:v>98.98150624850439</x:v>
      </x:c>
      <x:c r="BM59" s="34" t="n">
        <x:f>IF(COUNT(AJ59,AK59)=2,AVERAGE(AJ59,AK59),"")</x:f>
        <x:v>50</x:v>
      </x:c>
      <x:c r="BN59" s="34" t="n">
        <x:f>IF(COUNT(AL59,AM59,AN59)=3,AVERAGE(AL59,AM59,AN59),"")</x:f>
        <x:v>66.67542517693484</x:v>
      </x:c>
      <x:c r="BO59" s="35" t="n">
        <x:f>IF(AND(COUNT(BG59:BN59)=8,ABS('Scoring Setup'!$C$17-1)&lt;0.000001),BG59*'Scoring Setup'!$C$9+BH59*'Scoring Setup'!$C$10+BI59*'Scoring Setup'!$C$11+BJ59*'Scoring Setup'!$C$12+BK59*'Scoring Setup'!$C$13+BL59*'Scoring Setup'!$C$14+BM59*'Scoring Setup'!$C$15+BN59*'Scoring Setup'!$C$16,"")</x:f>
        <x:v>61.70812741384842</x:v>
      </x:c>
      <x:c r="BP59" s="36" t="n">
        <x:f>IF(COUNT(AO59:BF59)=18,MIN(AO59:BF59),"")</x:f>
        <x:v>0.8</x:v>
      </x:c>
      <x:c r="BQ59" s="35" t="n">
        <x:f>IF(AND(ISNUMBER(BO59),ISNUMBER(BP59)),BO59*BP59,"")</x:f>
        <x:v>49.366501931078744</x:v>
      </x:c>
      <x:c r="BR59" s="17" t="str">
        <x:f>IF(COUNT(AO59:BF59)=18,INDEX('Scoring Setup'!$F$9:$F$26,MATCH(MIN(AO59:BF59),AO59:BF59,0),1),"")</x:f>
        <x:v>洪水损失率全国百分位</x:v>
      </x:c>
    </x:row>
    <x:row r="60">
      <x:c r="A60" s="28" t="str">
        <x:v>13113</x:v>
      </x:c>
      <x:c r="B60" s="28" t="str">
        <x:v>Fayette County</x:v>
      </x:c>
      <x:c r="C60" s="28" t="str">
        <x:v>GA</x:v>
      </x:c>
      <x:c r="D60" s="31" t="n">
        <x:v>504.256682</x:v>
      </x:c>
      <x:c r="E60" s="32" t="n">
        <x:v>0.545</x:v>
      </x:c>
      <x:c r="F60" s="32" t="n">
        <x:v>0.296101485148515</x:v>
      </x:c>
      <x:c r="G60" s="32" t="n">
        <x:v>1.1652933984148754</x:v>
      </x:c>
      <x:c r="H60" s="32" t="n">
        <x:v>1.134330805</x:v>
      </x:c>
      <x:c r="I60" s="32" t="n">
        <x:v>0.6879149189742748</x:v>
      </x:c>
      <x:c r="J60" s="32" t="n">
        <x:v>0.01325192784824109</x:v>
      </x:c>
      <x:c r="K60" s="32" t="n">
        <x:v>0.08372331182281566</x:v>
      </x:c>
      <x:c r="L60" s="32" t="n">
        <x:v>0.641568929</x:v>
      </x:c>
      <x:c r="M60" s="32" t="n">
        <x:v>0.627783119</x:v>
      </x:c>
      <x:c r="N60" s="32" t="n">
        <x:v>59323</x:v>
      </x:c>
      <x:c r="O60" s="32" t="n">
        <x:v>0.1686</x:v>
      </x:c>
      <x:c r="P60" s="32" t="n">
        <x:v>1669.0053304036458</x:v>
      </x:c>
      <x:c r="Q60" s="32" t="n">
        <x:v>33.77586994171143</x:v>
      </x:c>
      <x:c r="R60" s="32" t="n">
        <x:v>16.58748392500004</x:v>
      </x:c>
      <x:c r="S60" s="32" t="n">
        <x:v>8.63657746919564</x:v>
      </x:c>
      <x:c r="T60" s="32" t="n">
        <x:v>72.1</x:v>
      </x:c>
      <x:c r="U60" s="32" t="n">
        <x:v>211.4154781728841</x:v>
      </x:c>
      <x:c r="V60" s="32" t="n">
        <x:v>325.42757789465</x:v>
      </x:c>
      <x:c r="W60" s="33" t="n">
        <x:f>IF(ISNUMBER(E60),100*MAX(0,MIN(1,('Anchors'!$H$6-E60)/('Anchors'!$H$6-'Anchors'!$G$6))),"")</x:f>
        <x:v>50.71428571428571</x:v>
      </x:c>
      <x:c r="X60" s="33" t="n">
        <x:f>IF(ISNUMBER(F60),100*MAX(0,MIN(1,('Anchors'!$H$7-F60)/('Anchors'!$H$7-'Anchors'!$G$7))),"")</x:f>
        <x:v>71.98550212164072</x:v>
      </x:c>
      <x:c r="Y60" s="33" t="n">
        <x:f>IF(ISNUMBER(G60),100*MAX(0,MIN(1,('Anchors'!$H$8-G60)/('Anchors'!$H$8-'Anchors'!$G$8))),"")</x:f>
        <x:v>94.49022005283749</x:v>
      </x:c>
      <x:c r="Z60" s="33" t="n">
        <x:f>IF(ISNUMBER(H60),100*MAX(0,MIN(1,('Anchors'!$H$9-H60)/('Anchors'!$H$9-'Anchors'!$G$9))),"")</x:f>
        <x:v>95.52230649999998</x:v>
      </x:c>
      <x:c r="AA60" s="33" t="n">
        <x:f>IF(ISNUMBER(I60),100*MAX(0,MIN(1,(I60-'Anchors'!$H$10)/('Anchors'!$G$10-'Anchors'!$H$10))),"")</x:f>
        <x:v>59.98834506496915</x:v>
      </x:c>
      <x:c r="AB60" s="33" t="n">
        <x:f>IF(ISNUMBER(J60),100*MAX(0,MIN(1,('Anchors'!$H$11-J60)/('Anchors'!$H$11-'Anchors'!$G$11))),"")</x:f>
        <x:v>94.69922886070357</x:v>
      </x:c>
      <x:c r="AC60" s="33" t="n">
        <x:f>IF(ISNUMBER(K60),100*MAX(0,MIN(1,('Anchors'!$H$12-K60)/('Anchors'!$H$12-'Anchors'!$G$12))),"")</x:f>
        <x:v>79.06917204429608</x:v>
      </x:c>
      <x:c r="AD60" s="33" t="n">
        <x:f>IF(ISNUMBER(L60),100*MAX(0,MIN(1,(L60-'Anchors'!$H$13)/('Anchors'!$G$13-'Anchors'!$H$13))),"")</x:f>
        <x:v>63.08127557142856</x:v>
      </x:c>
      <x:c r="AE60" s="33" t="n">
        <x:f>IF(ISNUMBER(M60),100*MAX(0,MIN(1,(M60-'Anchors'!$H$14)/('Anchors'!$G$14-'Anchors'!$H$14))),"")</x:f>
        <x:v>65.97288987499999</x:v>
      </x:c>
      <x:c r="AF60" s="33" t="n">
        <x:f>IF(ISNUMBER(N60),100*MAX(0,MIN(1,(LN(1+N60)-LN(1+'Anchors'!$H$15))/(LN(1+'Anchors'!$G$15)-LN(1+'Anchors'!$H$15)))),"")</x:f>
        <x:v>78.51218184768524</x:v>
      </x:c>
      <x:c r="AG60" s="33" t="n">
        <x:f>IF(ISNUMBER(O60),100*MAX(0,MIN(1,('Anchors'!$H$16-O60)/('Anchors'!$H$16-'Anchors'!$G$16))),"")</x:f>
        <x:v>86.82222222222224</x:v>
      </x:c>
      <x:c r="AH60" s="33" t="n">
        <x:f>IF(ISNUMBER(P60),100*MAX(0,MIN(1,('Anchors'!$H$17-P60)/('Anchors'!$H$17-'Anchors'!$G$17))),"")</x:f>
        <x:v>35.39964463975695</x:v>
      </x:c>
      <x:c r="AI60" s="33" t="n">
        <x:f>IF(ISNUMBER(Q60),100*MAX(0,MIN(1,('Anchors'!$H$18-Q60)/('Anchors'!$H$18-'Anchors'!$G$18))),"")</x:f>
        <x:v>58.89161436898368</x:v>
      </x:c>
      <x:c r="AJ60" s="33" t="n">
        <x:f>IF(ISNUMBER(R60),100*MAX(0,MIN(1,('Anchors'!$H$19-R60)/('Anchors'!$H$19-'Anchors'!$G$19))),"")</x:f>
        <x:v>74.25003572222212</x:v>
      </x:c>
      <x:c r="AK60" s="33" t="n">
        <x:f>IF(ISNUMBER(S60),100*MAX(0,MIN(1,('Anchors'!$H$20-S60)/('Anchors'!$H$20-'Anchors'!$G$20))),"")</x:f>
        <x:v>59.80748700423347</x:v>
      </x:c>
      <x:c r="AL60" s="33" t="n">
        <x:f>IF(ISNUMBER(T60),100*MAX(0,MIN(1,('Anchors'!$H$21-T60)/('Anchors'!$H$21-'Anchors'!$G$21))),"")</x:f>
        <x:v>87.0909090909091</x:v>
      </x:c>
      <x:c r="AM60" s="33" t="n">
        <x:f>IF(ISNUMBER(U60),100*MAX(0,MIN(1,('Anchors'!$H$22-U60)/('Anchors'!$H$22-'Anchors'!$G$22))),"")</x:f>
        <x:v>44.29226091355795</x:v>
      </x:c>
      <x:c r="AN60" s="33" t="n">
        <x:f>IF(ISNUMBER(V60),100*MAX(0,MIN(1,('Anchors'!$H$23-V60)/('Anchors'!$H$23-'Anchors'!$G$23))),"")</x:f>
        <x:v>68.6431055263375</x:v>
      </x:c>
      <x:c r="AO60" s="27" t="n">
        <x:f>IF(ISNUMBER(W60),IF('Scoring Setup'!$L$9=1,1-'Scoring Setup'!$B$5*(1-MAX(0,MIN(1,(W60-'Scoring Setup'!$K$9)/(100-'Scoring Setup'!$K$9)))),1),"")</x:f>
        <x:v>0.9014285714285715</x:v>
      </x:c>
      <x:c r="AP60" s="27" t="n">
        <x:f>IF(ISNUMBER(X60),IF('Scoring Setup'!$L$10=1,1-'Scoring Setup'!$B$5*(1-MAX(0,MIN(1,(X60-'Scoring Setup'!$K$10)/(100-'Scoring Setup'!$K$10)))),1),"")</x:f>
        <x:v>0.9439710042432814</x:v>
      </x:c>
      <x:c r="AQ60" s="27" t="n">
        <x:f>IF(ISNUMBER(Y60),IF('Scoring Setup'!$L$11=1,1-'Scoring Setup'!$B$5*(1-MAX(0,MIN(1,(Y60-'Scoring Setup'!$K$11)/(100-'Scoring Setup'!$K$11)))),1),"")</x:f>
        <x:v>0.988980440105675</x:v>
      </x:c>
      <x:c r="AR60" s="27" t="n">
        <x:f>IF(ISNUMBER(Z60),IF('Scoring Setup'!$L$12=1,1-'Scoring Setup'!$B$5*(1-MAX(0,MIN(1,(Z60-'Scoring Setup'!$K$12)/(100-'Scoring Setup'!$K$12)))),1),"")</x:f>
        <x:v>0.991044613</x:v>
      </x:c>
      <x:c r="AS60" s="27" t="n">
        <x:f>IF(ISNUMBER(AA60),IF('Scoring Setup'!$L$13=1,1-'Scoring Setup'!$B$5*(1-MAX(0,MIN(1,(AA60-'Scoring Setup'!$K$13)/(100-'Scoring Setup'!$K$13)))),1),"")</x:f>
        <x:v>0.9199766901299383</x:v>
      </x:c>
      <x:c r="AT60" s="27" t="n">
        <x:f>IF(ISNUMBER(AB60),IF('Scoring Setup'!$L$14=1,1-'Scoring Setup'!$B$5*(1-MAX(0,MIN(1,(AB60-'Scoring Setup'!$K$14)/(100-'Scoring Setup'!$K$14)))),1),"")</x:f>
        <x:v>0.9893984577214071</x:v>
      </x:c>
      <x:c r="AU60" s="27" t="n">
        <x:f>IF(ISNUMBER(AC60),IF('Scoring Setup'!$L$15=1,1-'Scoring Setup'!$B$5*(1-MAX(0,MIN(1,(AC60-'Scoring Setup'!$K$15)/(100-'Scoring Setup'!$K$15)))),1),"")</x:f>
        <x:v>0.9581383440885921</x:v>
      </x:c>
      <x:c r="AV60" s="27" t="n">
        <x:f>IF(ISNUMBER(AD60),IF('Scoring Setup'!$L$16=1,1-'Scoring Setup'!$B$5*(1-MAX(0,MIN(1,(AD60-'Scoring Setup'!$K$16)/(100-'Scoring Setup'!$K$16)))),1),"")</x:f>
        <x:v>0.9261625511428572</x:v>
      </x:c>
      <x:c r="AW60" s="27" t="n">
        <x:f>IF(ISNUMBER(AE60),IF('Scoring Setup'!$L$17=1,1-'Scoring Setup'!$B$5*(1-MAX(0,MIN(1,(AE60-'Scoring Setup'!$K$17)/(100-'Scoring Setup'!$K$17)))),1),"")</x:f>
        <x:v>0.93194577975</x:v>
      </x:c>
      <x:c r="AX60" s="27" t="n">
        <x:f>IF(ISNUMBER(AF60),IF('Scoring Setup'!$L$18=1,1-'Scoring Setup'!$B$5*(1-MAX(0,MIN(1,(AF60-'Scoring Setup'!$K$18)/(100-'Scoring Setup'!$K$18)))),1),"")</x:f>
        <x:v>0.9570243636953705</x:v>
      </x:c>
      <x:c r="AY60" s="27" t="n">
        <x:f>IF(ISNUMBER(AG60),IF('Scoring Setup'!$L$19=1,1-'Scoring Setup'!$B$5*(1-MAX(0,MIN(1,(AG60-'Scoring Setup'!$K$19)/(100-'Scoring Setup'!$K$19)))),1),"")</x:f>
        <x:v>0.9736444444444444</x:v>
      </x:c>
      <x:c r="AZ60" s="27" t="n">
        <x:f>IF(ISNUMBER(AH60),IF('Scoring Setup'!$L$20=1,1-'Scoring Setup'!$B$5*(1-MAX(0,MIN(1,(AH60-'Scoring Setup'!$K$20)/(100-'Scoring Setup'!$K$20)))),1),"")</x:f>
        <x:v>0.8707992892795139</x:v>
      </x:c>
      <x:c r="BA60" s="27" t="n">
        <x:f>IF(ISNUMBER(AI60),IF('Scoring Setup'!$L$21=1,1-'Scoring Setup'!$B$5*(1-MAX(0,MIN(1,(AI60-'Scoring Setup'!$K$21)/(100-'Scoring Setup'!$K$21)))),1),"")</x:f>
        <x:v>0.9177832287379674</x:v>
      </x:c>
      <x:c r="BB60" s="27" t="n">
        <x:f>IF(ISNUMBER(AJ60),IF('Scoring Setup'!$L$22=1,1-'Scoring Setup'!$B$5*(1-MAX(0,MIN(1,(AJ60-'Scoring Setup'!$K$22)/(100-'Scoring Setup'!$K$22)))),1),"")</x:f>
        <x:v>0.9485000714444443</x:v>
      </x:c>
      <x:c r="BC60" s="27" t="n">
        <x:f>IF(ISNUMBER(AK60),IF('Scoring Setup'!$L$23=1,1-'Scoring Setup'!$B$5*(1-MAX(0,MIN(1,(AK60-'Scoring Setup'!$K$23)/(100-'Scoring Setup'!$K$23)))),1),"")</x:f>
        <x:v>0.9196149740084669</x:v>
      </x:c>
      <x:c r="BD60" s="27" t="n">
        <x:f>IF(ISNUMBER(AL60),IF('Scoring Setup'!$L$24=1,1-'Scoring Setup'!$B$5*(1-MAX(0,MIN(1,(AL60-'Scoring Setup'!$K$24)/(100-'Scoring Setup'!$K$24)))),1),"")</x:f>
        <x:v>0.9741818181818181</x:v>
      </x:c>
      <x:c r="BE60" s="27" t="n">
        <x:f>IF(ISNUMBER(AM60),IF('Scoring Setup'!$L$25=1,1-'Scoring Setup'!$B$5*(1-MAX(0,MIN(1,(AM60-'Scoring Setup'!$K$25)/(100-'Scoring Setup'!$K$25)))),1),"")</x:f>
        <x:v>0.8885845218271159</x:v>
      </x:c>
      <x:c r="BF60" s="27" t="n">
        <x:f>IF(ISNUMBER(AN60),IF('Scoring Setup'!$L$26=1,1-'Scoring Setup'!$B$5*(1-MAX(0,MIN(1,(AN60-'Scoring Setup'!$K$26)/(100-'Scoring Setup'!$K$26)))),1),"")</x:f>
        <x:v>0.937286211052675</x:v>
      </x:c>
      <x:c r="BG60" s="34" t="n">
        <x:f>IF(COUNT(W60,X60)=2,AVERAGE(W60,X60),"")</x:f>
        <x:v>61.349893917963215</x:v>
      </x:c>
      <x:c r="BH60" s="34" t="n">
        <x:f>IF(COUNT(Y60,Z60)=2,AVERAGE(Y60,Z60),"")</x:f>
        <x:v>95.00626327641874</x:v>
      </x:c>
      <x:c r="BI60" s="34" t="n">
        <x:f>IF(COUNT(AA60,AB60,AC60)=3,AVERAGE(AA60,AB60,AC60),"")</x:f>
        <x:v>77.91891532332293</x:v>
      </x:c>
      <x:c r="BJ60" s="34" t="n">
        <x:f>IF(COUNT(AD60,AE60)=2,AVERAGE(AD60,AE60),"")</x:f>
        <x:v>64.52708272321428</x:v>
      </x:c>
      <x:c r="BK60" s="34" t="n">
        <x:f>IF(COUNT(AF60,AG60)=2,AVERAGE(AF60,AG60),"")</x:f>
        <x:v>82.66720203495373</x:v>
      </x:c>
      <x:c r="BL60" s="34" t="n">
        <x:f>IF(COUNT(AH60,AI60)=2,AVERAGE(AH60,AI60),"")</x:f>
        <x:v>47.14562950437032</x:v>
      </x:c>
      <x:c r="BM60" s="34" t="n">
        <x:f>IF(COUNT(AJ60,AK60)=2,AVERAGE(AJ60,AK60),"")</x:f>
        <x:v>67.0287613632278</x:v>
      </x:c>
      <x:c r="BN60" s="34" t="n">
        <x:f>IF(COUNT(AL60,AM60,AN60)=3,AVERAGE(AL60,AM60,AN60),"")</x:f>
        <x:v>66.67542517693484</x:v>
      </x:c>
      <x:c r="BO60" s="35" t="n">
        <x:f>IF(AND(COUNT(BG60:BN60)=8,ABS('Scoring Setup'!$C$17-1)&lt;0.000001),BG60*'Scoring Setup'!$C$9+BH60*'Scoring Setup'!$C$10+BI60*'Scoring Setup'!$C$11+BJ60*'Scoring Setup'!$C$12+BK60*'Scoring Setup'!$C$13+BL60*'Scoring Setup'!$C$14+BM60*'Scoring Setup'!$C$15+BN60*'Scoring Setup'!$C$16,"")</x:f>
        <x:v>73.35890915168952</x:v>
      </x:c>
      <x:c r="BP60" s="36" t="n">
        <x:f>IF(COUNT(AO60:BF60)=18,MIN(AO60:BF60),"")</x:f>
        <x:v>0.8707992892795139</x:v>
      </x:c>
      <x:c r="BQ60" s="35" t="n">
        <x:f>IF(AND(ISNUMBER(BO60),ISNUMBER(BP60)),BO60*BP60,"")</x:f>
        <x:v>63.88088595161166</x:v>
      </x:c>
      <x:c r="BR60" s="17" t="str">
        <x:f>IF(COUNT(AO60:BF60)=18,INDEX('Scoring Setup'!$F$9:$F$26,MATCH(MIN(AO60:BF60),AO60:BF60,0),1),"")</x:f>
        <x:v>历史CDD65</x:v>
      </x:c>
    </x:row>
    <x:row r="61">
      <x:c r="A61" s="28" t="str">
        <x:v>13115</x:v>
      </x:c>
      <x:c r="B61" s="28" t="str">
        <x:v>Floyd County</x:v>
      </x:c>
      <x:c r="C61" s="28" t="str">
        <x:v>GA</x:v>
      </x:c>
      <x:c r="D61" s="31" t="n">
        <x:v>1320.461793</x:v>
      </x:c>
      <x:c r="E61" s="32" t="n">
        <x:v>0.787</x:v>
      </x:c>
      <x:c r="F61" s="32" t="n">
        <x:v>0.499071782178218</x:v>
      </x:c>
      <x:c r="G61" s="32" t="n">
        <x:v>2.4512971137673114</x:v>
      </x:c>
      <x:c r="H61" s="32" t="n">
        <x:v>2.176128921179449</x:v>
      </x:c>
      <x:c r="I61" s="32" t="n">
        <x:v>0.8857148501416227</x:v>
      </x:c>
      <x:c r="J61" s="32" t="n">
        <x:v>0.0640738338103896</x:v>
      </x:c>
      <x:c r="K61" s="32" t="n">
        <x:v>0.01361729607775551</x:v>
      </x:c>
      <x:c r="L61" s="32" t="n">
        <x:v>0.517723185</x:v>
      </x:c>
      <x:c r="M61" s="32" t="n">
        <x:v>0.51381882</x:v>
      </x:c>
      <x:c r="N61" s="32" t="n">
        <x:v>48038</x:v>
      </x:c>
      <x:c r="O61" s="32" t="n">
        <x:v>0.9284</x:v>
      </x:c>
      <x:c r="P61" s="32" t="n">
        <x:v>1446.0132771809897</x:v>
      </x:c>
      <x:c r="Q61" s="32" t="n">
        <x:v>35.526956176757814</x:v>
      </x:c>
      <x:c r="R61" s="32" t="n">
        <x:v>30.42243771266966</x:v>
      </x:c>
      <x:c r="S61" s="32" t="n">
        <x:v>0.5965964397570399</x:v>
      </x:c>
      <x:c r="T61" s="32" t="n">
        <x:v>72.1</x:v>
      </x:c>
      <x:c r="U61" s="32" t="n">
        <x:v>211.4154781728841</x:v>
      </x:c>
      <x:c r="V61" s="32" t="n">
        <x:v>325.42757789465</x:v>
      </x:c>
      <x:c r="W61" s="33" t="n">
        <x:f>IF(ISNUMBER(E61),100*MAX(0,MIN(1,('Anchors'!$H$6-E61)/('Anchors'!$H$6-'Anchors'!$G$6))),"")</x:f>
        <x:v>16.142857142857142</x:v>
      </x:c>
      <x:c r="X61" s="33" t="n">
        <x:f>IF(ISNUMBER(F61),100*MAX(0,MIN(1,('Anchors'!$H$7-F61)/('Anchors'!$H$7-'Anchors'!$G$7))),"")</x:f>
        <x:v>42.98974540311171</x:v>
      </x:c>
      <x:c r="Y61" s="33" t="n">
        <x:f>IF(ISNUMBER(G61),100*MAX(0,MIN(1,('Anchors'!$H$8-G61)/('Anchors'!$H$8-'Anchors'!$G$8))),"")</x:f>
        <x:v>51.623429541089614</x:v>
      </x:c>
      <x:c r="Z61" s="33" t="n">
        <x:f>IF(ISNUMBER(H61),100*MAX(0,MIN(1,('Anchors'!$H$9-H61)/('Anchors'!$H$9-'Anchors'!$G$9))),"")</x:f>
        <x:v>60.7957026273517</x:v>
      </x:c>
      <x:c r="AA61" s="33" t="n">
        <x:f>IF(ISNUMBER(I61),100*MAX(0,MIN(1,(I61-'Anchors'!$H$10)/('Anchors'!$G$10-'Anchors'!$H$10))),"")</x:f>
        <x:v>87.08422604679762</x:v>
      </x:c>
      <x:c r="AB61" s="33" t="n">
        <x:f>IF(ISNUMBER(J61),100*MAX(0,MIN(1,('Anchors'!$H$11-J61)/('Anchors'!$H$11-'Anchors'!$G$11))),"")</x:f>
        <x:v>74.37046647584415</x:v>
      </x:c>
      <x:c r="AC61" s="33" t="n">
        <x:f>IF(ISNUMBER(K61),100*MAX(0,MIN(1,('Anchors'!$H$12-K61)/('Anchors'!$H$12-'Anchors'!$G$12))),"")</x:f>
        <x:v>96.59567598056113</x:v>
      </x:c>
      <x:c r="AD61" s="33" t="n">
        <x:f>IF(ISNUMBER(L61),100*MAX(0,MIN(1,(L61-'Anchors'!$H$13)/('Anchors'!$G$13-'Anchors'!$H$13))),"")</x:f>
        <x:v>45.389026428571434</x:v>
      </x:c>
      <x:c r="AE61" s="33" t="n">
        <x:f>IF(ISNUMBER(M61),100*MAX(0,MIN(1,(M61-'Anchors'!$H$14)/('Anchors'!$G$14-'Anchors'!$H$14))),"")</x:f>
        <x:v>51.7273525</x:v>
      </x:c>
      <x:c r="AF61" s="33" t="n">
        <x:f>IF(ISNUMBER(N61),100*MAX(0,MIN(1,(LN(1+N61)-LN(1+'Anchors'!$H$15))/(LN(1+'Anchors'!$G$15)-LN(1+'Anchors'!$H$15)))),"")</x:f>
        <x:v>73.62450489860929</x:v>
      </x:c>
      <x:c r="AG61" s="33" t="n">
        <x:f>IF(ISNUMBER(O61),100*MAX(0,MIN(1,('Anchors'!$H$16-O61)/('Anchors'!$H$16-'Anchors'!$G$16))),"")</x:f>
        <x:v>2.399999999999995</x:v>
      </x:c>
      <x:c r="AH61" s="33" t="n">
        <x:f>IF(ISNUMBER(P61),100*MAX(0,MIN(1,('Anchors'!$H$17-P61)/('Anchors'!$H$17-'Anchors'!$G$17))),"")</x:f>
        <x:v>50.26578152126735</x:v>
      </x:c>
      <x:c r="AI61" s="33" t="n">
        <x:f>IF(ISNUMBER(Q61),100*MAX(0,MIN(1,('Anchors'!$H$18-Q61)/('Anchors'!$H$18-'Anchors'!$G$18))),"")</x:f>
        <x:v>56.390062604631694</x:v>
      </x:c>
      <x:c r="AJ61" s="33" t="n">
        <x:f>IF(ISNUMBER(R61),100*MAX(0,MIN(1,('Anchors'!$H$19-R61)/('Anchors'!$H$19-'Anchors'!$G$19))),"")</x:f>
        <x:v>43.505693971845204</x:v>
      </x:c>
      <x:c r="AK61" s="33" t="n">
        <x:f>IF(ISNUMBER(S61),100*MAX(0,MIN(1,('Anchors'!$H$20-S61)/('Anchors'!$H$20-'Anchors'!$G$20))),"")</x:f>
        <x:v>100</x:v>
      </x:c>
      <x:c r="AL61" s="33" t="n">
        <x:f>IF(ISNUMBER(T61),100*MAX(0,MIN(1,('Anchors'!$H$21-T61)/('Anchors'!$H$21-'Anchors'!$G$21))),"")</x:f>
        <x:v>87.0909090909091</x:v>
      </x:c>
      <x:c r="AM61" s="33" t="n">
        <x:f>IF(ISNUMBER(U61),100*MAX(0,MIN(1,('Anchors'!$H$22-U61)/('Anchors'!$H$22-'Anchors'!$G$22))),"")</x:f>
        <x:v>44.29226091355795</x:v>
      </x:c>
      <x:c r="AN61" s="33" t="n">
        <x:f>IF(ISNUMBER(V61),100*MAX(0,MIN(1,('Anchors'!$H$23-V61)/('Anchors'!$H$23-'Anchors'!$G$23))),"")</x:f>
        <x:v>68.6431055263375</x:v>
      </x:c>
      <x:c r="AO61" s="27" t="n">
        <x:f>IF(ISNUMBER(W61),IF('Scoring Setup'!$L$9=1,1-'Scoring Setup'!$B$5*(1-MAX(0,MIN(1,(W61-'Scoring Setup'!$K$9)/(100-'Scoring Setup'!$K$9)))),1),"")</x:f>
        <x:v>0.8322857142857143</x:v>
      </x:c>
      <x:c r="AP61" s="27" t="n">
        <x:f>IF(ISNUMBER(X61),IF('Scoring Setup'!$L$10=1,1-'Scoring Setup'!$B$5*(1-MAX(0,MIN(1,(X61-'Scoring Setup'!$K$10)/(100-'Scoring Setup'!$K$10)))),1),"")</x:f>
        <x:v>0.8859794908062234</x:v>
      </x:c>
      <x:c r="AQ61" s="27" t="n">
        <x:f>IF(ISNUMBER(Y61),IF('Scoring Setup'!$L$11=1,1-'Scoring Setup'!$B$5*(1-MAX(0,MIN(1,(Y61-'Scoring Setup'!$K$11)/(100-'Scoring Setup'!$K$11)))),1),"")</x:f>
        <x:v>0.9032468590821792</x:v>
      </x:c>
      <x:c r="AR61" s="27" t="n">
        <x:f>IF(ISNUMBER(Z61),IF('Scoring Setup'!$L$12=1,1-'Scoring Setup'!$B$5*(1-MAX(0,MIN(1,(Z61-'Scoring Setup'!$K$12)/(100-'Scoring Setup'!$K$12)))),1),"")</x:f>
        <x:v>0.9215914052547034</x:v>
      </x:c>
      <x:c r="AS61" s="27" t="n">
        <x:f>IF(ISNUMBER(AA61),IF('Scoring Setup'!$L$13=1,1-'Scoring Setup'!$B$5*(1-MAX(0,MIN(1,(AA61-'Scoring Setup'!$K$13)/(100-'Scoring Setup'!$K$13)))),1),"")</x:f>
        <x:v>0.9741684520935953</x:v>
      </x:c>
      <x:c r="AT61" s="27" t="n">
        <x:f>IF(ISNUMBER(AB61),IF('Scoring Setup'!$L$14=1,1-'Scoring Setup'!$B$5*(1-MAX(0,MIN(1,(AB61-'Scoring Setup'!$K$14)/(100-'Scoring Setup'!$K$14)))),1),"")</x:f>
        <x:v>0.9487409329516883</x:v>
      </x:c>
      <x:c r="AU61" s="27" t="n">
        <x:f>IF(ISNUMBER(AC61),IF('Scoring Setup'!$L$15=1,1-'Scoring Setup'!$B$5*(1-MAX(0,MIN(1,(AC61-'Scoring Setup'!$K$15)/(100-'Scoring Setup'!$K$15)))),1),"")</x:f>
        <x:v>0.9931913519611223</x:v>
      </x:c>
      <x:c r="AV61" s="27" t="n">
        <x:f>IF(ISNUMBER(AD61),IF('Scoring Setup'!$L$16=1,1-'Scoring Setup'!$B$5*(1-MAX(0,MIN(1,(AD61-'Scoring Setup'!$K$16)/(100-'Scoring Setup'!$K$16)))),1),"")</x:f>
        <x:v>0.8907780528571428</x:v>
      </x:c>
      <x:c r="AW61" s="27" t="n">
        <x:f>IF(ISNUMBER(AE61),IF('Scoring Setup'!$L$17=1,1-'Scoring Setup'!$B$5*(1-MAX(0,MIN(1,(AE61-'Scoring Setup'!$K$17)/(100-'Scoring Setup'!$K$17)))),1),"")</x:f>
        <x:v>0.903454705</x:v>
      </x:c>
      <x:c r="AX61" s="27" t="n">
        <x:f>IF(ISNUMBER(AF61),IF('Scoring Setup'!$L$18=1,1-'Scoring Setup'!$B$5*(1-MAX(0,MIN(1,(AF61-'Scoring Setup'!$K$18)/(100-'Scoring Setup'!$K$18)))),1),"")</x:f>
        <x:v>0.9472490097972186</x:v>
      </x:c>
      <x:c r="AY61" s="27" t="n">
        <x:f>IF(ISNUMBER(AG61),IF('Scoring Setup'!$L$19=1,1-'Scoring Setup'!$B$5*(1-MAX(0,MIN(1,(AG61-'Scoring Setup'!$K$19)/(100-'Scoring Setup'!$K$19)))),1),"")</x:f>
        <x:v>0.8048</x:v>
      </x:c>
      <x:c r="AZ61" s="27" t="n">
        <x:f>IF(ISNUMBER(AH61),IF('Scoring Setup'!$L$20=1,1-'Scoring Setup'!$B$5*(1-MAX(0,MIN(1,(AH61-'Scoring Setup'!$K$20)/(100-'Scoring Setup'!$K$20)))),1),"")</x:f>
        <x:v>0.9005315630425347</x:v>
      </x:c>
      <x:c r="BA61" s="27" t="n">
        <x:f>IF(ISNUMBER(AI61),IF('Scoring Setup'!$L$21=1,1-'Scoring Setup'!$B$5*(1-MAX(0,MIN(1,(AI61-'Scoring Setup'!$K$21)/(100-'Scoring Setup'!$K$21)))),1),"")</x:f>
        <x:v>0.9127801252092633</x:v>
      </x:c>
      <x:c r="BB61" s="27" t="n">
        <x:f>IF(ISNUMBER(AJ61),IF('Scoring Setup'!$L$22=1,1-'Scoring Setup'!$B$5*(1-MAX(0,MIN(1,(AJ61-'Scoring Setup'!$K$22)/(100-'Scoring Setup'!$K$22)))),1),"")</x:f>
        <x:v>0.8870113879436904</x:v>
      </x:c>
      <x:c r="BC61" s="27" t="n">
        <x:f>IF(ISNUMBER(AK61),IF('Scoring Setup'!$L$23=1,1-'Scoring Setup'!$B$5*(1-MAX(0,MIN(1,(AK61-'Scoring Setup'!$K$23)/(100-'Scoring Setup'!$K$23)))),1),"")</x:f>
        <x:v>1</x:v>
      </x:c>
      <x:c r="BD61" s="27" t="n">
        <x:f>IF(ISNUMBER(AL61),IF('Scoring Setup'!$L$24=1,1-'Scoring Setup'!$B$5*(1-MAX(0,MIN(1,(AL61-'Scoring Setup'!$K$24)/(100-'Scoring Setup'!$K$24)))),1),"")</x:f>
        <x:v>0.9741818181818181</x:v>
      </x:c>
      <x:c r="BE61" s="27" t="n">
        <x:f>IF(ISNUMBER(AM61),IF('Scoring Setup'!$L$25=1,1-'Scoring Setup'!$B$5*(1-MAX(0,MIN(1,(AM61-'Scoring Setup'!$K$25)/(100-'Scoring Setup'!$K$25)))),1),"")</x:f>
        <x:v>0.8885845218271159</x:v>
      </x:c>
      <x:c r="BF61" s="27" t="n">
        <x:f>IF(ISNUMBER(AN61),IF('Scoring Setup'!$L$26=1,1-'Scoring Setup'!$B$5*(1-MAX(0,MIN(1,(AN61-'Scoring Setup'!$K$26)/(100-'Scoring Setup'!$K$26)))),1),"")</x:f>
        <x:v>0.937286211052675</x:v>
      </x:c>
      <x:c r="BG61" s="34" t="n">
        <x:f>IF(COUNT(W61,X61)=2,AVERAGE(W61,X61),"")</x:f>
        <x:v>29.566301272984425</x:v>
      </x:c>
      <x:c r="BH61" s="34" t="n">
        <x:f>IF(COUNT(Y61,Z61)=2,AVERAGE(Y61,Z61),"")</x:f>
        <x:v>56.209566084220654</x:v>
      </x:c>
      <x:c r="BI61" s="34" t="n">
        <x:f>IF(COUNT(AA61,AB61,AC61)=3,AVERAGE(AA61,AB61,AC61),"")</x:f>
        <x:v>86.01678950106763</x:v>
      </x:c>
      <x:c r="BJ61" s="34" t="n">
        <x:f>IF(COUNT(AD61,AE61)=2,AVERAGE(AD61,AE61),"")</x:f>
        <x:v>48.55818946428572</x:v>
      </x:c>
      <x:c r="BK61" s="34" t="n">
        <x:f>IF(COUNT(AF61,AG61)=2,AVERAGE(AF61,AG61),"")</x:f>
        <x:v>38.01225244930464</x:v>
      </x:c>
      <x:c r="BL61" s="34" t="n">
        <x:f>IF(COUNT(AH61,AI61)=2,AVERAGE(AH61,AI61),"")</x:f>
        <x:v>53.327922062949526</x:v>
      </x:c>
      <x:c r="BM61" s="34" t="n">
        <x:f>IF(COUNT(AJ61,AK61)=2,AVERAGE(AJ61,AK61),"")</x:f>
        <x:v>71.7528469859226</x:v>
      </x:c>
      <x:c r="BN61" s="34" t="n">
        <x:f>IF(COUNT(AL61,AM61,AN61)=3,AVERAGE(AL61,AM61,AN61),"")</x:f>
        <x:v>66.67542517693484</x:v>
      </x:c>
      <x:c r="BO61" s="35" t="n">
        <x:f>IF(AND(COUNT(BG61:BN61)=8,ABS('Scoring Setup'!$C$17-1)&lt;0.000001),BG61*'Scoring Setup'!$C$9+BH61*'Scoring Setup'!$C$10+BI61*'Scoring Setup'!$C$11+BJ61*'Scoring Setup'!$C$12+BK61*'Scoring Setup'!$C$13+BL61*'Scoring Setup'!$C$14+BM61*'Scoring Setup'!$C$15+BN61*'Scoring Setup'!$C$16,"")</x:f>
        <x:v>57.71393249113243</x:v>
      </x:c>
      <x:c r="BP61" s="36" t="n">
        <x:f>IF(COUNT(AO61:BF61)=18,MIN(AO61:BF61),"")</x:f>
        <x:v>0.8048</x:v>
      </x:c>
      <x:c r="BQ61" s="35" t="n">
        <x:f>IF(AND(ISNUMBER(BO61),ISNUMBER(BP61)),BO61*BP61,"")</x:f>
        <x:v>46.44817286886338</x:v>
      </x:c>
      <x:c r="BR61" s="17" t="str">
        <x:f>IF(COUNT(AO61:BF61)=18,INDEX('Scoring Setup'!$F$9:$F$26,MATCH(MIN(AO61:BF61),AO61:BF61,0),1),"")</x:f>
        <x:v>社会脆弱性百分位</x:v>
      </x:c>
    </x:row>
    <x:row r="62">
      <x:c r="A62" s="28" t="str">
        <x:v>13117</x:v>
      </x:c>
      <x:c r="B62" s="28" t="str">
        <x:v>Forsyth County</x:v>
      </x:c>
      <x:c r="C62" s="28" t="str">
        <x:v>GA</x:v>
      </x:c>
      <x:c r="D62" s="31" t="n">
        <x:v>581.754407</x:v>
      </x:c>
      <x:c r="E62" s="32" t="n">
        <x:v>0.56</x:v>
      </x:c>
      <x:c r="F62" s="32" t="n">
        <x:v>0.622215346534653</x:v>
      </x:c>
      <x:c r="G62" s="32" t="n">
        <x:v>2.7878724568238606</x:v>
      </x:c>
      <x:c r="H62" s="32" t="n">
        <x:v>2.5797737576963</x:v>
      </x:c>
      <x:c r="I62" s="32" t="n">
        <x:v>0.5985869956800064</x:v>
      </x:c>
      <x:c r="J62" s="32" t="n">
        <x:v>0.005552211620753493</x:v>
      </x:c>
      <x:c r="K62" s="32" t="n">
        <x:v>0.013500364874726344</x:v>
      </x:c>
      <x:c r="L62" s="32" t="n">
        <x:v>0.701523552</x:v>
      </x:c>
      <x:c r="M62" s="32" t="n">
        <x:v>0.693154069</x:v>
      </x:c>
      <x:c r="N62" s="32" t="n">
        <x:v>148478</x:v>
      </x:c>
      <x:c r="O62" s="32" t="n">
        <x:v>0.07</x:v>
      </x:c>
      <x:c r="P62" s="32" t="n">
        <x:v>1293.3383911132812</x:v>
      </x:c>
      <x:c r="Q62" s="32" t="n">
        <x:v>22.745748202006023</x:v>
      </x:c>
      <x:c r="R62" s="32" t="n">
        <x:v>18.545951176140786</x:v>
      </x:c>
      <x:c r="S62" s="32" t="n">
        <x:v>15.597353916555212</x:v>
      </x:c>
      <x:c r="T62" s="32" t="n">
        <x:v>72.1</x:v>
      </x:c>
      <x:c r="U62" s="32" t="n">
        <x:v>211.4154781728841</x:v>
      </x:c>
      <x:c r="V62" s="32" t="n">
        <x:v>325.42757789465</x:v>
      </x:c>
      <x:c r="W62" s="33" t="n">
        <x:f>IF(ISNUMBER(E62),100*MAX(0,MIN(1,('Anchors'!$H$6-E62)/('Anchors'!$H$6-'Anchors'!$G$6))),"")</x:f>
        <x:v>48.57142857142857</x:v>
      </x:c>
      <x:c r="X62" s="33" t="n">
        <x:f>IF(ISNUMBER(F62),100*MAX(0,MIN(1,('Anchors'!$H$7-F62)/('Anchors'!$H$7-'Anchors'!$G$7))),"")</x:f>
        <x:v>25.39780763790671</x:v>
      </x:c>
      <x:c r="Y62" s="33" t="n">
        <x:f>IF(ISNUMBER(G62),100*MAX(0,MIN(1,('Anchors'!$H$8-G62)/('Anchors'!$H$8-'Anchors'!$G$8))),"")</x:f>
        <x:v>40.40425143920465</x:v>
      </x:c>
      <x:c r="Z62" s="33" t="n">
        <x:f>IF(ISNUMBER(H62),100*MAX(0,MIN(1,('Anchors'!$H$9-H62)/('Anchors'!$H$9-'Anchors'!$G$9))),"")</x:f>
        <x:v>47.34087474345667</x:v>
      </x:c>
      <x:c r="AA62" s="33" t="n">
        <x:f>IF(ISNUMBER(I62),100*MAX(0,MIN(1,(I62-'Anchors'!$H$10)/('Anchors'!$G$10-'Anchors'!$H$10))),"")</x:f>
        <x:v>47.7516432438365</x:v>
      </x:c>
      <x:c r="AB62" s="33" t="n">
        <x:f>IF(ISNUMBER(J62),100*MAX(0,MIN(1,('Anchors'!$H$11-J62)/('Anchors'!$H$11-'Anchors'!$G$11))),"")</x:f>
        <x:v>97.7791153516986</x:v>
      </x:c>
      <x:c r="AC62" s="33" t="n">
        <x:f>IF(ISNUMBER(K62),100*MAX(0,MIN(1,('Anchors'!$H$12-K62)/('Anchors'!$H$12-'Anchors'!$G$12))),"")</x:f>
        <x:v>96.62490878131842</x:v>
      </x:c>
      <x:c r="AD62" s="33" t="n">
        <x:f>IF(ISNUMBER(L62),100*MAX(0,MIN(1,(L62-'Anchors'!$H$13)/('Anchors'!$G$13-'Anchors'!$H$13))),"")</x:f>
        <x:v>71.64622171428573</x:v>
      </x:c>
      <x:c r="AE62" s="33" t="n">
        <x:f>IF(ISNUMBER(M62),100*MAX(0,MIN(1,(M62-'Anchors'!$H$14)/('Anchors'!$G$14-'Anchors'!$H$14))),"")</x:f>
        <x:v>74.14425862499999</x:v>
      </x:c>
      <x:c r="AF62" s="33" t="n">
        <x:f>IF(ISNUMBER(N62),100*MAX(0,MIN(1,(LN(1+N62)-LN(1+'Anchors'!$H$15))/(LN(1+'Anchors'!$G$15)-LN(1+'Anchors'!$H$15)))),"")</x:f>
        <x:v>99.76376097578567</x:v>
      </x:c>
      <x:c r="AG62" s="33" t="n">
        <x:f>IF(ISNUMBER(O62),100*MAX(0,MIN(1,('Anchors'!$H$16-O62)/('Anchors'!$H$16-'Anchors'!$G$16))),"")</x:f>
        <x:v>97.77777777777777</x:v>
      </x:c>
      <x:c r="AH62" s="33" t="n">
        <x:f>IF(ISNUMBER(P62),100*MAX(0,MIN(1,('Anchors'!$H$17-P62)/('Anchors'!$H$17-'Anchors'!$G$17))),"")</x:f>
        <x:v>60.44410725911459</x:v>
      </x:c>
      <x:c r="AI62" s="33" t="n">
        <x:f>IF(ISNUMBER(Q62),100*MAX(0,MIN(1,('Anchors'!$H$18-Q62)/('Anchors'!$H$18-'Anchors'!$G$18))),"")</x:f>
        <x:v>74.64893113999139</x:v>
      </x:c>
      <x:c r="AJ62" s="33" t="n">
        <x:f>IF(ISNUMBER(R62),100*MAX(0,MIN(1,('Anchors'!$H$19-R62)/('Anchors'!$H$19-'Anchors'!$G$19))),"")</x:f>
        <x:v>69.8978862752427</x:v>
      </x:c>
      <x:c r="AK62" s="33" t="n">
        <x:f>IF(ISNUMBER(S62),100*MAX(0,MIN(1,('Anchors'!$H$20-S62)/('Anchors'!$H$20-'Anchors'!$G$20))),"")</x:f>
        <x:v>23.171821491814672</x:v>
      </x:c>
      <x:c r="AL62" s="33" t="n">
        <x:f>IF(ISNUMBER(T62),100*MAX(0,MIN(1,('Anchors'!$H$21-T62)/('Anchors'!$H$21-'Anchors'!$G$21))),"")</x:f>
        <x:v>87.0909090909091</x:v>
      </x:c>
      <x:c r="AM62" s="33" t="n">
        <x:f>IF(ISNUMBER(U62),100*MAX(0,MIN(1,('Anchors'!$H$22-U62)/('Anchors'!$H$22-'Anchors'!$G$22))),"")</x:f>
        <x:v>44.29226091355795</x:v>
      </x:c>
      <x:c r="AN62" s="33" t="n">
        <x:f>IF(ISNUMBER(V62),100*MAX(0,MIN(1,('Anchors'!$H$23-V62)/('Anchors'!$H$23-'Anchors'!$G$23))),"")</x:f>
        <x:v>68.6431055263375</x:v>
      </x:c>
      <x:c r="AO62" s="27" t="n">
        <x:f>IF(ISNUMBER(W62),IF('Scoring Setup'!$L$9=1,1-'Scoring Setup'!$B$5*(1-MAX(0,MIN(1,(W62-'Scoring Setup'!$K$9)/(100-'Scoring Setup'!$K$9)))),1),"")</x:f>
        <x:v>0.8971428571428571</x:v>
      </x:c>
      <x:c r="AP62" s="27" t="n">
        <x:f>IF(ISNUMBER(X62),IF('Scoring Setup'!$L$10=1,1-'Scoring Setup'!$B$5*(1-MAX(0,MIN(1,(X62-'Scoring Setup'!$K$10)/(100-'Scoring Setup'!$K$10)))),1),"")</x:f>
        <x:v>0.8507956152758134</x:v>
      </x:c>
      <x:c r="AQ62" s="27" t="n">
        <x:f>IF(ISNUMBER(Y62),IF('Scoring Setup'!$L$11=1,1-'Scoring Setup'!$B$5*(1-MAX(0,MIN(1,(Y62-'Scoring Setup'!$K$11)/(100-'Scoring Setup'!$K$11)))),1),"")</x:f>
        <x:v>0.8808085028784093</x:v>
      </x:c>
      <x:c r="AR62" s="27" t="n">
        <x:f>IF(ISNUMBER(Z62),IF('Scoring Setup'!$L$12=1,1-'Scoring Setup'!$B$5*(1-MAX(0,MIN(1,(Z62-'Scoring Setup'!$K$12)/(100-'Scoring Setup'!$K$12)))),1),"")</x:f>
        <x:v>0.8946817494869134</x:v>
      </x:c>
      <x:c r="AS62" s="27" t="n">
        <x:f>IF(ISNUMBER(AA62),IF('Scoring Setup'!$L$13=1,1-'Scoring Setup'!$B$5*(1-MAX(0,MIN(1,(AA62-'Scoring Setup'!$K$13)/(100-'Scoring Setup'!$K$13)))),1),"")</x:f>
        <x:v>0.895503286487673</x:v>
      </x:c>
      <x:c r="AT62" s="27" t="n">
        <x:f>IF(ISNUMBER(AB62),IF('Scoring Setup'!$L$14=1,1-'Scoring Setup'!$B$5*(1-MAX(0,MIN(1,(AB62-'Scoring Setup'!$K$14)/(100-'Scoring Setup'!$K$14)))),1),"")</x:f>
        <x:v>0.9955582307033972</x:v>
      </x:c>
      <x:c r="AU62" s="27" t="n">
        <x:f>IF(ISNUMBER(AC62),IF('Scoring Setup'!$L$15=1,1-'Scoring Setup'!$B$5*(1-MAX(0,MIN(1,(AC62-'Scoring Setup'!$K$15)/(100-'Scoring Setup'!$K$15)))),1),"")</x:f>
        <x:v>0.9932498175626369</x:v>
      </x:c>
      <x:c r="AV62" s="27" t="n">
        <x:f>IF(ISNUMBER(AD62),IF('Scoring Setup'!$L$16=1,1-'Scoring Setup'!$B$5*(1-MAX(0,MIN(1,(AD62-'Scoring Setup'!$K$16)/(100-'Scoring Setup'!$K$16)))),1),"")</x:f>
        <x:v>0.9432924434285714</x:v>
      </x:c>
      <x:c r="AW62" s="27" t="n">
        <x:f>IF(ISNUMBER(AE62),IF('Scoring Setup'!$L$17=1,1-'Scoring Setup'!$B$5*(1-MAX(0,MIN(1,(AE62-'Scoring Setup'!$K$17)/(100-'Scoring Setup'!$K$17)))),1),"")</x:f>
        <x:v>0.94828851725</x:v>
      </x:c>
      <x:c r="AX62" s="27" t="n">
        <x:f>IF(ISNUMBER(AF62),IF('Scoring Setup'!$L$18=1,1-'Scoring Setup'!$B$5*(1-MAX(0,MIN(1,(AF62-'Scoring Setup'!$K$18)/(100-'Scoring Setup'!$K$18)))),1),"")</x:f>
        <x:v>0.9995275219515714</x:v>
      </x:c>
      <x:c r="AY62" s="27" t="n">
        <x:f>IF(ISNUMBER(AG62),IF('Scoring Setup'!$L$19=1,1-'Scoring Setup'!$B$5*(1-MAX(0,MIN(1,(AG62-'Scoring Setup'!$K$19)/(100-'Scoring Setup'!$K$19)))),1),"")</x:f>
        <x:v>0.9955555555555555</x:v>
      </x:c>
      <x:c r="AZ62" s="27" t="n">
        <x:f>IF(ISNUMBER(AH62),IF('Scoring Setup'!$L$20=1,1-'Scoring Setup'!$B$5*(1-MAX(0,MIN(1,(AH62-'Scoring Setup'!$K$20)/(100-'Scoring Setup'!$K$20)))),1),"")</x:f>
        <x:v>0.9208882145182291</x:v>
      </x:c>
      <x:c r="BA62" s="27" t="n">
        <x:f>IF(ISNUMBER(AI62),IF('Scoring Setup'!$L$21=1,1-'Scoring Setup'!$B$5*(1-MAX(0,MIN(1,(AI62-'Scoring Setup'!$K$21)/(100-'Scoring Setup'!$K$21)))),1),"")</x:f>
        <x:v>0.9492978622799828</x:v>
      </x:c>
      <x:c r="BB62" s="27" t="n">
        <x:f>IF(ISNUMBER(AJ62),IF('Scoring Setup'!$L$22=1,1-'Scoring Setup'!$B$5*(1-MAX(0,MIN(1,(AJ62-'Scoring Setup'!$K$22)/(100-'Scoring Setup'!$K$22)))),1),"")</x:f>
        <x:v>0.9397957725504854</x:v>
      </x:c>
      <x:c r="BC62" s="27" t="n">
        <x:f>IF(ISNUMBER(AK62),IF('Scoring Setup'!$L$23=1,1-'Scoring Setup'!$B$5*(1-MAX(0,MIN(1,(AK62-'Scoring Setup'!$K$23)/(100-'Scoring Setup'!$K$23)))),1),"")</x:f>
        <x:v>0.8463436429836293</x:v>
      </x:c>
      <x:c r="BD62" s="27" t="n">
        <x:f>IF(ISNUMBER(AL62),IF('Scoring Setup'!$L$24=1,1-'Scoring Setup'!$B$5*(1-MAX(0,MIN(1,(AL62-'Scoring Setup'!$K$24)/(100-'Scoring Setup'!$K$24)))),1),"")</x:f>
        <x:v>0.9741818181818181</x:v>
      </x:c>
      <x:c r="BE62" s="27" t="n">
        <x:f>IF(ISNUMBER(AM62),IF('Scoring Setup'!$L$25=1,1-'Scoring Setup'!$B$5*(1-MAX(0,MIN(1,(AM62-'Scoring Setup'!$K$25)/(100-'Scoring Setup'!$K$25)))),1),"")</x:f>
        <x:v>0.8885845218271159</x:v>
      </x:c>
      <x:c r="BF62" s="27" t="n">
        <x:f>IF(ISNUMBER(AN62),IF('Scoring Setup'!$L$26=1,1-'Scoring Setup'!$B$5*(1-MAX(0,MIN(1,(AN62-'Scoring Setup'!$K$26)/(100-'Scoring Setup'!$K$26)))),1),"")</x:f>
        <x:v>0.937286211052675</x:v>
      </x:c>
      <x:c r="BG62" s="34" t="n">
        <x:f>IF(COUNT(W62,X62)=2,AVERAGE(W62,X62),"")</x:f>
        <x:v>36.98461810466764</x:v>
      </x:c>
      <x:c r="BH62" s="34" t="n">
        <x:f>IF(COUNT(Y62,Z62)=2,AVERAGE(Y62,Z62),"")</x:f>
        <x:v>43.87256309133066</x:v>
      </x:c>
      <x:c r="BI62" s="34" t="n">
        <x:f>IF(COUNT(AA62,AB62,AC62)=3,AVERAGE(AA62,AB62,AC62),"")</x:f>
        <x:v>80.7185557922845</x:v>
      </x:c>
      <x:c r="BJ62" s="34" t="n">
        <x:f>IF(COUNT(AD62,AE62)=2,AVERAGE(AD62,AE62),"")</x:f>
        <x:v>72.89524016964286</x:v>
      </x:c>
      <x:c r="BK62" s="34" t="n">
        <x:f>IF(COUNT(AF62,AG62)=2,AVERAGE(AF62,AG62),"")</x:f>
        <x:v>98.77076937678171</x:v>
      </x:c>
      <x:c r="BL62" s="34" t="n">
        <x:f>IF(COUNT(AH62,AI62)=2,AVERAGE(AH62,AI62),"")</x:f>
        <x:v>67.54651919955299</x:v>
      </x:c>
      <x:c r="BM62" s="34" t="n">
        <x:f>IF(COUNT(AJ62,AK62)=2,AVERAGE(AJ62,AK62),"")</x:f>
        <x:v>46.53485388352868</x:v>
      </x:c>
      <x:c r="BN62" s="34" t="n">
        <x:f>IF(COUNT(AL62,AM62,AN62)=3,AVERAGE(AL62,AM62,AN62),"")</x:f>
        <x:v>66.67542517693484</x:v>
      </x:c>
      <x:c r="BO62" s="35" t="n">
        <x:f>IF(AND(COUNT(BG62:BN62)=8,ABS('Scoring Setup'!$C$17-1)&lt;0.000001),BG62*'Scoring Setup'!$C$9+BH62*'Scoring Setup'!$C$10+BI62*'Scoring Setup'!$C$11+BJ62*'Scoring Setup'!$C$12+BK62*'Scoring Setup'!$C$13+BL62*'Scoring Setup'!$C$14+BM62*'Scoring Setup'!$C$15+BN62*'Scoring Setup'!$C$16,"")</x:f>
        <x:v>63.418127169838336</x:v>
      </x:c>
      <x:c r="BP62" s="36" t="n">
        <x:f>IF(COUNT(AO62:BF62)=18,MIN(AO62:BF62),"")</x:f>
        <x:v>0.8463436429836293</x:v>
      </x:c>
      <x:c r="BQ62" s="35" t="n">
        <x:f>IF(AND(ISNUMBER(BO62),ISNUMBER(BP62)),BO62*BP62,"")</x:f>
        <x:v>53.67352878012006</x:v>
      </x:c>
      <x:c r="BR62" s="17" t="str">
        <x:f>IF(COUNT(AO62:BF62)=18,INDEX('Scoring Setup'!$F$9:$F$26,MATCH(MIN(AO62:BF62),AO62:BF62,0),1),"")</x:f>
        <x:v>到铁路距离</x:v>
      </x:c>
    </x:row>
    <x:row r="63">
      <x:c r="A63" s="28" t="str">
        <x:v>13119</x:v>
      </x:c>
      <x:c r="B63" s="28" t="str">
        <x:v>Franklin County</x:v>
      </x:c>
      <x:c r="C63" s="28" t="str">
        <x:v>GA</x:v>
      </x:c>
      <x:c r="D63" s="31" t="n">
        <x:v>676.873326</x:v>
      </x:c>
      <x:c r="E63" s="32" t="n">
        <x:v>0.566</x:v>
      </x:c>
      <x:c r="F63" s="32" t="n">
        <x:v>0.43811881188118795</x:v>
      </x:c>
      <x:c r="G63" s="32" t="n">
        <x:v>2.9319263807808364</x:v>
      </x:c>
      <x:c r="H63" s="32" t="n">
        <x:v>2.735302759</x:v>
      </x:c>
      <x:c r="I63" s="32" t="n">
        <x:v>0.9187664958241433</x:v>
      </x:c>
      <x:c r="J63" s="32" t="n">
        <x:v>0.003013384461236741</x:v>
      </x:c>
      <x:c r="K63" s="32" t="n">
        <x:v>0.03535726186509259</x:v>
      </x:c>
      <x:c r="L63" s="32" t="n">
        <x:v>0.198730662</x:v>
      </x:c>
      <x:c r="M63" s="32" t="n">
        <x:v>0.198730662</x:v>
      </x:c>
      <x:c r="N63" s="32" t="n">
        <x:v>10089</x:v>
      </x:c>
      <x:c r="O63" s="32" t="n">
        <x:v>0.8314</x:v>
      </x:c>
      <x:c r="P63" s="32" t="n">
        <x:v>1520.7092244466146</x:v>
      </x:c>
      <x:c r="Q63" s="32" t="n">
        <x:v>35.5015308380127</x:v>
      </x:c>
      <x:c r="R63" s="32" t="n">
        <x:v>1.6349095195804424</x:v>
      </x:c>
      <x:c r="S63" s="32" t="n">
        <x:v>10.97260550985208</x:v>
      </x:c>
      <x:c r="T63" s="32" t="n">
        <x:v>72.1</x:v>
      </x:c>
      <x:c r="U63" s="32" t="n">
        <x:v>211.4154781728841</x:v>
      </x:c>
      <x:c r="V63" s="32" t="n">
        <x:v>325.42757789465</x:v>
      </x:c>
      <x:c r="W63" s="33" t="n">
        <x:f>IF(ISNUMBER(E63),100*MAX(0,MIN(1,('Anchors'!$H$6-E63)/('Anchors'!$H$6-'Anchors'!$G$6))),"")</x:f>
        <x:v>47.71428571428572</x:v>
      </x:c>
      <x:c r="X63" s="33" t="n">
        <x:f>IF(ISNUMBER(F63),100*MAX(0,MIN(1,('Anchors'!$H$7-F63)/('Anchors'!$H$7-'Anchors'!$G$7))),"")</x:f>
        <x:v>51.69731258840172</x:v>
      </x:c>
      <x:c r="Y63" s="33" t="n">
        <x:f>IF(ISNUMBER(G63),100*MAX(0,MIN(1,('Anchors'!$H$8-G63)/('Anchors'!$H$8-'Anchors'!$G$8))),"")</x:f>
        <x:v>35.60245397397212</x:v>
      </x:c>
      <x:c r="Z63" s="33" t="n">
        <x:f>IF(ISNUMBER(H63),100*MAX(0,MIN(1,('Anchors'!$H$9-H63)/('Anchors'!$H$9-'Anchors'!$G$9))),"")</x:f>
        <x:v>42.1565747</x:v>
      </x:c>
      <x:c r="AA63" s="33" t="n">
        <x:f>IF(ISNUMBER(I63),100*MAX(0,MIN(1,(I63-'Anchors'!$H$10)/('Anchors'!$G$10-'Anchors'!$H$10))),"")</x:f>
        <x:v>91.61184874303333</x:v>
      </x:c>
      <x:c r="AB63" s="33" t="n">
        <x:f>IF(ISNUMBER(J63),100*MAX(0,MIN(1,('Anchors'!$H$11-J63)/('Anchors'!$H$11-'Anchors'!$G$11))),"")</x:f>
        <x:v>98.7946462155053</x:v>
      </x:c>
      <x:c r="AC63" s="33" t="n">
        <x:f>IF(ISNUMBER(K63),100*MAX(0,MIN(1,('Anchors'!$H$12-K63)/('Anchors'!$H$12-'Anchors'!$G$12))),"")</x:f>
        <x:v>91.16068453372685</x:v>
      </x:c>
      <x:c r="AD63" s="33" t="n">
        <x:f>IF(ISNUMBER(L63),100*MAX(0,MIN(1,(L63-'Anchors'!$H$13)/('Anchors'!$G$13-'Anchors'!$H$13))),"")</x:f>
        <x:v>0</x:v>
      </x:c>
      <x:c r="AE63" s="33" t="n">
        <x:f>IF(ISNUMBER(M63),100*MAX(0,MIN(1,(M63-'Anchors'!$H$14)/('Anchors'!$G$14-'Anchors'!$H$14))),"")</x:f>
        <x:v>12.34133275</x:v>
      </x:c>
      <x:c r="AF63" s="33" t="n">
        <x:f>IF(ISNUMBER(N63),100*MAX(0,MIN(1,(LN(1+N63)-LN(1+'Anchors'!$H$15))/(LN(1+'Anchors'!$G$15)-LN(1+'Anchors'!$H$15)))),"")</x:f>
        <x:v>37.47740764849917</x:v>
      </x:c>
      <x:c r="AG63" s="33" t="n">
        <x:f>IF(ISNUMBER(O63),100*MAX(0,MIN(1,('Anchors'!$H$16-O63)/('Anchors'!$H$16-'Anchors'!$G$16))),"")</x:f>
        <x:v>13.177777777777772</x:v>
      </x:c>
      <x:c r="AH63" s="33" t="n">
        <x:f>IF(ISNUMBER(P63),100*MAX(0,MIN(1,('Anchors'!$H$17-P63)/('Anchors'!$H$17-'Anchors'!$G$17))),"")</x:f>
        <x:v>45.286051703559025</x:v>
      </x:c>
      <x:c r="AI63" s="33" t="n">
        <x:f>IF(ISNUMBER(Q63),100*MAX(0,MIN(1,('Anchors'!$H$18-Q63)/('Anchors'!$H$18-'Anchors'!$G$18))),"")</x:f>
        <x:v>56.42638451712472</x:v>
      </x:c>
      <x:c r="AJ63" s="33" t="n">
        <x:f>IF(ISNUMBER(R63),100*MAX(0,MIN(1,('Anchors'!$H$19-R63)/('Anchors'!$H$19-'Anchors'!$G$19))),"")</x:f>
        <x:v>100</x:v>
      </x:c>
      <x:c r="AK63" s="33" t="n">
        <x:f>IF(ISNUMBER(S63),100*MAX(0,MIN(1,('Anchors'!$H$20-S63)/('Anchors'!$H$20-'Anchors'!$G$20))),"")</x:f>
        <x:v>47.51260257972589</x:v>
      </x:c>
      <x:c r="AL63" s="33" t="n">
        <x:f>IF(ISNUMBER(T63),100*MAX(0,MIN(1,('Anchors'!$H$21-T63)/('Anchors'!$H$21-'Anchors'!$G$21))),"")</x:f>
        <x:v>87.0909090909091</x:v>
      </x:c>
      <x:c r="AM63" s="33" t="n">
        <x:f>IF(ISNUMBER(U63),100*MAX(0,MIN(1,('Anchors'!$H$22-U63)/('Anchors'!$H$22-'Anchors'!$G$22))),"")</x:f>
        <x:v>44.29226091355795</x:v>
      </x:c>
      <x:c r="AN63" s="33" t="n">
        <x:f>IF(ISNUMBER(V63),100*MAX(0,MIN(1,('Anchors'!$H$23-V63)/('Anchors'!$H$23-'Anchors'!$G$23))),"")</x:f>
        <x:v>68.6431055263375</x:v>
      </x:c>
      <x:c r="AO63" s="27" t="n">
        <x:f>IF(ISNUMBER(W63),IF('Scoring Setup'!$L$9=1,1-'Scoring Setup'!$B$5*(1-MAX(0,MIN(1,(W63-'Scoring Setup'!$K$9)/(100-'Scoring Setup'!$K$9)))),1),"")</x:f>
        <x:v>0.8954285714285715</x:v>
      </x:c>
      <x:c r="AP63" s="27" t="n">
        <x:f>IF(ISNUMBER(X63),IF('Scoring Setup'!$L$10=1,1-'Scoring Setup'!$B$5*(1-MAX(0,MIN(1,(X63-'Scoring Setup'!$K$10)/(100-'Scoring Setup'!$K$10)))),1),"")</x:f>
        <x:v>0.9033946251768035</x:v>
      </x:c>
      <x:c r="AQ63" s="27" t="n">
        <x:f>IF(ISNUMBER(Y63),IF('Scoring Setup'!$L$11=1,1-'Scoring Setup'!$B$5*(1-MAX(0,MIN(1,(Y63-'Scoring Setup'!$K$11)/(100-'Scoring Setup'!$K$11)))),1),"")</x:f>
        <x:v>0.8712049079479443</x:v>
      </x:c>
      <x:c r="AR63" s="27" t="n">
        <x:f>IF(ISNUMBER(Z63),IF('Scoring Setup'!$L$12=1,1-'Scoring Setup'!$B$5*(1-MAX(0,MIN(1,(Z63-'Scoring Setup'!$K$12)/(100-'Scoring Setup'!$K$12)))),1),"")</x:f>
        <x:v>0.8843131494</x:v>
      </x:c>
      <x:c r="AS63" s="27" t="n">
        <x:f>IF(ISNUMBER(AA63),IF('Scoring Setup'!$L$13=1,1-'Scoring Setup'!$B$5*(1-MAX(0,MIN(1,(AA63-'Scoring Setup'!$K$13)/(100-'Scoring Setup'!$K$13)))),1),"")</x:f>
        <x:v>0.9832236974860666</x:v>
      </x:c>
      <x:c r="AT63" s="27" t="n">
        <x:f>IF(ISNUMBER(AB63),IF('Scoring Setup'!$L$14=1,1-'Scoring Setup'!$B$5*(1-MAX(0,MIN(1,(AB63-'Scoring Setup'!$K$14)/(100-'Scoring Setup'!$K$14)))),1),"")</x:f>
        <x:v>0.9975892924310106</x:v>
      </x:c>
      <x:c r="AU63" s="27" t="n">
        <x:f>IF(ISNUMBER(AC63),IF('Scoring Setup'!$L$15=1,1-'Scoring Setup'!$B$5*(1-MAX(0,MIN(1,(AC63-'Scoring Setup'!$K$15)/(100-'Scoring Setup'!$K$15)))),1),"")</x:f>
        <x:v>0.9823213690674537</x:v>
      </x:c>
      <x:c r="AV63" s="27" t="n">
        <x:f>IF(ISNUMBER(AD63),IF('Scoring Setup'!$L$16=1,1-'Scoring Setup'!$B$5*(1-MAX(0,MIN(1,(AD63-'Scoring Setup'!$K$16)/(100-'Scoring Setup'!$K$16)))),1),"")</x:f>
        <x:v>0.8</x:v>
      </x:c>
      <x:c r="AW63" s="27" t="n">
        <x:f>IF(ISNUMBER(AE63),IF('Scoring Setup'!$L$17=1,1-'Scoring Setup'!$B$5*(1-MAX(0,MIN(1,(AE63-'Scoring Setup'!$K$17)/(100-'Scoring Setup'!$K$17)))),1),"")</x:f>
        <x:v>0.8246826655</x:v>
      </x:c>
      <x:c r="AX63" s="27" t="n">
        <x:f>IF(ISNUMBER(AF63),IF('Scoring Setup'!$L$18=1,1-'Scoring Setup'!$B$5*(1-MAX(0,MIN(1,(AF63-'Scoring Setup'!$K$18)/(100-'Scoring Setup'!$K$18)))),1),"")</x:f>
        <x:v>0.8749548152969984</x:v>
      </x:c>
      <x:c r="AY63" s="27" t="n">
        <x:f>IF(ISNUMBER(AG63),IF('Scoring Setup'!$L$19=1,1-'Scoring Setup'!$B$5*(1-MAX(0,MIN(1,(AG63-'Scoring Setup'!$K$19)/(100-'Scoring Setup'!$K$19)))),1),"")</x:f>
        <x:v>0.8263555555555555</x:v>
      </x:c>
      <x:c r="AZ63" s="27" t="n">
        <x:f>IF(ISNUMBER(AH63),IF('Scoring Setup'!$L$20=1,1-'Scoring Setup'!$B$5*(1-MAX(0,MIN(1,(AH63-'Scoring Setup'!$K$20)/(100-'Scoring Setup'!$K$20)))),1),"")</x:f>
        <x:v>0.890572103407118</x:v>
      </x:c>
      <x:c r="BA63" s="27" t="n">
        <x:f>IF(ISNUMBER(AI63),IF('Scoring Setup'!$L$21=1,1-'Scoring Setup'!$B$5*(1-MAX(0,MIN(1,(AI63-'Scoring Setup'!$K$21)/(100-'Scoring Setup'!$K$21)))),1),"")</x:f>
        <x:v>0.9128527690342494</x:v>
      </x:c>
      <x:c r="BB63" s="27" t="n">
        <x:f>IF(ISNUMBER(AJ63),IF('Scoring Setup'!$L$22=1,1-'Scoring Setup'!$B$5*(1-MAX(0,MIN(1,(AJ63-'Scoring Setup'!$K$22)/(100-'Scoring Setup'!$K$22)))),1),"")</x:f>
        <x:v>1</x:v>
      </x:c>
      <x:c r="BC63" s="27" t="n">
        <x:f>IF(ISNUMBER(AK63),IF('Scoring Setup'!$L$23=1,1-'Scoring Setup'!$B$5*(1-MAX(0,MIN(1,(AK63-'Scoring Setup'!$K$23)/(100-'Scoring Setup'!$K$23)))),1),"")</x:f>
        <x:v>0.8950252051594518</x:v>
      </x:c>
      <x:c r="BD63" s="27" t="n">
        <x:f>IF(ISNUMBER(AL63),IF('Scoring Setup'!$L$24=1,1-'Scoring Setup'!$B$5*(1-MAX(0,MIN(1,(AL63-'Scoring Setup'!$K$24)/(100-'Scoring Setup'!$K$24)))),1),"")</x:f>
        <x:v>0.9741818181818181</x:v>
      </x:c>
      <x:c r="BE63" s="27" t="n">
        <x:f>IF(ISNUMBER(AM63),IF('Scoring Setup'!$L$25=1,1-'Scoring Setup'!$B$5*(1-MAX(0,MIN(1,(AM63-'Scoring Setup'!$K$25)/(100-'Scoring Setup'!$K$25)))),1),"")</x:f>
        <x:v>0.8885845218271159</x:v>
      </x:c>
      <x:c r="BF63" s="27" t="n">
        <x:f>IF(ISNUMBER(AN63),IF('Scoring Setup'!$L$26=1,1-'Scoring Setup'!$B$5*(1-MAX(0,MIN(1,(AN63-'Scoring Setup'!$K$26)/(100-'Scoring Setup'!$K$26)))),1),"")</x:f>
        <x:v>0.937286211052675</x:v>
      </x:c>
      <x:c r="BG63" s="34" t="n">
        <x:f>IF(COUNT(W63,X63)=2,AVERAGE(W63,X63),"")</x:f>
        <x:v>49.705799151343726</x:v>
      </x:c>
      <x:c r="BH63" s="34" t="n">
        <x:f>IF(COUNT(Y63,Z63)=2,AVERAGE(Y63,Z63),"")</x:f>
        <x:v>38.87951433698606</x:v>
      </x:c>
      <x:c r="BI63" s="34" t="n">
        <x:f>IF(COUNT(AA63,AB63,AC63)=3,AVERAGE(AA63,AB63,AC63),"")</x:f>
        <x:v>93.85572649742183</x:v>
      </x:c>
      <x:c r="BJ63" s="34" t="n">
        <x:f>IF(COUNT(AD63,AE63)=2,AVERAGE(AD63,AE63),"")</x:f>
        <x:v>6.170666375</x:v>
      </x:c>
      <x:c r="BK63" s="34" t="n">
        <x:f>IF(COUNT(AF63,AG63)=2,AVERAGE(AF63,AG63),"")</x:f>
        <x:v>25.32759271313847</x:v>
      </x:c>
      <x:c r="BL63" s="34" t="n">
        <x:f>IF(COUNT(AH63,AI63)=2,AVERAGE(AH63,AI63),"")</x:f>
        <x:v>50.85621811034187</x:v>
      </x:c>
      <x:c r="BM63" s="34" t="n">
        <x:f>IF(COUNT(AJ63,AK63)=2,AVERAGE(AJ63,AK63),"")</x:f>
        <x:v>73.75630128986295</x:v>
      </x:c>
      <x:c r="BN63" s="34" t="n">
        <x:f>IF(COUNT(AL63,AM63,AN63)=3,AVERAGE(AL63,AM63,AN63),"")</x:f>
        <x:v>66.67542517693484</x:v>
      </x:c>
      <x:c r="BO63" s="35" t="n">
        <x:f>IF(AND(COUNT(BG63:BN63)=8,ABS('Scoring Setup'!$C$17-1)&lt;0.000001),BG63*'Scoring Setup'!$C$9+BH63*'Scoring Setup'!$C$10+BI63*'Scoring Setup'!$C$11+BJ63*'Scoring Setup'!$C$12+BK63*'Scoring Setup'!$C$13+BL63*'Scoring Setup'!$C$14+BM63*'Scoring Setup'!$C$15+BN63*'Scoring Setup'!$C$16,"")</x:f>
        <x:v>51.51513486417831</x:v>
      </x:c>
      <x:c r="BP63" s="36" t="n">
        <x:f>IF(COUNT(AO63:BF63)=18,MIN(AO63:BF63),"")</x:f>
        <x:v>0.8</x:v>
      </x:c>
      <x:c r="BQ63" s="35" t="n">
        <x:f>IF(AND(ISNUMBER(BO63),ISNUMBER(BP63)),BO63*BP63,"")</x:f>
        <x:v>41.21210789134265</x:v>
      </x:c>
      <x:c r="BR63" s="17" t="str">
        <x:f>IF(COUNT(AO63:BF63)=18,INDEX('Scoring Setup'!$F$9:$F$26,MATCH(MIN(AO63:BF63),AO63:BF63,0),1),"")</x:f>
        <x:v>商业光纤100/20覆盖率</x:v>
      </x:c>
    </x:row>
    <x:row r="64">
      <x:c r="A64" s="28" t="str">
        <x:v>13121</x:v>
      </x:c>
      <x:c r="B64" s="28" t="str">
        <x:v>Fulton County</x:v>
      </x:c>
      <x:c r="C64" s="28" t="str">
        <x:v>GA</x:v>
      </x:c>
      <x:c r="D64" s="31" t="n">
        <x:v>1364.484194</x:v>
      </x:c>
      <x:c r="E64" s="32" t="n">
        <x:v>0.497</x:v>
      </x:c>
      <x:c r="F64" s="32" t="n">
        <x:v>0.262376237623762</x:v>
      </x:c>
      <x:c r="G64" s="32" t="n">
        <x:v>2.4836400983057607</x:v>
      </x:c>
      <x:c r="H64" s="32" t="n">
        <x:v>2.3205530871099476</x:v>
      </x:c>
      <x:c r="I64" s="32" t="n">
        <x:v>0.4504857774837587</x:v>
      </x:c>
      <x:c r="J64" s="32" t="n">
        <x:v>0.00610807798119222</x:v>
      </x:c>
      <x:c r="K64" s="32" t="n">
        <x:v>0.016997120613007892</x:v>
      </x:c>
      <x:c r="L64" s="32" t="n">
        <x:v>0.618450363</x:v>
      </x:c>
      <x:c r="M64" s="32" t="n">
        <x:v>0.600084115</x:v>
      </x:c>
      <x:c r="N64" s="32" t="n">
        <x:v>598999</x:v>
      </x:c>
      <x:c r="O64" s="32" t="n">
        <x:v>0.6599</x:v>
      </x:c>
      <x:c r="P64" s="32" t="n">
        <x:v>1549.4467610677084</x:v>
      </x:c>
      <x:c r="Q64" s="32" t="n">
        <x:v>30.74096450805664</x:v>
      </x:c>
      <x:c r="R64" s="32" t="n">
        <x:v>1.8556666732837332</x:v>
      </x:c>
      <x:c r="S64" s="32" t="n">
        <x:v>1.6671767063276282</x:v>
      </x:c>
      <x:c r="T64" s="32" t="n">
        <x:v>72.1</x:v>
      </x:c>
      <x:c r="U64" s="32" t="n">
        <x:v>211.4154781728841</x:v>
      </x:c>
      <x:c r="V64" s="32" t="n">
        <x:v>325.42757789465</x:v>
      </x:c>
      <x:c r="W64" s="33" t="n">
        <x:f>IF(ISNUMBER(E64),100*MAX(0,MIN(1,('Anchors'!$H$6-E64)/('Anchors'!$H$6-'Anchors'!$G$6))),"")</x:f>
        <x:v>57.57142857142858</x:v>
      </x:c>
      <x:c r="X64" s="33" t="n">
        <x:f>IF(ISNUMBER(F64),100*MAX(0,MIN(1,('Anchors'!$H$7-F64)/('Anchors'!$H$7-'Anchors'!$G$7))),"")</x:f>
        <x:v>76.80339462517686</x:v>
      </x:c>
      <x:c r="Y64" s="33" t="n">
        <x:f>IF(ISNUMBER(G64),100*MAX(0,MIN(1,('Anchors'!$H$8-G64)/('Anchors'!$H$8-'Anchors'!$G$8))),"")</x:f>
        <x:v>50.54533005647465</x:v>
      </x:c>
      <x:c r="Z64" s="33" t="n">
        <x:f>IF(ISNUMBER(H64),100*MAX(0,MIN(1,('Anchors'!$H$9-H64)/('Anchors'!$H$9-'Anchors'!$G$9))),"")</x:f>
        <x:v>55.98156376300175</x:v>
      </x:c>
      <x:c r="AA64" s="33" t="n">
        <x:f>IF(ISNUMBER(I64),100*MAX(0,MIN(1,(I64-'Anchors'!$H$10)/('Anchors'!$G$10-'Anchors'!$H$10))),"")</x:f>
        <x:v>27.463805134761465</x:v>
      </x:c>
      <x:c r="AB64" s="33" t="n">
        <x:f>IF(ISNUMBER(J64),100*MAX(0,MIN(1,('Anchors'!$H$11-J64)/('Anchors'!$H$11-'Anchors'!$G$11))),"")</x:f>
        <x:v>97.55676880752311</x:v>
      </x:c>
      <x:c r="AC64" s="33" t="n">
        <x:f>IF(ISNUMBER(K64),100*MAX(0,MIN(1,('Anchors'!$H$12-K64)/('Anchors'!$H$12-'Anchors'!$G$12))),"")</x:f>
        <x:v>95.75071984674803</x:v>
      </x:c>
      <x:c r="AD64" s="33" t="n">
        <x:f>IF(ISNUMBER(L64),100*MAX(0,MIN(1,(L64-'Anchors'!$H$13)/('Anchors'!$G$13-'Anchors'!$H$13))),"")</x:f>
        <x:v>59.77862328571428</x:v>
      </x:c>
      <x:c r="AE64" s="33" t="n">
        <x:f>IF(ISNUMBER(M64),100*MAX(0,MIN(1,(M64-'Anchors'!$H$14)/('Anchors'!$G$14-'Anchors'!$H$14))),"")</x:f>
        <x:v>62.51051437500001</x:v>
      </x:c>
      <x:c r="AF64" s="33" t="n">
        <x:f>IF(ISNUMBER(N64),100*MAX(0,MIN(1,(LN(1+N64)-LN(1+'Anchors'!$H$15))/(LN(1+'Anchors'!$G$15)-LN(1+'Anchors'!$H$15)))),"")</x:f>
        <x:v>100</x:v>
      </x:c>
      <x:c r="AG64" s="33" t="n">
        <x:f>IF(ISNUMBER(O64),100*MAX(0,MIN(1,('Anchors'!$H$16-O64)/('Anchors'!$H$16-'Anchors'!$G$16))),"")</x:f>
        <x:v>32.23333333333333</x:v>
      </x:c>
      <x:c r="AH64" s="33" t="n">
        <x:f>IF(ISNUMBER(P64),100*MAX(0,MIN(1,('Anchors'!$H$17-P64)/('Anchors'!$H$17-'Anchors'!$G$17))),"")</x:f>
        <x:v>43.37021592881944</x:v>
      </x:c>
      <x:c r="AI64" s="33" t="n">
        <x:f>IF(ISNUMBER(Q64),100*MAX(0,MIN(1,('Anchors'!$H$18-Q64)/('Anchors'!$H$18-'Anchors'!$G$18))),"")</x:f>
        <x:v>63.227193559919094</x:v>
      </x:c>
      <x:c r="AJ64" s="33" t="n">
        <x:f>IF(ISNUMBER(R64),100*MAX(0,MIN(1,('Anchors'!$H$19-R64)/('Anchors'!$H$19-'Anchors'!$G$19))),"")</x:f>
        <x:v>100</x:v>
      </x:c>
      <x:c r="AK64" s="33" t="n">
        <x:f>IF(ISNUMBER(S64),100*MAX(0,MIN(1,('Anchors'!$H$20-S64)/('Anchors'!$H$20-'Anchors'!$G$20))),"")</x:f>
        <x:v>96.48854365090722</x:v>
      </x:c>
      <x:c r="AL64" s="33" t="n">
        <x:f>IF(ISNUMBER(T64),100*MAX(0,MIN(1,('Anchors'!$H$21-T64)/('Anchors'!$H$21-'Anchors'!$G$21))),"")</x:f>
        <x:v>87.0909090909091</x:v>
      </x:c>
      <x:c r="AM64" s="33" t="n">
        <x:f>IF(ISNUMBER(U64),100*MAX(0,MIN(1,('Anchors'!$H$22-U64)/('Anchors'!$H$22-'Anchors'!$G$22))),"")</x:f>
        <x:v>44.29226091355795</x:v>
      </x:c>
      <x:c r="AN64" s="33" t="n">
        <x:f>IF(ISNUMBER(V64),100*MAX(0,MIN(1,('Anchors'!$H$23-V64)/('Anchors'!$H$23-'Anchors'!$G$23))),"")</x:f>
        <x:v>68.6431055263375</x:v>
      </x:c>
      <x:c r="AO64" s="27" t="n">
        <x:f>IF(ISNUMBER(W64),IF('Scoring Setup'!$L$9=1,1-'Scoring Setup'!$B$5*(1-MAX(0,MIN(1,(W64-'Scoring Setup'!$K$9)/(100-'Scoring Setup'!$K$9)))),1),"")</x:f>
        <x:v>0.9151428571428571</x:v>
      </x:c>
      <x:c r="AP64" s="27" t="n">
        <x:f>IF(ISNUMBER(X64),IF('Scoring Setup'!$L$10=1,1-'Scoring Setup'!$B$5*(1-MAX(0,MIN(1,(X64-'Scoring Setup'!$K$10)/(100-'Scoring Setup'!$K$10)))),1),"")</x:f>
        <x:v>0.9536067892503537</x:v>
      </x:c>
      <x:c r="AQ64" s="27" t="n">
        <x:f>IF(ISNUMBER(Y64),IF('Scoring Setup'!$L$11=1,1-'Scoring Setup'!$B$5*(1-MAX(0,MIN(1,(Y64-'Scoring Setup'!$K$11)/(100-'Scoring Setup'!$K$11)))),1),"")</x:f>
        <x:v>0.9010906601129492</x:v>
      </x:c>
      <x:c r="AR64" s="27" t="n">
        <x:f>IF(ISNUMBER(Z64),IF('Scoring Setup'!$L$12=1,1-'Scoring Setup'!$B$5*(1-MAX(0,MIN(1,(Z64-'Scoring Setup'!$K$12)/(100-'Scoring Setup'!$K$12)))),1),"")</x:f>
        <x:v>0.9119631275260035</x:v>
      </x:c>
      <x:c r="AS64" s="27" t="n">
        <x:f>IF(ISNUMBER(AA64),IF('Scoring Setup'!$L$13=1,1-'Scoring Setup'!$B$5*(1-MAX(0,MIN(1,(AA64-'Scoring Setup'!$K$13)/(100-'Scoring Setup'!$K$13)))),1),"")</x:f>
        <x:v>0.8549276102695229</x:v>
      </x:c>
      <x:c r="AT64" s="27" t="n">
        <x:f>IF(ISNUMBER(AB64),IF('Scoring Setup'!$L$14=1,1-'Scoring Setup'!$B$5*(1-MAX(0,MIN(1,(AB64-'Scoring Setup'!$K$14)/(100-'Scoring Setup'!$K$14)))),1),"")</x:f>
        <x:v>0.9951135376150462</x:v>
      </x:c>
      <x:c r="AU64" s="27" t="n">
        <x:f>IF(ISNUMBER(AC64),IF('Scoring Setup'!$L$15=1,1-'Scoring Setup'!$B$5*(1-MAX(0,MIN(1,(AC64-'Scoring Setup'!$K$15)/(100-'Scoring Setup'!$K$15)))),1),"")</x:f>
        <x:v>0.991501439693496</x:v>
      </x:c>
      <x:c r="AV64" s="27" t="n">
        <x:f>IF(ISNUMBER(AD64),IF('Scoring Setup'!$L$16=1,1-'Scoring Setup'!$B$5*(1-MAX(0,MIN(1,(AD64-'Scoring Setup'!$K$16)/(100-'Scoring Setup'!$K$16)))),1),"")</x:f>
        <x:v>0.9195572465714286</x:v>
      </x:c>
      <x:c r="AW64" s="27" t="n">
        <x:f>IF(ISNUMBER(AE64),IF('Scoring Setup'!$L$17=1,1-'Scoring Setup'!$B$5*(1-MAX(0,MIN(1,(AE64-'Scoring Setup'!$K$17)/(100-'Scoring Setup'!$K$17)))),1),"")</x:f>
        <x:v>0.92502102875</x:v>
      </x:c>
      <x:c r="AX64" s="27" t="n">
        <x:f>IF(ISNUMBER(AF64),IF('Scoring Setup'!$L$18=1,1-'Scoring Setup'!$B$5*(1-MAX(0,MIN(1,(AF64-'Scoring Setup'!$K$18)/(100-'Scoring Setup'!$K$18)))),1),"")</x:f>
        <x:v>1</x:v>
      </x:c>
      <x:c r="AY64" s="27" t="n">
        <x:f>IF(ISNUMBER(AG64),IF('Scoring Setup'!$L$19=1,1-'Scoring Setup'!$B$5*(1-MAX(0,MIN(1,(AG64-'Scoring Setup'!$K$19)/(100-'Scoring Setup'!$K$19)))),1),"")</x:f>
        <x:v>0.8644666666666666</x:v>
      </x:c>
      <x:c r="AZ64" s="27" t="n">
        <x:f>IF(ISNUMBER(AH64),IF('Scoring Setup'!$L$20=1,1-'Scoring Setup'!$B$5*(1-MAX(0,MIN(1,(AH64-'Scoring Setup'!$K$20)/(100-'Scoring Setup'!$K$20)))),1),"")</x:f>
        <x:v>0.8867404318576388</x:v>
      </x:c>
      <x:c r="BA64" s="27" t="n">
        <x:f>IF(ISNUMBER(AI64),IF('Scoring Setup'!$L$21=1,1-'Scoring Setup'!$B$5*(1-MAX(0,MIN(1,(AI64-'Scoring Setup'!$K$21)/(100-'Scoring Setup'!$K$21)))),1),"")</x:f>
        <x:v>0.9264543871198382</x:v>
      </x:c>
      <x:c r="BB64" s="27" t="n">
        <x:f>IF(ISNUMBER(AJ64),IF('Scoring Setup'!$L$22=1,1-'Scoring Setup'!$B$5*(1-MAX(0,MIN(1,(AJ64-'Scoring Setup'!$K$22)/(100-'Scoring Setup'!$K$22)))),1),"")</x:f>
        <x:v>1</x:v>
      </x:c>
      <x:c r="BC64" s="27" t="n">
        <x:f>IF(ISNUMBER(AK64),IF('Scoring Setup'!$L$23=1,1-'Scoring Setup'!$B$5*(1-MAX(0,MIN(1,(AK64-'Scoring Setup'!$K$23)/(100-'Scoring Setup'!$K$23)))),1),"")</x:f>
        <x:v>0.9929770873018144</x:v>
      </x:c>
      <x:c r="BD64" s="27" t="n">
        <x:f>IF(ISNUMBER(AL64),IF('Scoring Setup'!$L$24=1,1-'Scoring Setup'!$B$5*(1-MAX(0,MIN(1,(AL64-'Scoring Setup'!$K$24)/(100-'Scoring Setup'!$K$24)))),1),"")</x:f>
        <x:v>0.9741818181818181</x:v>
      </x:c>
      <x:c r="BE64" s="27" t="n">
        <x:f>IF(ISNUMBER(AM64),IF('Scoring Setup'!$L$25=1,1-'Scoring Setup'!$B$5*(1-MAX(0,MIN(1,(AM64-'Scoring Setup'!$K$25)/(100-'Scoring Setup'!$K$25)))),1),"")</x:f>
        <x:v>0.8885845218271159</x:v>
      </x:c>
      <x:c r="BF64" s="27" t="n">
        <x:f>IF(ISNUMBER(AN64),IF('Scoring Setup'!$L$26=1,1-'Scoring Setup'!$B$5*(1-MAX(0,MIN(1,(AN64-'Scoring Setup'!$K$26)/(100-'Scoring Setup'!$K$26)))),1),"")</x:f>
        <x:v>0.937286211052675</x:v>
      </x:c>
      <x:c r="BG64" s="34" t="n">
        <x:f>IF(COUNT(W64,X64)=2,AVERAGE(W64,X64),"")</x:f>
        <x:v>67.18741159830272</x:v>
      </x:c>
      <x:c r="BH64" s="34" t="n">
        <x:f>IF(COUNT(Y64,Z64)=2,AVERAGE(Y64,Z64),"")</x:f>
        <x:v>53.2634469097382</x:v>
      </x:c>
      <x:c r="BI64" s="34" t="n">
        <x:f>IF(COUNT(AA64,AB64,AC64)=3,AVERAGE(AA64,AB64,AC64),"")</x:f>
        <x:v>73.59043126301087</x:v>
      </x:c>
      <x:c r="BJ64" s="34" t="n">
        <x:f>IF(COUNT(AD64,AE64)=2,AVERAGE(AD64,AE64),"")</x:f>
        <x:v>61.144568830357144</x:v>
      </x:c>
      <x:c r="BK64" s="34" t="n">
        <x:f>IF(COUNT(AF64,AG64)=2,AVERAGE(AF64,AG64),"")</x:f>
        <x:v>66.11666666666666</x:v>
      </x:c>
      <x:c r="BL64" s="34" t="n">
        <x:f>IF(COUNT(AH64,AI64)=2,AVERAGE(AH64,AI64),"")</x:f>
        <x:v>53.29870474436927</x:v>
      </x:c>
      <x:c r="BM64" s="34" t="n">
        <x:f>IF(COUNT(AJ64,AK64)=2,AVERAGE(AJ64,AK64),"")</x:f>
        <x:v>98.24427182545361</x:v>
      </x:c>
      <x:c r="BN64" s="34" t="n">
        <x:f>IF(COUNT(AL64,AM64,AN64)=3,AVERAGE(AL64,AM64,AN64),"")</x:f>
        <x:v>66.67542517693484</x:v>
      </x:c>
      <x:c r="BO64" s="35" t="n">
        <x:f>IF(AND(COUNT(BG64:BN64)=8,ABS('Scoring Setup'!$C$17-1)&lt;0.000001),BG64*'Scoring Setup'!$C$9+BH64*'Scoring Setup'!$C$10+BI64*'Scoring Setup'!$C$11+BJ64*'Scoring Setup'!$C$12+BK64*'Scoring Setup'!$C$13+BL64*'Scoring Setup'!$C$14+BM64*'Scoring Setup'!$C$15+BN64*'Scoring Setup'!$C$16,"")</x:f>
        <x:v>65.03637359935297</x:v>
      </x:c>
      <x:c r="BP64" s="36" t="n">
        <x:f>IF(COUNT(AO64:BF64)=18,MIN(AO64:BF64),"")</x:f>
        <x:v>0.8549276102695229</x:v>
      </x:c>
      <x:c r="BQ64" s="35" t="n">
        <x:f>IF(AND(ISNUMBER(BO64),ISNUMBER(BP64)),BO64*BP64,"")</x:f>
        <x:v>55.60139146189073</x:v>
      </x:c>
      <x:c r="BR64" s="17" t="str">
        <x:f>IF(COUNT(AO64:BF64)=18,INDEX('Scoring Setup'!$F$9:$F$26,MATCH(MIN(AO64:BF64),AO64:BF64,0),1),"")</x:f>
        <x:v>低不透水土地比例</x:v>
      </x:c>
    </x:row>
    <x:row r="65">
      <x:c r="A65" s="28" t="str">
        <x:v>13123</x:v>
      </x:c>
      <x:c r="B65" s="28" t="str">
        <x:v>Gilmer County</x:v>
      </x:c>
      <x:c r="C65" s="28" t="str">
        <x:v>GA</x:v>
      </x:c>
      <x:c r="D65" s="31" t="n">
        <x:v>1103.804462</x:v>
      </x:c>
      <x:c r="E65" s="32" t="n">
        <x:v>0.668</x:v>
      </x:c>
      <x:c r="F65" s="32" t="n">
        <x:v>0.908725247524752</x:v>
      </x:c>
      <x:c r="G65" s="32" t="n">
        <x:v>2.4431282718842318</x:v>
      </x:c>
      <x:c r="H65" s="32" t="n">
        <x:v>2.2629691249844317</x:v>
      </x:c>
      <x:c r="I65" s="32" t="n">
        <x:v>0.9579070916929984</x:v>
      </x:c>
      <x:c r="J65" s="32" t="n">
        <x:v>0.13659923698234958</x:v>
      </x:c>
      <x:c r="K65" s="32" t="n">
        <x:v>0.0006337549122123022</x:v>
      </x:c>
      <x:c r="L65" s="32" t="n">
        <x:v>0.356159125</x:v>
      </x:c>
      <x:c r="M65" s="32" t="n">
        <x:v>0.356159125</x:v>
      </x:c>
      <x:c r="N65" s="32" t="n">
        <x:v>15366</x:v>
      </x:c>
      <x:c r="O65" s="32" t="n">
        <x:v>0.545</x:v>
      </x:c>
      <x:c r="P65" s="32" t="n">
        <x:v>883.0235310872396</x:v>
      </x:c>
      <x:c r="Q65" s="32" t="n">
        <x:v>9.143349313735962</x:v>
      </x:c>
      <x:c r="R65" s="32" t="n">
        <x:v>34.79003707453661</x:v>
      </x:c>
      <x:c r="S65" s="32" t="n">
        <x:v>1.5490108852190163</x:v>
      </x:c>
      <x:c r="T65" s="32" t="n">
        <x:v>72.1</x:v>
      </x:c>
      <x:c r="U65" s="32" t="n">
        <x:v>211.4154781728841</x:v>
      </x:c>
      <x:c r="V65" s="32" t="n">
        <x:v>325.42757789465</x:v>
      </x:c>
      <x:c r="W65" s="33" t="n">
        <x:f>IF(ISNUMBER(E65),100*MAX(0,MIN(1,('Anchors'!$H$6-E65)/('Anchors'!$H$6-'Anchors'!$G$6))),"")</x:f>
        <x:v>33.14285714285714</x:v>
      </x:c>
      <x:c r="X65" s="33" t="n">
        <x:f>IF(ISNUMBER(F65),100*MAX(0,MIN(1,('Anchors'!$H$7-F65)/('Anchors'!$H$7-'Anchors'!$G$7))),"")</x:f>
        <x:v>0</x:v>
      </x:c>
      <x:c r="Y65" s="33" t="n">
        <x:f>IF(ISNUMBER(G65),100*MAX(0,MIN(1,('Anchors'!$H$8-G65)/('Anchors'!$H$8-'Anchors'!$G$8))),"")</x:f>
        <x:v>51.89572427052561</x:v>
      </x:c>
      <x:c r="Z65" s="33" t="n">
        <x:f>IF(ISNUMBER(H65),100*MAX(0,MIN(1,('Anchors'!$H$9-H65)/('Anchors'!$H$9-'Anchors'!$G$9))),"")</x:f>
        <x:v>57.90102916718561</x:v>
      </x:c>
      <x:c r="AA65" s="33" t="n">
        <x:f>IF(ISNUMBER(I65),100*MAX(0,MIN(1,(I65-'Anchors'!$H$10)/('Anchors'!$G$10-'Anchors'!$H$10))),"")</x:f>
        <x:v>96.97357420452033</x:v>
      </x:c>
      <x:c r="AB65" s="33" t="n">
        <x:f>IF(ISNUMBER(J65),100*MAX(0,MIN(1,('Anchors'!$H$11-J65)/('Anchors'!$H$11-'Anchors'!$G$11))),"")</x:f>
        <x:v>45.36030520706017</x:v>
      </x:c>
      <x:c r="AC65" s="33" t="n">
        <x:f>IF(ISNUMBER(K65),100*MAX(0,MIN(1,('Anchors'!$H$12-K65)/('Anchors'!$H$12-'Anchors'!$G$12))),"")</x:f>
        <x:v>99.84156127194693</x:v>
      </x:c>
      <x:c r="AD65" s="33" t="n">
        <x:f>IF(ISNUMBER(L65),100*MAX(0,MIN(1,(L65-'Anchors'!$H$13)/('Anchors'!$G$13-'Anchors'!$H$13))),"")</x:f>
        <x:v>22.308446428571433</x:v>
      </x:c>
      <x:c r="AE65" s="33" t="n">
        <x:f>IF(ISNUMBER(M65),100*MAX(0,MIN(1,(M65-'Anchors'!$H$14)/('Anchors'!$G$14-'Anchors'!$H$14))),"")</x:f>
        <x:v>32.019890625</x:v>
      </x:c>
      <x:c r="AF65" s="33" t="n">
        <x:f>IF(ISNUMBER(N65),100*MAX(0,MIN(1,(LN(1+N65)-LN(1+'Anchors'!$H$15))/(LN(1+'Anchors'!$G$15)-LN(1+'Anchors'!$H$15)))),"")</x:f>
        <x:v>47.222091808466274</x:v>
      </x:c>
      <x:c r="AG65" s="33" t="n">
        <x:f>IF(ISNUMBER(O65),100*MAX(0,MIN(1,('Anchors'!$H$16-O65)/('Anchors'!$H$16-'Anchors'!$G$16))),"")</x:f>
        <x:v>44.99999999999999</x:v>
      </x:c>
      <x:c r="AH65" s="33" t="n">
        <x:f>IF(ISNUMBER(P65),100*MAX(0,MIN(1,('Anchors'!$H$17-P65)/('Anchors'!$H$17-'Anchors'!$G$17))),"")</x:f>
        <x:v>87.7984312608507</x:v>
      </x:c>
      <x:c r="AI65" s="33" t="n">
        <x:f>IF(ISNUMBER(Q65),100*MAX(0,MIN(1,('Anchors'!$H$18-Q65)/('Anchors'!$H$18-'Anchors'!$G$18))),"")</x:f>
        <x:v>94.08092955180575</x:v>
      </x:c>
      <x:c r="AJ65" s="33" t="n">
        <x:f>IF(ISNUMBER(R65),100*MAX(0,MIN(1,('Anchors'!$H$19-R65)/('Anchors'!$H$19-'Anchors'!$G$19))),"")</x:f>
        <x:v>33.79991761214086</x:v>
      </x:c>
      <x:c r="AK65" s="33" t="n">
        <x:f>IF(ISNUMBER(S65),100*MAX(0,MIN(1,('Anchors'!$H$20-S65)/('Anchors'!$H$20-'Anchors'!$G$20))),"")</x:f>
        <x:v>97.11046902516308</x:v>
      </x:c>
      <x:c r="AL65" s="33" t="n">
        <x:f>IF(ISNUMBER(T65),100*MAX(0,MIN(1,('Anchors'!$H$21-T65)/('Anchors'!$H$21-'Anchors'!$G$21))),"")</x:f>
        <x:v>87.0909090909091</x:v>
      </x:c>
      <x:c r="AM65" s="33" t="n">
        <x:f>IF(ISNUMBER(U65),100*MAX(0,MIN(1,('Anchors'!$H$22-U65)/('Anchors'!$H$22-'Anchors'!$G$22))),"")</x:f>
        <x:v>44.29226091355795</x:v>
      </x:c>
      <x:c r="AN65" s="33" t="n">
        <x:f>IF(ISNUMBER(V65),100*MAX(0,MIN(1,('Anchors'!$H$23-V65)/('Anchors'!$H$23-'Anchors'!$G$23))),"")</x:f>
        <x:v>68.6431055263375</x:v>
      </x:c>
      <x:c r="AO65" s="27" t="n">
        <x:f>IF(ISNUMBER(W65),IF('Scoring Setup'!$L$9=1,1-'Scoring Setup'!$B$5*(1-MAX(0,MIN(1,(W65-'Scoring Setup'!$K$9)/(100-'Scoring Setup'!$K$9)))),1),"")</x:f>
        <x:v>0.8662857142857143</x:v>
      </x:c>
      <x:c r="AP65" s="27" t="n">
        <x:f>IF(ISNUMBER(X65),IF('Scoring Setup'!$L$10=1,1-'Scoring Setup'!$B$5*(1-MAX(0,MIN(1,(X65-'Scoring Setup'!$K$10)/(100-'Scoring Setup'!$K$10)))),1),"")</x:f>
        <x:v>0.8</x:v>
      </x:c>
      <x:c r="AQ65" s="27" t="n">
        <x:f>IF(ISNUMBER(Y65),IF('Scoring Setup'!$L$11=1,1-'Scoring Setup'!$B$5*(1-MAX(0,MIN(1,(Y65-'Scoring Setup'!$K$11)/(100-'Scoring Setup'!$K$11)))),1),"")</x:f>
        <x:v>0.9037914485410512</x:v>
      </x:c>
      <x:c r="AR65" s="27" t="n">
        <x:f>IF(ISNUMBER(Z65),IF('Scoring Setup'!$L$12=1,1-'Scoring Setup'!$B$5*(1-MAX(0,MIN(1,(Z65-'Scoring Setup'!$K$12)/(100-'Scoring Setup'!$K$12)))),1),"")</x:f>
        <x:v>0.9158020583343712</x:v>
      </x:c>
      <x:c r="AS65" s="27" t="n">
        <x:f>IF(ISNUMBER(AA65),IF('Scoring Setup'!$L$13=1,1-'Scoring Setup'!$B$5*(1-MAX(0,MIN(1,(AA65-'Scoring Setup'!$K$13)/(100-'Scoring Setup'!$K$13)))),1),"")</x:f>
        <x:v>0.9939471484090406</x:v>
      </x:c>
      <x:c r="AT65" s="27" t="n">
        <x:f>IF(ISNUMBER(AB65),IF('Scoring Setup'!$L$14=1,1-'Scoring Setup'!$B$5*(1-MAX(0,MIN(1,(AB65-'Scoring Setup'!$K$14)/(100-'Scoring Setup'!$K$14)))),1),"")</x:f>
        <x:v>0.8907206104141203</x:v>
      </x:c>
      <x:c r="AU65" s="27" t="n">
        <x:f>IF(ISNUMBER(AC65),IF('Scoring Setup'!$L$15=1,1-'Scoring Setup'!$B$5*(1-MAX(0,MIN(1,(AC65-'Scoring Setup'!$K$15)/(100-'Scoring Setup'!$K$15)))),1),"")</x:f>
        <x:v>0.9996831225438939</x:v>
      </x:c>
      <x:c r="AV65" s="27" t="n">
        <x:f>IF(ISNUMBER(AD65),IF('Scoring Setup'!$L$16=1,1-'Scoring Setup'!$B$5*(1-MAX(0,MIN(1,(AD65-'Scoring Setup'!$K$16)/(100-'Scoring Setup'!$K$16)))),1),"")</x:f>
        <x:v>0.8446168928571429</x:v>
      </x:c>
      <x:c r="AW65" s="27" t="n">
        <x:f>IF(ISNUMBER(AE65),IF('Scoring Setup'!$L$17=1,1-'Scoring Setup'!$B$5*(1-MAX(0,MIN(1,(AE65-'Scoring Setup'!$K$17)/(100-'Scoring Setup'!$K$17)))),1),"")</x:f>
        <x:v>0.86403978125</x:v>
      </x:c>
      <x:c r="AX65" s="27" t="n">
        <x:f>IF(ISNUMBER(AF65),IF('Scoring Setup'!$L$18=1,1-'Scoring Setup'!$B$5*(1-MAX(0,MIN(1,(AF65-'Scoring Setup'!$K$18)/(100-'Scoring Setup'!$K$18)))),1),"")</x:f>
        <x:v>0.8944441836169326</x:v>
      </x:c>
      <x:c r="AY65" s="27" t="n">
        <x:f>IF(ISNUMBER(AG65),IF('Scoring Setup'!$L$19=1,1-'Scoring Setup'!$B$5*(1-MAX(0,MIN(1,(AG65-'Scoring Setup'!$K$19)/(100-'Scoring Setup'!$K$19)))),1),"")</x:f>
        <x:v>0.89</x:v>
      </x:c>
      <x:c r="AZ65" s="27" t="n">
        <x:f>IF(ISNUMBER(AH65),IF('Scoring Setup'!$L$20=1,1-'Scoring Setup'!$B$5*(1-MAX(0,MIN(1,(AH65-'Scoring Setup'!$K$20)/(100-'Scoring Setup'!$K$20)))),1),"")</x:f>
        <x:v>0.9755968625217014</x:v>
      </x:c>
      <x:c r="BA65" s="27" t="n">
        <x:f>IF(ISNUMBER(AI65),IF('Scoring Setup'!$L$21=1,1-'Scoring Setup'!$B$5*(1-MAX(0,MIN(1,(AI65-'Scoring Setup'!$K$21)/(100-'Scoring Setup'!$K$21)))),1),"")</x:f>
        <x:v>0.9881618591036115</x:v>
      </x:c>
      <x:c r="BB65" s="27" t="n">
        <x:f>IF(ISNUMBER(AJ65),IF('Scoring Setup'!$L$22=1,1-'Scoring Setup'!$B$5*(1-MAX(0,MIN(1,(AJ65-'Scoring Setup'!$K$22)/(100-'Scoring Setup'!$K$22)))),1),"")</x:f>
        <x:v>0.8675998352242817</x:v>
      </x:c>
      <x:c r="BC65" s="27" t="n">
        <x:f>IF(ISNUMBER(AK65),IF('Scoring Setup'!$L$23=1,1-'Scoring Setup'!$B$5*(1-MAX(0,MIN(1,(AK65-'Scoring Setup'!$K$23)/(100-'Scoring Setup'!$K$23)))),1),"")</x:f>
        <x:v>0.9942209380503262</x:v>
      </x:c>
      <x:c r="BD65" s="27" t="n">
        <x:f>IF(ISNUMBER(AL65),IF('Scoring Setup'!$L$24=1,1-'Scoring Setup'!$B$5*(1-MAX(0,MIN(1,(AL65-'Scoring Setup'!$K$24)/(100-'Scoring Setup'!$K$24)))),1),"")</x:f>
        <x:v>0.9741818181818181</x:v>
      </x:c>
      <x:c r="BE65" s="27" t="n">
        <x:f>IF(ISNUMBER(AM65),IF('Scoring Setup'!$L$25=1,1-'Scoring Setup'!$B$5*(1-MAX(0,MIN(1,(AM65-'Scoring Setup'!$K$25)/(100-'Scoring Setup'!$K$25)))),1),"")</x:f>
        <x:v>0.8885845218271159</x:v>
      </x:c>
      <x:c r="BF65" s="27" t="n">
        <x:f>IF(ISNUMBER(AN65),IF('Scoring Setup'!$L$26=1,1-'Scoring Setup'!$B$5*(1-MAX(0,MIN(1,(AN65-'Scoring Setup'!$K$26)/(100-'Scoring Setup'!$K$26)))),1),"")</x:f>
        <x:v>0.937286211052675</x:v>
      </x:c>
      <x:c r="BG65" s="34" t="n">
        <x:f>IF(COUNT(W65,X65)=2,AVERAGE(W65,X65),"")</x:f>
        <x:v>16.57142857142857</x:v>
      </x:c>
      <x:c r="BH65" s="34" t="n">
        <x:f>IF(COUNT(Y65,Z65)=2,AVERAGE(Y65,Z65),"")</x:f>
        <x:v>54.898376718855616</x:v>
      </x:c>
      <x:c r="BI65" s="34" t="n">
        <x:f>IF(COUNT(AA65,AB65,AC65)=3,AVERAGE(AA65,AB65,AC65),"")</x:f>
        <x:v>80.72514689450914</x:v>
      </x:c>
      <x:c r="BJ65" s="34" t="n">
        <x:f>IF(COUNT(AD65,AE65)=2,AVERAGE(AD65,AE65),"")</x:f>
        <x:v>27.164168526785716</x:v>
      </x:c>
      <x:c r="BK65" s="34" t="n">
        <x:f>IF(COUNT(AF65,AG65)=2,AVERAGE(AF65,AG65),"")</x:f>
        <x:v>46.11104590423314</x:v>
      </x:c>
      <x:c r="BL65" s="34" t="n">
        <x:f>IF(COUNT(AH65,AI65)=2,AVERAGE(AH65,AI65),"")</x:f>
        <x:v>90.93968040632822</x:v>
      </x:c>
      <x:c r="BM65" s="34" t="n">
        <x:f>IF(COUNT(AJ65,AK65)=2,AVERAGE(AJ65,AK65),"")</x:f>
        <x:v>65.45519331865196</x:v>
      </x:c>
      <x:c r="BN65" s="34" t="n">
        <x:f>IF(COUNT(AL65,AM65,AN65)=3,AVERAGE(AL65,AM65,AN65),"")</x:f>
        <x:v>66.67542517693484</x:v>
      </x:c>
      <x:c r="BO65" s="35" t="n">
        <x:f>IF(AND(COUNT(BG65:BN65)=8,ABS('Scoring Setup'!$C$17-1)&lt;0.000001),BG65*'Scoring Setup'!$C$9+BH65*'Scoring Setup'!$C$10+BI65*'Scoring Setup'!$C$11+BJ65*'Scoring Setup'!$C$12+BK65*'Scoring Setup'!$C$13+BL65*'Scoring Setup'!$C$14+BM65*'Scoring Setup'!$C$15+BN65*'Scoring Setup'!$C$16,"")</x:f>
        <x:v>55.85922557279624</x:v>
      </x:c>
      <x:c r="BP65" s="36" t="n">
        <x:f>IF(COUNT(AO65:BF65)=18,MIN(AO65:BF65),"")</x:f>
        <x:v>0.8</x:v>
      </x:c>
      <x:c r="BQ65" s="35" t="n">
        <x:f>IF(AND(ISNUMBER(BO65),ISNUMBER(BP65)),BO65*BP65,"")</x:f>
        <x:v>44.687380458236994</x:v>
      </x:c>
      <x:c r="BR65" s="17" t="str">
        <x:f>IF(COUNT(AO65:BF65)=18,INDEX('Scoring Setup'!$F$9:$F$26,MATCH(MIN(AO65:BF65),AO65:BF65,0),1),"")</x:f>
        <x:v>洪水损失率全国百分位</x:v>
      </x:c>
    </x:row>
    <x:row r="66">
      <x:c r="A66" s="28" t="str">
        <x:v>13125</x:v>
      </x:c>
      <x:c r="B66" s="28" t="str">
        <x:v>Glascock County</x:v>
      </x:c>
      <x:c r="C66" s="28" t="str">
        <x:v>GA</x:v>
      </x:c>
      <x:c r="D66" s="31" t="n">
        <x:v>372.299252</x:v>
      </x:c>
      <x:c r="E66" s="32" t="n">
        <x:v>0.558</x:v>
      </x:c>
      <x:c r="F66" s="32" t="n">
        <x:v>0.09653465346534651</x:v>
      </x:c>
      <x:c r="G66" s="32" t="n">
        <x:v>0.9732556716909648</x:v>
      </x:c>
      <x:c r="H66" s="32" t="n">
        <x:v>0.7833763194441956</x:v>
      </x:c>
      <x:c r="I66" s="32" t="n">
        <x:v>0.947388121877181</x:v>
      </x:c>
      <x:c r="J66" s="32" t="n">
        <x:v>0</x:v>
      </x:c>
      <x:c r="K66" s="32" t="n">
        <x:v>0.13100082349446618</x:v>
      </x:c>
      <x:c r="L66" s="32" t="n">
        <x:v>0.505576208</x:v>
      </x:c>
      <x:c r="M66" s="32" t="n">
        <x:v>0.505576208</x:v>
      </x:c>
      <x:c r="N66" s="32" t="n">
        <x:v>1421</x:v>
      </x:c>
      <x:c r="O66" s="32" t="n">
        <x:v>0.6621</x:v>
      </x:c>
      <x:c r="P66" s="32" t="n">
        <x:v>1813.1826985677085</x:v>
      </x:c>
      <x:c r="Q66" s="32" t="n">
        <x:v>53.35528132120768</x:v>
      </x:c>
      <x:c r="R66" s="32" t="n">
        <x:v>29.392496232434194</x:v>
      </x:c>
      <x:c r="S66" s="32" t="n">
        <x:v>10.80080146545406</x:v>
      </x:c>
      <x:c r="T66" s="32" t="n">
        <x:v>72.1</x:v>
      </x:c>
      <x:c r="U66" s="32" t="n">
        <x:v>211.4154781728841</x:v>
      </x:c>
      <x:c r="V66" s="32" t="n">
        <x:v>325.42757789465</x:v>
      </x:c>
      <x:c r="W66" s="33" t="n">
        <x:f>IF(ISNUMBER(E66),100*MAX(0,MIN(1,('Anchors'!$H$6-E66)/('Anchors'!$H$6-'Anchors'!$G$6))),"")</x:f>
        <x:v>48.857142857142854</x:v>
      </x:c>
      <x:c r="X66" s="33" t="n">
        <x:f>IF(ISNUMBER(F66),100*MAX(0,MIN(1,('Anchors'!$H$7-F66)/('Anchors'!$H$7-'Anchors'!$G$7))),"")</x:f>
        <x:v>100</x:v>
      </x:c>
      <x:c r="Y66" s="33" t="n">
        <x:f>IF(ISNUMBER(G66),100*MAX(0,MIN(1,('Anchors'!$H$8-G66)/('Anchors'!$H$8-'Anchors'!$G$8))),"")</x:f>
        <x:v>100</x:v>
      </x:c>
      <x:c r="Z66" s="33" t="n">
        <x:f>IF(ISNUMBER(H66),100*MAX(0,MIN(1,('Anchors'!$H$9-H66)/('Anchors'!$H$9-'Anchors'!$G$9))),"")</x:f>
        <x:v>100</x:v>
      </x:c>
      <x:c r="AA66" s="33" t="n">
        <x:f>IF(ISNUMBER(I66),100*MAX(0,MIN(1,(I66-'Anchors'!$H$10)/('Anchors'!$G$10-'Anchors'!$H$10))),"")</x:f>
        <x:v>95.53261943523029</x:v>
      </x:c>
      <x:c r="AB66" s="33" t="n">
        <x:f>IF(ISNUMBER(J66),100*MAX(0,MIN(1,('Anchors'!$H$11-J66)/('Anchors'!$H$11-'Anchors'!$G$11))),"")</x:f>
        <x:v>100</x:v>
      </x:c>
      <x:c r="AC66" s="33" t="n">
        <x:f>IF(ISNUMBER(K66),100*MAX(0,MIN(1,('Anchors'!$H$12-K66)/('Anchors'!$H$12-'Anchors'!$G$12))),"")</x:f>
        <x:v>67.24979412638345</x:v>
      </x:c>
      <x:c r="AD66" s="33" t="n">
        <x:f>IF(ISNUMBER(L66),100*MAX(0,MIN(1,(L66-'Anchors'!$H$13)/('Anchors'!$G$13-'Anchors'!$H$13))),"")</x:f>
        <x:v>43.653744</x:v>
      </x:c>
      <x:c r="AE66" s="33" t="n">
        <x:f>IF(ISNUMBER(M66),100*MAX(0,MIN(1,(M66-'Anchors'!$H$14)/('Anchors'!$G$14-'Anchors'!$H$14))),"")</x:f>
        <x:v>50.697026</x:v>
      </x:c>
      <x:c r="AF66" s="33" t="n">
        <x:f>IF(ISNUMBER(N66),100*MAX(0,MIN(1,(LN(1+N66)-LN(1+'Anchors'!$H$15))/(LN(1+'Anchors'!$G$15)-LN(1+'Anchors'!$H$15)))),"")</x:f>
        <x:v>0</x:v>
      </x:c>
      <x:c r="AG66" s="33" t="n">
        <x:f>IF(ISNUMBER(O66),100*MAX(0,MIN(1,('Anchors'!$H$16-O66)/('Anchors'!$H$16-'Anchors'!$G$16))),"")</x:f>
        <x:v>31.988888888888884</x:v>
      </x:c>
      <x:c r="AH66" s="33" t="n">
        <x:f>IF(ISNUMBER(P66),100*MAX(0,MIN(1,('Anchors'!$H$17-P66)/('Anchors'!$H$17-'Anchors'!$G$17))),"")</x:f>
        <x:v>25.787820095486104</x:v>
      </x:c>
      <x:c r="AI66" s="33" t="n">
        <x:f>IF(ISNUMBER(Q66),100*MAX(0,MIN(1,('Anchors'!$H$18-Q66)/('Anchors'!$H$18-'Anchors'!$G$18))),"")</x:f>
        <x:v>30.921026683989034</x:v>
      </x:c>
      <x:c r="AJ66" s="33" t="n">
        <x:f>IF(ISNUMBER(R66),100*MAX(0,MIN(1,('Anchors'!$H$19-R66)/('Anchors'!$H$19-'Anchors'!$G$19))),"")</x:f>
        <x:v>45.7944528168129</x:v>
      </x:c>
      <x:c r="AK66" s="33" t="n">
        <x:f>IF(ISNUMBER(S66),100*MAX(0,MIN(1,('Anchors'!$H$20-S66)/('Anchors'!$H$20-'Anchors'!$G$20))),"")</x:f>
        <x:v>48.416834392347056</x:v>
      </x:c>
      <x:c r="AL66" s="33" t="n">
        <x:f>IF(ISNUMBER(T66),100*MAX(0,MIN(1,('Anchors'!$H$21-T66)/('Anchors'!$H$21-'Anchors'!$G$21))),"")</x:f>
        <x:v>87.0909090909091</x:v>
      </x:c>
      <x:c r="AM66" s="33" t="n">
        <x:f>IF(ISNUMBER(U66),100*MAX(0,MIN(1,('Anchors'!$H$22-U66)/('Anchors'!$H$22-'Anchors'!$G$22))),"")</x:f>
        <x:v>44.29226091355795</x:v>
      </x:c>
      <x:c r="AN66" s="33" t="n">
        <x:f>IF(ISNUMBER(V66),100*MAX(0,MIN(1,('Anchors'!$H$23-V66)/('Anchors'!$H$23-'Anchors'!$G$23))),"")</x:f>
        <x:v>68.6431055263375</x:v>
      </x:c>
      <x:c r="AO66" s="27" t="n">
        <x:f>IF(ISNUMBER(W66),IF('Scoring Setup'!$L$9=1,1-'Scoring Setup'!$B$5*(1-MAX(0,MIN(1,(W66-'Scoring Setup'!$K$9)/(100-'Scoring Setup'!$K$9)))),1),"")</x:f>
        <x:v>0.8977142857142857</x:v>
      </x:c>
      <x:c r="AP66" s="27" t="n">
        <x:f>IF(ISNUMBER(X66),IF('Scoring Setup'!$L$10=1,1-'Scoring Setup'!$B$5*(1-MAX(0,MIN(1,(X66-'Scoring Setup'!$K$10)/(100-'Scoring Setup'!$K$10)))),1),"")</x:f>
        <x:v>1</x:v>
      </x:c>
      <x:c r="AQ66" s="27" t="n">
        <x:f>IF(ISNUMBER(Y66),IF('Scoring Setup'!$L$11=1,1-'Scoring Setup'!$B$5*(1-MAX(0,MIN(1,(Y66-'Scoring Setup'!$K$11)/(100-'Scoring Setup'!$K$11)))),1),"")</x:f>
        <x:v>1</x:v>
      </x:c>
      <x:c r="AR66" s="27" t="n">
        <x:f>IF(ISNUMBER(Z66),IF('Scoring Setup'!$L$12=1,1-'Scoring Setup'!$B$5*(1-MAX(0,MIN(1,(Z66-'Scoring Setup'!$K$12)/(100-'Scoring Setup'!$K$12)))),1),"")</x:f>
        <x:v>1</x:v>
      </x:c>
      <x:c r="AS66" s="27" t="n">
        <x:f>IF(ISNUMBER(AA66),IF('Scoring Setup'!$L$13=1,1-'Scoring Setup'!$B$5*(1-MAX(0,MIN(1,(AA66-'Scoring Setup'!$K$13)/(100-'Scoring Setup'!$K$13)))),1),"")</x:f>
        <x:v>0.9910652388704606</x:v>
      </x:c>
      <x:c r="AT66" s="27" t="n">
        <x:f>IF(ISNUMBER(AB66),IF('Scoring Setup'!$L$14=1,1-'Scoring Setup'!$B$5*(1-MAX(0,MIN(1,(AB66-'Scoring Setup'!$K$14)/(100-'Scoring Setup'!$K$14)))),1),"")</x:f>
        <x:v>1</x:v>
      </x:c>
      <x:c r="AU66" s="27" t="n">
        <x:f>IF(ISNUMBER(AC66),IF('Scoring Setup'!$L$15=1,1-'Scoring Setup'!$B$5*(1-MAX(0,MIN(1,(AC66-'Scoring Setup'!$K$15)/(100-'Scoring Setup'!$K$15)))),1),"")</x:f>
        <x:v>0.9344995882527669</x:v>
      </x:c>
      <x:c r="AV66" s="27" t="n">
        <x:f>IF(ISNUMBER(AD66),IF('Scoring Setup'!$L$16=1,1-'Scoring Setup'!$B$5*(1-MAX(0,MIN(1,(AD66-'Scoring Setup'!$K$16)/(100-'Scoring Setup'!$K$16)))),1),"")</x:f>
        <x:v>0.887307488</x:v>
      </x:c>
      <x:c r="AW66" s="27" t="n">
        <x:f>IF(ISNUMBER(AE66),IF('Scoring Setup'!$L$17=1,1-'Scoring Setup'!$B$5*(1-MAX(0,MIN(1,(AE66-'Scoring Setup'!$K$17)/(100-'Scoring Setup'!$K$17)))),1),"")</x:f>
        <x:v>0.901394052</x:v>
      </x:c>
      <x:c r="AX66" s="27" t="n">
        <x:f>IF(ISNUMBER(AF66),IF('Scoring Setup'!$L$18=1,1-'Scoring Setup'!$B$5*(1-MAX(0,MIN(1,(AF66-'Scoring Setup'!$K$18)/(100-'Scoring Setup'!$K$18)))),1),"")</x:f>
        <x:v>0.8</x:v>
      </x:c>
      <x:c r="AY66" s="27" t="n">
        <x:f>IF(ISNUMBER(AG66),IF('Scoring Setup'!$L$19=1,1-'Scoring Setup'!$B$5*(1-MAX(0,MIN(1,(AG66-'Scoring Setup'!$K$19)/(100-'Scoring Setup'!$K$19)))),1),"")</x:f>
        <x:v>0.8639777777777777</x:v>
      </x:c>
      <x:c r="AZ66" s="27" t="n">
        <x:f>IF(ISNUMBER(AH66),IF('Scoring Setup'!$L$20=1,1-'Scoring Setup'!$B$5*(1-MAX(0,MIN(1,(AH66-'Scoring Setup'!$K$20)/(100-'Scoring Setup'!$K$20)))),1),"")</x:f>
        <x:v>0.8515756401909722</x:v>
      </x:c>
      <x:c r="BA66" s="27" t="n">
        <x:f>IF(ISNUMBER(AI66),IF('Scoring Setup'!$L$21=1,1-'Scoring Setup'!$B$5*(1-MAX(0,MIN(1,(AI66-'Scoring Setup'!$K$21)/(100-'Scoring Setup'!$K$21)))),1),"")</x:f>
        <x:v>0.861842053367978</x:v>
      </x:c>
      <x:c r="BB66" s="27" t="n">
        <x:f>IF(ISNUMBER(AJ66),IF('Scoring Setup'!$L$22=1,1-'Scoring Setup'!$B$5*(1-MAX(0,MIN(1,(AJ66-'Scoring Setup'!$K$22)/(100-'Scoring Setup'!$K$22)))),1),"")</x:f>
        <x:v>0.8915889056336258</x:v>
      </x:c>
      <x:c r="BC66" s="27" t="n">
        <x:f>IF(ISNUMBER(AK66),IF('Scoring Setup'!$L$23=1,1-'Scoring Setup'!$B$5*(1-MAX(0,MIN(1,(AK66-'Scoring Setup'!$K$23)/(100-'Scoring Setup'!$K$23)))),1),"")</x:f>
        <x:v>0.8968336687846941</x:v>
      </x:c>
      <x:c r="BD66" s="27" t="n">
        <x:f>IF(ISNUMBER(AL66),IF('Scoring Setup'!$L$24=1,1-'Scoring Setup'!$B$5*(1-MAX(0,MIN(1,(AL66-'Scoring Setup'!$K$24)/(100-'Scoring Setup'!$K$24)))),1),"")</x:f>
        <x:v>0.9741818181818181</x:v>
      </x:c>
      <x:c r="BE66" s="27" t="n">
        <x:f>IF(ISNUMBER(AM66),IF('Scoring Setup'!$L$25=1,1-'Scoring Setup'!$B$5*(1-MAX(0,MIN(1,(AM66-'Scoring Setup'!$K$25)/(100-'Scoring Setup'!$K$25)))),1),"")</x:f>
        <x:v>0.8885845218271159</x:v>
      </x:c>
      <x:c r="BF66" s="27" t="n">
        <x:f>IF(ISNUMBER(AN66),IF('Scoring Setup'!$L$26=1,1-'Scoring Setup'!$B$5*(1-MAX(0,MIN(1,(AN66-'Scoring Setup'!$K$26)/(100-'Scoring Setup'!$K$26)))),1),"")</x:f>
        <x:v>0.937286211052675</x:v>
      </x:c>
      <x:c r="BG66" s="34" t="n">
        <x:f>IF(COUNT(W66,X66)=2,AVERAGE(W66,X66),"")</x:f>
        <x:v>74.42857142857143</x:v>
      </x:c>
      <x:c r="BH66" s="34" t="n">
        <x:f>IF(COUNT(Y66,Z66)=2,AVERAGE(Y66,Z66),"")</x:f>
        <x:v>100</x:v>
      </x:c>
      <x:c r="BI66" s="34" t="n">
        <x:f>IF(COUNT(AA66,AB66,AC66)=3,AVERAGE(AA66,AB66,AC66),"")</x:f>
        <x:v>87.59413785387125</x:v>
      </x:c>
      <x:c r="BJ66" s="34" t="n">
        <x:f>IF(COUNT(AD66,AE66)=2,AVERAGE(AD66,AE66),"")</x:f>
        <x:v>47.175385000000006</x:v>
      </x:c>
      <x:c r="BK66" s="34" t="n">
        <x:f>IF(COUNT(AF66,AG66)=2,AVERAGE(AF66,AG66),"")</x:f>
        <x:v>15.994444444444442</x:v>
      </x:c>
      <x:c r="BL66" s="34" t="n">
        <x:f>IF(COUNT(AH66,AI66)=2,AVERAGE(AH66,AI66),"")</x:f>
        <x:v>28.35442338973757</x:v>
      </x:c>
      <x:c r="BM66" s="34" t="n">
        <x:f>IF(COUNT(AJ66,AK66)=2,AVERAGE(AJ66,AK66),"")</x:f>
        <x:v>47.10564360457998</x:v>
      </x:c>
      <x:c r="BN66" s="34" t="n">
        <x:f>IF(COUNT(AL66,AM66,AN66)=3,AVERAGE(AL66,AM66,AN66),"")</x:f>
        <x:v>66.67542517693484</x:v>
      </x:c>
      <x:c r="BO66" s="35" t="n">
        <x:f>IF(AND(COUNT(BG66:BN66)=8,ABS('Scoring Setup'!$C$17-1)&lt;0.000001),BG66*'Scoring Setup'!$C$9+BH66*'Scoring Setup'!$C$10+BI66*'Scoring Setup'!$C$11+BJ66*'Scoring Setup'!$C$12+BK66*'Scoring Setup'!$C$13+BL66*'Scoring Setup'!$C$14+BM66*'Scoring Setup'!$C$15+BN66*'Scoring Setup'!$C$16,"")</x:f>
        <x:v>66.29488477548504</x:v>
      </x:c>
      <x:c r="BP66" s="36" t="n">
        <x:f>IF(COUNT(AO66:BF66)=18,MIN(AO66:BF66),"")</x:f>
        <x:v>0.8</x:v>
      </x:c>
      <x:c r="BQ66" s="35" t="n">
        <x:f>IF(AND(ISNUMBER(BO66),ISNUMBER(BP66)),BO66*BP66,"")</x:f>
        <x:v>53.03590782038804</x:v>
      </x:c>
      <x:c r="BR66" s="17" t="str">
        <x:f>IF(COUNT(AO66:BF66)=18,INDEX('Scoring Setup'!$F$9:$F$26,MATCH(MIN(AO66:BF66),AO66:BF66,0),1),"")</x:f>
        <x:v>劳动力人数</x:v>
      </x:c>
    </x:row>
    <x:row r="67">
      <x:c r="A67" s="28" t="str">
        <x:v>13127</x:v>
      </x:c>
      <x:c r="B67" s="28" t="str">
        <x:v>Glynn County</x:v>
      </x:c>
      <x:c r="C67" s="28" t="str">
        <x:v>GA</x:v>
      </x:c>
      <x:c r="D67" s="31" t="n">
        <x:v>1086.818208</x:v>
      </x:c>
      <x:c r="E67" s="32" t="n">
        <x:v>0.801</x:v>
      </x:c>
      <x:c r="F67" s="32" t="n">
        <x:v>0.021658415841584202</x:v>
      </x:c>
      <x:c r="G67" s="32" t="n">
        <x:v>0.9418839498550172</x:v>
      </x:c>
      <x:c r="H67" s="32" t="n">
        <x:v>0.879043448878915</x:v>
      </x:c>
      <x:c r="I67" s="32" t="n">
        <x:v>0.8646156178342463</x:v>
      </x:c>
      <x:c r="J67" s="32" t="n">
        <x:v>0.17234982125780443</x:v>
      </x:c>
      <x:c r="K67" s="32" t="n">
        <x:v>0.5045864987935088</x:v>
      </x:c>
      <x:c r="L67" s="32" t="n">
        <x:v>0.952519166</x:v>
      </x:c>
      <x:c r="M67" s="32" t="n">
        <x:v>0.9482555</x:v>
      </x:c>
      <x:c r="N67" s="32" t="n">
        <x:v>42743</x:v>
      </x:c>
      <x:c r="O67" s="32" t="n">
        <x:v>0.7744</x:v>
      </x:c>
      <x:c r="P67" s="32" t="n">
        <x:v>2461.71181640625</x:v>
      </x:c>
      <x:c r="Q67" s="32" t="n">
        <x:v>50.03989677429199</x:v>
      </x:c>
      <x:c r="R67" s="32" t="n">
        <x:v>2.483279085775222</x:v>
      </x:c>
      <x:c r="S67" s="32" t="n">
        <x:v>0.6433735108990839</x:v>
      </x:c>
      <x:c r="T67" s="32" t="n">
        <x:v>72.1</x:v>
      </x:c>
      <x:c r="U67" s="32" t="n">
        <x:v>211.4154781728841</x:v>
      </x:c>
      <x:c r="V67" s="32" t="n">
        <x:v>325.42757789465</x:v>
      </x:c>
      <x:c r="W67" s="33" t="n">
        <x:f>IF(ISNUMBER(E67),100*MAX(0,MIN(1,('Anchors'!$H$6-E67)/('Anchors'!$H$6-'Anchors'!$G$6))),"")</x:f>
        <x:v>14.14285714285714</x:v>
      </x:c>
      <x:c r="X67" s="33" t="n">
        <x:f>IF(ISNUMBER(F67),100*MAX(0,MIN(1,('Anchors'!$H$7-F67)/('Anchors'!$H$7-'Anchors'!$G$7))),"")</x:f>
        <x:v>100</x:v>
      </x:c>
      <x:c r="Y67" s="33" t="n">
        <x:f>IF(ISNUMBER(G67),100*MAX(0,MIN(1,('Anchors'!$H$8-G67)/('Anchors'!$H$8-'Anchors'!$G$8))),"")</x:f>
        <x:v>100</x:v>
      </x:c>
      <x:c r="Z67" s="33" t="n">
        <x:f>IF(ISNUMBER(H67),100*MAX(0,MIN(1,('Anchors'!$H$9-H67)/('Anchors'!$H$9-'Anchors'!$G$9))),"")</x:f>
        <x:v>100</x:v>
      </x:c>
      <x:c r="AA67" s="33" t="n">
        <x:f>IF(ISNUMBER(I67),100*MAX(0,MIN(1,(I67-'Anchors'!$H$10)/('Anchors'!$G$10-'Anchors'!$H$10))),"")</x:f>
        <x:v>84.19392025126663</x:v>
      </x:c>
      <x:c r="AB67" s="33" t="n">
        <x:f>IF(ISNUMBER(J67),100*MAX(0,MIN(1,('Anchors'!$H$11-J67)/('Anchors'!$H$11-'Anchors'!$G$11))),"")</x:f>
        <x:v>31.060071496878226</x:v>
      </x:c>
      <x:c r="AC67" s="33" t="n">
        <x:f>IF(ISNUMBER(K67),100*MAX(0,MIN(1,('Anchors'!$H$12-K67)/('Anchors'!$H$12-'Anchors'!$G$12))),"")</x:f>
        <x:v>0</x:v>
      </x:c>
      <x:c r="AD67" s="33" t="n">
        <x:f>IF(ISNUMBER(L67),100*MAX(0,MIN(1,(L67-'Anchors'!$H$13)/('Anchors'!$G$13-'Anchors'!$H$13))),"")</x:f>
        <x:v>100</x:v>
      </x:c>
      <x:c r="AE67" s="33" t="n">
        <x:f>IF(ISNUMBER(M67),100*MAX(0,MIN(1,(M67-'Anchors'!$H$14)/('Anchors'!$G$14-'Anchors'!$H$14))),"")</x:f>
        <x:v>100</x:v>
      </x:c>
      <x:c r="AF67" s="33" t="n">
        <x:f>IF(ISNUMBER(N67),100*MAX(0,MIN(1,(LN(1+N67)-LN(1+'Anchors'!$H$15))/(LN(1+'Anchors'!$G$15)-LN(1+'Anchors'!$H$15)))),"")</x:f>
        <x:v>70.91928173019751</x:v>
      </x:c>
      <x:c r="AG67" s="33" t="n">
        <x:f>IF(ISNUMBER(O67),100*MAX(0,MIN(1,('Anchors'!$H$16-O67)/('Anchors'!$H$16-'Anchors'!$G$16))),"")</x:f>
        <x:v>19.51111111111111</x:v>
      </x:c>
      <x:c r="AH67" s="33" t="n">
        <x:f>IF(ISNUMBER(P67),100*MAX(0,MIN(1,('Anchors'!$H$17-P67)/('Anchors'!$H$17-'Anchors'!$G$17))),"")</x:f>
        <x:v>0</x:v>
      </x:c>
      <x:c r="AI67" s="33" t="n">
        <x:f>IF(ISNUMBER(Q67),100*MAX(0,MIN(1,('Anchors'!$H$18-Q67)/('Anchors'!$H$18-'Anchors'!$G$18))),"")</x:f>
        <x:v>35.65729032244002</x:v>
      </x:c>
      <x:c r="AJ67" s="33" t="n">
        <x:f>IF(ISNUMBER(R67),100*MAX(0,MIN(1,('Anchors'!$H$19-R67)/('Anchors'!$H$19-'Anchors'!$G$19))),"")</x:f>
        <x:v>100</x:v>
      </x:c>
      <x:c r="AK67" s="33" t="n">
        <x:f>IF(ISNUMBER(S67),100*MAX(0,MIN(1,('Anchors'!$H$20-S67)/('Anchors'!$H$20-'Anchors'!$G$20))),"")</x:f>
        <x:v>100</x:v>
      </x:c>
      <x:c r="AL67" s="33" t="n">
        <x:f>IF(ISNUMBER(T67),100*MAX(0,MIN(1,('Anchors'!$H$21-T67)/('Anchors'!$H$21-'Anchors'!$G$21))),"")</x:f>
        <x:v>87.0909090909091</x:v>
      </x:c>
      <x:c r="AM67" s="33" t="n">
        <x:f>IF(ISNUMBER(U67),100*MAX(0,MIN(1,('Anchors'!$H$22-U67)/('Anchors'!$H$22-'Anchors'!$G$22))),"")</x:f>
        <x:v>44.29226091355795</x:v>
      </x:c>
      <x:c r="AN67" s="33" t="n">
        <x:f>IF(ISNUMBER(V67),100*MAX(0,MIN(1,('Anchors'!$H$23-V67)/('Anchors'!$H$23-'Anchors'!$G$23))),"")</x:f>
        <x:v>68.6431055263375</x:v>
      </x:c>
      <x:c r="AO67" s="27" t="n">
        <x:f>IF(ISNUMBER(W67),IF('Scoring Setup'!$L$9=1,1-'Scoring Setup'!$B$5*(1-MAX(0,MIN(1,(W67-'Scoring Setup'!$K$9)/(100-'Scoring Setup'!$K$9)))),1),"")</x:f>
        <x:v>0.8282857142857143</x:v>
      </x:c>
      <x:c r="AP67" s="27" t="n">
        <x:f>IF(ISNUMBER(X67),IF('Scoring Setup'!$L$10=1,1-'Scoring Setup'!$B$5*(1-MAX(0,MIN(1,(X67-'Scoring Setup'!$K$10)/(100-'Scoring Setup'!$K$10)))),1),"")</x:f>
        <x:v>1</x:v>
      </x:c>
      <x:c r="AQ67" s="27" t="n">
        <x:f>IF(ISNUMBER(Y67),IF('Scoring Setup'!$L$11=1,1-'Scoring Setup'!$B$5*(1-MAX(0,MIN(1,(Y67-'Scoring Setup'!$K$11)/(100-'Scoring Setup'!$K$11)))),1),"")</x:f>
        <x:v>1</x:v>
      </x:c>
      <x:c r="AR67" s="27" t="n">
        <x:f>IF(ISNUMBER(Z67),IF('Scoring Setup'!$L$12=1,1-'Scoring Setup'!$B$5*(1-MAX(0,MIN(1,(Z67-'Scoring Setup'!$K$12)/(100-'Scoring Setup'!$K$12)))),1),"")</x:f>
        <x:v>1</x:v>
      </x:c>
      <x:c r="AS67" s="27" t="n">
        <x:f>IF(ISNUMBER(AA67),IF('Scoring Setup'!$L$13=1,1-'Scoring Setup'!$B$5*(1-MAX(0,MIN(1,(AA67-'Scoring Setup'!$K$13)/(100-'Scoring Setup'!$K$13)))),1),"")</x:f>
        <x:v>0.9683878405025332</x:v>
      </x:c>
      <x:c r="AT67" s="27" t="n">
        <x:f>IF(ISNUMBER(AB67),IF('Scoring Setup'!$L$14=1,1-'Scoring Setup'!$B$5*(1-MAX(0,MIN(1,(AB67-'Scoring Setup'!$K$14)/(100-'Scoring Setup'!$K$14)))),1),"")</x:f>
        <x:v>0.8621201429937564</x:v>
      </x:c>
      <x:c r="AU67" s="27" t="n">
        <x:f>IF(ISNUMBER(AC67),IF('Scoring Setup'!$L$15=1,1-'Scoring Setup'!$B$5*(1-MAX(0,MIN(1,(AC67-'Scoring Setup'!$K$15)/(100-'Scoring Setup'!$K$15)))),1),"")</x:f>
        <x:v>0.8</x:v>
      </x:c>
      <x:c r="AV67" s="27" t="n">
        <x:f>IF(ISNUMBER(AD67),IF('Scoring Setup'!$L$16=1,1-'Scoring Setup'!$B$5*(1-MAX(0,MIN(1,(AD67-'Scoring Setup'!$K$16)/(100-'Scoring Setup'!$K$16)))),1),"")</x:f>
        <x:v>1</x:v>
      </x:c>
      <x:c r="AW67" s="27" t="n">
        <x:f>IF(ISNUMBER(AE67),IF('Scoring Setup'!$L$17=1,1-'Scoring Setup'!$B$5*(1-MAX(0,MIN(1,(AE67-'Scoring Setup'!$K$17)/(100-'Scoring Setup'!$K$17)))),1),"")</x:f>
        <x:v>1</x:v>
      </x:c>
      <x:c r="AX67" s="27" t="n">
        <x:f>IF(ISNUMBER(AF67),IF('Scoring Setup'!$L$18=1,1-'Scoring Setup'!$B$5*(1-MAX(0,MIN(1,(AF67-'Scoring Setup'!$K$18)/(100-'Scoring Setup'!$K$18)))),1),"")</x:f>
        <x:v>0.9418385634603951</x:v>
      </x:c>
      <x:c r="AY67" s="27" t="n">
        <x:f>IF(ISNUMBER(AG67),IF('Scoring Setup'!$L$19=1,1-'Scoring Setup'!$B$5*(1-MAX(0,MIN(1,(AG67-'Scoring Setup'!$K$19)/(100-'Scoring Setup'!$K$19)))),1),"")</x:f>
        <x:v>0.8390222222222222</x:v>
      </x:c>
      <x:c r="AZ67" s="27" t="n">
        <x:f>IF(ISNUMBER(AH67),IF('Scoring Setup'!$L$20=1,1-'Scoring Setup'!$B$5*(1-MAX(0,MIN(1,(AH67-'Scoring Setup'!$K$20)/(100-'Scoring Setup'!$K$20)))),1),"")</x:f>
        <x:v>0.8</x:v>
      </x:c>
      <x:c r="BA67" s="27" t="n">
        <x:f>IF(ISNUMBER(AI67),IF('Scoring Setup'!$L$21=1,1-'Scoring Setup'!$B$5*(1-MAX(0,MIN(1,(AI67-'Scoring Setup'!$K$21)/(100-'Scoring Setup'!$K$21)))),1),"")</x:f>
        <x:v>0.8713145806448801</x:v>
      </x:c>
      <x:c r="BB67" s="27" t="n">
        <x:f>IF(ISNUMBER(AJ67),IF('Scoring Setup'!$L$22=1,1-'Scoring Setup'!$B$5*(1-MAX(0,MIN(1,(AJ67-'Scoring Setup'!$K$22)/(100-'Scoring Setup'!$K$22)))),1),"")</x:f>
        <x:v>1</x:v>
      </x:c>
      <x:c r="BC67" s="27" t="n">
        <x:f>IF(ISNUMBER(AK67),IF('Scoring Setup'!$L$23=1,1-'Scoring Setup'!$B$5*(1-MAX(0,MIN(1,(AK67-'Scoring Setup'!$K$23)/(100-'Scoring Setup'!$K$23)))),1),"")</x:f>
        <x:v>1</x:v>
      </x:c>
      <x:c r="BD67" s="27" t="n">
        <x:f>IF(ISNUMBER(AL67),IF('Scoring Setup'!$L$24=1,1-'Scoring Setup'!$B$5*(1-MAX(0,MIN(1,(AL67-'Scoring Setup'!$K$24)/(100-'Scoring Setup'!$K$24)))),1),"")</x:f>
        <x:v>0.9741818181818181</x:v>
      </x:c>
      <x:c r="BE67" s="27" t="n">
        <x:f>IF(ISNUMBER(AM67),IF('Scoring Setup'!$L$25=1,1-'Scoring Setup'!$B$5*(1-MAX(0,MIN(1,(AM67-'Scoring Setup'!$K$25)/(100-'Scoring Setup'!$K$25)))),1),"")</x:f>
        <x:v>0.8885845218271159</x:v>
      </x:c>
      <x:c r="BF67" s="27" t="n">
        <x:f>IF(ISNUMBER(AN67),IF('Scoring Setup'!$L$26=1,1-'Scoring Setup'!$B$5*(1-MAX(0,MIN(1,(AN67-'Scoring Setup'!$K$26)/(100-'Scoring Setup'!$K$26)))),1),"")</x:f>
        <x:v>0.937286211052675</x:v>
      </x:c>
      <x:c r="BG67" s="34" t="n">
        <x:f>IF(COUNT(W67,X67)=2,AVERAGE(W67,X67),"")</x:f>
        <x:v>57.07142857142857</x:v>
      </x:c>
      <x:c r="BH67" s="34" t="n">
        <x:f>IF(COUNT(Y67,Z67)=2,AVERAGE(Y67,Z67),"")</x:f>
        <x:v>100</x:v>
      </x:c>
      <x:c r="BI67" s="34" t="n">
        <x:f>IF(COUNT(AA67,AB67,AC67)=3,AVERAGE(AA67,AB67,AC67),"")</x:f>
        <x:v>38.41799724938162</x:v>
      </x:c>
      <x:c r="BJ67" s="34" t="n">
        <x:f>IF(COUNT(AD67,AE67)=2,AVERAGE(AD67,AE67),"")</x:f>
        <x:v>100</x:v>
      </x:c>
      <x:c r="BK67" s="34" t="n">
        <x:f>IF(COUNT(AF67,AG67)=2,AVERAGE(AF67,AG67),"")</x:f>
        <x:v>45.21519642065431</x:v>
      </x:c>
      <x:c r="BL67" s="34" t="n">
        <x:f>IF(COUNT(AH67,AI67)=2,AVERAGE(AH67,AI67),"")</x:f>
        <x:v>17.82864516122001</x:v>
      </x:c>
      <x:c r="BM67" s="34" t="n">
        <x:f>IF(COUNT(AJ67,AK67)=2,AVERAGE(AJ67,AK67),"")</x:f>
        <x:v>100</x:v>
      </x:c>
      <x:c r="BN67" s="34" t="n">
        <x:f>IF(COUNT(AL67,AM67,AN67)=3,AVERAGE(AL67,AM67,AN67),"")</x:f>
        <x:v>66.67542517693484</x:v>
      </x:c>
      <x:c r="BO67" s="35" t="n">
        <x:f>IF(AND(COUNT(BG67:BN67)=8,ABS('Scoring Setup'!$C$17-1)&lt;0.000001),BG67*'Scoring Setup'!$C$9+BH67*'Scoring Setup'!$C$10+BI67*'Scoring Setup'!$C$11+BJ67*'Scoring Setup'!$C$12+BK67*'Scoring Setup'!$C$13+BL67*'Scoring Setup'!$C$14+BM67*'Scoring Setup'!$C$15+BN67*'Scoring Setup'!$C$16,"")</x:f>
        <x:v>69.9645220352879</x:v>
      </x:c>
      <x:c r="BP67" s="36" t="n">
        <x:f>IF(COUNT(AO67:BF67)=18,MIN(AO67:BF67),"")</x:f>
        <x:v>0.8</x:v>
      </x:c>
      <x:c r="BQ67" s="35" t="n">
        <x:f>IF(AND(ISNUMBER(BO67),ISNUMBER(BP67)),BO67*BP67,"")</x:f>
        <x:v>55.97161762823032</x:v>
      </x:c>
      <x:c r="BR67" s="17" t="str">
        <x:f>IF(COUNT(AO67:BF67)=18,INDEX('Scoring Setup'!$F$9:$F$26,MATCH(MIN(AO67:BF67),AO67:BF67,0),1),"")</x:f>
        <x:v>湿地陆地比例</x:v>
      </x:c>
    </x:row>
    <x:row r="68">
      <x:c r="A68" s="28" t="str">
        <x:v>13129</x:v>
      </x:c>
      <x:c r="B68" s="28" t="str">
        <x:v>Gordon County</x:v>
      </x:c>
      <x:c r="C68" s="28" t="str">
        <x:v>GA</x:v>
      </x:c>
      <x:c r="D68" s="31" t="n">
        <x:v>923.219316</x:v>
      </x:c>
      <x:c r="E68" s="32" t="n">
        <x:v>0.659</x:v>
      </x:c>
      <x:c r="F68" s="32" t="n">
        <x:v>0.38985148514851503</x:v>
      </x:c>
      <x:c r="G68" s="32" t="n">
        <x:v>2.5806215362076923</x:v>
      </x:c>
      <x:c r="H68" s="32" t="n">
        <x:v>2.390022019</x:v>
      </x:c>
      <x:c r="I68" s="32" t="n">
        <x:v>0.8852958912705013</x:v>
      </x:c>
      <x:c r="J68" s="32" t="n">
        <x:v>0.04282190713611786</x:v>
      </x:c>
      <x:c r="K68" s="32" t="n">
        <x:v>0.010139146939441712</x:v>
      </x:c>
      <x:c r="L68" s="32" t="n">
        <x:v>0.396501458</x:v>
      </x:c>
      <x:c r="M68" s="32" t="n">
        <x:v>0.394632578</x:v>
      </x:c>
      <x:c r="N68" s="32" t="n">
        <x:v>29244</x:v>
      </x:c>
      <x:c r="O68" s="32" t="n">
        <x:v>0.7318</x:v>
      </x:c>
      <x:c r="P68" s="32" t="n">
        <x:v>1438.3096516927085</x:v>
      </x:c>
      <x:c r="Q68" s="32" t="n">
        <x:v>36.01423937479655</x:v>
      </x:c>
      <x:c r="R68" s="32" t="n">
        <x:v>4.093132966455711</x:v>
      </x:c>
      <x:c r="S68" s="32" t="n">
        <x:v>6.334236354376875</x:v>
      </x:c>
      <x:c r="T68" s="32" t="n">
        <x:v>72.1</x:v>
      </x:c>
      <x:c r="U68" s="32" t="n">
        <x:v>211.4154781728841</x:v>
      </x:c>
      <x:c r="V68" s="32" t="n">
        <x:v>325.42757789465</x:v>
      </x:c>
      <x:c r="W68" s="33" t="n">
        <x:f>IF(ISNUMBER(E68),100*MAX(0,MIN(1,('Anchors'!$H$6-E68)/('Anchors'!$H$6-'Anchors'!$G$6))),"")</x:f>
        <x:v>34.42857142857143</x:v>
      </x:c>
      <x:c r="X68" s="33" t="n">
        <x:f>IF(ISNUMBER(F68),100*MAX(0,MIN(1,('Anchors'!$H$7-F68)/('Anchors'!$H$7-'Anchors'!$G$7))),"")</x:f>
        <x:v>58.59264497878357</x:v>
      </x:c>
      <x:c r="Y68" s="33" t="n">
        <x:f>IF(ISNUMBER(G68),100*MAX(0,MIN(1,('Anchors'!$H$8-G68)/('Anchors'!$H$8-'Anchors'!$G$8))),"")</x:f>
        <x:v>47.31261545974359</x:v>
      </x:c>
      <x:c r="Z68" s="33" t="n">
        <x:f>IF(ISNUMBER(H68),100*MAX(0,MIN(1,('Anchors'!$H$9-H68)/('Anchors'!$H$9-'Anchors'!$G$9))),"")</x:f>
        <x:v>53.665932700000006</x:v>
      </x:c>
      <x:c r="AA68" s="33" t="n">
        <x:f>IF(ISNUMBER(I68),100*MAX(0,MIN(1,(I68-'Anchors'!$H$10)/('Anchors'!$G$10-'Anchors'!$H$10))),"")</x:f>
        <x:v>87.02683442061662</x:v>
      </x:c>
      <x:c r="AB68" s="33" t="n">
        <x:f>IF(ISNUMBER(J68),100*MAX(0,MIN(1,('Anchors'!$H$11-J68)/('Anchors'!$H$11-'Anchors'!$G$11))),"")</x:f>
        <x:v>82.87123714555285</x:v>
      </x:c>
      <x:c r="AC68" s="33" t="n">
        <x:f>IF(ISNUMBER(K68),100*MAX(0,MIN(1,('Anchors'!$H$12-K68)/('Anchors'!$H$12-'Anchors'!$G$12))),"")</x:f>
        <x:v>97.46521326513957</x:v>
      </x:c>
      <x:c r="AD68" s="33" t="n">
        <x:f>IF(ISNUMBER(L68),100*MAX(0,MIN(1,(L68-'Anchors'!$H$13)/('Anchors'!$G$13-'Anchors'!$H$13))),"")</x:f>
        <x:v>28.071636857142853</x:v>
      </x:c>
      <x:c r="AE68" s="33" t="n">
        <x:f>IF(ISNUMBER(M68),100*MAX(0,MIN(1,(M68-'Anchors'!$H$14)/('Anchors'!$G$14-'Anchors'!$H$14))),"")</x:f>
        <x:v>36.829072249999996</x:v>
      </x:c>
      <x:c r="AF68" s="33" t="n">
        <x:f>IF(ISNUMBER(N68),100*MAX(0,MIN(1,(LN(1+N68)-LN(1+'Anchors'!$H$15))/(LN(1+'Anchors'!$G$15)-LN(1+'Anchors'!$H$15)))),"")</x:f>
        <x:v>62.12797610904224</x:v>
      </x:c>
      <x:c r="AG68" s="33" t="n">
        <x:f>IF(ISNUMBER(O68),100*MAX(0,MIN(1,('Anchors'!$H$16-O68)/('Anchors'!$H$16-'Anchors'!$G$16))),"")</x:f>
        <x:v>24.24444444444444</x:v>
      </x:c>
      <x:c r="AH68" s="33" t="n">
        <x:f>IF(ISNUMBER(P68),100*MAX(0,MIN(1,('Anchors'!$H$17-P68)/('Anchors'!$H$17-'Anchors'!$G$17))),"")</x:f>
        <x:v>50.77935655381943</x:v>
      </x:c>
      <x:c r="AI68" s="33" t="n">
        <x:f>IF(ISNUMBER(Q68),100*MAX(0,MIN(1,('Anchors'!$H$18-Q68)/('Anchors'!$H$18-'Anchors'!$G$18))),"")</x:f>
        <x:v>55.69394375029064</x:v>
      </x:c>
      <x:c r="AJ68" s="33" t="n">
        <x:f>IF(ISNUMBER(R68),100*MAX(0,MIN(1,('Anchors'!$H$19-R68)/('Anchors'!$H$19-'Anchors'!$G$19))),"")</x:f>
        <x:v>100</x:v>
      </x:c>
      <x:c r="AK68" s="33" t="n">
        <x:f>IF(ISNUMBER(S68),100*MAX(0,MIN(1,('Anchors'!$H$20-S68)/('Anchors'!$H$20-'Anchors'!$G$20))),"")</x:f>
        <x:v>71.92507181906907</x:v>
      </x:c>
      <x:c r="AL68" s="33" t="n">
        <x:f>IF(ISNUMBER(T68),100*MAX(0,MIN(1,('Anchors'!$H$21-T68)/('Anchors'!$H$21-'Anchors'!$G$21))),"")</x:f>
        <x:v>87.0909090909091</x:v>
      </x:c>
      <x:c r="AM68" s="33" t="n">
        <x:f>IF(ISNUMBER(U68),100*MAX(0,MIN(1,('Anchors'!$H$22-U68)/('Anchors'!$H$22-'Anchors'!$G$22))),"")</x:f>
        <x:v>44.29226091355795</x:v>
      </x:c>
      <x:c r="AN68" s="33" t="n">
        <x:f>IF(ISNUMBER(V68),100*MAX(0,MIN(1,('Anchors'!$H$23-V68)/('Anchors'!$H$23-'Anchors'!$G$23))),"")</x:f>
        <x:v>68.6431055263375</x:v>
      </x:c>
      <x:c r="AO68" s="27" t="n">
        <x:f>IF(ISNUMBER(W68),IF('Scoring Setup'!$L$9=1,1-'Scoring Setup'!$B$5*(1-MAX(0,MIN(1,(W68-'Scoring Setup'!$K$9)/(100-'Scoring Setup'!$K$9)))),1),"")</x:f>
        <x:v>0.8688571428571429</x:v>
      </x:c>
      <x:c r="AP68" s="27" t="n">
        <x:f>IF(ISNUMBER(X68),IF('Scoring Setup'!$L$10=1,1-'Scoring Setup'!$B$5*(1-MAX(0,MIN(1,(X68-'Scoring Setup'!$K$10)/(100-'Scoring Setup'!$K$10)))),1),"")</x:f>
        <x:v>0.9171852899575671</x:v>
      </x:c>
      <x:c r="AQ68" s="27" t="n">
        <x:f>IF(ISNUMBER(Y68),IF('Scoring Setup'!$L$11=1,1-'Scoring Setup'!$B$5*(1-MAX(0,MIN(1,(Y68-'Scoring Setup'!$K$11)/(100-'Scoring Setup'!$K$11)))),1),"")</x:f>
        <x:v>0.8946252309194872</x:v>
      </x:c>
      <x:c r="AR68" s="27" t="n">
        <x:f>IF(ISNUMBER(Z68),IF('Scoring Setup'!$L$12=1,1-'Scoring Setup'!$B$5*(1-MAX(0,MIN(1,(Z68-'Scoring Setup'!$K$12)/(100-'Scoring Setup'!$K$12)))),1),"")</x:f>
        <x:v>0.9073318654</x:v>
      </x:c>
      <x:c r="AS68" s="27" t="n">
        <x:f>IF(ISNUMBER(AA68),IF('Scoring Setup'!$L$13=1,1-'Scoring Setup'!$B$5*(1-MAX(0,MIN(1,(AA68-'Scoring Setup'!$K$13)/(100-'Scoring Setup'!$K$13)))),1),"")</x:f>
        <x:v>0.9740536688412332</x:v>
      </x:c>
      <x:c r="AT68" s="27" t="n">
        <x:f>IF(ISNUMBER(AB68),IF('Scoring Setup'!$L$14=1,1-'Scoring Setup'!$B$5*(1-MAX(0,MIN(1,(AB68-'Scoring Setup'!$K$14)/(100-'Scoring Setup'!$K$14)))),1),"")</x:f>
        <x:v>0.9657424742911057</x:v>
      </x:c>
      <x:c r="AU68" s="27" t="n">
        <x:f>IF(ISNUMBER(AC68),IF('Scoring Setup'!$L$15=1,1-'Scoring Setup'!$B$5*(1-MAX(0,MIN(1,(AC68-'Scoring Setup'!$K$15)/(100-'Scoring Setup'!$K$15)))),1),"")</x:f>
        <x:v>0.9949304265302792</x:v>
      </x:c>
      <x:c r="AV68" s="27" t="n">
        <x:f>IF(ISNUMBER(AD68),IF('Scoring Setup'!$L$16=1,1-'Scoring Setup'!$B$5*(1-MAX(0,MIN(1,(AD68-'Scoring Setup'!$K$16)/(100-'Scoring Setup'!$K$16)))),1),"")</x:f>
        <x:v>0.8561432737142857</x:v>
      </x:c>
      <x:c r="AW68" s="27" t="n">
        <x:f>IF(ISNUMBER(AE68),IF('Scoring Setup'!$L$17=1,1-'Scoring Setup'!$B$5*(1-MAX(0,MIN(1,(AE68-'Scoring Setup'!$K$17)/(100-'Scoring Setup'!$K$17)))),1),"")</x:f>
        <x:v>0.8736581445</x:v>
      </x:c>
      <x:c r="AX68" s="27" t="n">
        <x:f>IF(ISNUMBER(AF68),IF('Scoring Setup'!$L$18=1,1-'Scoring Setup'!$B$5*(1-MAX(0,MIN(1,(AF68-'Scoring Setup'!$K$18)/(100-'Scoring Setup'!$K$18)))),1),"")</x:f>
        <x:v>0.9242559522180844</x:v>
      </x:c>
      <x:c r="AY68" s="27" t="n">
        <x:f>IF(ISNUMBER(AG68),IF('Scoring Setup'!$L$19=1,1-'Scoring Setup'!$B$5*(1-MAX(0,MIN(1,(AG68-'Scoring Setup'!$K$19)/(100-'Scoring Setup'!$K$19)))),1),"")</x:f>
        <x:v>0.8484888888888888</x:v>
      </x:c>
      <x:c r="AZ68" s="27" t="n">
        <x:f>IF(ISNUMBER(AH68),IF('Scoring Setup'!$L$20=1,1-'Scoring Setup'!$B$5*(1-MAX(0,MIN(1,(AH68-'Scoring Setup'!$K$20)/(100-'Scoring Setup'!$K$20)))),1),"")</x:f>
        <x:v>0.9015587131076388</x:v>
      </x:c>
      <x:c r="BA68" s="27" t="n">
        <x:f>IF(ISNUMBER(AI68),IF('Scoring Setup'!$L$21=1,1-'Scoring Setup'!$B$5*(1-MAX(0,MIN(1,(AI68-'Scoring Setup'!$K$21)/(100-'Scoring Setup'!$K$21)))),1),"")</x:f>
        <x:v>0.9113878875005813</x:v>
      </x:c>
      <x:c r="BB68" s="27" t="n">
        <x:f>IF(ISNUMBER(AJ68),IF('Scoring Setup'!$L$22=1,1-'Scoring Setup'!$B$5*(1-MAX(0,MIN(1,(AJ68-'Scoring Setup'!$K$22)/(100-'Scoring Setup'!$K$22)))),1),"")</x:f>
        <x:v>1</x:v>
      </x:c>
      <x:c r="BC68" s="27" t="n">
        <x:f>IF(ISNUMBER(AK68),IF('Scoring Setup'!$L$23=1,1-'Scoring Setup'!$B$5*(1-MAX(0,MIN(1,(AK68-'Scoring Setup'!$K$23)/(100-'Scoring Setup'!$K$23)))),1),"")</x:f>
        <x:v>0.9438501436381381</x:v>
      </x:c>
      <x:c r="BD68" s="27" t="n">
        <x:f>IF(ISNUMBER(AL68),IF('Scoring Setup'!$L$24=1,1-'Scoring Setup'!$B$5*(1-MAX(0,MIN(1,(AL68-'Scoring Setup'!$K$24)/(100-'Scoring Setup'!$K$24)))),1),"")</x:f>
        <x:v>0.9741818181818181</x:v>
      </x:c>
      <x:c r="BE68" s="27" t="n">
        <x:f>IF(ISNUMBER(AM68),IF('Scoring Setup'!$L$25=1,1-'Scoring Setup'!$B$5*(1-MAX(0,MIN(1,(AM68-'Scoring Setup'!$K$25)/(100-'Scoring Setup'!$K$25)))),1),"")</x:f>
        <x:v>0.8885845218271159</x:v>
      </x:c>
      <x:c r="BF68" s="27" t="n">
        <x:f>IF(ISNUMBER(AN68),IF('Scoring Setup'!$L$26=1,1-'Scoring Setup'!$B$5*(1-MAX(0,MIN(1,(AN68-'Scoring Setup'!$K$26)/(100-'Scoring Setup'!$K$26)))),1),"")</x:f>
        <x:v>0.937286211052675</x:v>
      </x:c>
      <x:c r="BG68" s="34" t="n">
        <x:f>IF(COUNT(W68,X68)=2,AVERAGE(W68,X68),"")</x:f>
        <x:v>46.5106082036775</x:v>
      </x:c>
      <x:c r="BH68" s="34" t="n">
        <x:f>IF(COUNT(Y68,Z68)=2,AVERAGE(Y68,Z68),"")</x:f>
        <x:v>50.4892740798718</x:v>
      </x:c>
      <x:c r="BI68" s="34" t="n">
        <x:f>IF(COUNT(AA68,AB68,AC68)=3,AVERAGE(AA68,AB68,AC68),"")</x:f>
        <x:v>89.12109494376968</x:v>
      </x:c>
      <x:c r="BJ68" s="34" t="n">
        <x:f>IF(COUNT(AD68,AE68)=2,AVERAGE(AD68,AE68),"")</x:f>
        <x:v>32.45035455357142</x:v>
      </x:c>
      <x:c r="BK68" s="34" t="n">
        <x:f>IF(COUNT(AF68,AG68)=2,AVERAGE(AF68,AG68),"")</x:f>
        <x:v>43.18621027674334</x:v>
      </x:c>
      <x:c r="BL68" s="34" t="n">
        <x:f>IF(COUNT(AH68,AI68)=2,AVERAGE(AH68,AI68),"")</x:f>
        <x:v>53.236650152055034</x:v>
      </x:c>
      <x:c r="BM68" s="34" t="n">
        <x:f>IF(COUNT(AJ68,AK68)=2,AVERAGE(AJ68,AK68),"")</x:f>
        <x:v>85.96253590953454</x:v>
      </x:c>
      <x:c r="BN68" s="34" t="n">
        <x:f>IF(COUNT(AL68,AM68,AN68)=3,AVERAGE(AL68,AM68,AN68),"")</x:f>
        <x:v>66.67542517693484</x:v>
      </x:c>
      <x:c r="BO68" s="35" t="n">
        <x:f>IF(AND(COUNT(BG68:BN68)=8,ABS('Scoring Setup'!$C$17-1)&lt;0.000001),BG68*'Scoring Setup'!$C$9+BH68*'Scoring Setup'!$C$10+BI68*'Scoring Setup'!$C$11+BJ68*'Scoring Setup'!$C$12+BK68*'Scoring Setup'!$C$13+BL68*'Scoring Setup'!$C$14+BM68*'Scoring Setup'!$C$15+BN68*'Scoring Setup'!$C$16,"")</x:f>
        <x:v>58.187268469910485</x:v>
      </x:c>
      <x:c r="BP68" s="36" t="n">
        <x:f>IF(COUNT(AO68:BF68)=18,MIN(AO68:BF68),"")</x:f>
        <x:v>0.8484888888888888</x:v>
      </x:c>
      <x:c r="BQ68" s="35" t="n">
        <x:f>IF(AND(ISNUMBER(BO68),ISNUMBER(BP68)),BO68*BP68,"")</x:f>
        <x:v>49.37125077151382</x:v>
      </x:c>
      <x:c r="BR68" s="17" t="str">
        <x:f>IF(COUNT(AO68:BF68)=18,INDEX('Scoring Setup'!$F$9:$F$26,MATCH(MIN(AO68:BF68),AO68:BF68,0),1),"")</x:f>
        <x:v>社会脆弱性百分位</x:v>
      </x:c>
    </x:row>
    <x:row r="69">
      <x:c r="A69" s="28" t="str">
        <x:v>13131</x:v>
      </x:c>
      <x:c r="B69" s="28" t="str">
        <x:v>Grady County</x:v>
      </x:c>
      <x:c r="C69" s="28" t="str">
        <x:v>GA</x:v>
      </x:c>
      <x:c r="D69" s="31" t="n">
        <x:v>1177.05207</x:v>
      </x:c>
      <x:c r="E69" s="32" t="n">
        <x:v>0.566</x:v>
      </x:c>
      <x:c r="F69" s="32" t="n">
        <x:v>0.39727722772277196</x:v>
      </x:c>
      <x:c r="G69" s="32" t="n">
        <x:v>2.4936244697221013</x:v>
      </x:c>
      <x:c r="H69" s="32" t="n">
        <x:v>2.56382003359918</x:v>
      </x:c>
      <x:c r="I69" s="32" t="n">
        <x:v>0.942458769928186</x:v>
      </x:c>
      <x:c r="J69" s="32" t="n">
        <x:v>0.0006914961681270722</x:v>
      </x:c>
      <x:c r="K69" s="32" t="n">
        <x:v>0.264952340250166</x:v>
      </x:c>
      <x:c r="L69" s="32" t="n">
        <x:v>0.895626691</x:v>
      </x:c>
      <x:c r="M69" s="32" t="n">
        <x:v>0.89397355</x:v>
      </x:c>
      <x:c r="N69" s="32" t="n">
        <x:v>11392</x:v>
      </x:c>
      <x:c r="O69" s="32" t="n">
        <x:v>0.944</x:v>
      </x:c>
      <x:c r="P69" s="32" t="n">
        <x:v>2281.206005859375</x:v>
      </x:c>
      <x:c r="Q69" s="32" t="n">
        <x:v>71.81278699239095</x:v>
      </x:c>
      <x:c r="R69" s="32" t="n">
        <x:v>41.486782806394466</x:v>
      </x:c>
      <x:c r="S69" s="32" t="n">
        <x:v>0.30786616567419034</x:v>
      </x:c>
      <x:c r="T69" s="32" t="n">
        <x:v>72.1</x:v>
      </x:c>
      <x:c r="U69" s="32" t="n">
        <x:v>211.4154781728841</x:v>
      </x:c>
      <x:c r="V69" s="32" t="n">
        <x:v>325.42757789465</x:v>
      </x:c>
      <x:c r="W69" s="33" t="n">
        <x:f>IF(ISNUMBER(E69),100*MAX(0,MIN(1,('Anchors'!$H$6-E69)/('Anchors'!$H$6-'Anchors'!$G$6))),"")</x:f>
        <x:v>47.71428571428572</x:v>
      </x:c>
      <x:c r="X69" s="33" t="n">
        <x:f>IF(ISNUMBER(F69),100*MAX(0,MIN(1,('Anchors'!$H$7-F69)/('Anchors'!$H$7-'Anchors'!$G$7))),"")</x:f>
        <x:v>57.531824611032576</x:v>
      </x:c>
      <x:c r="Y69" s="33" t="n">
        <x:f>IF(ISNUMBER(G69),100*MAX(0,MIN(1,('Anchors'!$H$8-G69)/('Anchors'!$H$8-'Anchors'!$G$8))),"")</x:f>
        <x:v>50.21251767592996</x:v>
      </x:c>
      <x:c r="Z69" s="33" t="n">
        <x:f>IF(ISNUMBER(H69),100*MAX(0,MIN(1,('Anchors'!$H$9-H69)/('Anchors'!$H$9-'Anchors'!$G$9))),"")</x:f>
        <x:v>47.872665546694</x:v>
      </x:c>
      <x:c r="AA69" s="33" t="n">
        <x:f>IF(ISNUMBER(I69),100*MAX(0,MIN(1,(I69-'Anchors'!$H$10)/('Anchors'!$G$10-'Anchors'!$H$10))),"")</x:f>
        <x:v>94.85736574358712</x:v>
      </x:c>
      <x:c r="AB69" s="33" t="n">
        <x:f>IF(ISNUMBER(J69),100*MAX(0,MIN(1,('Anchors'!$H$11-J69)/('Anchors'!$H$11-'Anchors'!$G$11))),"")</x:f>
        <x:v>99.72340153274916</x:v>
      </x:c>
      <x:c r="AC69" s="33" t="n">
        <x:f>IF(ISNUMBER(K69),100*MAX(0,MIN(1,('Anchors'!$H$12-K69)/('Anchors'!$H$12-'Anchors'!$G$12))),"")</x:f>
        <x:v>33.761914937458506</x:v>
      </x:c>
      <x:c r="AD69" s="33" t="n">
        <x:f>IF(ISNUMBER(L69),100*MAX(0,MIN(1,(L69-'Anchors'!$H$13)/('Anchors'!$G$13-'Anchors'!$H$13))),"")</x:f>
        <x:v>99.37524157142857</x:v>
      </x:c>
      <x:c r="AE69" s="33" t="n">
        <x:f>IF(ISNUMBER(M69),100*MAX(0,MIN(1,(M69-'Anchors'!$H$14)/('Anchors'!$G$14-'Anchors'!$H$14))),"")</x:f>
        <x:v>99.24669375</x:v>
      </x:c>
      <x:c r="AF69" s="33" t="n">
        <x:f>IF(ISNUMBER(N69),100*MAX(0,MIN(1,(LN(1+N69)-LN(1+'Anchors'!$H$15))/(LN(1+'Anchors'!$G$15)-LN(1+'Anchors'!$H$15)))),"")</x:f>
        <x:v>40.29080678422382</x:v>
      </x:c>
      <x:c r="AG69" s="33" t="n">
        <x:f>IF(ISNUMBER(O69),100*MAX(0,MIN(1,('Anchors'!$H$16-O69)/('Anchors'!$H$16-'Anchors'!$G$16))),"")</x:f>
        <x:v>0.6666666666666673</x:v>
      </x:c>
      <x:c r="AH69" s="33" t="n">
        <x:f>IF(ISNUMBER(P69),100*MAX(0,MIN(1,('Anchors'!$H$17-P69)/('Anchors'!$H$17-'Anchors'!$G$17))),"")</x:f>
        <x:v>0</x:v>
      </x:c>
      <x:c r="AI69" s="33" t="n">
        <x:f>IF(ISNUMBER(Q69),100*MAX(0,MIN(1,('Anchors'!$H$18-Q69)/('Anchors'!$H$18-'Anchors'!$G$18))),"")</x:f>
        <x:v>4.553161439441493</x:v>
      </x:c>
      <x:c r="AJ69" s="33" t="n">
        <x:f>IF(ISNUMBER(R69),100*MAX(0,MIN(1,('Anchors'!$H$19-R69)/('Anchors'!$H$19-'Anchors'!$G$19))),"")</x:f>
        <x:v>18.918260430234522</x:v>
      </x:c>
      <x:c r="AK69" s="33" t="n">
        <x:f>IF(ISNUMBER(S69),100*MAX(0,MIN(1,('Anchors'!$H$20-S69)/('Anchors'!$H$20-'Anchors'!$G$20))),"")</x:f>
        <x:v>100</x:v>
      </x:c>
      <x:c r="AL69" s="33" t="n">
        <x:f>IF(ISNUMBER(T69),100*MAX(0,MIN(1,('Anchors'!$H$21-T69)/('Anchors'!$H$21-'Anchors'!$G$21))),"")</x:f>
        <x:v>87.0909090909091</x:v>
      </x:c>
      <x:c r="AM69" s="33" t="n">
        <x:f>IF(ISNUMBER(U69),100*MAX(0,MIN(1,('Anchors'!$H$22-U69)/('Anchors'!$H$22-'Anchors'!$G$22))),"")</x:f>
        <x:v>44.29226091355795</x:v>
      </x:c>
      <x:c r="AN69" s="33" t="n">
        <x:f>IF(ISNUMBER(V69),100*MAX(0,MIN(1,('Anchors'!$H$23-V69)/('Anchors'!$H$23-'Anchors'!$G$23))),"")</x:f>
        <x:v>68.6431055263375</x:v>
      </x:c>
      <x:c r="AO69" s="27" t="n">
        <x:f>IF(ISNUMBER(W69),IF('Scoring Setup'!$L$9=1,1-'Scoring Setup'!$B$5*(1-MAX(0,MIN(1,(W69-'Scoring Setup'!$K$9)/(100-'Scoring Setup'!$K$9)))),1),"")</x:f>
        <x:v>0.8954285714285715</x:v>
      </x:c>
      <x:c r="AP69" s="27" t="n">
        <x:f>IF(ISNUMBER(X69),IF('Scoring Setup'!$L$10=1,1-'Scoring Setup'!$B$5*(1-MAX(0,MIN(1,(X69-'Scoring Setup'!$K$10)/(100-'Scoring Setup'!$K$10)))),1),"")</x:f>
        <x:v>0.9150636492220652</x:v>
      </x:c>
      <x:c r="AQ69" s="27" t="n">
        <x:f>IF(ISNUMBER(Y69),IF('Scoring Setup'!$L$11=1,1-'Scoring Setup'!$B$5*(1-MAX(0,MIN(1,(Y69-'Scoring Setup'!$K$11)/(100-'Scoring Setup'!$K$11)))),1),"")</x:f>
        <x:v>0.9004250353518599</x:v>
      </x:c>
      <x:c r="AR69" s="27" t="n">
        <x:f>IF(ISNUMBER(Z69),IF('Scoring Setup'!$L$12=1,1-'Scoring Setup'!$B$5*(1-MAX(0,MIN(1,(Z69-'Scoring Setup'!$K$12)/(100-'Scoring Setup'!$K$12)))),1),"")</x:f>
        <x:v>0.895745331093388</x:v>
      </x:c>
      <x:c r="AS69" s="27" t="n">
        <x:f>IF(ISNUMBER(AA69),IF('Scoring Setup'!$L$13=1,1-'Scoring Setup'!$B$5*(1-MAX(0,MIN(1,(AA69-'Scoring Setup'!$K$13)/(100-'Scoring Setup'!$K$13)))),1),"")</x:f>
        <x:v>0.9897147314871743</x:v>
      </x:c>
      <x:c r="AT69" s="27" t="n">
        <x:f>IF(ISNUMBER(AB69),IF('Scoring Setup'!$L$14=1,1-'Scoring Setup'!$B$5*(1-MAX(0,MIN(1,(AB69-'Scoring Setup'!$K$14)/(100-'Scoring Setup'!$K$14)))),1),"")</x:f>
        <x:v>0.9994468030654984</x:v>
      </x:c>
      <x:c r="AU69" s="27" t="n">
        <x:f>IF(ISNUMBER(AC69),IF('Scoring Setup'!$L$15=1,1-'Scoring Setup'!$B$5*(1-MAX(0,MIN(1,(AC69-'Scoring Setup'!$K$15)/(100-'Scoring Setup'!$K$15)))),1),"")</x:f>
        <x:v>0.867523829874917</x:v>
      </x:c>
      <x:c r="AV69" s="27" t="n">
        <x:f>IF(ISNUMBER(AD69),IF('Scoring Setup'!$L$16=1,1-'Scoring Setup'!$B$5*(1-MAX(0,MIN(1,(AD69-'Scoring Setup'!$K$16)/(100-'Scoring Setup'!$K$16)))),1),"")</x:f>
        <x:v>0.9987504831428572</x:v>
      </x:c>
      <x:c r="AW69" s="27" t="n">
        <x:f>IF(ISNUMBER(AE69),IF('Scoring Setup'!$L$17=1,1-'Scoring Setup'!$B$5*(1-MAX(0,MIN(1,(AE69-'Scoring Setup'!$K$17)/(100-'Scoring Setup'!$K$17)))),1),"")</x:f>
        <x:v>0.9984933875</x:v>
      </x:c>
      <x:c r="AX69" s="27" t="n">
        <x:f>IF(ISNUMBER(AF69),IF('Scoring Setup'!$L$18=1,1-'Scoring Setup'!$B$5*(1-MAX(0,MIN(1,(AF69-'Scoring Setup'!$K$18)/(100-'Scoring Setup'!$K$18)))),1),"")</x:f>
        <x:v>0.8805816135684477</x:v>
      </x:c>
      <x:c r="AY69" s="27" t="n">
        <x:f>IF(ISNUMBER(AG69),IF('Scoring Setup'!$L$19=1,1-'Scoring Setup'!$B$5*(1-MAX(0,MIN(1,(AG69-'Scoring Setup'!$K$19)/(100-'Scoring Setup'!$K$19)))),1),"")</x:f>
        <x:v>0.8013333333333333</x:v>
      </x:c>
      <x:c r="AZ69" s="27" t="n">
        <x:f>IF(ISNUMBER(AH69),IF('Scoring Setup'!$L$20=1,1-'Scoring Setup'!$B$5*(1-MAX(0,MIN(1,(AH69-'Scoring Setup'!$K$20)/(100-'Scoring Setup'!$K$20)))),1),"")</x:f>
        <x:v>0.8</x:v>
      </x:c>
      <x:c r="BA69" s="27" t="n">
        <x:f>IF(ISNUMBER(AI69),IF('Scoring Setup'!$L$21=1,1-'Scoring Setup'!$B$5*(1-MAX(0,MIN(1,(AI69-'Scoring Setup'!$K$21)/(100-'Scoring Setup'!$K$21)))),1),"")</x:f>
        <x:v>0.809106322878883</x:v>
      </x:c>
      <x:c r="BB69" s="27" t="n">
        <x:f>IF(ISNUMBER(AJ69),IF('Scoring Setup'!$L$22=1,1-'Scoring Setup'!$B$5*(1-MAX(0,MIN(1,(AJ69-'Scoring Setup'!$K$22)/(100-'Scoring Setup'!$K$22)))),1),"")</x:f>
        <x:v>0.837836520860469</x:v>
      </x:c>
      <x:c r="BC69" s="27" t="n">
        <x:f>IF(ISNUMBER(AK69),IF('Scoring Setup'!$L$23=1,1-'Scoring Setup'!$B$5*(1-MAX(0,MIN(1,(AK69-'Scoring Setup'!$K$23)/(100-'Scoring Setup'!$K$23)))),1),"")</x:f>
        <x:v>1</x:v>
      </x:c>
      <x:c r="BD69" s="27" t="n">
        <x:f>IF(ISNUMBER(AL69),IF('Scoring Setup'!$L$24=1,1-'Scoring Setup'!$B$5*(1-MAX(0,MIN(1,(AL69-'Scoring Setup'!$K$24)/(100-'Scoring Setup'!$K$24)))),1),"")</x:f>
        <x:v>0.9741818181818181</x:v>
      </x:c>
      <x:c r="BE69" s="27" t="n">
        <x:f>IF(ISNUMBER(AM69),IF('Scoring Setup'!$L$25=1,1-'Scoring Setup'!$B$5*(1-MAX(0,MIN(1,(AM69-'Scoring Setup'!$K$25)/(100-'Scoring Setup'!$K$25)))),1),"")</x:f>
        <x:v>0.8885845218271159</x:v>
      </x:c>
      <x:c r="BF69" s="27" t="n">
        <x:f>IF(ISNUMBER(AN69),IF('Scoring Setup'!$L$26=1,1-'Scoring Setup'!$B$5*(1-MAX(0,MIN(1,(AN69-'Scoring Setup'!$K$26)/(100-'Scoring Setup'!$K$26)))),1),"")</x:f>
        <x:v>0.937286211052675</x:v>
      </x:c>
      <x:c r="BG69" s="34" t="n">
        <x:f>IF(COUNT(W69,X69)=2,AVERAGE(W69,X69),"")</x:f>
        <x:v>52.62305516265915</x:v>
      </x:c>
      <x:c r="BH69" s="34" t="n">
        <x:f>IF(COUNT(Y69,Z69)=2,AVERAGE(Y69,Z69),"")</x:f>
        <x:v>49.04259161131198</x:v>
      </x:c>
      <x:c r="BI69" s="34" t="n">
        <x:f>IF(COUNT(AA69,AB69,AC69)=3,AVERAGE(AA69,AB69,AC69),"")</x:f>
        <x:v>76.11422740459827</x:v>
      </x:c>
      <x:c r="BJ69" s="34" t="n">
        <x:f>IF(COUNT(AD69,AE69)=2,AVERAGE(AD69,AE69),"")</x:f>
        <x:v>99.31096766071428</x:v>
      </x:c>
      <x:c r="BK69" s="34" t="n">
        <x:f>IF(COUNT(AF69,AG69)=2,AVERAGE(AF69,AG69),"")</x:f>
        <x:v>20.47873672544524</x:v>
      </x:c>
      <x:c r="BL69" s="34" t="n">
        <x:f>IF(COUNT(AH69,AI69)=2,AVERAGE(AH69,AI69),"")</x:f>
        <x:v>2.2765807197207466</x:v>
      </x:c>
      <x:c r="BM69" s="34" t="n">
        <x:f>IF(COUNT(AJ69,AK69)=2,AVERAGE(AJ69,AK69),"")</x:f>
        <x:v>59.45913021511726</x:v>
      </x:c>
      <x:c r="BN69" s="34" t="n">
        <x:f>IF(COUNT(AL69,AM69,AN69)=3,AVERAGE(AL69,AM69,AN69),"")</x:f>
        <x:v>66.67542517693484</x:v>
      </x:c>
      <x:c r="BO69" s="35" t="n">
        <x:f>IF(AND(COUNT(BG69:BN69)=8,ABS('Scoring Setup'!$C$17-1)&lt;0.000001),BG69*'Scoring Setup'!$C$9+BH69*'Scoring Setup'!$C$10+BI69*'Scoring Setup'!$C$11+BJ69*'Scoring Setup'!$C$12+BK69*'Scoring Setup'!$C$13+BL69*'Scoring Setup'!$C$14+BM69*'Scoring Setup'!$C$15+BN69*'Scoring Setup'!$C$16,"")</x:f>
        <x:v>57.75063011742645</x:v>
      </x:c>
      <x:c r="BP69" s="36" t="n">
        <x:f>IF(COUNT(AO69:BF69)=18,MIN(AO69:BF69),"")</x:f>
        <x:v>0.8</x:v>
      </x:c>
      <x:c r="BQ69" s="35" t="n">
        <x:f>IF(AND(ISNUMBER(BO69),ISNUMBER(BP69)),BO69*BP69,"")</x:f>
        <x:v>46.20050409394116</x:v>
      </x:c>
      <x:c r="BR69" s="17" t="str">
        <x:f>IF(COUNT(AO69:BF69)=18,INDEX('Scoring Setup'!$F$9:$F$26,MATCH(MIN(AO69:BF69),AO69:BF69,0),1),"")</x:f>
        <x:v>历史CDD65</x:v>
      </x:c>
    </x:row>
    <x:row r="70">
      <x:c r="A70" s="28" t="str">
        <x:v>13133</x:v>
      </x:c>
      <x:c r="B70" s="28" t="str">
        <x:v>Greene County</x:v>
      </x:c>
      <x:c r="C70" s="28" t="str">
        <x:v>GA</x:v>
      </x:c>
      <x:c r="D70" s="31" t="n">
        <x:v>1003.664492</x:v>
      </x:c>
      <x:c r="E70" s="32" t="n">
        <x:v>0.644</x:v>
      </x:c>
      <x:c r="F70" s="32" t="n">
        <x:v>0.7431930693069311</x:v>
      </x:c>
      <x:c r="G70" s="32" t="n">
        <x:v>2.087369603471983</x:v>
      </x:c>
      <x:c r="H70" s="32" t="n">
        <x:v>1.8946617848323921</x:v>
      </x:c>
      <x:c r="I70" s="32" t="n">
        <x:v>0.93154037297136</x:v>
      </x:c>
      <x:c r="J70" s="32" t="n">
        <x:v>0.12647009872108608</x:v>
      </x:c>
      <x:c r="K70" s="32" t="n">
        <x:v>0.03984651738373432</x:v>
      </x:c>
      <x:c r="L70" s="32" t="n">
        <x:v>0.446640006</x:v>
      </x:c>
      <x:c r="M70" s="32" t="n">
        <x:v>0.440210147</x:v>
      </x:c>
      <x:c r="N70" s="32" t="n">
        <x:v>8102</x:v>
      </x:c>
      <x:c r="O70" s="32" t="n">
        <x:v>0.5081</x:v>
      </x:c>
      <x:c r="P70" s="32" t="n">
        <x:v>1776.9682250976562</x:v>
      </x:c>
      <x:c r="Q70" s="32" t="n">
        <x:v>51.63347625732422</x:v>
      </x:c>
      <x:c r="R70" s="32" t="n">
        <x:v>3.181127114494793</x:v>
      </x:c>
      <x:c r="S70" s="32" t="n">
        <x:v>1.0362048591975188</x:v>
      </x:c>
      <x:c r="T70" s="32" t="n">
        <x:v>72.1</x:v>
      </x:c>
      <x:c r="U70" s="32" t="n">
        <x:v>211.4154781728841</x:v>
      </x:c>
      <x:c r="V70" s="32" t="n">
        <x:v>325.42757789465</x:v>
      </x:c>
      <x:c r="W70" s="33" t="n">
        <x:f>IF(ISNUMBER(E70),100*MAX(0,MIN(1,('Anchors'!$H$6-E70)/('Anchors'!$H$6-'Anchors'!$G$6))),"")</x:f>
        <x:v>36.57142857142858</x:v>
      </x:c>
      <x:c r="X70" s="33" t="n">
        <x:f>IF(ISNUMBER(F70),100*MAX(0,MIN(1,('Anchors'!$H$7-F70)/('Anchors'!$H$7-'Anchors'!$G$7))),"")</x:f>
        <x:v>8.115275813295566</x:v>
      </x:c>
      <x:c r="Y70" s="33" t="n">
        <x:f>IF(ISNUMBER(G70),100*MAX(0,MIN(1,('Anchors'!$H$8-G70)/('Anchors'!$H$8-'Anchors'!$G$8))),"")</x:f>
        <x:v>63.7543465509339</x:v>
      </x:c>
      <x:c r="Z70" s="33" t="n">
        <x:f>IF(ISNUMBER(H70),100*MAX(0,MIN(1,('Anchors'!$H$9-H70)/('Anchors'!$H$9-'Anchors'!$G$9))),"")</x:f>
        <x:v>70.17794050558693</x:v>
      </x:c>
      <x:c r="AA70" s="33" t="n">
        <x:f>IF(ISNUMBER(I70),100*MAX(0,MIN(1,(I70-'Anchors'!$H$10)/('Anchors'!$G$10-'Anchors'!$H$10))),"")</x:f>
        <x:v>93.36169492758357</x:v>
      </x:c>
      <x:c r="AB70" s="33" t="n">
        <x:f>IF(ISNUMBER(J70),100*MAX(0,MIN(1,('Anchors'!$H$11-J70)/('Anchors'!$H$11-'Anchors'!$G$11))),"")</x:f>
        <x:v>49.41196051156557</x:v>
      </x:c>
      <x:c r="AC70" s="33" t="n">
        <x:f>IF(ISNUMBER(K70),100*MAX(0,MIN(1,('Anchors'!$H$12-K70)/('Anchors'!$H$12-'Anchors'!$G$12))),"")</x:f>
        <x:v>90.03837065406641</x:v>
      </x:c>
      <x:c r="AD70" s="33" t="n">
        <x:f>IF(ISNUMBER(L70),100*MAX(0,MIN(1,(L70-'Anchors'!$H$13)/('Anchors'!$G$13-'Anchors'!$H$13))),"")</x:f>
        <x:v>35.23428657142857</x:v>
      </x:c>
      <x:c r="AE70" s="33" t="n">
        <x:f>IF(ISNUMBER(M70),100*MAX(0,MIN(1,(M70-'Anchors'!$H$14)/('Anchors'!$G$14-'Anchors'!$H$14))),"")</x:f>
        <x:v>42.526268374999994</x:v>
      </x:c>
      <x:c r="AF70" s="33" t="n">
        <x:f>IF(ISNUMBER(N70),100*MAX(0,MIN(1,(LN(1+N70)-LN(1+'Anchors'!$H$15))/(LN(1+'Anchors'!$G$15)-LN(1+'Anchors'!$H$15)))),"")</x:f>
        <x:v>32.397242494126274</x:v>
      </x:c>
      <x:c r="AG70" s="33" t="n">
        <x:f>IF(ISNUMBER(O70),100*MAX(0,MIN(1,('Anchors'!$H$16-O70)/('Anchors'!$H$16-'Anchors'!$G$16))),"")</x:f>
        <x:v>49.1</x:v>
      </x:c>
      <x:c r="AH70" s="33" t="n">
        <x:f>IF(ISNUMBER(P70),100*MAX(0,MIN(1,('Anchors'!$H$17-P70)/('Anchors'!$H$17-'Anchors'!$G$17))),"")</x:f>
        <x:v>28.202118326822923</x:v>
      </x:c>
      <x:c r="AI70" s="33" t="n">
        <x:f>IF(ISNUMBER(Q70),100*MAX(0,MIN(1,('Anchors'!$H$18-Q70)/('Anchors'!$H$18-'Anchors'!$G$18))),"")</x:f>
        <x:v>33.38074820382255</x:v>
      </x:c>
      <x:c r="AJ70" s="33" t="n">
        <x:f>IF(ISNUMBER(R70),100*MAX(0,MIN(1,('Anchors'!$H$19-R70)/('Anchors'!$H$19-'Anchors'!$G$19))),"")</x:f>
        <x:v>100</x:v>
      </x:c>
      <x:c r="AK70" s="33" t="n">
        <x:f>IF(ISNUMBER(S70),100*MAX(0,MIN(1,('Anchors'!$H$20-S70)/('Anchors'!$H$20-'Anchors'!$G$20))),"")</x:f>
        <x:v>99.80944810948674</x:v>
      </x:c>
      <x:c r="AL70" s="33" t="n">
        <x:f>IF(ISNUMBER(T70),100*MAX(0,MIN(1,('Anchors'!$H$21-T70)/('Anchors'!$H$21-'Anchors'!$G$21))),"")</x:f>
        <x:v>87.0909090909091</x:v>
      </x:c>
      <x:c r="AM70" s="33" t="n">
        <x:f>IF(ISNUMBER(U70),100*MAX(0,MIN(1,('Anchors'!$H$22-U70)/('Anchors'!$H$22-'Anchors'!$G$22))),"")</x:f>
        <x:v>44.29226091355795</x:v>
      </x:c>
      <x:c r="AN70" s="33" t="n">
        <x:f>IF(ISNUMBER(V70),100*MAX(0,MIN(1,('Anchors'!$H$23-V70)/('Anchors'!$H$23-'Anchors'!$G$23))),"")</x:f>
        <x:v>68.6431055263375</x:v>
      </x:c>
      <x:c r="AO70" s="27" t="n">
        <x:f>IF(ISNUMBER(W70),IF('Scoring Setup'!$L$9=1,1-'Scoring Setup'!$B$5*(1-MAX(0,MIN(1,(W70-'Scoring Setup'!$K$9)/(100-'Scoring Setup'!$K$9)))),1),"")</x:f>
        <x:v>0.8731428571428571</x:v>
      </x:c>
      <x:c r="AP70" s="27" t="n">
        <x:f>IF(ISNUMBER(X70),IF('Scoring Setup'!$L$10=1,1-'Scoring Setup'!$B$5*(1-MAX(0,MIN(1,(X70-'Scoring Setup'!$K$10)/(100-'Scoring Setup'!$K$10)))),1),"")</x:f>
        <x:v>0.8162305516265911</x:v>
      </x:c>
      <x:c r="AQ70" s="27" t="n">
        <x:f>IF(ISNUMBER(Y70),IF('Scoring Setup'!$L$11=1,1-'Scoring Setup'!$B$5*(1-MAX(0,MIN(1,(Y70-'Scoring Setup'!$K$11)/(100-'Scoring Setup'!$K$11)))),1),"")</x:f>
        <x:v>0.9275086931018678</x:v>
      </x:c>
      <x:c r="AR70" s="27" t="n">
        <x:f>IF(ISNUMBER(Z70),IF('Scoring Setup'!$L$12=1,1-'Scoring Setup'!$B$5*(1-MAX(0,MIN(1,(Z70-'Scoring Setup'!$K$12)/(100-'Scoring Setup'!$K$12)))),1),"")</x:f>
        <x:v>0.9403558810111738</x:v>
      </x:c>
      <x:c r="AS70" s="27" t="n">
        <x:f>IF(ISNUMBER(AA70),IF('Scoring Setup'!$L$13=1,1-'Scoring Setup'!$B$5*(1-MAX(0,MIN(1,(AA70-'Scoring Setup'!$K$13)/(100-'Scoring Setup'!$K$13)))),1),"")</x:f>
        <x:v>0.9867233898551672</x:v>
      </x:c>
      <x:c r="AT70" s="27" t="n">
        <x:f>IF(ISNUMBER(AB70),IF('Scoring Setup'!$L$14=1,1-'Scoring Setup'!$B$5*(1-MAX(0,MIN(1,(AB70-'Scoring Setup'!$K$14)/(100-'Scoring Setup'!$K$14)))),1),"")</x:f>
        <x:v>0.8988239210231311</x:v>
      </x:c>
      <x:c r="AU70" s="27" t="n">
        <x:f>IF(ISNUMBER(AC70),IF('Scoring Setup'!$L$15=1,1-'Scoring Setup'!$B$5*(1-MAX(0,MIN(1,(AC70-'Scoring Setup'!$K$15)/(100-'Scoring Setup'!$K$15)))),1),"")</x:f>
        <x:v>0.9800767413081328</x:v>
      </x:c>
      <x:c r="AV70" s="27" t="n">
        <x:f>IF(ISNUMBER(AD70),IF('Scoring Setup'!$L$16=1,1-'Scoring Setup'!$B$5*(1-MAX(0,MIN(1,(AD70-'Scoring Setup'!$K$16)/(100-'Scoring Setup'!$K$16)))),1),"")</x:f>
        <x:v>0.8704685731428572</x:v>
      </x:c>
      <x:c r="AW70" s="27" t="n">
        <x:f>IF(ISNUMBER(AE70),IF('Scoring Setup'!$L$17=1,1-'Scoring Setup'!$B$5*(1-MAX(0,MIN(1,(AE70-'Scoring Setup'!$K$17)/(100-'Scoring Setup'!$K$17)))),1),"")</x:f>
        <x:v>0.88505253675</x:v>
      </x:c>
      <x:c r="AX70" s="27" t="n">
        <x:f>IF(ISNUMBER(AF70),IF('Scoring Setup'!$L$18=1,1-'Scoring Setup'!$B$5*(1-MAX(0,MIN(1,(AF70-'Scoring Setup'!$K$18)/(100-'Scoring Setup'!$K$18)))),1),"")</x:f>
        <x:v>0.8647944849882525</x:v>
      </x:c>
      <x:c r="AY70" s="27" t="n">
        <x:f>IF(ISNUMBER(AG70),IF('Scoring Setup'!$L$19=1,1-'Scoring Setup'!$B$5*(1-MAX(0,MIN(1,(AG70-'Scoring Setup'!$K$19)/(100-'Scoring Setup'!$K$19)))),1),"")</x:f>
        <x:v>0.8982</x:v>
      </x:c>
      <x:c r="AZ70" s="27" t="n">
        <x:f>IF(ISNUMBER(AH70),IF('Scoring Setup'!$L$20=1,1-'Scoring Setup'!$B$5*(1-MAX(0,MIN(1,(AH70-'Scoring Setup'!$K$20)/(100-'Scoring Setup'!$K$20)))),1),"")</x:f>
        <x:v>0.8564042366536458</x:v>
      </x:c>
      <x:c r="BA70" s="27" t="n">
        <x:f>IF(ISNUMBER(AI70),IF('Scoring Setup'!$L$21=1,1-'Scoring Setup'!$B$5*(1-MAX(0,MIN(1,(AI70-'Scoring Setup'!$K$21)/(100-'Scoring Setup'!$K$21)))),1),"")</x:f>
        <x:v>0.8667614964076451</x:v>
      </x:c>
      <x:c r="BB70" s="27" t="n">
        <x:f>IF(ISNUMBER(AJ70),IF('Scoring Setup'!$L$22=1,1-'Scoring Setup'!$B$5*(1-MAX(0,MIN(1,(AJ70-'Scoring Setup'!$K$22)/(100-'Scoring Setup'!$K$22)))),1),"")</x:f>
        <x:v>1</x:v>
      </x:c>
      <x:c r="BC70" s="27" t="n">
        <x:f>IF(ISNUMBER(AK70),IF('Scoring Setup'!$L$23=1,1-'Scoring Setup'!$B$5*(1-MAX(0,MIN(1,(AK70-'Scoring Setup'!$K$23)/(100-'Scoring Setup'!$K$23)))),1),"")</x:f>
        <x:v>0.9996188962189735</x:v>
      </x:c>
      <x:c r="BD70" s="27" t="n">
        <x:f>IF(ISNUMBER(AL70),IF('Scoring Setup'!$L$24=1,1-'Scoring Setup'!$B$5*(1-MAX(0,MIN(1,(AL70-'Scoring Setup'!$K$24)/(100-'Scoring Setup'!$K$24)))),1),"")</x:f>
        <x:v>0.9741818181818181</x:v>
      </x:c>
      <x:c r="BE70" s="27" t="n">
        <x:f>IF(ISNUMBER(AM70),IF('Scoring Setup'!$L$25=1,1-'Scoring Setup'!$B$5*(1-MAX(0,MIN(1,(AM70-'Scoring Setup'!$K$25)/(100-'Scoring Setup'!$K$25)))),1),"")</x:f>
        <x:v>0.8885845218271159</x:v>
      </x:c>
      <x:c r="BF70" s="27" t="n">
        <x:f>IF(ISNUMBER(AN70),IF('Scoring Setup'!$L$26=1,1-'Scoring Setup'!$B$5*(1-MAX(0,MIN(1,(AN70-'Scoring Setup'!$K$26)/(100-'Scoring Setup'!$K$26)))),1),"")</x:f>
        <x:v>0.937286211052675</x:v>
      </x:c>
      <x:c r="BG70" s="34" t="n">
        <x:f>IF(COUNT(W70,X70)=2,AVERAGE(W70,X70),"")</x:f>
        <x:v>22.343352192362072</x:v>
      </x:c>
      <x:c r="BH70" s="34" t="n">
        <x:f>IF(COUNT(Y70,Z70)=2,AVERAGE(Y70,Z70),"")</x:f>
        <x:v>66.96614352826042</x:v>
      </x:c>
      <x:c r="BI70" s="34" t="n">
        <x:f>IF(COUNT(AA70,AB70,AC70)=3,AVERAGE(AA70,AB70,AC70),"")</x:f>
        <x:v>77.60400869773851</x:v>
      </x:c>
      <x:c r="BJ70" s="34" t="n">
        <x:f>IF(COUNT(AD70,AE70)=2,AVERAGE(AD70,AE70),"")</x:f>
        <x:v>38.88027747321428</x:v>
      </x:c>
      <x:c r="BK70" s="34" t="n">
        <x:f>IF(COUNT(AF70,AG70)=2,AVERAGE(AF70,AG70),"")</x:f>
        <x:v>40.74862124706314</x:v>
      </x:c>
      <x:c r="BL70" s="34" t="n">
        <x:f>IF(COUNT(AH70,AI70)=2,AVERAGE(AH70,AI70),"")</x:f>
        <x:v>30.791433265322738</x:v>
      </x:c>
      <x:c r="BM70" s="34" t="n">
        <x:f>IF(COUNT(AJ70,AK70)=2,AVERAGE(AJ70,AK70),"")</x:f>
        <x:v>99.90472405474337</x:v>
      </x:c>
      <x:c r="BN70" s="34" t="n">
        <x:f>IF(COUNT(AL70,AM70,AN70)=3,AVERAGE(AL70,AM70,AN70),"")</x:f>
        <x:v>66.67542517693484</x:v>
      </x:c>
      <x:c r="BO70" s="35" t="n">
        <x:f>IF(AND(COUNT(BG70:BN70)=8,ABS('Scoring Setup'!$C$17-1)&lt;0.000001),BG70*'Scoring Setup'!$C$9+BH70*'Scoring Setup'!$C$10+BI70*'Scoring Setup'!$C$11+BJ70*'Scoring Setup'!$C$12+BK70*'Scoring Setup'!$C$13+BL70*'Scoring Setup'!$C$14+BM70*'Scoring Setup'!$C$15+BN70*'Scoring Setup'!$C$16,"")</x:f>
        <x:v>57.88829008577364</x:v>
      </x:c>
      <x:c r="BP70" s="36" t="n">
        <x:f>IF(COUNT(AO70:BF70)=18,MIN(AO70:BF70),"")</x:f>
        <x:v>0.8162305516265911</x:v>
      </x:c>
      <x:c r="BQ70" s="35" t="n">
        <x:f>IF(AND(ISNUMBER(BO70),ISNUMBER(BP70)),BO70*BP70,"")</x:f>
        <x:v>47.25019094943114</x:v>
      </x:c>
      <x:c r="BR70" s="17" t="str">
        <x:f>IF(COUNT(AO70:BF70)=18,INDEX('Scoring Setup'!$F$9:$F$26,MATCH(MIN(AO70:BF70),AO70:BF70,0),1),"")</x:f>
        <x:v>洪水损失率全国百分位</x:v>
      </x:c>
    </x:row>
    <x:row r="71">
      <x:c r="A71" s="28" t="str">
        <x:v>13135</x:v>
      </x:c>
      <x:c r="B71" s="28" t="str">
        <x:v>Gwinnett County</x:v>
      </x:c>
      <x:c r="C71" s="28" t="str">
        <x:v>GA</x:v>
      </x:c>
      <x:c r="D71" s="31" t="n">
        <x:v>1116.612133</x:v>
      </x:c>
      <x:c r="E71" s="32" t="n">
        <x:v>0.381</x:v>
      </x:c>
      <x:c r="F71" s="32" t="n">
        <x:v>0.404084158415842</x:v>
      </x:c>
      <x:c r="G71" s="32" t="n">
        <x:v>2.7724010097347285</x:v>
      </x:c>
      <x:c r="H71" s="32" t="n">
        <x:v>2.6358683846135014</x:v>
      </x:c>
      <x:c r="I71" s="32" t="n">
        <x:v>0.34790096343039295</x:v>
      </x:c>
      <x:c r="J71" s="32" t="n">
        <x:v>0.017263431222857607</x:v>
      </x:c>
      <x:c r="K71" s="32" t="n">
        <x:v>0.018502580029855033</x:v>
      </x:c>
      <x:c r="L71" s="32" t="n">
        <x:v>0.703912011</x:v>
      </x:c>
      <x:c r="M71" s="32" t="n">
        <x:v>0.698008876</x:v>
      </x:c>
      <x:c r="N71" s="32" t="n">
        <x:v>521729</x:v>
      </x:c>
      <x:c r="O71" s="32" t="n">
        <x:v>0.6433</x:v>
      </x:c>
      <x:c r="P71" s="32" t="n">
        <x:v>1425.84541015625</x:v>
      </x:c>
      <x:c r="Q71" s="32" t="n">
        <x:v>30.08437798817953</x:v>
      </x:c>
      <x:c r="R71" s="32" t="n">
        <x:v>6.202329459454348</x:v>
      </x:c>
      <x:c r="S71" s="32" t="n">
        <x:v>0.08572525855761136</x:v>
      </x:c>
      <x:c r="T71" s="32" t="n">
        <x:v>72.1</x:v>
      </x:c>
      <x:c r="U71" s="32" t="n">
        <x:v>211.4154781728841</x:v>
      </x:c>
      <x:c r="V71" s="32" t="n">
        <x:v>325.42757789465</x:v>
      </x:c>
      <x:c r="W71" s="33" t="n">
        <x:f>IF(ISNUMBER(E71),100*MAX(0,MIN(1,('Anchors'!$H$6-E71)/('Anchors'!$H$6-'Anchors'!$G$6))),"")</x:f>
        <x:v>74.14285714285715</x:v>
      </x:c>
      <x:c r="X71" s="33" t="n">
        <x:f>IF(ISNUMBER(F71),100*MAX(0,MIN(1,('Anchors'!$H$7-F71)/('Anchors'!$H$7-'Anchors'!$G$7))),"")</x:f>
        <x:v>56.559405940594</x:v>
      </x:c>
      <x:c r="Y71" s="33" t="n">
        <x:f>IF(ISNUMBER(G71),100*MAX(0,MIN(1,('Anchors'!$H$8-G71)/('Anchors'!$H$8-'Anchors'!$G$8))),"")</x:f>
        <x:v>40.91996634217572</x:v>
      </x:c>
      <x:c r="Z71" s="33" t="n">
        <x:f>IF(ISNUMBER(H71),100*MAX(0,MIN(1,('Anchors'!$H$9-H71)/('Anchors'!$H$9-'Anchors'!$G$9))),"")</x:f>
        <x:v>45.47105384621662</x:v>
      </x:c>
      <x:c r="AA71" s="33" t="n">
        <x:f>IF(ISNUMBER(I71),100*MAX(0,MIN(1,(I71-'Anchors'!$H$10)/('Anchors'!$G$10-'Anchors'!$H$10))),"")</x:f>
        <x:v>13.411090880875747</x:v>
      </x:c>
      <x:c r="AB71" s="33" t="n">
        <x:f>IF(ISNUMBER(J71),100*MAX(0,MIN(1,('Anchors'!$H$11-J71)/('Anchors'!$H$11-'Anchors'!$G$11))),"")</x:f>
        <x:v>93.09462751085695</x:v>
      </x:c>
      <x:c r="AC71" s="33" t="n">
        <x:f>IF(ISNUMBER(K71),100*MAX(0,MIN(1,('Anchors'!$H$12-K71)/('Anchors'!$H$12-'Anchors'!$G$12))),"")</x:f>
        <x:v>95.37435499253624</x:v>
      </x:c>
      <x:c r="AD71" s="33" t="n">
        <x:f>IF(ISNUMBER(L71),100*MAX(0,MIN(1,(L71-'Anchors'!$H$13)/('Anchors'!$G$13-'Anchors'!$H$13))),"")</x:f>
        <x:v>71.98743014285714</x:v>
      </x:c>
      <x:c r="AE71" s="33" t="n">
        <x:f>IF(ISNUMBER(M71),100*MAX(0,MIN(1,(M71-'Anchors'!$H$14)/('Anchors'!$G$14-'Anchors'!$H$14))),"")</x:f>
        <x:v>74.75110949999998</x:v>
      </x:c>
      <x:c r="AF71" s="33" t="n">
        <x:f>IF(ISNUMBER(N71),100*MAX(0,MIN(1,(LN(1+N71)-LN(1+'Anchors'!$H$15))/(LN(1+'Anchors'!$G$15)-LN(1+'Anchors'!$H$15)))),"")</x:f>
        <x:v>100</x:v>
      </x:c>
      <x:c r="AG71" s="33" t="n">
        <x:f>IF(ISNUMBER(O71),100*MAX(0,MIN(1,('Anchors'!$H$16-O71)/('Anchors'!$H$16-'Anchors'!$G$16))),"")</x:f>
        <x:v>34.077777777777776</x:v>
      </x:c>
      <x:c r="AH71" s="33" t="n">
        <x:f>IF(ISNUMBER(P71),100*MAX(0,MIN(1,('Anchors'!$H$17-P71)/('Anchors'!$H$17-'Anchors'!$G$17))),"")</x:f>
        <x:v>51.61030598958334</x:v>
      </x:c>
      <x:c r="AI71" s="33" t="n">
        <x:f>IF(ISNUMBER(Q71),100*MAX(0,MIN(1,('Anchors'!$H$18-Q71)/('Anchors'!$H$18-'Anchors'!$G$18))),"")</x:f>
        <x:v>64.16517430260068</x:v>
      </x:c>
      <x:c r="AJ71" s="33" t="n">
        <x:f>IF(ISNUMBER(R71),100*MAX(0,MIN(1,('Anchors'!$H$19-R71)/('Anchors'!$H$19-'Anchors'!$G$19))),"")</x:f>
        <x:v>97.32815675676811</x:v>
      </x:c>
      <x:c r="AK71" s="33" t="n">
        <x:f>IF(ISNUMBER(S71),100*MAX(0,MIN(1,('Anchors'!$H$20-S71)/('Anchors'!$H$20-'Anchors'!$G$20))),"")</x:f>
        <x:v>100</x:v>
      </x:c>
      <x:c r="AL71" s="33" t="n">
        <x:f>IF(ISNUMBER(T71),100*MAX(0,MIN(1,('Anchors'!$H$21-T71)/('Anchors'!$H$21-'Anchors'!$G$21))),"")</x:f>
        <x:v>87.0909090909091</x:v>
      </x:c>
      <x:c r="AM71" s="33" t="n">
        <x:f>IF(ISNUMBER(U71),100*MAX(0,MIN(1,('Anchors'!$H$22-U71)/('Anchors'!$H$22-'Anchors'!$G$22))),"")</x:f>
        <x:v>44.29226091355795</x:v>
      </x:c>
      <x:c r="AN71" s="33" t="n">
        <x:f>IF(ISNUMBER(V71),100*MAX(0,MIN(1,('Anchors'!$H$23-V71)/('Anchors'!$H$23-'Anchors'!$G$23))),"")</x:f>
        <x:v>68.6431055263375</x:v>
      </x:c>
      <x:c r="AO71" s="27" t="n">
        <x:f>IF(ISNUMBER(W71),IF('Scoring Setup'!$L$9=1,1-'Scoring Setup'!$B$5*(1-MAX(0,MIN(1,(W71-'Scoring Setup'!$K$9)/(100-'Scoring Setup'!$K$9)))),1),"")</x:f>
        <x:v>0.9482857142857143</x:v>
      </x:c>
      <x:c r="AP71" s="27" t="n">
        <x:f>IF(ISNUMBER(X71),IF('Scoring Setup'!$L$10=1,1-'Scoring Setup'!$B$5*(1-MAX(0,MIN(1,(X71-'Scoring Setup'!$K$10)/(100-'Scoring Setup'!$K$10)))),1),"")</x:f>
        <x:v>0.9131188118811879</x:v>
      </x:c>
      <x:c r="AQ71" s="27" t="n">
        <x:f>IF(ISNUMBER(Y71),IF('Scoring Setup'!$L$11=1,1-'Scoring Setup'!$B$5*(1-MAX(0,MIN(1,(Y71-'Scoring Setup'!$K$11)/(100-'Scoring Setup'!$K$11)))),1),"")</x:f>
        <x:v>0.8818399326843515</x:v>
      </x:c>
      <x:c r="AR71" s="27" t="n">
        <x:f>IF(ISNUMBER(Z71),IF('Scoring Setup'!$L$12=1,1-'Scoring Setup'!$B$5*(1-MAX(0,MIN(1,(Z71-'Scoring Setup'!$K$12)/(100-'Scoring Setup'!$K$12)))),1),"")</x:f>
        <x:v>0.8909421076924332</x:v>
      </x:c>
      <x:c r="AS71" s="27" t="n">
        <x:f>IF(ISNUMBER(AA71),IF('Scoring Setup'!$L$13=1,1-'Scoring Setup'!$B$5*(1-MAX(0,MIN(1,(AA71-'Scoring Setup'!$K$13)/(100-'Scoring Setup'!$K$13)))),1),"")</x:f>
        <x:v>0.8268221817617515</x:v>
      </x:c>
      <x:c r="AT71" s="27" t="n">
        <x:f>IF(ISNUMBER(AB71),IF('Scoring Setup'!$L$14=1,1-'Scoring Setup'!$B$5*(1-MAX(0,MIN(1,(AB71-'Scoring Setup'!$K$14)/(100-'Scoring Setup'!$K$14)))),1),"")</x:f>
        <x:v>0.986189255021714</x:v>
      </x:c>
      <x:c r="AU71" s="27" t="n">
        <x:f>IF(ISNUMBER(AC71),IF('Scoring Setup'!$L$15=1,1-'Scoring Setup'!$B$5*(1-MAX(0,MIN(1,(AC71-'Scoring Setup'!$K$15)/(100-'Scoring Setup'!$K$15)))),1),"")</x:f>
        <x:v>0.9907487099850725</x:v>
      </x:c>
      <x:c r="AV71" s="27" t="n">
        <x:f>IF(ISNUMBER(AD71),IF('Scoring Setup'!$L$16=1,1-'Scoring Setup'!$B$5*(1-MAX(0,MIN(1,(AD71-'Scoring Setup'!$K$16)/(100-'Scoring Setup'!$K$16)))),1),"")</x:f>
        <x:v>0.9439748602857143</x:v>
      </x:c>
      <x:c r="AW71" s="27" t="n">
        <x:f>IF(ISNUMBER(AE71),IF('Scoring Setup'!$L$17=1,1-'Scoring Setup'!$B$5*(1-MAX(0,MIN(1,(AE71-'Scoring Setup'!$K$17)/(100-'Scoring Setup'!$K$17)))),1),"")</x:f>
        <x:v>0.949502219</x:v>
      </x:c>
      <x:c r="AX71" s="27" t="n">
        <x:f>IF(ISNUMBER(AF71),IF('Scoring Setup'!$L$18=1,1-'Scoring Setup'!$B$5*(1-MAX(0,MIN(1,(AF71-'Scoring Setup'!$K$18)/(100-'Scoring Setup'!$K$18)))),1),"")</x:f>
        <x:v>1</x:v>
      </x:c>
      <x:c r="AY71" s="27" t="n">
        <x:f>IF(ISNUMBER(AG71),IF('Scoring Setup'!$L$19=1,1-'Scoring Setup'!$B$5*(1-MAX(0,MIN(1,(AG71-'Scoring Setup'!$K$19)/(100-'Scoring Setup'!$K$19)))),1),"")</x:f>
        <x:v>0.8681555555555556</x:v>
      </x:c>
      <x:c r="AZ71" s="27" t="n">
        <x:f>IF(ISNUMBER(AH71),IF('Scoring Setup'!$L$20=1,1-'Scoring Setup'!$B$5*(1-MAX(0,MIN(1,(AH71-'Scoring Setup'!$K$20)/(100-'Scoring Setup'!$K$20)))),1),"")</x:f>
        <x:v>0.9032206119791667</x:v>
      </x:c>
      <x:c r="BA71" s="27" t="n">
        <x:f>IF(ISNUMBER(AI71),IF('Scoring Setup'!$L$21=1,1-'Scoring Setup'!$B$5*(1-MAX(0,MIN(1,(AI71-'Scoring Setup'!$K$21)/(100-'Scoring Setup'!$K$21)))),1),"")</x:f>
        <x:v>0.9283303486052014</x:v>
      </x:c>
      <x:c r="BB71" s="27" t="n">
        <x:f>IF(ISNUMBER(AJ71),IF('Scoring Setup'!$L$22=1,1-'Scoring Setup'!$B$5*(1-MAX(0,MIN(1,(AJ71-'Scoring Setup'!$K$22)/(100-'Scoring Setup'!$K$22)))),1),"")</x:f>
        <x:v>0.9946563135135362</x:v>
      </x:c>
      <x:c r="BC71" s="27" t="n">
        <x:f>IF(ISNUMBER(AK71),IF('Scoring Setup'!$L$23=1,1-'Scoring Setup'!$B$5*(1-MAX(0,MIN(1,(AK71-'Scoring Setup'!$K$23)/(100-'Scoring Setup'!$K$23)))),1),"")</x:f>
        <x:v>1</x:v>
      </x:c>
      <x:c r="BD71" s="27" t="n">
        <x:f>IF(ISNUMBER(AL71),IF('Scoring Setup'!$L$24=1,1-'Scoring Setup'!$B$5*(1-MAX(0,MIN(1,(AL71-'Scoring Setup'!$K$24)/(100-'Scoring Setup'!$K$24)))),1),"")</x:f>
        <x:v>0.9741818181818181</x:v>
      </x:c>
      <x:c r="BE71" s="27" t="n">
        <x:f>IF(ISNUMBER(AM71),IF('Scoring Setup'!$L$25=1,1-'Scoring Setup'!$B$5*(1-MAX(0,MIN(1,(AM71-'Scoring Setup'!$K$25)/(100-'Scoring Setup'!$K$25)))),1),"")</x:f>
        <x:v>0.8885845218271159</x:v>
      </x:c>
      <x:c r="BF71" s="27" t="n">
        <x:f>IF(ISNUMBER(AN71),IF('Scoring Setup'!$L$26=1,1-'Scoring Setup'!$B$5*(1-MAX(0,MIN(1,(AN71-'Scoring Setup'!$K$26)/(100-'Scoring Setup'!$K$26)))),1),"")</x:f>
        <x:v>0.937286211052675</x:v>
      </x:c>
      <x:c r="BG71" s="34" t="n">
        <x:f>IF(COUNT(W71,X71)=2,AVERAGE(W71,X71),"")</x:f>
        <x:v>65.35113154172558</x:v>
      </x:c>
      <x:c r="BH71" s="34" t="n">
        <x:f>IF(COUNT(Y71,Z71)=2,AVERAGE(Y71,Z71),"")</x:f>
        <x:v>43.195510094196166</x:v>
      </x:c>
      <x:c r="BI71" s="34" t="n">
        <x:f>IF(COUNT(AA71,AB71,AC71)=3,AVERAGE(AA71,AB71,AC71),"")</x:f>
        <x:v>67.29335779475632</x:v>
      </x:c>
      <x:c r="BJ71" s="34" t="n">
        <x:f>IF(COUNT(AD71,AE71)=2,AVERAGE(AD71,AE71),"")</x:f>
        <x:v>73.36926982142856</x:v>
      </x:c>
      <x:c r="BK71" s="34" t="n">
        <x:f>IF(COUNT(AF71,AG71)=2,AVERAGE(AF71,AG71),"")</x:f>
        <x:v>67.03888888888889</x:v>
      </x:c>
      <x:c r="BL71" s="34" t="n">
        <x:f>IF(COUNT(AH71,AI71)=2,AVERAGE(AH71,AI71),"")</x:f>
        <x:v>57.88774014609201</x:v>
      </x:c>
      <x:c r="BM71" s="34" t="n">
        <x:f>IF(COUNT(AJ71,AK71)=2,AVERAGE(AJ71,AK71),"")</x:f>
        <x:v>98.66407837838406</x:v>
      </x:c>
      <x:c r="BN71" s="34" t="n">
        <x:f>IF(COUNT(AL71,AM71,AN71)=3,AVERAGE(AL71,AM71,AN71),"")</x:f>
        <x:v>66.67542517693484</x:v>
      </x:c>
      <x:c r="BO71" s="35" t="n">
        <x:f>IF(AND(COUNT(BG71:BN71)=8,ABS('Scoring Setup'!$C$17-1)&lt;0.000001),BG71*'Scoring Setup'!$C$9+BH71*'Scoring Setup'!$C$10+BI71*'Scoring Setup'!$C$11+BJ71*'Scoring Setup'!$C$12+BK71*'Scoring Setup'!$C$13+BL71*'Scoring Setup'!$C$14+BM71*'Scoring Setup'!$C$15+BN71*'Scoring Setup'!$C$16,"")</x:f>
        <x:v>63.774585302823425</x:v>
      </x:c>
      <x:c r="BP71" s="36" t="n">
        <x:f>IF(COUNT(AO71:BF71)=18,MIN(AO71:BF71),"")</x:f>
        <x:v>0.8268221817617515</x:v>
      </x:c>
      <x:c r="BQ71" s="35" t="n">
        <x:f>IF(AND(ISNUMBER(BO71),ISNUMBER(BP71)),BO71*BP71,"")</x:f>
        <x:v>52.730241761031394</x:v>
      </x:c>
      <x:c r="BR71" s="17" t="str">
        <x:f>IF(COUNT(AO71:BF71)=18,INDEX('Scoring Setup'!$F$9:$F$26,MATCH(MIN(AO71:BF71),AO71:BF71,0),1),"")</x:f>
        <x:v>低不透水土地比例</x:v>
      </x:c>
    </x:row>
    <x:row r="72">
      <x:c r="A72" s="28" t="str">
        <x:v>13137</x:v>
      </x:c>
      <x:c r="B72" s="28" t="str">
        <x:v>Habersham County</x:v>
      </x:c>
      <x:c r="C72" s="28" t="str">
        <x:v>GA</x:v>
      </x:c>
      <x:c r="D72" s="31" t="n">
        <x:v>717.081397</x:v>
      </x:c>
      <x:c r="E72" s="32" t="n">
        <x:v>0.726</x:v>
      </x:c>
      <x:c r="F72" s="32" t="n">
        <x:v>0.306311881188119</x:v>
      </x:c>
      <x:c r="G72" s="32" t="n">
        <x:v>2.5169474465582096</x:v>
      </x:c>
      <x:c r="H72" s="32" t="n">
        <x:v>2.3391134091050563</x:v>
      </x:c>
      <x:c r="I72" s="32" t="n">
        <x:v>0.9016113452317794</x:v>
      </x:c>
      <x:c r="J72" s="32" t="n">
        <x:v>0.06076555372709964</x:v>
      </x:c>
      <x:c r="K72" s="32" t="n">
        <x:v>0.002282259436842474</x:v>
      </x:c>
      <x:c r="L72" s="32" t="n">
        <x:v>0.816233678</x:v>
      </x:c>
      <x:c r="M72" s="32" t="n">
        <x:v>0.816233678</x:v>
      </x:c>
      <x:c r="N72" s="32" t="n">
        <x:v>22654</x:v>
      </x:c>
      <x:c r="O72" s="32" t="n">
        <x:v>0.728</x:v>
      </x:c>
      <x:c r="P72" s="32" t="n">
        <x:v>1005.0191243489584</x:v>
      </x:c>
      <x:c r="Q72" s="32" t="n">
        <x:v>13.124905077616374</x:v>
      </x:c>
      <x:c r="R72" s="32" t="n">
        <x:v>36.90623598555569</x:v>
      </x:c>
      <x:c r="S72" s="32" t="n">
        <x:v>11.510928231521317</x:v>
      </x:c>
      <x:c r="T72" s="32" t="n">
        <x:v>72.1</x:v>
      </x:c>
      <x:c r="U72" s="32" t="n">
        <x:v>211.4154781728841</x:v>
      </x:c>
      <x:c r="V72" s="32" t="n">
        <x:v>325.42757789465</x:v>
      </x:c>
      <x:c r="W72" s="33" t="n">
        <x:f>IF(ISNUMBER(E72),100*MAX(0,MIN(1,('Anchors'!$H$6-E72)/('Anchors'!$H$6-'Anchors'!$G$6))),"")</x:f>
        <x:v>24.857142857142865</x:v>
      </x:c>
      <x:c r="X72" s="33" t="n">
        <x:f>IF(ISNUMBER(F72),100*MAX(0,MIN(1,('Anchors'!$H$7-F72)/('Anchors'!$H$7-'Anchors'!$G$7))),"")</x:f>
        <x:v>70.526874115983</x:v>
      </x:c>
      <x:c r="Y72" s="33" t="n">
        <x:f>IF(ISNUMBER(G72),100*MAX(0,MIN(1,('Anchors'!$H$8-G72)/('Anchors'!$H$8-'Anchors'!$G$8))),"")</x:f>
        <x:v>49.43508511472635</x:v>
      </x:c>
      <x:c r="Z72" s="33" t="n">
        <x:f>IF(ISNUMBER(H72),100*MAX(0,MIN(1,('Anchors'!$H$9-H72)/('Anchors'!$H$9-'Anchors'!$G$9))),"")</x:f>
        <x:v>55.36288636316479</x:v>
      </x:c>
      <x:c r="AA72" s="33" t="n">
        <x:f>IF(ISNUMBER(I72),100*MAX(0,MIN(1,(I72-'Anchors'!$H$10)/('Anchors'!$G$10-'Anchors'!$H$10))),"")</x:f>
        <x:v>89.26182811394239</x:v>
      </x:c>
      <x:c r="AB72" s="33" t="n">
        <x:f>IF(ISNUMBER(J72),100*MAX(0,MIN(1,('Anchors'!$H$11-J72)/('Anchors'!$H$11-'Anchors'!$G$11))),"")</x:f>
        <x:v>75.69377850916015</x:v>
      </x:c>
      <x:c r="AC72" s="33" t="n">
        <x:f>IF(ISNUMBER(K72),100*MAX(0,MIN(1,('Anchors'!$H$12-K72)/('Anchors'!$H$12-'Anchors'!$G$12))),"")</x:f>
        <x:v>99.4294351407894</x:v>
      </x:c>
      <x:c r="AD72" s="33" t="n">
        <x:f>IF(ISNUMBER(L72),100*MAX(0,MIN(1,(L72-'Anchors'!$H$13)/('Anchors'!$G$13-'Anchors'!$H$13))),"")</x:f>
        <x:v>88.03338257142858</x:v>
      </x:c>
      <x:c r="AE72" s="33" t="n">
        <x:f>IF(ISNUMBER(M72),100*MAX(0,MIN(1,(M72-'Anchors'!$H$14)/('Anchors'!$G$14-'Anchors'!$H$14))),"")</x:f>
        <x:v>89.52920975</x:v>
      </x:c>
      <x:c r="AF72" s="33" t="n">
        <x:f>IF(ISNUMBER(N72),100*MAX(0,MIN(1,(LN(1+N72)-LN(1+'Anchors'!$H$15))/(LN(1+'Anchors'!$G$15)-LN(1+'Anchors'!$H$15)))),"")</x:f>
        <x:v>56.213490537795984</x:v>
      </x:c>
      <x:c r="AG72" s="33" t="n">
        <x:f>IF(ISNUMBER(O72),100*MAX(0,MIN(1,('Anchors'!$H$16-O72)/('Anchors'!$H$16-'Anchors'!$G$16))),"")</x:f>
        <x:v>24.666666666666668</x:v>
      </x:c>
      <x:c r="AH72" s="33" t="n">
        <x:f>IF(ISNUMBER(P72),100*MAX(0,MIN(1,('Anchors'!$H$17-P72)/('Anchors'!$H$17-'Anchors'!$G$17))),"")</x:f>
        <x:v>79.66539171006943</x:v>
      </x:c>
      <x:c r="AI72" s="33" t="n">
        <x:f>IF(ISNUMBER(Q72),100*MAX(0,MIN(1,('Anchors'!$H$18-Q72)/('Anchors'!$H$18-'Anchors'!$G$18))),"")</x:f>
        <x:v>88.39299274626232</x:v>
      </x:c>
      <x:c r="AJ72" s="33" t="n">
        <x:f>IF(ISNUMBER(R72),100*MAX(0,MIN(1,('Anchors'!$H$19-R72)/('Anchors'!$H$19-'Anchors'!$G$19))),"")</x:f>
        <x:v>29.0972533654318</x:v>
      </x:c>
      <x:c r="AK72" s="33" t="n">
        <x:f>IF(ISNUMBER(S72),100*MAX(0,MIN(1,('Anchors'!$H$20-S72)/('Anchors'!$H$20-'Anchors'!$G$20))),"")</x:f>
        <x:v>44.679325097256225</x:v>
      </x:c>
      <x:c r="AL72" s="33" t="n">
        <x:f>IF(ISNUMBER(T72),100*MAX(0,MIN(1,('Anchors'!$H$21-T72)/('Anchors'!$H$21-'Anchors'!$G$21))),"")</x:f>
        <x:v>87.0909090909091</x:v>
      </x:c>
      <x:c r="AM72" s="33" t="n">
        <x:f>IF(ISNUMBER(U72),100*MAX(0,MIN(1,('Anchors'!$H$22-U72)/('Anchors'!$H$22-'Anchors'!$G$22))),"")</x:f>
        <x:v>44.29226091355795</x:v>
      </x:c>
      <x:c r="AN72" s="33" t="n">
        <x:f>IF(ISNUMBER(V72),100*MAX(0,MIN(1,('Anchors'!$H$23-V72)/('Anchors'!$H$23-'Anchors'!$G$23))),"")</x:f>
        <x:v>68.6431055263375</x:v>
      </x:c>
      <x:c r="AO72" s="27" t="n">
        <x:f>IF(ISNUMBER(W72),IF('Scoring Setup'!$L$9=1,1-'Scoring Setup'!$B$5*(1-MAX(0,MIN(1,(W72-'Scoring Setup'!$K$9)/(100-'Scoring Setup'!$K$9)))),1),"")</x:f>
        <x:v>0.8497142857142858</x:v>
      </x:c>
      <x:c r="AP72" s="27" t="n">
        <x:f>IF(ISNUMBER(X72),IF('Scoring Setup'!$L$10=1,1-'Scoring Setup'!$B$5*(1-MAX(0,MIN(1,(X72-'Scoring Setup'!$K$10)/(100-'Scoring Setup'!$K$10)))),1),"")</x:f>
        <x:v>0.941053748231966</x:v>
      </x:c>
      <x:c r="AQ72" s="27" t="n">
        <x:f>IF(ISNUMBER(Y72),IF('Scoring Setup'!$L$11=1,1-'Scoring Setup'!$B$5*(1-MAX(0,MIN(1,(Y72-'Scoring Setup'!$K$11)/(100-'Scoring Setup'!$K$11)))),1),"")</x:f>
        <x:v>0.8988701702294527</x:v>
      </x:c>
      <x:c r="AR72" s="27" t="n">
        <x:f>IF(ISNUMBER(Z72),IF('Scoring Setup'!$L$12=1,1-'Scoring Setup'!$B$5*(1-MAX(0,MIN(1,(Z72-'Scoring Setup'!$K$12)/(100-'Scoring Setup'!$K$12)))),1),"")</x:f>
        <x:v>0.9107257727263296</x:v>
      </x:c>
      <x:c r="AS72" s="27" t="n">
        <x:f>IF(ISNUMBER(AA72),IF('Scoring Setup'!$L$13=1,1-'Scoring Setup'!$B$5*(1-MAX(0,MIN(1,(AA72-'Scoring Setup'!$K$13)/(100-'Scoring Setup'!$K$13)))),1),"")</x:f>
        <x:v>0.9785236562278847</x:v>
      </x:c>
      <x:c r="AT72" s="27" t="n">
        <x:f>IF(ISNUMBER(AB72),IF('Scoring Setup'!$L$14=1,1-'Scoring Setup'!$B$5*(1-MAX(0,MIN(1,(AB72-'Scoring Setup'!$K$14)/(100-'Scoring Setup'!$K$14)))),1),"")</x:f>
        <x:v>0.9513875570183203</x:v>
      </x:c>
      <x:c r="AU72" s="27" t="n">
        <x:f>IF(ISNUMBER(AC72),IF('Scoring Setup'!$L$15=1,1-'Scoring Setup'!$B$5*(1-MAX(0,MIN(1,(AC72-'Scoring Setup'!$K$15)/(100-'Scoring Setup'!$K$15)))),1),"")</x:f>
        <x:v>0.9988588702815788</x:v>
      </x:c>
      <x:c r="AV72" s="27" t="n">
        <x:f>IF(ISNUMBER(AD72),IF('Scoring Setup'!$L$16=1,1-'Scoring Setup'!$B$5*(1-MAX(0,MIN(1,(AD72-'Scoring Setup'!$K$16)/(100-'Scoring Setup'!$K$16)))),1),"")</x:f>
        <x:v>0.9760667651428572</x:v>
      </x:c>
      <x:c r="AW72" s="27" t="n">
        <x:f>IF(ISNUMBER(AE72),IF('Scoring Setup'!$L$17=1,1-'Scoring Setup'!$B$5*(1-MAX(0,MIN(1,(AE72-'Scoring Setup'!$K$17)/(100-'Scoring Setup'!$K$17)))),1),"")</x:f>
        <x:v>0.9790584195</x:v>
      </x:c>
      <x:c r="AX72" s="27" t="n">
        <x:f>IF(ISNUMBER(AF72),IF('Scoring Setup'!$L$18=1,1-'Scoring Setup'!$B$5*(1-MAX(0,MIN(1,(AF72-'Scoring Setup'!$K$18)/(100-'Scoring Setup'!$K$18)))),1),"")</x:f>
        <x:v>0.912426981075592</x:v>
      </x:c>
      <x:c r="AY72" s="27" t="n">
        <x:f>IF(ISNUMBER(AG72),IF('Scoring Setup'!$L$19=1,1-'Scoring Setup'!$B$5*(1-MAX(0,MIN(1,(AG72-'Scoring Setup'!$K$19)/(100-'Scoring Setup'!$K$19)))),1),"")</x:f>
        <x:v>0.8493333333333333</x:v>
      </x:c>
      <x:c r="AZ72" s="27" t="n">
        <x:f>IF(ISNUMBER(AH72),IF('Scoring Setup'!$L$20=1,1-'Scoring Setup'!$B$5*(1-MAX(0,MIN(1,(AH72-'Scoring Setup'!$K$20)/(100-'Scoring Setup'!$K$20)))),1),"")</x:f>
        <x:v>0.9593307834201389</x:v>
      </x:c>
      <x:c r="BA72" s="27" t="n">
        <x:f>IF(ISNUMBER(AI72),IF('Scoring Setup'!$L$21=1,1-'Scoring Setup'!$B$5*(1-MAX(0,MIN(1,(AI72-'Scoring Setup'!$K$21)/(100-'Scoring Setup'!$K$21)))),1),"")</x:f>
        <x:v>0.9767859854925246</x:v>
      </x:c>
      <x:c r="BB72" s="27" t="n">
        <x:f>IF(ISNUMBER(AJ72),IF('Scoring Setup'!$L$22=1,1-'Scoring Setup'!$B$5*(1-MAX(0,MIN(1,(AJ72-'Scoring Setup'!$K$22)/(100-'Scoring Setup'!$K$22)))),1),"")</x:f>
        <x:v>0.8581945067308636</x:v>
      </x:c>
      <x:c r="BC72" s="27" t="n">
        <x:f>IF(ISNUMBER(AK72),IF('Scoring Setup'!$L$23=1,1-'Scoring Setup'!$B$5*(1-MAX(0,MIN(1,(AK72-'Scoring Setup'!$K$23)/(100-'Scoring Setup'!$K$23)))),1),"")</x:f>
        <x:v>0.8893586501945124</x:v>
      </x:c>
      <x:c r="BD72" s="27" t="n">
        <x:f>IF(ISNUMBER(AL72),IF('Scoring Setup'!$L$24=1,1-'Scoring Setup'!$B$5*(1-MAX(0,MIN(1,(AL72-'Scoring Setup'!$K$24)/(100-'Scoring Setup'!$K$24)))),1),"")</x:f>
        <x:v>0.9741818181818181</x:v>
      </x:c>
      <x:c r="BE72" s="27" t="n">
        <x:f>IF(ISNUMBER(AM72),IF('Scoring Setup'!$L$25=1,1-'Scoring Setup'!$B$5*(1-MAX(0,MIN(1,(AM72-'Scoring Setup'!$K$25)/(100-'Scoring Setup'!$K$25)))),1),"")</x:f>
        <x:v>0.8885845218271159</x:v>
      </x:c>
      <x:c r="BF72" s="27" t="n">
        <x:f>IF(ISNUMBER(AN72),IF('Scoring Setup'!$L$26=1,1-'Scoring Setup'!$B$5*(1-MAX(0,MIN(1,(AN72-'Scoring Setup'!$K$26)/(100-'Scoring Setup'!$K$26)))),1),"")</x:f>
        <x:v>0.937286211052675</x:v>
      </x:c>
      <x:c r="BG72" s="34" t="n">
        <x:f>IF(COUNT(W72,X72)=2,AVERAGE(W72,X72),"")</x:f>
        <x:v>47.69200848656293</x:v>
      </x:c>
      <x:c r="BH72" s="34" t="n">
        <x:f>IF(COUNT(Y72,Z72)=2,AVERAGE(Y72,Z72),"")</x:f>
        <x:v>52.39898573894557</x:v>
      </x:c>
      <x:c r="BI72" s="34" t="n">
        <x:f>IF(COUNT(AA72,AB72,AC72)=3,AVERAGE(AA72,AB72,AC72),"")</x:f>
        <x:v>88.12834725463064</x:v>
      </x:c>
      <x:c r="BJ72" s="34" t="n">
        <x:f>IF(COUNT(AD72,AE72)=2,AVERAGE(AD72,AE72),"")</x:f>
        <x:v>88.78129616071429</x:v>
      </x:c>
      <x:c r="BK72" s="34" t="n">
        <x:f>IF(COUNT(AF72,AG72)=2,AVERAGE(AF72,AG72),"")</x:f>
        <x:v>40.440078602231324</x:v>
      </x:c>
      <x:c r="BL72" s="34" t="n">
        <x:f>IF(COUNT(AH72,AI72)=2,AVERAGE(AH72,AI72),"")</x:f>
        <x:v>84.02919222816587</x:v>
      </x:c>
      <x:c r="BM72" s="34" t="n">
        <x:f>IF(COUNT(AJ72,AK72)=2,AVERAGE(AJ72,AK72),"")</x:f>
        <x:v>36.88828923134401</x:v>
      </x:c>
      <x:c r="BN72" s="34" t="n">
        <x:f>IF(COUNT(AL72,AM72,AN72)=3,AVERAGE(AL72,AM72,AN72),"")</x:f>
        <x:v>66.67542517693484</x:v>
      </x:c>
      <x:c r="BO72" s="35" t="n">
        <x:f>IF(AND(COUNT(BG72:BN72)=8,ABS('Scoring Setup'!$C$17-1)&lt;0.000001),BG72*'Scoring Setup'!$C$9+BH72*'Scoring Setup'!$C$10+BI72*'Scoring Setup'!$C$11+BJ72*'Scoring Setup'!$C$12+BK72*'Scoring Setup'!$C$13+BL72*'Scoring Setup'!$C$14+BM72*'Scoring Setup'!$C$15+BN72*'Scoring Setup'!$C$16,"")</x:f>
        <x:v>63.032471824258984</x:v>
      </x:c>
      <x:c r="BP72" s="36" t="n">
        <x:f>IF(COUNT(AO72:BF72)=18,MIN(AO72:BF72),"")</x:f>
        <x:v>0.8493333333333333</x:v>
      </x:c>
      <x:c r="BQ72" s="35" t="n">
        <x:f>IF(AND(ISNUMBER(BO72),ISNUMBER(BP72)),BO72*BP72,"")</x:f>
        <x:v>53.53557940273729</x:v>
      </x:c>
      <x:c r="BR72" s="17" t="str">
        <x:f>IF(COUNT(AO72:BF72)=18,INDEX('Scoring Setup'!$F$9:$F$26,MATCH(MIN(AO72:BF72),AO72:BF72,0),1),"")</x:f>
        <x:v>社会脆弱性百分位</x:v>
      </x:c>
    </x:row>
    <x:row r="73">
      <x:c r="A73" s="28" t="str">
        <x:v>13139</x:v>
      </x:c>
      <x:c r="B73" s="28" t="str">
        <x:v>Hall County</x:v>
      </x:c>
      <x:c r="C73" s="28" t="str">
        <x:v>GA</x:v>
      </x:c>
      <x:c r="D73" s="31" t="n">
        <x:v>1016.489905</x:v>
      </x:c>
      <x:c r="E73" s="32" t="n">
        <x:v>0.604</x:v>
      </x:c>
      <x:c r="F73" s="32" t="n">
        <x:v>0.434405940594059</x:v>
      </x:c>
      <x:c r="G73" s="32" t="n">
        <x:v>2.298833420105885</x:v>
      </x:c>
      <x:c r="H73" s="32" t="n">
        <x:v>2.1188039260325735</x:v>
      </x:c>
      <x:c r="I73" s="32" t="n">
        <x:v>0.7559359353001577</x:v>
      </x:c>
      <x:c r="J73" s="32" t="n">
        <x:v>0.023093949951024914</x:v>
      </x:c>
      <x:c r="K73" s="32" t="n">
        <x:v>0.005160532249356919</x:v>
      </x:c>
      <x:c r="L73" s="32" t="n">
        <x:v>0.64209709</x:v>
      </x:c>
      <x:c r="M73" s="32" t="n">
        <x:v>0.640992553</x:v>
      </x:c>
      <x:c r="N73" s="32" t="n">
        <x:v>110156</x:v>
      </x:c>
      <x:c r="O73" s="32" t="n">
        <x:v>0.8136</x:v>
      </x:c>
      <x:c r="P73" s="32" t="n">
        <x:v>1294.3479288736978</x:v>
      </x:c>
      <x:c r="Q73" s="32" t="n">
        <x:v>23.210152180989585</x:v>
      </x:c>
      <x:c r="R73" s="32" t="n">
        <x:v>2.711205313814034</x:v>
      </x:c>
      <x:c r="S73" s="32" t="n">
        <x:v>2.257355204658597</x:v>
      </x:c>
      <x:c r="T73" s="32" t="n">
        <x:v>72.1</x:v>
      </x:c>
      <x:c r="U73" s="32" t="n">
        <x:v>211.4154781728841</x:v>
      </x:c>
      <x:c r="V73" s="32" t="n">
        <x:v>325.42757789465</x:v>
      </x:c>
      <x:c r="W73" s="33" t="n">
        <x:f>IF(ISNUMBER(E73),100*MAX(0,MIN(1,('Anchors'!$H$6-E73)/('Anchors'!$H$6-'Anchors'!$G$6))),"")</x:f>
        <x:v>42.28571428571429</x:v>
      </x:c>
      <x:c r="X73" s="33" t="n">
        <x:f>IF(ISNUMBER(F73),100*MAX(0,MIN(1,('Anchors'!$H$7-F73)/('Anchors'!$H$7-'Anchors'!$G$7))),"")</x:f>
        <x:v>52.22772277227728</x:v>
      </x:c>
      <x:c r="Y73" s="33" t="n">
        <x:f>IF(ISNUMBER(G73),100*MAX(0,MIN(1,('Anchors'!$H$8-G73)/('Anchors'!$H$8-'Anchors'!$G$8))),"")</x:f>
        <x:v>56.70555266313717</x:v>
      </x:c>
      <x:c r="Z73" s="33" t="n">
        <x:f>IF(ISNUMBER(H73),100*MAX(0,MIN(1,('Anchors'!$H$9-H73)/('Anchors'!$H$9-'Anchors'!$G$9))),"")</x:f>
        <x:v>62.70653579891422</x:v>
      </x:c>
      <x:c r="AA73" s="33" t="n">
        <x:f>IF(ISNUMBER(I73),100*MAX(0,MIN(1,(I73-'Anchors'!$H$10)/('Anchors'!$G$10-'Anchors'!$H$10))),"")</x:f>
        <x:v>69.30629250687092</x:v>
      </x:c>
      <x:c r="AB73" s="33" t="n">
        <x:f>IF(ISNUMBER(J73),100*MAX(0,MIN(1,('Anchors'!$H$11-J73)/('Anchors'!$H$11-'Anchors'!$G$11))),"")</x:f>
        <x:v>90.76242001959002</x:v>
      </x:c>
      <x:c r="AC73" s="33" t="n">
        <x:f>IF(ISNUMBER(K73),100*MAX(0,MIN(1,('Anchors'!$H$12-K73)/('Anchors'!$H$12-'Anchors'!$G$12))),"")</x:f>
        <x:v>98.70986693766078</x:v>
      </x:c>
      <x:c r="AD73" s="33" t="n">
        <x:f>IF(ISNUMBER(L73),100*MAX(0,MIN(1,(L73-'Anchors'!$H$13)/('Anchors'!$G$13-'Anchors'!$H$13))),"")</x:f>
        <x:v>63.15672714285715</x:v>
      </x:c>
      <x:c r="AE73" s="33" t="n">
        <x:f>IF(ISNUMBER(M73),100*MAX(0,MIN(1,(M73-'Anchors'!$H$14)/('Anchors'!$G$14-'Anchors'!$H$14))),"")</x:f>
        <x:v>67.62406912499999</x:v>
      </x:c>
      <x:c r="AF73" s="33" t="n">
        <x:f>IF(ISNUMBER(N73),100*MAX(0,MIN(1,(LN(1+N73)-LN(1+'Anchors'!$H$15))/(LN(1+'Anchors'!$G$15)-LN(1+'Anchors'!$H$15)))),"")</x:f>
        <x:v>92.84837377410226</x:v>
      </x:c>
      <x:c r="AG73" s="33" t="n">
        <x:f>IF(ISNUMBER(O73),100*MAX(0,MIN(1,('Anchors'!$H$16-O73)/('Anchors'!$H$16-'Anchors'!$G$16))),"")</x:f>
        <x:v>15.155555555555553</x:v>
      </x:c>
      <x:c r="AH73" s="33" t="n">
        <x:f>IF(ISNUMBER(P73),100*MAX(0,MIN(1,('Anchors'!$H$17-P73)/('Anchors'!$H$17-'Anchors'!$G$17))),"")</x:f>
        <x:v>60.376804741753475</x:v>
      </x:c>
      <x:c r="AI73" s="33" t="n">
        <x:f>IF(ISNUMBER(Q73),100*MAX(0,MIN(1,('Anchors'!$H$18-Q73)/('Anchors'!$H$18-'Anchors'!$G$18))),"")</x:f>
        <x:v>73.98549688430059</x:v>
      </x:c>
      <x:c r="AJ73" s="33" t="n">
        <x:f>IF(ISNUMBER(R73),100*MAX(0,MIN(1,('Anchors'!$H$19-R73)/('Anchors'!$H$19-'Anchors'!$G$19))),"")</x:f>
        <x:v>100</x:v>
      </x:c>
      <x:c r="AK73" s="33" t="n">
        <x:f>IF(ISNUMBER(S73),100*MAX(0,MIN(1,('Anchors'!$H$20-S73)/('Anchors'!$H$20-'Anchors'!$G$20))),"")</x:f>
        <x:v>93.38234102811263</x:v>
      </x:c>
      <x:c r="AL73" s="33" t="n">
        <x:f>IF(ISNUMBER(T73),100*MAX(0,MIN(1,('Anchors'!$H$21-T73)/('Anchors'!$H$21-'Anchors'!$G$21))),"")</x:f>
        <x:v>87.0909090909091</x:v>
      </x:c>
      <x:c r="AM73" s="33" t="n">
        <x:f>IF(ISNUMBER(U73),100*MAX(0,MIN(1,('Anchors'!$H$22-U73)/('Anchors'!$H$22-'Anchors'!$G$22))),"")</x:f>
        <x:v>44.29226091355795</x:v>
      </x:c>
      <x:c r="AN73" s="33" t="n">
        <x:f>IF(ISNUMBER(V73),100*MAX(0,MIN(1,('Anchors'!$H$23-V73)/('Anchors'!$H$23-'Anchors'!$G$23))),"")</x:f>
        <x:v>68.6431055263375</x:v>
      </x:c>
      <x:c r="AO73" s="27" t="n">
        <x:f>IF(ISNUMBER(W73),IF('Scoring Setup'!$L$9=1,1-'Scoring Setup'!$B$5*(1-MAX(0,MIN(1,(W73-'Scoring Setup'!$K$9)/(100-'Scoring Setup'!$K$9)))),1),"")</x:f>
        <x:v>0.8845714285714286</x:v>
      </x:c>
      <x:c r="AP73" s="27" t="n">
        <x:f>IF(ISNUMBER(X73),IF('Scoring Setup'!$L$10=1,1-'Scoring Setup'!$B$5*(1-MAX(0,MIN(1,(X73-'Scoring Setup'!$K$10)/(100-'Scoring Setup'!$K$10)))),1),"")</x:f>
        <x:v>0.9044554455445546</x:v>
      </x:c>
      <x:c r="AQ73" s="27" t="n">
        <x:f>IF(ISNUMBER(Y73),IF('Scoring Setup'!$L$11=1,1-'Scoring Setup'!$B$5*(1-MAX(0,MIN(1,(Y73-'Scoring Setup'!$K$11)/(100-'Scoring Setup'!$K$11)))),1),"")</x:f>
        <x:v>0.9134111053262743</x:v>
      </x:c>
      <x:c r="AR73" s="27" t="n">
        <x:f>IF(ISNUMBER(Z73),IF('Scoring Setup'!$L$12=1,1-'Scoring Setup'!$B$5*(1-MAX(0,MIN(1,(Z73-'Scoring Setup'!$K$12)/(100-'Scoring Setup'!$K$12)))),1),"")</x:f>
        <x:v>0.9254130715978285</x:v>
      </x:c>
      <x:c r="AS73" s="27" t="n">
        <x:f>IF(ISNUMBER(AA73),IF('Scoring Setup'!$L$13=1,1-'Scoring Setup'!$B$5*(1-MAX(0,MIN(1,(AA73-'Scoring Setup'!$K$13)/(100-'Scoring Setup'!$K$13)))),1),"")</x:f>
        <x:v>0.9386125850137418</x:v>
      </x:c>
      <x:c r="AT73" s="27" t="n">
        <x:f>IF(ISNUMBER(AB73),IF('Scoring Setup'!$L$14=1,1-'Scoring Setup'!$B$5*(1-MAX(0,MIN(1,(AB73-'Scoring Setup'!$K$14)/(100-'Scoring Setup'!$K$14)))),1),"")</x:f>
        <x:v>0.9815248400391801</x:v>
      </x:c>
      <x:c r="AU73" s="27" t="n">
        <x:f>IF(ISNUMBER(AC73),IF('Scoring Setup'!$L$15=1,1-'Scoring Setup'!$B$5*(1-MAX(0,MIN(1,(AC73-'Scoring Setup'!$K$15)/(100-'Scoring Setup'!$K$15)))),1),"")</x:f>
        <x:v>0.9974197338753216</x:v>
      </x:c>
      <x:c r="AV73" s="27" t="n">
        <x:f>IF(ISNUMBER(AD73),IF('Scoring Setup'!$L$16=1,1-'Scoring Setup'!$B$5*(1-MAX(0,MIN(1,(AD73-'Scoring Setup'!$K$16)/(100-'Scoring Setup'!$K$16)))),1),"")</x:f>
        <x:v>0.9263134542857143</x:v>
      </x:c>
      <x:c r="AW73" s="27" t="n">
        <x:f>IF(ISNUMBER(AE73),IF('Scoring Setup'!$L$17=1,1-'Scoring Setup'!$B$5*(1-MAX(0,MIN(1,(AE73-'Scoring Setup'!$K$17)/(100-'Scoring Setup'!$K$17)))),1),"")</x:f>
        <x:v>0.93524813825</x:v>
      </x:c>
      <x:c r="AX73" s="27" t="n">
        <x:f>IF(ISNUMBER(AF73),IF('Scoring Setup'!$L$18=1,1-'Scoring Setup'!$B$5*(1-MAX(0,MIN(1,(AF73-'Scoring Setup'!$K$18)/(100-'Scoring Setup'!$K$18)))),1),"")</x:f>
        <x:v>0.9856967475482045</x:v>
      </x:c>
      <x:c r="AY73" s="27" t="n">
        <x:f>IF(ISNUMBER(AG73),IF('Scoring Setup'!$L$19=1,1-'Scoring Setup'!$B$5*(1-MAX(0,MIN(1,(AG73-'Scoring Setup'!$K$19)/(100-'Scoring Setup'!$K$19)))),1),"")</x:f>
        <x:v>0.8303111111111111</x:v>
      </x:c>
      <x:c r="AZ73" s="27" t="n">
        <x:f>IF(ISNUMBER(AH73),IF('Scoring Setup'!$L$20=1,1-'Scoring Setup'!$B$5*(1-MAX(0,MIN(1,(AH73-'Scoring Setup'!$K$20)/(100-'Scoring Setup'!$K$20)))),1),"")</x:f>
        <x:v>0.9207536094835069</x:v>
      </x:c>
      <x:c r="BA73" s="27" t="n">
        <x:f>IF(ISNUMBER(AI73),IF('Scoring Setup'!$L$21=1,1-'Scoring Setup'!$B$5*(1-MAX(0,MIN(1,(AI73-'Scoring Setup'!$K$21)/(100-'Scoring Setup'!$K$21)))),1),"")</x:f>
        <x:v>0.9479709937686012</x:v>
      </x:c>
      <x:c r="BB73" s="27" t="n">
        <x:f>IF(ISNUMBER(AJ73),IF('Scoring Setup'!$L$22=1,1-'Scoring Setup'!$B$5*(1-MAX(0,MIN(1,(AJ73-'Scoring Setup'!$K$22)/(100-'Scoring Setup'!$K$22)))),1),"")</x:f>
        <x:v>1</x:v>
      </x:c>
      <x:c r="BC73" s="27" t="n">
        <x:f>IF(ISNUMBER(AK73),IF('Scoring Setup'!$L$23=1,1-'Scoring Setup'!$B$5*(1-MAX(0,MIN(1,(AK73-'Scoring Setup'!$K$23)/(100-'Scoring Setup'!$K$23)))),1),"")</x:f>
        <x:v>0.9867646820562253</x:v>
      </x:c>
      <x:c r="BD73" s="27" t="n">
        <x:f>IF(ISNUMBER(AL73),IF('Scoring Setup'!$L$24=1,1-'Scoring Setup'!$B$5*(1-MAX(0,MIN(1,(AL73-'Scoring Setup'!$K$24)/(100-'Scoring Setup'!$K$24)))),1),"")</x:f>
        <x:v>0.9741818181818181</x:v>
      </x:c>
      <x:c r="BE73" s="27" t="n">
        <x:f>IF(ISNUMBER(AM73),IF('Scoring Setup'!$L$25=1,1-'Scoring Setup'!$B$5*(1-MAX(0,MIN(1,(AM73-'Scoring Setup'!$K$25)/(100-'Scoring Setup'!$K$25)))),1),"")</x:f>
        <x:v>0.8885845218271159</x:v>
      </x:c>
      <x:c r="BF73" s="27" t="n">
        <x:f>IF(ISNUMBER(AN73),IF('Scoring Setup'!$L$26=1,1-'Scoring Setup'!$B$5*(1-MAX(0,MIN(1,(AN73-'Scoring Setup'!$K$26)/(100-'Scoring Setup'!$K$26)))),1),"")</x:f>
        <x:v>0.937286211052675</x:v>
      </x:c>
      <x:c r="BG73" s="34" t="n">
        <x:f>IF(COUNT(W73,X73)=2,AVERAGE(W73,X73),"")</x:f>
        <x:v>47.25671852899579</x:v>
      </x:c>
      <x:c r="BH73" s="34" t="n">
        <x:f>IF(COUNT(Y73,Z73)=2,AVERAGE(Y73,Z73),"")</x:f>
        <x:v>59.70604423102569</x:v>
      </x:c>
      <x:c r="BI73" s="34" t="n">
        <x:f>IF(COUNT(AA73,AB73,AC73)=3,AVERAGE(AA73,AB73,AC73),"")</x:f>
        <x:v>86.25952648804058</x:v>
      </x:c>
      <x:c r="BJ73" s="34" t="n">
        <x:f>IF(COUNT(AD73,AE73)=2,AVERAGE(AD73,AE73),"")</x:f>
        <x:v>65.39039813392857</x:v>
      </x:c>
      <x:c r="BK73" s="34" t="n">
        <x:f>IF(COUNT(AF73,AG73)=2,AVERAGE(AF73,AG73),"")</x:f>
        <x:v>54.001964664828904</x:v>
      </x:c>
      <x:c r="BL73" s="34" t="n">
        <x:f>IF(COUNT(AH73,AI73)=2,AVERAGE(AH73,AI73),"")</x:f>
        <x:v>67.18115081302703</x:v>
      </x:c>
      <x:c r="BM73" s="34" t="n">
        <x:f>IF(COUNT(AJ73,AK73)=2,AVERAGE(AJ73,AK73),"")</x:f>
        <x:v>96.69117051405632</x:v>
      </x:c>
      <x:c r="BN73" s="34" t="n">
        <x:f>IF(COUNT(AL73,AM73,AN73)=3,AVERAGE(AL73,AM73,AN73),"")</x:f>
        <x:v>66.67542517693484</x:v>
      </x:c>
      <x:c r="BO73" s="35" t="n">
        <x:f>IF(AND(COUNT(BG73:BN73)=8,ABS('Scoring Setup'!$C$17-1)&lt;0.000001),BG73*'Scoring Setup'!$C$9+BH73*'Scoring Setup'!$C$10+BI73*'Scoring Setup'!$C$11+BJ73*'Scoring Setup'!$C$12+BK73*'Scoring Setup'!$C$13+BL73*'Scoring Setup'!$C$14+BM73*'Scoring Setup'!$C$15+BN73*'Scoring Setup'!$C$16,"")</x:f>
        <x:v>65.42831324721914</x:v>
      </x:c>
      <x:c r="BP73" s="36" t="n">
        <x:f>IF(COUNT(AO73:BF73)=18,MIN(AO73:BF73),"")</x:f>
        <x:v>0.8303111111111111</x:v>
      </x:c>
      <x:c r="BQ73" s="35" t="n">
        <x:f>IF(AND(ISNUMBER(BO73),ISNUMBER(BP73)),BO73*BP73,"")</x:f>
        <x:v>54.32585547042435</x:v>
      </x:c>
      <x:c r="BR73" s="17" t="str">
        <x:f>IF(COUNT(AO73:BF73)=18,INDEX('Scoring Setup'!$F$9:$F$26,MATCH(MIN(AO73:BF73),AO73:BF73,0),1),"")</x:f>
        <x:v>社会脆弱性百分位</x:v>
      </x:c>
    </x:row>
    <x:row r="74">
      <x:c r="A74" s="28" t="str">
        <x:v>13141</x:v>
      </x:c>
      <x:c r="B74" s="28" t="str">
        <x:v>Hancock County</x:v>
      </x:c>
      <x:c r="C74" s="28" t="str">
        <x:v>GA</x:v>
      </x:c>
      <x:c r="D74" s="31" t="n">
        <x:v>1220.057416</x:v>
      </x:c>
      <x:c r="E74" s="32" t="n">
        <x:v>0.654</x:v>
      </x:c>
      <x:c r="F74" s="32" t="n">
        <x:v>0.7571163366336631</x:v>
      </x:c>
      <x:c r="G74" s="32" t="n">
        <x:v>1.7487608571499753</x:v>
      </x:c>
      <x:c r="H74" s="32" t="n">
        <x:v>1.5567470969962318</x:v>
      </x:c>
      <x:c r="I74" s="32" t="n">
        <x:v>0.9629865647462537</x:v>
      </x:c>
      <x:c r="J74" s="32" t="n">
        <x:v>0.010726431255420452</x:v>
      </x:c>
      <x:c r="K74" s="32" t="n">
        <x:v>0.047451780942817844</x:v>
      </x:c>
      <x:c r="L74" s="32" t="n">
        <x:v>0.80715876</x:v>
      </x:c>
      <x:c r="M74" s="32" t="n">
        <x:v>0.80715876</x:v>
      </x:c>
      <x:c r="N74" s="32" t="n">
        <x:v>2626</x:v>
      </x:c>
      <x:c r="O74" s="32" t="n">
        <x:v>0.9666</x:v>
      </x:c>
      <x:c r="P74" s="32" t="n">
        <x:v>1787.3658365885417</x:v>
      </x:c>
      <x:c r="Q74" s="32" t="n">
        <x:v>53.226409149169925</x:v>
      </x:c>
      <x:c r="R74" s="32" t="n">
        <x:v>28.954391391470942</x:v>
      </x:c>
      <x:c r="S74" s="32" t="n">
        <x:v>0.4383233677373691</x:v>
      </x:c>
      <x:c r="T74" s="32" t="n">
        <x:v>72.1</x:v>
      </x:c>
      <x:c r="U74" s="32" t="n">
        <x:v>211.4154781728841</x:v>
      </x:c>
      <x:c r="V74" s="32" t="n">
        <x:v>325.42757789465</x:v>
      </x:c>
      <x:c r="W74" s="33" t="n">
        <x:f>IF(ISNUMBER(E74),100*MAX(0,MIN(1,('Anchors'!$H$6-E74)/('Anchors'!$H$6-'Anchors'!$G$6))),"")</x:f>
        <x:v>35.14285714285714</x:v>
      </x:c>
      <x:c r="X74" s="33" t="n">
        <x:f>IF(ISNUMBER(F74),100*MAX(0,MIN(1,('Anchors'!$H$7-F74)/('Anchors'!$H$7-'Anchors'!$G$7))),"")</x:f>
        <x:v>6.1262376237624245</x:v>
      </x:c>
      <x:c r="Y74" s="33" t="n">
        <x:f>IF(ISNUMBER(G74),100*MAX(0,MIN(1,('Anchors'!$H$8-G74)/('Anchors'!$H$8-'Anchors'!$G$8))),"")</x:f>
        <x:v>75.04130476166749</x:v>
      </x:c>
      <x:c r="Z74" s="33" t="n">
        <x:f>IF(ISNUMBER(H74),100*MAX(0,MIN(1,('Anchors'!$H$9-H74)/('Anchors'!$H$9-'Anchors'!$G$9))),"")</x:f>
        <x:v>81.44176343345893</x:v>
      </x:c>
      <x:c r="AA74" s="33" t="n">
        <x:f>IF(ISNUMBER(I74),100*MAX(0,MIN(1,(I74-'Anchors'!$H$10)/('Anchors'!$G$10-'Anchors'!$H$10))),"")</x:f>
        <x:v>97.66939243099365</x:v>
      </x:c>
      <x:c r="AB74" s="33" t="n">
        <x:f>IF(ISNUMBER(J74),100*MAX(0,MIN(1,('Anchors'!$H$11-J74)/('Anchors'!$H$11-'Anchors'!$G$11))),"")</x:f>
        <x:v>95.70942749783183</x:v>
      </x:c>
      <x:c r="AC74" s="33" t="n">
        <x:f>IF(ISNUMBER(K74),100*MAX(0,MIN(1,('Anchors'!$H$12-K74)/('Anchors'!$H$12-'Anchors'!$G$12))),"")</x:f>
        <x:v>88.13705476429554</x:v>
      </x:c>
      <x:c r="AD74" s="33" t="n">
        <x:f>IF(ISNUMBER(L74),100*MAX(0,MIN(1,(L74-'Anchors'!$H$13)/('Anchors'!$G$13-'Anchors'!$H$13))),"")</x:f>
        <x:v>86.7369657142857</x:v>
      </x:c>
      <x:c r="AE74" s="33" t="n">
        <x:f>IF(ISNUMBER(M74),100*MAX(0,MIN(1,(M74-'Anchors'!$H$14)/('Anchors'!$G$14-'Anchors'!$H$14))),"")</x:f>
        <x:v>88.394845</x:v>
      </x:c>
      <x:c r="AF74" s="33" t="n">
        <x:f>IF(ISNUMBER(N74),100*MAX(0,MIN(1,(LN(1+N74)-LN(1+'Anchors'!$H$15))/(LN(1+'Anchors'!$G$15)-LN(1+'Anchors'!$H$15)))),"")</x:f>
        <x:v>6.305206771909222</x:v>
      </x:c>
      <x:c r="AG74" s="33" t="n">
        <x:f>IF(ISNUMBER(O74),100*MAX(0,MIN(1,('Anchors'!$H$16-O74)/('Anchors'!$H$16-'Anchors'!$G$16))),"")</x:f>
        <x:v>0</x:v>
      </x:c>
      <x:c r="AH74" s="33" t="n">
        <x:f>IF(ISNUMBER(P74),100*MAX(0,MIN(1,('Anchors'!$H$17-P74)/('Anchors'!$H$17-'Anchors'!$G$17))),"")</x:f>
        <x:v>27.508944227430554</x:v>
      </x:c>
      <x:c r="AI74" s="33" t="n">
        <x:f>IF(ISNUMBER(Q74),100*MAX(0,MIN(1,('Anchors'!$H$18-Q74)/('Anchors'!$H$18-'Anchors'!$G$18))),"")</x:f>
        <x:v>31.10512978690011</x:v>
      </x:c>
      <x:c r="AJ74" s="33" t="n">
        <x:f>IF(ISNUMBER(R74),100*MAX(0,MIN(1,('Anchors'!$H$19-R74)/('Anchors'!$H$19-'Anchors'!$G$19))),"")</x:f>
        <x:v>46.76801913006457</x:v>
      </x:c>
      <x:c r="AK74" s="33" t="n">
        <x:f>IF(ISNUMBER(S74),100*MAX(0,MIN(1,('Anchors'!$H$20-S74)/('Anchors'!$H$20-'Anchors'!$G$20))),"")</x:f>
        <x:v>100</x:v>
      </x:c>
      <x:c r="AL74" s="33" t="n">
        <x:f>IF(ISNUMBER(T74),100*MAX(0,MIN(1,('Anchors'!$H$21-T74)/('Anchors'!$H$21-'Anchors'!$G$21))),"")</x:f>
        <x:v>87.0909090909091</x:v>
      </x:c>
      <x:c r="AM74" s="33" t="n">
        <x:f>IF(ISNUMBER(U74),100*MAX(0,MIN(1,('Anchors'!$H$22-U74)/('Anchors'!$H$22-'Anchors'!$G$22))),"")</x:f>
        <x:v>44.29226091355795</x:v>
      </x:c>
      <x:c r="AN74" s="33" t="n">
        <x:f>IF(ISNUMBER(V74),100*MAX(0,MIN(1,('Anchors'!$H$23-V74)/('Anchors'!$H$23-'Anchors'!$G$23))),"")</x:f>
        <x:v>68.6431055263375</x:v>
      </x:c>
      <x:c r="AO74" s="27" t="n">
        <x:f>IF(ISNUMBER(W74),IF('Scoring Setup'!$L$9=1,1-'Scoring Setup'!$B$5*(1-MAX(0,MIN(1,(W74-'Scoring Setup'!$K$9)/(100-'Scoring Setup'!$K$9)))),1),"")</x:f>
        <x:v>0.8702857142857143</x:v>
      </x:c>
      <x:c r="AP74" s="27" t="n">
        <x:f>IF(ISNUMBER(X74),IF('Scoring Setup'!$L$10=1,1-'Scoring Setup'!$B$5*(1-MAX(0,MIN(1,(X74-'Scoring Setup'!$K$10)/(100-'Scoring Setup'!$K$10)))),1),"")</x:f>
        <x:v>0.8122524752475249</x:v>
      </x:c>
      <x:c r="AQ74" s="27" t="n">
        <x:f>IF(ISNUMBER(Y74),IF('Scoring Setup'!$L$11=1,1-'Scoring Setup'!$B$5*(1-MAX(0,MIN(1,(Y74-'Scoring Setup'!$K$11)/(100-'Scoring Setup'!$K$11)))),1),"")</x:f>
        <x:v>0.950082609523335</x:v>
      </x:c>
      <x:c r="AR74" s="27" t="n">
        <x:f>IF(ISNUMBER(Z74),IF('Scoring Setup'!$L$12=1,1-'Scoring Setup'!$B$5*(1-MAX(0,MIN(1,(Z74-'Scoring Setup'!$K$12)/(100-'Scoring Setup'!$K$12)))),1),"")</x:f>
        <x:v>0.9628835268669179</x:v>
      </x:c>
      <x:c r="AS74" s="27" t="n">
        <x:f>IF(ISNUMBER(AA74),IF('Scoring Setup'!$L$13=1,1-'Scoring Setup'!$B$5*(1-MAX(0,MIN(1,(AA74-'Scoring Setup'!$K$13)/(100-'Scoring Setup'!$K$13)))),1),"")</x:f>
        <x:v>0.9953387848619873</x:v>
      </x:c>
      <x:c r="AT74" s="27" t="n">
        <x:f>IF(ISNUMBER(AB74),IF('Scoring Setup'!$L$14=1,1-'Scoring Setup'!$B$5*(1-MAX(0,MIN(1,(AB74-'Scoring Setup'!$K$14)/(100-'Scoring Setup'!$K$14)))),1),"")</x:f>
        <x:v>0.9914188549956636</x:v>
      </x:c>
      <x:c r="AU74" s="27" t="n">
        <x:f>IF(ISNUMBER(AC74),IF('Scoring Setup'!$L$15=1,1-'Scoring Setup'!$B$5*(1-MAX(0,MIN(1,(AC74-'Scoring Setup'!$K$15)/(100-'Scoring Setup'!$K$15)))),1),"")</x:f>
        <x:v>0.9762741095285911</x:v>
      </x:c>
      <x:c r="AV74" s="27" t="n">
        <x:f>IF(ISNUMBER(AD74),IF('Scoring Setup'!$L$16=1,1-'Scoring Setup'!$B$5*(1-MAX(0,MIN(1,(AD74-'Scoring Setup'!$K$16)/(100-'Scoring Setup'!$K$16)))),1),"")</x:f>
        <x:v>0.9734739314285714</x:v>
      </x:c>
      <x:c r="AW74" s="27" t="n">
        <x:f>IF(ISNUMBER(AE74),IF('Scoring Setup'!$L$17=1,1-'Scoring Setup'!$B$5*(1-MAX(0,MIN(1,(AE74-'Scoring Setup'!$K$17)/(100-'Scoring Setup'!$K$17)))),1),"")</x:f>
        <x:v>0.97678969</x:v>
      </x:c>
      <x:c r="AX74" s="27" t="n">
        <x:f>IF(ISNUMBER(AF74),IF('Scoring Setup'!$L$18=1,1-'Scoring Setup'!$B$5*(1-MAX(0,MIN(1,(AF74-'Scoring Setup'!$K$18)/(100-'Scoring Setup'!$K$18)))),1),"")</x:f>
        <x:v>0.8126104135438185</x:v>
      </x:c>
      <x:c r="AY74" s="27" t="n">
        <x:f>IF(ISNUMBER(AG74),IF('Scoring Setup'!$L$19=1,1-'Scoring Setup'!$B$5*(1-MAX(0,MIN(1,(AG74-'Scoring Setup'!$K$19)/(100-'Scoring Setup'!$K$19)))),1),"")</x:f>
        <x:v>0.8</x:v>
      </x:c>
      <x:c r="AZ74" s="27" t="n">
        <x:f>IF(ISNUMBER(AH74),IF('Scoring Setup'!$L$20=1,1-'Scoring Setup'!$B$5*(1-MAX(0,MIN(1,(AH74-'Scoring Setup'!$K$20)/(100-'Scoring Setup'!$K$20)))),1),"")</x:f>
        <x:v>0.8550178884548612</x:v>
      </x:c>
      <x:c r="BA74" s="27" t="n">
        <x:f>IF(ISNUMBER(AI74),IF('Scoring Setup'!$L$21=1,1-'Scoring Setup'!$B$5*(1-MAX(0,MIN(1,(AI74-'Scoring Setup'!$K$21)/(100-'Scoring Setup'!$K$21)))),1),"")</x:f>
        <x:v>0.8622102595738002</x:v>
      </x:c>
      <x:c r="BB74" s="27" t="n">
        <x:f>IF(ISNUMBER(AJ74),IF('Scoring Setup'!$L$22=1,1-'Scoring Setup'!$B$5*(1-MAX(0,MIN(1,(AJ74-'Scoring Setup'!$K$22)/(100-'Scoring Setup'!$K$22)))),1),"")</x:f>
        <x:v>0.8935360382601292</x:v>
      </x:c>
      <x:c r="BC74" s="27" t="n">
        <x:f>IF(ISNUMBER(AK74),IF('Scoring Setup'!$L$23=1,1-'Scoring Setup'!$B$5*(1-MAX(0,MIN(1,(AK74-'Scoring Setup'!$K$23)/(100-'Scoring Setup'!$K$23)))),1),"")</x:f>
        <x:v>1</x:v>
      </x:c>
      <x:c r="BD74" s="27" t="n">
        <x:f>IF(ISNUMBER(AL74),IF('Scoring Setup'!$L$24=1,1-'Scoring Setup'!$B$5*(1-MAX(0,MIN(1,(AL74-'Scoring Setup'!$K$24)/(100-'Scoring Setup'!$K$24)))),1),"")</x:f>
        <x:v>0.9741818181818181</x:v>
      </x:c>
      <x:c r="BE74" s="27" t="n">
        <x:f>IF(ISNUMBER(AM74),IF('Scoring Setup'!$L$25=1,1-'Scoring Setup'!$B$5*(1-MAX(0,MIN(1,(AM74-'Scoring Setup'!$K$25)/(100-'Scoring Setup'!$K$25)))),1),"")</x:f>
        <x:v>0.8885845218271159</x:v>
      </x:c>
      <x:c r="BF74" s="27" t="n">
        <x:f>IF(ISNUMBER(AN74),IF('Scoring Setup'!$L$26=1,1-'Scoring Setup'!$B$5*(1-MAX(0,MIN(1,(AN74-'Scoring Setup'!$K$26)/(100-'Scoring Setup'!$K$26)))),1),"")</x:f>
        <x:v>0.937286211052675</x:v>
      </x:c>
      <x:c r="BG74" s="34" t="n">
        <x:f>IF(COUNT(W74,X74)=2,AVERAGE(W74,X74),"")</x:f>
        <x:v>20.63454738330978</x:v>
      </x:c>
      <x:c r="BH74" s="34" t="n">
        <x:f>IF(COUNT(Y74,Z74)=2,AVERAGE(Y74,Z74),"")</x:f>
        <x:v>78.2415340975632</x:v>
      </x:c>
      <x:c r="BI74" s="34" t="n">
        <x:f>IF(COUNT(AA74,AB74,AC74)=3,AVERAGE(AA74,AB74,AC74),"")</x:f>
        <x:v>93.838624897707</x:v>
      </x:c>
      <x:c r="BJ74" s="34" t="n">
        <x:f>IF(COUNT(AD74,AE74)=2,AVERAGE(AD74,AE74),"")</x:f>
        <x:v>87.56590535714285</x:v>
      </x:c>
      <x:c r="BK74" s="34" t="n">
        <x:f>IF(COUNT(AF74,AG74)=2,AVERAGE(AF74,AG74),"")</x:f>
        <x:v>3.152603385954611</x:v>
      </x:c>
      <x:c r="BL74" s="34" t="n">
        <x:f>IF(COUNT(AH74,AI74)=2,AVERAGE(AH74,AI74),"")</x:f>
        <x:v>29.307037007165334</x:v>
      </x:c>
      <x:c r="BM74" s="34" t="n">
        <x:f>IF(COUNT(AJ74,AK74)=2,AVERAGE(AJ74,AK74),"")</x:f>
        <x:v>73.38400956503229</x:v>
      </x:c>
      <x:c r="BN74" s="34" t="n">
        <x:f>IF(COUNT(AL74,AM74,AN74)=3,AVERAGE(AL74,AM74,AN74),"")</x:f>
        <x:v>66.67542517693484</x:v>
      </x:c>
      <x:c r="BO74" s="35" t="n">
        <x:f>IF(AND(COUNT(BG74:BN74)=8,ABS('Scoring Setup'!$C$17-1)&lt;0.000001),BG74*'Scoring Setup'!$C$9+BH74*'Scoring Setup'!$C$10+BI74*'Scoring Setup'!$C$11+BJ74*'Scoring Setup'!$C$12+BK74*'Scoring Setup'!$C$13+BL74*'Scoring Setup'!$C$14+BM74*'Scoring Setup'!$C$15+BN74*'Scoring Setup'!$C$16,"")</x:f>
        <x:v>61.304654803614405</x:v>
      </x:c>
      <x:c r="BP74" s="36" t="n">
        <x:f>IF(COUNT(AO74:BF74)=18,MIN(AO74:BF74),"")</x:f>
        <x:v>0.8</x:v>
      </x:c>
      <x:c r="BQ74" s="35" t="n">
        <x:f>IF(AND(ISNUMBER(BO74),ISNUMBER(BP74)),BO74*BP74,"")</x:f>
        <x:v>49.043723842891524</x:v>
      </x:c>
      <x:c r="BR74" s="17" t="str">
        <x:f>IF(COUNT(AO74:BF74)=18,INDEX('Scoring Setup'!$F$9:$F$26,MATCH(MIN(AO74:BF74),AO74:BF74,0),1),"")</x:f>
        <x:v>社会脆弱性百分位</x:v>
      </x:c>
    </x:row>
    <x:row r="75">
      <x:c r="A75" s="28" t="str">
        <x:v>13143</x:v>
      </x:c>
      <x:c r="B75" s="28" t="str">
        <x:v>Haralson County</x:v>
      </x:c>
      <x:c r="C75" s="28" t="str">
        <x:v>GA</x:v>
      </x:c>
      <x:c r="D75" s="31" t="n">
        <x:v>730.804597</x:v>
      </x:c>
      <x:c r="E75" s="32" t="n">
        <x:v>0.85</x:v>
      </x:c>
      <x:c r="F75" s="32" t="n">
        <x:v>0.292079207920792</x:v>
      </x:c>
      <x:c r="G75" s="32" t="n">
        <x:v>2.7857987695643454</x:v>
      </x:c>
      <x:c r="H75" s="32" t="n">
        <x:v>2.5188163853266605</x:v>
      </x:c>
      <x:c r="I75" s="32" t="n">
        <x:v>0.9081696472077242</x:v>
      </x:c>
      <x:c r="J75" s="32" t="n">
        <x:v>0</x:v>
      </x:c>
      <x:c r="K75" s="32" t="n">
        <x:v>0.024173283809105568</x:v>
      </x:c>
      <x:c r="L75" s="32" t="n">
        <x:v>0.793149765</x:v>
      </x:c>
      <x:c r="M75" s="32" t="n">
        <x:v>0.793149765</x:v>
      </x:c>
      <x:c r="N75" s="32" t="n">
        <x:v>14532</x:v>
      </x:c>
      <x:c r="O75" s="32" t="n">
        <x:v>0.3089</x:v>
      </x:c>
      <x:c r="P75" s="32" t="n">
        <x:v>1228.508984375</x:v>
      </x:c>
      <x:c r="Q75" s="32" t="n">
        <x:v>23.747326596577963</x:v>
      </x:c>
      <x:c r="R75" s="32" t="n">
        <x:v>11.708215596171728</x:v>
      </x:c>
      <x:c r="S75" s="32" t="n">
        <x:v>2.8838803133517206</x:v>
      </x:c>
      <x:c r="T75" s="32" t="n">
        <x:v>72.1</x:v>
      </x:c>
      <x:c r="U75" s="32" t="n">
        <x:v>211.4154781728841</x:v>
      </x:c>
      <x:c r="V75" s="32" t="n">
        <x:v>325.42757789465</x:v>
      </x:c>
      <x:c r="W75" s="33" t="n">
        <x:f>IF(ISNUMBER(E75),100*MAX(0,MIN(1,('Anchors'!$H$6-E75)/('Anchors'!$H$6-'Anchors'!$G$6))),"")</x:f>
        <x:v>7.1428571428571495</x:v>
      </x:c>
      <x:c r="X75" s="33" t="n">
        <x:f>IF(ISNUMBER(F75),100*MAX(0,MIN(1,('Anchors'!$H$7-F75)/('Anchors'!$H$7-'Anchors'!$G$7))),"")</x:f>
        <x:v>72.56011315417257</x:v>
      </x:c>
      <x:c r="Y75" s="33" t="n">
        <x:f>IF(ISNUMBER(G75),100*MAX(0,MIN(1,('Anchors'!$H$8-G75)/('Anchors'!$H$8-'Anchors'!$G$8))),"")</x:f>
        <x:v>40.473374347855156</x:v>
      </x:c>
      <x:c r="Z75" s="33" t="n">
        <x:f>IF(ISNUMBER(H75),100*MAX(0,MIN(1,('Anchors'!$H$9-H75)/('Anchors'!$H$9-'Anchors'!$G$9))),"")</x:f>
        <x:v>49.37278715577798</x:v>
      </x:c>
      <x:c r="AA75" s="33" t="n">
        <x:f>IF(ISNUMBER(I75),100*MAX(0,MIN(1,(I75-'Anchors'!$H$10)/('Anchors'!$G$10-'Anchors'!$H$10))),"")</x:f>
        <x:v>90.16022564489373</x:v>
      </x:c>
      <x:c r="AB75" s="33" t="n">
        <x:f>IF(ISNUMBER(J75),100*MAX(0,MIN(1,('Anchors'!$H$11-J75)/('Anchors'!$H$11-'Anchors'!$G$11))),"")</x:f>
        <x:v>100</x:v>
      </x:c>
      <x:c r="AC75" s="33" t="n">
        <x:f>IF(ISNUMBER(K75),100*MAX(0,MIN(1,('Anchors'!$H$12-K75)/('Anchors'!$H$12-'Anchors'!$G$12))),"")</x:f>
        <x:v>93.95667904772361</x:v>
      </x:c>
      <x:c r="AD75" s="33" t="n">
        <x:f>IF(ISNUMBER(L75),100*MAX(0,MIN(1,(L75-'Anchors'!$H$13)/('Anchors'!$G$13-'Anchors'!$H$13))),"")</x:f>
        <x:v>84.7356807142857</x:v>
      </x:c>
      <x:c r="AE75" s="33" t="n">
        <x:f>IF(ISNUMBER(M75),100*MAX(0,MIN(1,(M75-'Anchors'!$H$14)/('Anchors'!$G$14-'Anchors'!$H$14))),"")</x:f>
        <x:v>86.643720625</x:v>
      </x:c>
      <x:c r="AF75" s="33" t="n">
        <x:f>IF(ISNUMBER(N75),100*MAX(0,MIN(1,(LN(1+N75)-LN(1+'Anchors'!$H$15))/(LN(1+'Anchors'!$G$15)-LN(1+'Anchors'!$H$15)))),"")</x:f>
        <x:v>45.92951610116731</x:v>
      </x:c>
      <x:c r="AG75" s="33" t="n">
        <x:f>IF(ISNUMBER(O75),100*MAX(0,MIN(1,('Anchors'!$H$16-O75)/('Anchors'!$H$16-'Anchors'!$G$16))),"")</x:f>
        <x:v>71.23333333333333</x:v>
      </x:c>
      <x:c r="AH75" s="33" t="n">
        <x:f>IF(ISNUMBER(P75),100*MAX(0,MIN(1,('Anchors'!$H$17-P75)/('Anchors'!$H$17-'Anchors'!$G$17))),"")</x:f>
        <x:v>64.76606770833334</x:v>
      </x:c>
      <x:c r="AI75" s="33" t="n">
        <x:f>IF(ISNUMBER(Q75),100*MAX(0,MIN(1,('Anchors'!$H$18-Q75)/('Anchors'!$H$18-'Anchors'!$G$18))),"")</x:f>
        <x:v>73.21810486203148</x:v>
      </x:c>
      <x:c r="AJ75" s="33" t="n">
        <x:f>IF(ISNUMBER(R75),100*MAX(0,MIN(1,('Anchors'!$H$19-R75)/('Anchors'!$H$19-'Anchors'!$G$19))),"")</x:f>
        <x:v>85.0928542307295</x:v>
      </x:c>
      <x:c r="AK75" s="33" t="n">
        <x:f>IF(ISNUMBER(S75),100*MAX(0,MIN(1,('Anchors'!$H$20-S75)/('Anchors'!$H$20-'Anchors'!$G$20))),"")</x:f>
        <x:v>90.08484045604357</x:v>
      </x:c>
      <x:c r="AL75" s="33" t="n">
        <x:f>IF(ISNUMBER(T75),100*MAX(0,MIN(1,('Anchors'!$H$21-T75)/('Anchors'!$H$21-'Anchors'!$G$21))),"")</x:f>
        <x:v>87.0909090909091</x:v>
      </x:c>
      <x:c r="AM75" s="33" t="n">
        <x:f>IF(ISNUMBER(U75),100*MAX(0,MIN(1,('Anchors'!$H$22-U75)/('Anchors'!$H$22-'Anchors'!$G$22))),"")</x:f>
        <x:v>44.29226091355795</x:v>
      </x:c>
      <x:c r="AN75" s="33" t="n">
        <x:f>IF(ISNUMBER(V75),100*MAX(0,MIN(1,('Anchors'!$H$23-V75)/('Anchors'!$H$23-'Anchors'!$G$23))),"")</x:f>
        <x:v>68.6431055263375</x:v>
      </x:c>
      <x:c r="AO75" s="27" t="n">
        <x:f>IF(ISNUMBER(W75),IF('Scoring Setup'!$L$9=1,1-'Scoring Setup'!$B$5*(1-MAX(0,MIN(1,(W75-'Scoring Setup'!$K$9)/(100-'Scoring Setup'!$K$9)))),1),"")</x:f>
        <x:v>0.8142857142857143</x:v>
      </x:c>
      <x:c r="AP75" s="27" t="n">
        <x:f>IF(ISNUMBER(X75),IF('Scoring Setup'!$L$10=1,1-'Scoring Setup'!$B$5*(1-MAX(0,MIN(1,(X75-'Scoring Setup'!$K$10)/(100-'Scoring Setup'!$K$10)))),1),"")</x:f>
        <x:v>0.9451202263083451</x:v>
      </x:c>
      <x:c r="AQ75" s="27" t="n">
        <x:f>IF(ISNUMBER(Y75),IF('Scoring Setup'!$L$11=1,1-'Scoring Setup'!$B$5*(1-MAX(0,MIN(1,(Y75-'Scoring Setup'!$K$11)/(100-'Scoring Setup'!$K$11)))),1),"")</x:f>
        <x:v>0.8809467486957103</x:v>
      </x:c>
      <x:c r="AR75" s="27" t="n">
        <x:f>IF(ISNUMBER(Z75),IF('Scoring Setup'!$L$12=1,1-'Scoring Setup'!$B$5*(1-MAX(0,MIN(1,(Z75-'Scoring Setup'!$K$12)/(100-'Scoring Setup'!$K$12)))),1),"")</x:f>
        <x:v>0.898745574311556</x:v>
      </x:c>
      <x:c r="AS75" s="27" t="n">
        <x:f>IF(ISNUMBER(AA75),IF('Scoring Setup'!$L$13=1,1-'Scoring Setup'!$B$5*(1-MAX(0,MIN(1,(AA75-'Scoring Setup'!$K$13)/(100-'Scoring Setup'!$K$13)))),1),"")</x:f>
        <x:v>0.9803204512897875</x:v>
      </x:c>
      <x:c r="AT75" s="27" t="n">
        <x:f>IF(ISNUMBER(AB75),IF('Scoring Setup'!$L$14=1,1-'Scoring Setup'!$B$5*(1-MAX(0,MIN(1,(AB75-'Scoring Setup'!$K$14)/(100-'Scoring Setup'!$K$14)))),1),"")</x:f>
        <x:v>1</x:v>
      </x:c>
      <x:c r="AU75" s="27" t="n">
        <x:f>IF(ISNUMBER(AC75),IF('Scoring Setup'!$L$15=1,1-'Scoring Setup'!$B$5*(1-MAX(0,MIN(1,(AC75-'Scoring Setup'!$K$15)/(100-'Scoring Setup'!$K$15)))),1),"")</x:f>
        <x:v>0.9879133580954472</x:v>
      </x:c>
      <x:c r="AV75" s="27" t="n">
        <x:f>IF(ISNUMBER(AD75),IF('Scoring Setup'!$L$16=1,1-'Scoring Setup'!$B$5*(1-MAX(0,MIN(1,(AD75-'Scoring Setup'!$K$16)/(100-'Scoring Setup'!$K$16)))),1),"")</x:f>
        <x:v>0.9694713614285714</x:v>
      </x:c>
      <x:c r="AW75" s="27" t="n">
        <x:f>IF(ISNUMBER(AE75),IF('Scoring Setup'!$L$17=1,1-'Scoring Setup'!$B$5*(1-MAX(0,MIN(1,(AE75-'Scoring Setup'!$K$17)/(100-'Scoring Setup'!$K$17)))),1),"")</x:f>
        <x:v>0.97328744125</x:v>
      </x:c>
      <x:c r="AX75" s="27" t="n">
        <x:f>IF(ISNUMBER(AF75),IF('Scoring Setup'!$L$18=1,1-'Scoring Setup'!$B$5*(1-MAX(0,MIN(1,(AF75-'Scoring Setup'!$K$18)/(100-'Scoring Setup'!$K$18)))),1),"")</x:f>
        <x:v>0.8918590322023346</x:v>
      </x:c>
      <x:c r="AY75" s="27" t="n">
        <x:f>IF(ISNUMBER(AG75),IF('Scoring Setup'!$L$19=1,1-'Scoring Setup'!$B$5*(1-MAX(0,MIN(1,(AG75-'Scoring Setup'!$K$19)/(100-'Scoring Setup'!$K$19)))),1),"")</x:f>
        <x:v>0.9424666666666667</x:v>
      </x:c>
      <x:c r="AZ75" s="27" t="n">
        <x:f>IF(ISNUMBER(AH75),IF('Scoring Setup'!$L$20=1,1-'Scoring Setup'!$B$5*(1-MAX(0,MIN(1,(AH75-'Scoring Setup'!$K$20)/(100-'Scoring Setup'!$K$20)))),1),"")</x:f>
        <x:v>0.9295321354166667</x:v>
      </x:c>
      <x:c r="BA75" s="27" t="n">
        <x:f>IF(ISNUMBER(AI75),IF('Scoring Setup'!$L$21=1,1-'Scoring Setup'!$B$5*(1-MAX(0,MIN(1,(AI75-'Scoring Setup'!$K$21)/(100-'Scoring Setup'!$K$21)))),1),"")</x:f>
        <x:v>0.946436209724063</x:v>
      </x:c>
      <x:c r="BB75" s="27" t="n">
        <x:f>IF(ISNUMBER(AJ75),IF('Scoring Setup'!$L$22=1,1-'Scoring Setup'!$B$5*(1-MAX(0,MIN(1,(AJ75-'Scoring Setup'!$K$22)/(100-'Scoring Setup'!$K$22)))),1),"")</x:f>
        <x:v>0.970185708461459</x:v>
      </x:c>
      <x:c r="BC75" s="27" t="n">
        <x:f>IF(ISNUMBER(AK75),IF('Scoring Setup'!$L$23=1,1-'Scoring Setup'!$B$5*(1-MAX(0,MIN(1,(AK75-'Scoring Setup'!$K$23)/(100-'Scoring Setup'!$K$23)))),1),"")</x:f>
        <x:v>0.9801696809120871</x:v>
      </x:c>
      <x:c r="BD75" s="27" t="n">
        <x:f>IF(ISNUMBER(AL75),IF('Scoring Setup'!$L$24=1,1-'Scoring Setup'!$B$5*(1-MAX(0,MIN(1,(AL75-'Scoring Setup'!$K$24)/(100-'Scoring Setup'!$K$24)))),1),"")</x:f>
        <x:v>0.9741818181818181</x:v>
      </x:c>
      <x:c r="BE75" s="27" t="n">
        <x:f>IF(ISNUMBER(AM75),IF('Scoring Setup'!$L$25=1,1-'Scoring Setup'!$B$5*(1-MAX(0,MIN(1,(AM75-'Scoring Setup'!$K$25)/(100-'Scoring Setup'!$K$25)))),1),"")</x:f>
        <x:v>0.8885845218271159</x:v>
      </x:c>
      <x:c r="BF75" s="27" t="n">
        <x:f>IF(ISNUMBER(AN75),IF('Scoring Setup'!$L$26=1,1-'Scoring Setup'!$B$5*(1-MAX(0,MIN(1,(AN75-'Scoring Setup'!$K$26)/(100-'Scoring Setup'!$K$26)))),1),"")</x:f>
        <x:v>0.937286211052675</x:v>
      </x:c>
      <x:c r="BG75" s="34" t="n">
        <x:f>IF(COUNT(W75,X75)=2,AVERAGE(W75,X75),"")</x:f>
        <x:v>39.85148514851486</x:v>
      </x:c>
      <x:c r="BH75" s="34" t="n">
        <x:f>IF(COUNT(Y75,Z75)=2,AVERAGE(Y75,Z75),"")</x:f>
        <x:v>44.92308075181657</x:v>
      </x:c>
      <x:c r="BI75" s="34" t="n">
        <x:f>IF(COUNT(AA75,AB75,AC75)=3,AVERAGE(AA75,AB75,AC75),"")</x:f>
        <x:v>94.70563489753913</x:v>
      </x:c>
      <x:c r="BJ75" s="34" t="n">
        <x:f>IF(COUNT(AD75,AE75)=2,AVERAGE(AD75,AE75),"")</x:f>
        <x:v>85.68970066964286</x:v>
      </x:c>
      <x:c r="BK75" s="34" t="n">
        <x:f>IF(COUNT(AF75,AG75)=2,AVERAGE(AF75,AG75),"")</x:f>
        <x:v>58.58142471725032</x:v>
      </x:c>
      <x:c r="BL75" s="34" t="n">
        <x:f>IF(COUNT(AH75,AI75)=2,AVERAGE(AH75,AI75),"")</x:f>
        <x:v>68.99208628518241</x:v>
      </x:c>
      <x:c r="BM75" s="34" t="n">
        <x:f>IF(COUNT(AJ75,AK75)=2,AVERAGE(AJ75,AK75),"")</x:f>
        <x:v>87.58884734338653</x:v>
      </x:c>
      <x:c r="BN75" s="34" t="n">
        <x:f>IF(COUNT(AL75,AM75,AN75)=3,AVERAGE(AL75,AM75,AN75),"")</x:f>
        <x:v>66.67542517693484</x:v>
      </x:c>
      <x:c r="BO75" s="35" t="n">
        <x:f>IF(AND(COUNT(BG75:BN75)=8,ABS('Scoring Setup'!$C$17-1)&lt;0.000001),BG75*'Scoring Setup'!$C$9+BH75*'Scoring Setup'!$C$10+BI75*'Scoring Setup'!$C$11+BJ75*'Scoring Setup'!$C$12+BK75*'Scoring Setup'!$C$13+BL75*'Scoring Setup'!$C$14+BM75*'Scoring Setup'!$C$15+BN75*'Scoring Setup'!$C$16,"")</x:f>
        <x:v>64.69911492816692</x:v>
      </x:c>
      <x:c r="BP75" s="36" t="n">
        <x:f>IF(COUNT(AO75:BF75)=18,MIN(AO75:BF75),"")</x:f>
        <x:v>0.8142857142857143</x:v>
      </x:c>
      <x:c r="BQ75" s="35" t="n">
        <x:f>IF(AND(ISNUMBER(BO75),ISNUMBER(BP75)),BO75*BP75,"")</x:f>
        <x:v>52.68356501293592</x:v>
      </x:c>
      <x:c r="BR75" s="17" t="str">
        <x:f>IF(COUNT(AO75:BF75)=18,INDEX('Scoring Setup'!$F$9:$F$26,MATCH(MIN(AO75:BF75),AO75:BF75,0),1),"")</x:f>
        <x:v>野火全国百分位</x:v>
      </x:c>
    </x:row>
    <x:row r="76">
      <x:c r="A76" s="28" t="str">
        <x:v>13145</x:v>
      </x:c>
      <x:c r="B76" s="28" t="str">
        <x:v>Harris County</x:v>
      </x:c>
      <x:c r="C76" s="28" t="str">
        <x:v>GA</x:v>
      </x:c>
      <x:c r="D76" s="31" t="n">
        <x:v>1201.282985</x:v>
      </x:c>
      <x:c r="E76" s="32" t="n">
        <x:v>0.719</x:v>
      </x:c>
      <x:c r="F76" s="32" t="n">
        <x:v>0.44647277227722804</x:v>
      </x:c>
      <x:c r="G76" s="32" t="n">
        <x:v>2.2805879360591894</x:v>
      </x:c>
      <x:c r="H76" s="32" t="n">
        <x:v>2.117449569760153</x:v>
      </x:c>
      <x:c r="I76" s="32" t="n">
        <x:v>0.932620274965825</x:v>
      </x:c>
      <x:c r="J76" s="32" t="n">
        <x:v>0.05806516288775487</x:v>
      </x:c>
      <x:c r="K76" s="32" t="n">
        <x:v>0.04062836857223724</x:v>
      </x:c>
      <x:c r="L76" s="32" t="n">
        <x:v>0.312410218</x:v>
      </x:c>
      <x:c r="M76" s="32" t="n">
        <x:v>0.310474049</x:v>
      </x:c>
      <x:c r="N76" s="32" t="n">
        <x:v>16145</x:v>
      </x:c>
      <x:c r="O76" s="32" t="n">
        <x:v>0.0675</x:v>
      </x:c>
      <x:c r="P76" s="32" t="n">
        <x:v>1749.2787068684895</x:v>
      </x:c>
      <x:c r="Q76" s="32" t="n">
        <x:v>46.32635027567546</x:v>
      </x:c>
      <x:c r="R76" s="32" t="n">
        <x:v>8.765649177441235</x:v>
      </x:c>
      <x:c r="S76" s="32" t="n">
        <x:v>14.179275639269507</x:v>
      </x:c>
      <x:c r="T76" s="32" t="n">
        <x:v>72.1</x:v>
      </x:c>
      <x:c r="U76" s="32" t="n">
        <x:v>211.4154781728841</x:v>
      </x:c>
      <x:c r="V76" s="32" t="n">
        <x:v>325.42757789465</x:v>
      </x:c>
      <x:c r="W76" s="33" t="n">
        <x:f>IF(ISNUMBER(E76),100*MAX(0,MIN(1,('Anchors'!$H$6-E76)/('Anchors'!$H$6-'Anchors'!$G$6))),"")</x:f>
        <x:v>25.85714285714287</x:v>
      </x:c>
      <x:c r="X76" s="33" t="n">
        <x:f>IF(ISNUMBER(F76),100*MAX(0,MIN(1,('Anchors'!$H$7-F76)/('Anchors'!$H$7-'Anchors'!$G$7))),"")</x:f>
        <x:v>50.503889674681716</x:v>
      </x:c>
      <x:c r="Y76" s="33" t="n">
        <x:f>IF(ISNUMBER(G76),100*MAX(0,MIN(1,('Anchors'!$H$8-G76)/('Anchors'!$H$8-'Anchors'!$G$8))),"")</x:f>
        <x:v>57.313735464693686</x:v>
      </x:c>
      <x:c r="Z76" s="33" t="n">
        <x:f>IF(ISNUMBER(H76),100*MAX(0,MIN(1,('Anchors'!$H$9-H76)/('Anchors'!$H$9-'Anchors'!$G$9))),"")</x:f>
        <x:v>62.7516810079949</x:v>
      </x:c>
      <x:c r="AA76" s="33" t="n">
        <x:f>IF(ISNUMBER(I76),100*MAX(0,MIN(1,(I76-'Anchors'!$H$10)/('Anchors'!$G$10-'Anchors'!$H$10))),"")</x:f>
        <x:v>93.50962670764727</x:v>
      </x:c>
      <x:c r="AB76" s="33" t="n">
        <x:f>IF(ISNUMBER(J76),100*MAX(0,MIN(1,('Anchors'!$H$11-J76)/('Anchors'!$H$11-'Anchors'!$G$11))),"")</x:f>
        <x:v>76.77393484489805</x:v>
      </x:c>
      <x:c r="AC76" s="33" t="n">
        <x:f>IF(ISNUMBER(K76),100*MAX(0,MIN(1,('Anchors'!$H$12-K76)/('Anchors'!$H$12-'Anchors'!$G$12))),"")</x:f>
        <x:v>89.84290785694068</x:v>
      </x:c>
      <x:c r="AD76" s="33" t="n">
        <x:f>IF(ISNUMBER(L76),100*MAX(0,MIN(1,(L76-'Anchors'!$H$13)/('Anchors'!$G$13-'Anchors'!$H$13))),"")</x:f>
        <x:v>16.058602571428573</x:v>
      </x:c>
      <x:c r="AE76" s="33" t="n">
        <x:f>IF(ISNUMBER(M76),100*MAX(0,MIN(1,(M76-'Anchors'!$H$14)/('Anchors'!$G$14-'Anchors'!$H$14))),"")</x:f>
        <x:v>26.309256124999997</x:v>
      </x:c>
      <x:c r="AF76" s="33" t="n">
        <x:f>IF(ISNUMBER(N76),100*MAX(0,MIN(1,(LN(1+N76)-LN(1+'Anchors'!$H$15))/(LN(1+'Anchors'!$G$15)-LN(1+'Anchors'!$H$15)))),"")</x:f>
        <x:v>48.36756427221092</x:v>
      </x:c>
      <x:c r="AG76" s="33" t="n">
        <x:f>IF(ISNUMBER(O76),100*MAX(0,MIN(1,('Anchors'!$H$16-O76)/('Anchors'!$H$16-'Anchors'!$G$16))),"")</x:f>
        <x:v>98.05555555555556</x:v>
      </x:c>
      <x:c r="AH76" s="33" t="n">
        <x:f>IF(ISNUMBER(P76),100*MAX(0,MIN(1,('Anchors'!$H$17-P76)/('Anchors'!$H$17-'Anchors'!$G$17))),"")</x:f>
        <x:v>30.048086208767366</x:v>
      </x:c>
      <x:c r="AI76" s="33" t="n">
        <x:f>IF(ISNUMBER(Q76),100*MAX(0,MIN(1,('Anchors'!$H$18-Q76)/('Anchors'!$H$18-'Anchors'!$G$18))),"")</x:f>
        <x:v>40.96235674903505</x:v>
      </x:c>
      <x:c r="AJ76" s="33" t="n">
        <x:f>IF(ISNUMBER(R76),100*MAX(0,MIN(1,('Anchors'!$H$19-R76)/('Anchors'!$H$19-'Anchors'!$G$19))),"")</x:f>
        <x:v>91.63189071679726</x:v>
      </x:c>
      <x:c r="AK76" s="33" t="n">
        <x:f>IF(ISNUMBER(S76),100*MAX(0,MIN(1,('Anchors'!$H$20-S76)/('Anchors'!$H$20-'Anchors'!$G$20))),"")</x:f>
        <x:v>30.63539137226575</x:v>
      </x:c>
      <x:c r="AL76" s="33" t="n">
        <x:f>IF(ISNUMBER(T76),100*MAX(0,MIN(1,('Anchors'!$H$21-T76)/('Anchors'!$H$21-'Anchors'!$G$21))),"")</x:f>
        <x:v>87.0909090909091</x:v>
      </x:c>
      <x:c r="AM76" s="33" t="n">
        <x:f>IF(ISNUMBER(U76),100*MAX(0,MIN(1,('Anchors'!$H$22-U76)/('Anchors'!$H$22-'Anchors'!$G$22))),"")</x:f>
        <x:v>44.29226091355795</x:v>
      </x:c>
      <x:c r="AN76" s="33" t="n">
        <x:f>IF(ISNUMBER(V76),100*MAX(0,MIN(1,('Anchors'!$H$23-V76)/('Anchors'!$H$23-'Anchors'!$G$23))),"")</x:f>
        <x:v>68.6431055263375</x:v>
      </x:c>
      <x:c r="AO76" s="27" t="n">
        <x:f>IF(ISNUMBER(W76),IF('Scoring Setup'!$L$9=1,1-'Scoring Setup'!$B$5*(1-MAX(0,MIN(1,(W76-'Scoring Setup'!$K$9)/(100-'Scoring Setup'!$K$9)))),1),"")</x:f>
        <x:v>0.8517142857142858</x:v>
      </x:c>
      <x:c r="AP76" s="27" t="n">
        <x:f>IF(ISNUMBER(X76),IF('Scoring Setup'!$L$10=1,1-'Scoring Setup'!$B$5*(1-MAX(0,MIN(1,(X76-'Scoring Setup'!$K$10)/(100-'Scoring Setup'!$K$10)))),1),"")</x:f>
        <x:v>0.9010077793493634</x:v>
      </x:c>
      <x:c r="AQ76" s="27" t="n">
        <x:f>IF(ISNUMBER(Y76),IF('Scoring Setup'!$L$11=1,1-'Scoring Setup'!$B$5*(1-MAX(0,MIN(1,(Y76-'Scoring Setup'!$K$11)/(100-'Scoring Setup'!$K$11)))),1),"")</x:f>
        <x:v>0.9146274709293873</x:v>
      </x:c>
      <x:c r="AR76" s="27" t="n">
        <x:f>IF(ISNUMBER(Z76),IF('Scoring Setup'!$L$12=1,1-'Scoring Setup'!$B$5*(1-MAX(0,MIN(1,(Z76-'Scoring Setup'!$K$12)/(100-'Scoring Setup'!$K$12)))),1),"")</x:f>
        <x:v>0.9255033620159898</x:v>
      </x:c>
      <x:c r="AS76" s="27" t="n">
        <x:f>IF(ISNUMBER(AA76),IF('Scoring Setup'!$L$13=1,1-'Scoring Setup'!$B$5*(1-MAX(0,MIN(1,(AA76-'Scoring Setup'!$K$13)/(100-'Scoring Setup'!$K$13)))),1),"")</x:f>
        <x:v>0.9870192534152945</x:v>
      </x:c>
      <x:c r="AT76" s="27" t="n">
        <x:f>IF(ISNUMBER(AB76),IF('Scoring Setup'!$L$14=1,1-'Scoring Setup'!$B$5*(1-MAX(0,MIN(1,(AB76-'Scoring Setup'!$K$14)/(100-'Scoring Setup'!$K$14)))),1),"")</x:f>
        <x:v>0.9535478696897961</x:v>
      </x:c>
      <x:c r="AU76" s="27" t="n">
        <x:f>IF(ISNUMBER(AC76),IF('Scoring Setup'!$L$15=1,1-'Scoring Setup'!$B$5*(1-MAX(0,MIN(1,(AC76-'Scoring Setup'!$K$15)/(100-'Scoring Setup'!$K$15)))),1),"")</x:f>
        <x:v>0.9796858157138814</x:v>
      </x:c>
      <x:c r="AV76" s="27" t="n">
        <x:f>IF(ISNUMBER(AD76),IF('Scoring Setup'!$L$16=1,1-'Scoring Setup'!$B$5*(1-MAX(0,MIN(1,(AD76-'Scoring Setup'!$K$16)/(100-'Scoring Setup'!$K$16)))),1),"")</x:f>
        <x:v>0.8321172051428571</x:v>
      </x:c>
      <x:c r="AW76" s="27" t="n">
        <x:f>IF(ISNUMBER(AE76),IF('Scoring Setup'!$L$17=1,1-'Scoring Setup'!$B$5*(1-MAX(0,MIN(1,(AE76-'Scoring Setup'!$K$17)/(100-'Scoring Setup'!$K$17)))),1),"")</x:f>
        <x:v>0.85261851225</x:v>
      </x:c>
      <x:c r="AX76" s="27" t="n">
        <x:f>IF(ISNUMBER(AF76),IF('Scoring Setup'!$L$18=1,1-'Scoring Setup'!$B$5*(1-MAX(0,MIN(1,(AF76-'Scoring Setup'!$K$18)/(100-'Scoring Setup'!$K$18)))),1),"")</x:f>
        <x:v>0.8967351285444218</x:v>
      </x:c>
      <x:c r="AY76" s="27" t="n">
        <x:f>IF(ISNUMBER(AG76),IF('Scoring Setup'!$L$19=1,1-'Scoring Setup'!$B$5*(1-MAX(0,MIN(1,(AG76-'Scoring Setup'!$K$19)/(100-'Scoring Setup'!$K$19)))),1),"")</x:f>
        <x:v>0.9961111111111112</x:v>
      </x:c>
      <x:c r="AZ76" s="27" t="n">
        <x:f>IF(ISNUMBER(AH76),IF('Scoring Setup'!$L$20=1,1-'Scoring Setup'!$B$5*(1-MAX(0,MIN(1,(AH76-'Scoring Setup'!$K$20)/(100-'Scoring Setup'!$K$20)))),1),"")</x:f>
        <x:v>0.8600961724175347</x:v>
      </x:c>
      <x:c r="BA76" s="27" t="n">
        <x:f>IF(ISNUMBER(AI76),IF('Scoring Setup'!$L$21=1,1-'Scoring Setup'!$B$5*(1-MAX(0,MIN(1,(AI76-'Scoring Setup'!$K$21)/(100-'Scoring Setup'!$K$21)))),1),"")</x:f>
        <x:v>0.8819247134980701</x:v>
      </x:c>
      <x:c r="BB76" s="27" t="n">
        <x:f>IF(ISNUMBER(AJ76),IF('Scoring Setup'!$L$22=1,1-'Scoring Setup'!$B$5*(1-MAX(0,MIN(1,(AJ76-'Scoring Setup'!$K$22)/(100-'Scoring Setup'!$K$22)))),1),"")</x:f>
        <x:v>0.9832637814335945</x:v>
      </x:c>
      <x:c r="BC76" s="27" t="n">
        <x:f>IF(ISNUMBER(AK76),IF('Scoring Setup'!$L$23=1,1-'Scoring Setup'!$B$5*(1-MAX(0,MIN(1,(AK76-'Scoring Setup'!$K$23)/(100-'Scoring Setup'!$K$23)))),1),"")</x:f>
        <x:v>0.8612707827445315</x:v>
      </x:c>
      <x:c r="BD76" s="27" t="n">
        <x:f>IF(ISNUMBER(AL76),IF('Scoring Setup'!$L$24=1,1-'Scoring Setup'!$B$5*(1-MAX(0,MIN(1,(AL76-'Scoring Setup'!$K$24)/(100-'Scoring Setup'!$K$24)))),1),"")</x:f>
        <x:v>0.9741818181818181</x:v>
      </x:c>
      <x:c r="BE76" s="27" t="n">
        <x:f>IF(ISNUMBER(AM76),IF('Scoring Setup'!$L$25=1,1-'Scoring Setup'!$B$5*(1-MAX(0,MIN(1,(AM76-'Scoring Setup'!$K$25)/(100-'Scoring Setup'!$K$25)))),1),"")</x:f>
        <x:v>0.8885845218271159</x:v>
      </x:c>
      <x:c r="BF76" s="27" t="n">
        <x:f>IF(ISNUMBER(AN76),IF('Scoring Setup'!$L$26=1,1-'Scoring Setup'!$B$5*(1-MAX(0,MIN(1,(AN76-'Scoring Setup'!$K$26)/(100-'Scoring Setup'!$K$26)))),1),"")</x:f>
        <x:v>0.937286211052675</x:v>
      </x:c>
      <x:c r="BG76" s="34" t="n">
        <x:f>IF(COUNT(W76,X76)=2,AVERAGE(W76,X76),"")</x:f>
        <x:v>38.18051626591229</x:v>
      </x:c>
      <x:c r="BH76" s="34" t="n">
        <x:f>IF(COUNT(Y76,Z76)=2,AVERAGE(Y76,Z76),"")</x:f>
        <x:v>60.03270823634429</x:v>
      </x:c>
      <x:c r="BI76" s="34" t="n">
        <x:f>IF(COUNT(AA76,AB76,AC76)=3,AVERAGE(AA76,AB76,AC76),"")</x:f>
        <x:v>86.70882313649535</x:v>
      </x:c>
      <x:c r="BJ76" s="34" t="n">
        <x:f>IF(COUNT(AD76,AE76)=2,AVERAGE(AD76,AE76),"")</x:f>
        <x:v>21.183929348214285</x:v>
      </x:c>
      <x:c r="BK76" s="34" t="n">
        <x:f>IF(COUNT(AF76,AG76)=2,AVERAGE(AF76,AG76),"")</x:f>
        <x:v>73.21155991388324</x:v>
      </x:c>
      <x:c r="BL76" s="34" t="n">
        <x:f>IF(COUNT(AH76,AI76)=2,AVERAGE(AH76,AI76),"")</x:f>
        <x:v>35.505221478901206</x:v>
      </x:c>
      <x:c r="BM76" s="34" t="n">
        <x:f>IF(COUNT(AJ76,AK76)=2,AVERAGE(AJ76,AK76),"")</x:f>
        <x:v>61.1336410445315</x:v>
      </x:c>
      <x:c r="BN76" s="34" t="n">
        <x:f>IF(COUNT(AL76,AM76,AN76)=3,AVERAGE(AL76,AM76,AN76),"")</x:f>
        <x:v>66.67542517693484</x:v>
      </x:c>
      <x:c r="BO76" s="35" t="n">
        <x:f>IF(AND(COUNT(BG76:BN76)=8,ABS('Scoring Setup'!$C$17-1)&lt;0.000001),BG76*'Scoring Setup'!$C$9+BH76*'Scoring Setup'!$C$10+BI76*'Scoring Setup'!$C$11+BJ76*'Scoring Setup'!$C$12+BK76*'Scoring Setup'!$C$13+BL76*'Scoring Setup'!$C$14+BM76*'Scoring Setup'!$C$15+BN76*'Scoring Setup'!$C$16,"")</x:f>
        <x:v>58.769595192971465</x:v>
      </x:c>
      <x:c r="BP76" s="36" t="n">
        <x:f>IF(COUNT(AO76:BF76)=18,MIN(AO76:BF76),"")</x:f>
        <x:v>0.8321172051428571</x:v>
      </x:c>
      <x:c r="BQ76" s="35" t="n">
        <x:f>IF(AND(ISNUMBER(BO76),ISNUMBER(BP76)),BO76*BP76,"")</x:f>
        <x:v>48.90319129935251</x:v>
      </x:c>
      <x:c r="BR76" s="17" t="str">
        <x:f>IF(COUNT(AO76:BF76)=18,INDEX('Scoring Setup'!$F$9:$F$26,MATCH(MIN(AO76:BF76),AO76:BF76,0),1),"")</x:f>
        <x:v>商业光纤100/20覆盖率</x:v>
      </x:c>
    </x:row>
    <x:row r="77">
      <x:c r="A77" s="28" t="str">
        <x:v>13147</x:v>
      </x:c>
      <x:c r="B77" s="28" t="str">
        <x:v>Hart County</x:v>
      </x:c>
      <x:c r="C77" s="28" t="str">
        <x:v>GA</x:v>
      </x:c>
      <x:c r="D77" s="31" t="n">
        <x:v>601.970607</x:v>
      </x:c>
      <x:c r="E77" s="32" t="n">
        <x:v>0.535</x:v>
      </x:c>
      <x:c r="F77" s="32" t="n">
        <x:v>0.40810643564356397</x:v>
      </x:c>
      <x:c r="G77" s="32" t="n">
        <x:v>2.931926380780837</x:v>
      </x:c>
      <x:c r="H77" s="32" t="n">
        <x:v>2.735302759</x:v>
      </x:c>
      <x:c r="I77" s="32" t="n">
        <x:v>0.8883142166339956</x:v>
      </x:c>
      <x:c r="J77" s="32" t="n">
        <x:v>0.006653157373638154</x:v>
      </x:c>
      <x:c r="K77" s="32" t="n">
        <x:v>0.016189010850988433</x:v>
      </x:c>
      <x:c r="L77" s="32" t="n">
        <x:v>0.75870085</x:v>
      </x:c>
      <x:c r="M77" s="32" t="n">
        <x:v>0.756442614</x:v>
      </x:c>
      <x:c r="N77" s="32" t="n">
        <x:v>12146</x:v>
      </x:c>
      <x:c r="O77" s="32" t="n">
        <x:v>0.7681</x:v>
      </x:c>
      <x:c r="P77" s="32" t="n">
        <x:v>1593.9431030273438</x:v>
      </x:c>
      <x:c r="Q77" s="32" t="n">
        <x:v>39.70391419728597</x:v>
      </x:c>
      <x:c r="R77" s="32" t="n">
        <x:v>15.840192794099725</x:v>
      </x:c>
      <x:c r="S77" s="32" t="n">
        <x:v>1.31876502715601</x:v>
      </x:c>
      <x:c r="T77" s="32" t="n">
        <x:v>72.1</x:v>
      </x:c>
      <x:c r="U77" s="32" t="n">
        <x:v>211.4154781728841</x:v>
      </x:c>
      <x:c r="V77" s="32" t="n">
        <x:v>325.42757789465</x:v>
      </x:c>
      <x:c r="W77" s="33" t="n">
        <x:f>IF(ISNUMBER(E77),100*MAX(0,MIN(1,('Anchors'!$H$6-E77)/('Anchors'!$H$6-'Anchors'!$G$6))),"")</x:f>
        <x:v>52.142857142857146</x:v>
      </x:c>
      <x:c r="X77" s="33" t="n">
        <x:f>IF(ISNUMBER(F77),100*MAX(0,MIN(1,('Anchors'!$H$7-F77)/('Anchors'!$H$7-'Anchors'!$G$7))),"")</x:f>
        <x:v>55.9847949080623</x:v>
      </x:c>
      <x:c r="Y77" s="33" t="n">
        <x:f>IF(ISNUMBER(G77),100*MAX(0,MIN(1,('Anchors'!$H$8-G77)/('Anchors'!$H$8-'Anchors'!$G$8))),"")</x:f>
        <x:v>35.6024539739721</x:v>
      </x:c>
      <x:c r="Z77" s="33" t="n">
        <x:f>IF(ISNUMBER(H77),100*MAX(0,MIN(1,('Anchors'!$H$9-H77)/('Anchors'!$H$9-'Anchors'!$G$9))),"")</x:f>
        <x:v>42.1565747</x:v>
      </x:c>
      <x:c r="AA77" s="33" t="n">
        <x:f>IF(ISNUMBER(I77),100*MAX(0,MIN(1,(I77-'Anchors'!$H$10)/('Anchors'!$G$10-'Anchors'!$H$10))),"")</x:f>
        <x:v>87.44030364849255</x:v>
      </x:c>
      <x:c r="AB77" s="33" t="n">
        <x:f>IF(ISNUMBER(J77),100*MAX(0,MIN(1,('Anchors'!$H$11-J77)/('Anchors'!$H$11-'Anchors'!$G$11))),"")</x:f>
        <x:v>97.33873705054475</x:v>
      </x:c>
      <x:c r="AC77" s="33" t="n">
        <x:f>IF(ISNUMBER(K77),100*MAX(0,MIN(1,('Anchors'!$H$12-K77)/('Anchors'!$H$12-'Anchors'!$G$12))),"")</x:f>
        <x:v>95.95274728725289</x:v>
      </x:c>
      <x:c r="AD77" s="33" t="n">
        <x:f>IF(ISNUMBER(L77),100*MAX(0,MIN(1,(L77-'Anchors'!$H$13)/('Anchors'!$G$13-'Anchors'!$H$13))),"")</x:f>
        <x:v>79.81440714285714</x:v>
      </x:c>
      <x:c r="AE77" s="33" t="n">
        <x:f>IF(ISNUMBER(M77),100*MAX(0,MIN(1,(M77-'Anchors'!$H$14)/('Anchors'!$G$14-'Anchors'!$H$14))),"")</x:f>
        <x:v>82.05532675</x:v>
      </x:c>
      <x:c r="AF77" s="33" t="n">
        <x:f>IF(ISNUMBER(N77),100*MAX(0,MIN(1,(LN(1+N77)-LN(1+'Anchors'!$H$15))/(LN(1+'Anchors'!$G$15)-LN(1+'Anchors'!$H$15)))),"")</x:f>
        <x:v>41.775244348091874</x:v>
      </x:c>
      <x:c r="AG77" s="33" t="n">
        <x:f>IF(ISNUMBER(O77),100*MAX(0,MIN(1,('Anchors'!$H$16-O77)/('Anchors'!$H$16-'Anchors'!$G$16))),"")</x:f>
        <x:v>20.21111111111111</x:v>
      </x:c>
      <x:c r="AH77" s="33" t="n">
        <x:f>IF(ISNUMBER(P77),100*MAX(0,MIN(1,('Anchors'!$H$17-P77)/('Anchors'!$H$17-'Anchors'!$G$17))),"")</x:f>
        <x:v>40.40379313151041</x:v>
      </x:c>
      <x:c r="AI77" s="33" t="n">
        <x:f>IF(ISNUMBER(Q77),100*MAX(0,MIN(1,('Anchors'!$H$18-Q77)/('Anchors'!$H$18-'Anchors'!$G$18))),"")</x:f>
        <x:v>50.42297971816291</x:v>
      </x:c>
      <x:c r="AJ77" s="33" t="n">
        <x:f>IF(ISNUMBER(R77),100*MAX(0,MIN(1,('Anchors'!$H$19-R77)/('Anchors'!$H$19-'Anchors'!$G$19))),"")</x:f>
        <x:v>75.91068267977839</x:v>
      </x:c>
      <x:c r="AK77" s="33" t="n">
        <x:f>IF(ISNUMBER(S77),100*MAX(0,MIN(1,('Anchors'!$H$20-S77)/('Anchors'!$H$20-'Anchors'!$G$20))),"")</x:f>
        <x:v>98.32228933075783</x:v>
      </x:c>
      <x:c r="AL77" s="33" t="n">
        <x:f>IF(ISNUMBER(T77),100*MAX(0,MIN(1,('Anchors'!$H$21-T77)/('Anchors'!$H$21-'Anchors'!$G$21))),"")</x:f>
        <x:v>87.0909090909091</x:v>
      </x:c>
      <x:c r="AM77" s="33" t="n">
        <x:f>IF(ISNUMBER(U77),100*MAX(0,MIN(1,('Anchors'!$H$22-U77)/('Anchors'!$H$22-'Anchors'!$G$22))),"")</x:f>
        <x:v>44.29226091355795</x:v>
      </x:c>
      <x:c r="AN77" s="33" t="n">
        <x:f>IF(ISNUMBER(V77),100*MAX(0,MIN(1,('Anchors'!$H$23-V77)/('Anchors'!$H$23-'Anchors'!$G$23))),"")</x:f>
        <x:v>68.6431055263375</x:v>
      </x:c>
      <x:c r="AO77" s="27" t="n">
        <x:f>IF(ISNUMBER(W77),IF('Scoring Setup'!$L$9=1,1-'Scoring Setup'!$B$5*(1-MAX(0,MIN(1,(W77-'Scoring Setup'!$K$9)/(100-'Scoring Setup'!$K$9)))),1),"")</x:f>
        <x:v>0.9042857142857142</x:v>
      </x:c>
      <x:c r="AP77" s="27" t="n">
        <x:f>IF(ISNUMBER(X77),IF('Scoring Setup'!$L$10=1,1-'Scoring Setup'!$B$5*(1-MAX(0,MIN(1,(X77-'Scoring Setup'!$K$10)/(100-'Scoring Setup'!$K$10)))),1),"")</x:f>
        <x:v>0.9119695898161246</x:v>
      </x:c>
      <x:c r="AQ77" s="27" t="n">
        <x:f>IF(ISNUMBER(Y77),IF('Scoring Setup'!$L$11=1,1-'Scoring Setup'!$B$5*(1-MAX(0,MIN(1,(Y77-'Scoring Setup'!$K$11)/(100-'Scoring Setup'!$K$11)))),1),"")</x:f>
        <x:v>0.8712049079479443</x:v>
      </x:c>
      <x:c r="AR77" s="27" t="n">
        <x:f>IF(ISNUMBER(Z77),IF('Scoring Setup'!$L$12=1,1-'Scoring Setup'!$B$5*(1-MAX(0,MIN(1,(Z77-'Scoring Setup'!$K$12)/(100-'Scoring Setup'!$K$12)))),1),"")</x:f>
        <x:v>0.8843131494</x:v>
      </x:c>
      <x:c r="AS77" s="27" t="n">
        <x:f>IF(ISNUMBER(AA77),IF('Scoring Setup'!$L$13=1,1-'Scoring Setup'!$B$5*(1-MAX(0,MIN(1,(AA77-'Scoring Setup'!$K$13)/(100-'Scoring Setup'!$K$13)))),1),"")</x:f>
        <x:v>0.9748806072969851</x:v>
      </x:c>
      <x:c r="AT77" s="27" t="n">
        <x:f>IF(ISNUMBER(AB77),IF('Scoring Setup'!$L$14=1,1-'Scoring Setup'!$B$5*(1-MAX(0,MIN(1,(AB77-'Scoring Setup'!$K$14)/(100-'Scoring Setup'!$K$14)))),1),"")</x:f>
        <x:v>0.9946774741010895</x:v>
      </x:c>
      <x:c r="AU77" s="27" t="n">
        <x:f>IF(ISNUMBER(AC77),IF('Scoring Setup'!$L$15=1,1-'Scoring Setup'!$B$5*(1-MAX(0,MIN(1,(AC77-'Scoring Setup'!$K$15)/(100-'Scoring Setup'!$K$15)))),1),"")</x:f>
        <x:v>0.9919054945745058</x:v>
      </x:c>
      <x:c r="AV77" s="27" t="n">
        <x:f>IF(ISNUMBER(AD77),IF('Scoring Setup'!$L$16=1,1-'Scoring Setup'!$B$5*(1-MAX(0,MIN(1,(AD77-'Scoring Setup'!$K$16)/(100-'Scoring Setup'!$K$16)))),1),"")</x:f>
        <x:v>0.9596288142857142</x:v>
      </x:c>
      <x:c r="AW77" s="27" t="n">
        <x:f>IF(ISNUMBER(AE77),IF('Scoring Setup'!$L$17=1,1-'Scoring Setup'!$B$5*(1-MAX(0,MIN(1,(AE77-'Scoring Setup'!$K$17)/(100-'Scoring Setup'!$K$17)))),1),"")</x:f>
        <x:v>0.9641106535</x:v>
      </x:c>
      <x:c r="AX77" s="27" t="n">
        <x:f>IF(ISNUMBER(AF77),IF('Scoring Setup'!$L$18=1,1-'Scoring Setup'!$B$5*(1-MAX(0,MIN(1,(AF77-'Scoring Setup'!$K$18)/(100-'Scoring Setup'!$K$18)))),1),"")</x:f>
        <x:v>0.8835504886961838</x:v>
      </x:c>
      <x:c r="AY77" s="27" t="n">
        <x:f>IF(ISNUMBER(AG77),IF('Scoring Setup'!$L$19=1,1-'Scoring Setup'!$B$5*(1-MAX(0,MIN(1,(AG77-'Scoring Setup'!$K$19)/(100-'Scoring Setup'!$K$19)))),1),"")</x:f>
        <x:v>0.8404222222222222</x:v>
      </x:c>
      <x:c r="AZ77" s="27" t="n">
        <x:f>IF(ISNUMBER(AH77),IF('Scoring Setup'!$L$20=1,1-'Scoring Setup'!$B$5*(1-MAX(0,MIN(1,(AH77-'Scoring Setup'!$K$20)/(100-'Scoring Setup'!$K$20)))),1),"")</x:f>
        <x:v>0.8808075862630208</x:v>
      </x:c>
      <x:c r="BA77" s="27" t="n">
        <x:f>IF(ISNUMBER(AI77),IF('Scoring Setup'!$L$21=1,1-'Scoring Setup'!$B$5*(1-MAX(0,MIN(1,(AI77-'Scoring Setup'!$K$21)/(100-'Scoring Setup'!$K$21)))),1),"")</x:f>
        <x:v>0.9008459594363258</x:v>
      </x:c>
      <x:c r="BB77" s="27" t="n">
        <x:f>IF(ISNUMBER(AJ77),IF('Scoring Setup'!$L$22=1,1-'Scoring Setup'!$B$5*(1-MAX(0,MIN(1,(AJ77-'Scoring Setup'!$K$22)/(100-'Scoring Setup'!$K$22)))),1),"")</x:f>
        <x:v>0.9518213653595567</x:v>
      </x:c>
      <x:c r="BC77" s="27" t="n">
        <x:f>IF(ISNUMBER(AK77),IF('Scoring Setup'!$L$23=1,1-'Scoring Setup'!$B$5*(1-MAX(0,MIN(1,(AK77-'Scoring Setup'!$K$23)/(100-'Scoring Setup'!$K$23)))),1),"")</x:f>
        <x:v>0.9966445786615157</x:v>
      </x:c>
      <x:c r="BD77" s="27" t="n">
        <x:f>IF(ISNUMBER(AL77),IF('Scoring Setup'!$L$24=1,1-'Scoring Setup'!$B$5*(1-MAX(0,MIN(1,(AL77-'Scoring Setup'!$K$24)/(100-'Scoring Setup'!$K$24)))),1),"")</x:f>
        <x:v>0.9741818181818181</x:v>
      </x:c>
      <x:c r="BE77" s="27" t="n">
        <x:f>IF(ISNUMBER(AM77),IF('Scoring Setup'!$L$25=1,1-'Scoring Setup'!$B$5*(1-MAX(0,MIN(1,(AM77-'Scoring Setup'!$K$25)/(100-'Scoring Setup'!$K$25)))),1),"")</x:f>
        <x:v>0.8885845218271159</x:v>
      </x:c>
      <x:c r="BF77" s="27" t="n">
        <x:f>IF(ISNUMBER(AN77),IF('Scoring Setup'!$L$26=1,1-'Scoring Setup'!$B$5*(1-MAX(0,MIN(1,(AN77-'Scoring Setup'!$K$26)/(100-'Scoring Setup'!$K$26)))),1),"")</x:f>
        <x:v>0.937286211052675</x:v>
      </x:c>
      <x:c r="BG77" s="34" t="n">
        <x:f>IF(COUNT(W77,X77)=2,AVERAGE(W77,X77),"")</x:f>
        <x:v>54.06382602545972</x:v>
      </x:c>
      <x:c r="BH77" s="34" t="n">
        <x:f>IF(COUNT(Y77,Z77)=2,AVERAGE(Y77,Z77),"")</x:f>
        <x:v>38.87951433698605</x:v>
      </x:c>
      <x:c r="BI77" s="34" t="n">
        <x:f>IF(COUNT(AA77,AB77,AC77)=3,AVERAGE(AA77,AB77,AC77),"")</x:f>
        <x:v>93.57726266209674</x:v>
      </x:c>
      <x:c r="BJ77" s="34" t="n">
        <x:f>IF(COUNT(AD77,AE77)=2,AVERAGE(AD77,AE77),"")</x:f>
        <x:v>80.93486694642857</x:v>
      </x:c>
      <x:c r="BK77" s="34" t="n">
        <x:f>IF(COUNT(AF77,AG77)=2,AVERAGE(AF77,AG77),"")</x:f>
        <x:v>30.99317772960149</x:v>
      </x:c>
      <x:c r="BL77" s="34" t="n">
        <x:f>IF(COUNT(AH77,AI77)=2,AVERAGE(AH77,AI77),"")</x:f>
        <x:v>45.41338642483666</x:v>
      </x:c>
      <x:c r="BM77" s="34" t="n">
        <x:f>IF(COUNT(AJ77,AK77)=2,AVERAGE(AJ77,AK77),"")</x:f>
        <x:v>87.11648600526811</x:v>
      </x:c>
      <x:c r="BN77" s="34" t="n">
        <x:f>IF(COUNT(AL77,AM77,AN77)=3,AVERAGE(AL77,AM77,AN77),"")</x:f>
        <x:v>66.67542517693484</x:v>
      </x:c>
      <x:c r="BO77" s="35" t="n">
        <x:f>IF(AND(COUNT(BG77:BN77)=8,ABS('Scoring Setup'!$C$17-1)&lt;0.000001),BG77*'Scoring Setup'!$C$9+BH77*'Scoring Setup'!$C$10+BI77*'Scoring Setup'!$C$11+BJ77*'Scoring Setup'!$C$12+BK77*'Scoring Setup'!$C$13+BL77*'Scoring Setup'!$C$14+BM77*'Scoring Setup'!$C$15+BN77*'Scoring Setup'!$C$16,"")</x:f>
        <x:v>60.36193737834155</x:v>
      </x:c>
      <x:c r="BP77" s="36" t="n">
        <x:f>IF(COUNT(AO77:BF77)=18,MIN(AO77:BF77),"")</x:f>
        <x:v>0.8404222222222222</x:v>
      </x:c>
      <x:c r="BQ77" s="35" t="n">
        <x:f>IF(AND(ISNUMBER(BO77),ISNUMBER(BP77)),BO77*BP77,"")</x:f>
        <x:v>50.72951354914442</x:v>
      </x:c>
      <x:c r="BR77" s="17" t="str">
        <x:f>IF(COUNT(AO77:BF77)=18,INDEX('Scoring Setup'!$F$9:$F$26,MATCH(MIN(AO77:BF77),AO77:BF77,0),1),"")</x:f>
        <x:v>社会脆弱性百分位</x:v>
      </x:c>
    </x:row>
    <x:row r="78">
      <x:c r="A78" s="28" t="str">
        <x:v>13149</x:v>
      </x:c>
      <x:c r="B78" s="28" t="str">
        <x:v>Heard County</x:v>
      </x:c>
      <x:c r="C78" s="28" t="str">
        <x:v>GA</x:v>
      </x:c>
      <x:c r="D78" s="31" t="n">
        <x:v>766.567353</x:v>
      </x:c>
      <x:c r="E78" s="32" t="n">
        <x:v>0.751</x:v>
      </x:c>
      <x:c r="F78" s="32" t="n">
        <x:v>0.297648514851485</x:v>
      </x:c>
      <x:c r="G78" s="32" t="n">
        <x:v>2.4204197017407982</x:v>
      </x:c>
      <x:c r="H78" s="32" t="n">
        <x:v>2.2456763464557854</x:v>
      </x:c>
      <x:c r="I78" s="32" t="n">
        <x:v>0.950147729067815</x:v>
      </x:c>
      <x:c r="J78" s="32" t="n">
        <x:v>0.03662503013150768</x:v>
      </x:c>
      <x:c r="K78" s="32" t="n">
        <x:v>0.028901071255141263</x:v>
      </x:c>
      <x:c r="L78" s="32" t="n">
        <x:v>0.664765409</x:v>
      </x:c>
      <x:c r="M78" s="32" t="n">
        <x:v>0.664765409</x:v>
      </x:c>
      <x:c r="N78" s="32" t="n">
        <x:v>4977</x:v>
      </x:c>
      <x:c r="O78" s="32" t="n">
        <x:v>0.6459</x:v>
      </x:c>
      <x:c r="P78" s="32" t="n">
        <x:v>1538.8542724609374</x:v>
      </x:c>
      <x:c r="Q78" s="32" t="n">
        <x:v>41.73626149495443</x:v>
      </x:c>
      <x:c r="R78" s="32" t="n">
        <x:v>28.710571773595646</x:v>
      </x:c>
      <x:c r="S78" s="32" t="n">
        <x:v>14.466290329312928</x:v>
      </x:c>
      <x:c r="T78" s="32" t="n">
        <x:v>72.1</x:v>
      </x:c>
      <x:c r="U78" s="32" t="n">
        <x:v>211.4154781728841</x:v>
      </x:c>
      <x:c r="V78" s="32" t="n">
        <x:v>325.42757789465</x:v>
      </x:c>
      <x:c r="W78" s="33" t="n">
        <x:f>IF(ISNUMBER(E78),100*MAX(0,MIN(1,('Anchors'!$H$6-E78)/('Anchors'!$H$6-'Anchors'!$G$6))),"")</x:f>
        <x:v>21.285714285714292</x:v>
      </x:c>
      <x:c r="X78" s="33" t="n">
        <x:f>IF(ISNUMBER(F78),100*MAX(0,MIN(1,('Anchors'!$H$7-F78)/('Anchors'!$H$7-'Anchors'!$G$7))),"")</x:f>
        <x:v>71.76449787835928</x:v>
      </x:c>
      <x:c r="Y78" s="33" t="n">
        <x:f>IF(ISNUMBER(G78),100*MAX(0,MIN(1,('Anchors'!$H$8-G78)/('Anchors'!$H$8-'Anchors'!$G$8))),"")</x:f>
        <x:v>52.65267660864006</x:v>
      </x:c>
      <x:c r="Z78" s="33" t="n">
        <x:f>IF(ISNUMBER(H78),100*MAX(0,MIN(1,('Anchors'!$H$9-H78)/('Anchors'!$H$9-'Anchors'!$G$9))),"")</x:f>
        <x:v>58.47745511814048</x:v>
      </x:c>
      <x:c r="AA78" s="33" t="n">
        <x:f>IF(ISNUMBER(I78),100*MAX(0,MIN(1,(I78-'Anchors'!$H$10)/('Anchors'!$G$10-'Anchors'!$H$10))),"")</x:f>
        <x:v>95.9106478175089</x:v>
      </x:c>
      <x:c r="AB78" s="33" t="n">
        <x:f>IF(ISNUMBER(J78),100*MAX(0,MIN(1,('Anchors'!$H$11-J78)/('Anchors'!$H$11-'Anchors'!$G$11))),"")</x:f>
        <x:v>85.34998794739693</x:v>
      </x:c>
      <x:c r="AC78" s="33" t="n">
        <x:f>IF(ISNUMBER(K78),100*MAX(0,MIN(1,('Anchors'!$H$12-K78)/('Anchors'!$H$12-'Anchors'!$G$12))),"")</x:f>
        <x:v>92.77473218621469</x:v>
      </x:c>
      <x:c r="AD78" s="33" t="n">
        <x:f>IF(ISNUMBER(L78),100*MAX(0,MIN(1,(L78-'Anchors'!$H$13)/('Anchors'!$G$13-'Anchors'!$H$13))),"")</x:f>
        <x:v>66.39505842857145</x:v>
      </x:c>
      <x:c r="AE78" s="33" t="n">
        <x:f>IF(ISNUMBER(M78),100*MAX(0,MIN(1,(M78-'Anchors'!$H$14)/('Anchors'!$G$14-'Anchors'!$H$14))),"")</x:f>
        <x:v>70.59567612500001</x:v>
      </x:c>
      <x:c r="AF78" s="33" t="n">
        <x:f>IF(ISNUMBER(N78),100*MAX(0,MIN(1,(LN(1+N78)-LN(1+'Anchors'!$H$15))/(LN(1+'Anchors'!$G$15)-LN(1+'Anchors'!$H$15)))),"")</x:f>
        <x:v>21.11147148352811</x:v>
      </x:c>
      <x:c r="AG78" s="33" t="n">
        <x:f>IF(ISNUMBER(O78),100*MAX(0,MIN(1,('Anchors'!$H$16-O78)/('Anchors'!$H$16-'Anchors'!$G$16))),"")</x:f>
        <x:v>33.788888888888884</x:v>
      </x:c>
      <x:c r="AH78" s="33" t="n">
        <x:f>IF(ISNUMBER(P78),100*MAX(0,MIN(1,('Anchors'!$H$17-P78)/('Anchors'!$H$17-'Anchors'!$G$17))),"")</x:f>
        <x:v>44.076381835937504</x:v>
      </x:c>
      <x:c r="AI78" s="33" t="n">
        <x:f>IF(ISNUMBER(Q78),100*MAX(0,MIN(1,('Anchors'!$H$18-Q78)/('Anchors'!$H$18-'Anchors'!$G$18))),"")</x:f>
        <x:v>47.51962643577939</x:v>
      </x:c>
      <x:c r="AJ78" s="33" t="n">
        <x:f>IF(ISNUMBER(R78),100*MAX(0,MIN(1,('Anchors'!$H$19-R78)/('Anchors'!$H$19-'Anchors'!$G$19))),"")</x:f>
        <x:v>47.30984050312079</x:v>
      </x:c>
      <x:c r="AK78" s="33" t="n">
        <x:f>IF(ISNUMBER(S78),100*MAX(0,MIN(1,('Anchors'!$H$20-S78)/('Anchors'!$H$20-'Anchors'!$G$20))),"")</x:f>
        <x:v>29.124787740458274</x:v>
      </x:c>
      <x:c r="AL78" s="33" t="n">
        <x:f>IF(ISNUMBER(T78),100*MAX(0,MIN(1,('Anchors'!$H$21-T78)/('Anchors'!$H$21-'Anchors'!$G$21))),"")</x:f>
        <x:v>87.0909090909091</x:v>
      </x:c>
      <x:c r="AM78" s="33" t="n">
        <x:f>IF(ISNUMBER(U78),100*MAX(0,MIN(1,('Anchors'!$H$22-U78)/('Anchors'!$H$22-'Anchors'!$G$22))),"")</x:f>
        <x:v>44.29226091355795</x:v>
      </x:c>
      <x:c r="AN78" s="33" t="n">
        <x:f>IF(ISNUMBER(V78),100*MAX(0,MIN(1,('Anchors'!$H$23-V78)/('Anchors'!$H$23-'Anchors'!$G$23))),"")</x:f>
        <x:v>68.6431055263375</x:v>
      </x:c>
      <x:c r="AO78" s="27" t="n">
        <x:f>IF(ISNUMBER(W78),IF('Scoring Setup'!$L$9=1,1-'Scoring Setup'!$B$5*(1-MAX(0,MIN(1,(W78-'Scoring Setup'!$K$9)/(100-'Scoring Setup'!$K$9)))),1),"")</x:f>
        <x:v>0.8425714285714285</x:v>
      </x:c>
      <x:c r="AP78" s="27" t="n">
        <x:f>IF(ISNUMBER(X78),IF('Scoring Setup'!$L$10=1,1-'Scoring Setup'!$B$5*(1-MAX(0,MIN(1,(X78-'Scoring Setup'!$K$10)/(100-'Scoring Setup'!$K$10)))),1),"")</x:f>
        <x:v>0.9435289957567186</x:v>
      </x:c>
      <x:c r="AQ78" s="27" t="n">
        <x:f>IF(ISNUMBER(Y78),IF('Scoring Setup'!$L$11=1,1-'Scoring Setup'!$B$5*(1-MAX(0,MIN(1,(Y78-'Scoring Setup'!$K$11)/(100-'Scoring Setup'!$K$11)))),1),"")</x:f>
        <x:v>0.9053053532172801</x:v>
      </x:c>
      <x:c r="AR78" s="27" t="n">
        <x:f>IF(ISNUMBER(Z78),IF('Scoring Setup'!$L$12=1,1-'Scoring Setup'!$B$5*(1-MAX(0,MIN(1,(Z78-'Scoring Setup'!$K$12)/(100-'Scoring Setup'!$K$12)))),1),"")</x:f>
        <x:v>0.916954910236281</x:v>
      </x:c>
      <x:c r="AS78" s="27" t="n">
        <x:f>IF(ISNUMBER(AA78),IF('Scoring Setup'!$L$13=1,1-'Scoring Setup'!$B$5*(1-MAX(0,MIN(1,(AA78-'Scoring Setup'!$K$13)/(100-'Scoring Setup'!$K$13)))),1),"")</x:f>
        <x:v>0.9918212956350178</x:v>
      </x:c>
      <x:c r="AT78" s="27" t="n">
        <x:f>IF(ISNUMBER(AB78),IF('Scoring Setup'!$L$14=1,1-'Scoring Setup'!$B$5*(1-MAX(0,MIN(1,(AB78-'Scoring Setup'!$K$14)/(100-'Scoring Setup'!$K$14)))),1),"")</x:f>
        <x:v>0.9706999758947938</x:v>
      </x:c>
      <x:c r="AU78" s="27" t="n">
        <x:f>IF(ISNUMBER(AC78),IF('Scoring Setup'!$L$15=1,1-'Scoring Setup'!$B$5*(1-MAX(0,MIN(1,(AC78-'Scoring Setup'!$K$15)/(100-'Scoring Setup'!$K$15)))),1),"")</x:f>
        <x:v>0.9855494643724294</x:v>
      </x:c>
      <x:c r="AV78" s="27" t="n">
        <x:f>IF(ISNUMBER(AD78),IF('Scoring Setup'!$L$16=1,1-'Scoring Setup'!$B$5*(1-MAX(0,MIN(1,(AD78-'Scoring Setup'!$K$16)/(100-'Scoring Setup'!$K$16)))),1),"")</x:f>
        <x:v>0.9327901168571429</x:v>
      </x:c>
      <x:c r="AW78" s="27" t="n">
        <x:f>IF(ISNUMBER(AE78),IF('Scoring Setup'!$L$17=1,1-'Scoring Setup'!$B$5*(1-MAX(0,MIN(1,(AE78-'Scoring Setup'!$K$17)/(100-'Scoring Setup'!$K$17)))),1),"")</x:f>
        <x:v>0.9411913522500001</x:v>
      </x:c>
      <x:c r="AX78" s="27" t="n">
        <x:f>IF(ISNUMBER(AF78),IF('Scoring Setup'!$L$18=1,1-'Scoring Setup'!$B$5*(1-MAX(0,MIN(1,(AF78-'Scoring Setup'!$K$18)/(100-'Scoring Setup'!$K$18)))),1),"")</x:f>
        <x:v>0.8422229429670562</x:v>
      </x:c>
      <x:c r="AY78" s="27" t="n">
        <x:f>IF(ISNUMBER(AG78),IF('Scoring Setup'!$L$19=1,1-'Scoring Setup'!$B$5*(1-MAX(0,MIN(1,(AG78-'Scoring Setup'!$K$19)/(100-'Scoring Setup'!$K$19)))),1),"")</x:f>
        <x:v>0.8675777777777778</x:v>
      </x:c>
      <x:c r="AZ78" s="27" t="n">
        <x:f>IF(ISNUMBER(AH78),IF('Scoring Setup'!$L$20=1,1-'Scoring Setup'!$B$5*(1-MAX(0,MIN(1,(AH78-'Scoring Setup'!$K$20)/(100-'Scoring Setup'!$K$20)))),1),"")</x:f>
        <x:v>0.888152763671875</x:v>
      </x:c>
      <x:c r="BA78" s="27" t="n">
        <x:f>IF(ISNUMBER(AI78),IF('Scoring Setup'!$L$21=1,1-'Scoring Setup'!$B$5*(1-MAX(0,MIN(1,(AI78-'Scoring Setup'!$K$21)/(100-'Scoring Setup'!$K$21)))),1),"")</x:f>
        <x:v>0.8950392528715587</x:v>
      </x:c>
      <x:c r="BB78" s="27" t="n">
        <x:f>IF(ISNUMBER(AJ78),IF('Scoring Setup'!$L$22=1,1-'Scoring Setup'!$B$5*(1-MAX(0,MIN(1,(AJ78-'Scoring Setup'!$K$22)/(100-'Scoring Setup'!$K$22)))),1),"")</x:f>
        <x:v>0.8946196810062416</x:v>
      </x:c>
      <x:c r="BC78" s="27" t="n">
        <x:f>IF(ISNUMBER(AK78),IF('Scoring Setup'!$L$23=1,1-'Scoring Setup'!$B$5*(1-MAX(0,MIN(1,(AK78-'Scoring Setup'!$K$23)/(100-'Scoring Setup'!$K$23)))),1),"")</x:f>
        <x:v>0.8582495754809165</x:v>
      </x:c>
      <x:c r="BD78" s="27" t="n">
        <x:f>IF(ISNUMBER(AL78),IF('Scoring Setup'!$L$24=1,1-'Scoring Setup'!$B$5*(1-MAX(0,MIN(1,(AL78-'Scoring Setup'!$K$24)/(100-'Scoring Setup'!$K$24)))),1),"")</x:f>
        <x:v>0.9741818181818181</x:v>
      </x:c>
      <x:c r="BE78" s="27" t="n">
        <x:f>IF(ISNUMBER(AM78),IF('Scoring Setup'!$L$25=1,1-'Scoring Setup'!$B$5*(1-MAX(0,MIN(1,(AM78-'Scoring Setup'!$K$25)/(100-'Scoring Setup'!$K$25)))),1),"")</x:f>
        <x:v>0.8885845218271159</x:v>
      </x:c>
      <x:c r="BF78" s="27" t="n">
        <x:f>IF(ISNUMBER(AN78),IF('Scoring Setup'!$L$26=1,1-'Scoring Setup'!$B$5*(1-MAX(0,MIN(1,(AN78-'Scoring Setup'!$K$26)/(100-'Scoring Setup'!$K$26)))),1),"")</x:f>
        <x:v>0.937286211052675</x:v>
      </x:c>
      <x:c r="BG78" s="34" t="n">
        <x:f>IF(COUNT(W78,X78)=2,AVERAGE(W78,X78),"")</x:f>
        <x:v>46.525106082036785</x:v>
      </x:c>
      <x:c r="BH78" s="34" t="n">
        <x:f>IF(COUNT(Y78,Z78)=2,AVERAGE(Y78,Z78),"")</x:f>
        <x:v>55.565065863390274</x:v>
      </x:c>
      <x:c r="BI78" s="34" t="n">
        <x:f>IF(COUNT(AA78,AB78,AC78)=3,AVERAGE(AA78,AB78,AC78),"")</x:f>
        <x:v>91.34512265037351</x:v>
      </x:c>
      <x:c r="BJ78" s="34" t="n">
        <x:f>IF(COUNT(AD78,AE78)=2,AVERAGE(AD78,AE78),"")</x:f>
        <x:v>68.49536727678573</x:v>
      </x:c>
      <x:c r="BK78" s="34" t="n">
        <x:f>IF(COUNT(AF78,AG78)=2,AVERAGE(AF78,AG78),"")</x:f>
        <x:v>27.4501801862085</x:v>
      </x:c>
      <x:c r="BL78" s="34" t="n">
        <x:f>IF(COUNT(AH78,AI78)=2,AVERAGE(AH78,AI78),"")</x:f>
        <x:v>45.79800413585845</x:v>
      </x:c>
      <x:c r="BM78" s="34" t="n">
        <x:f>IF(COUNT(AJ78,AK78)=2,AVERAGE(AJ78,AK78),"")</x:f>
        <x:v>38.21731412178953</x:v>
      </x:c>
      <x:c r="BN78" s="34" t="n">
        <x:f>IF(COUNT(AL78,AM78,AN78)=3,AVERAGE(AL78,AM78,AN78),"")</x:f>
        <x:v>66.67542517693484</x:v>
      </x:c>
      <x:c r="BO78" s="35" t="n">
        <x:f>IF(AND(COUNT(BG78:BN78)=8,ABS('Scoring Setup'!$C$17-1)&lt;0.000001),BG78*'Scoring Setup'!$C$9+BH78*'Scoring Setup'!$C$10+BI78*'Scoring Setup'!$C$11+BJ78*'Scoring Setup'!$C$12+BK78*'Scoring Setup'!$C$13+BL78*'Scoring Setup'!$C$14+BM78*'Scoring Setup'!$C$15+BN78*'Scoring Setup'!$C$16,"")</x:f>
        <x:v>58.69798425818136</x:v>
      </x:c>
      <x:c r="BP78" s="36" t="n">
        <x:f>IF(COUNT(AO78:BF78)=18,MIN(AO78:BF78),"")</x:f>
        <x:v>0.8422229429670562</x:v>
      </x:c>
      <x:c r="BQ78" s="35" t="n">
        <x:f>IF(AND(ISNUMBER(BO78),ISNUMBER(BP78)),BO78*BP78,"")</x:f>
        <x:v>49.43678904815944</x:v>
      </x:c>
      <x:c r="BR78" s="17" t="str">
        <x:f>IF(COUNT(AO78:BF78)=18,INDEX('Scoring Setup'!$F$9:$F$26,MATCH(MIN(AO78:BF78),AO78:BF78,0),1),"")</x:f>
        <x:v>劳动力人数</x:v>
      </x:c>
    </x:row>
    <x:row r="79">
      <x:c r="A79" s="28" t="str">
        <x:v>13151</x:v>
      </x:c>
      <x:c r="B79" s="28" t="str">
        <x:v>Henry County</x:v>
      </x:c>
      <x:c r="C79" s="28" t="str">
        <x:v>GA</x:v>
      </x:c>
      <x:c r="D79" s="31" t="n">
        <x:v>825.452046</x:v>
      </x:c>
      <x:c r="E79" s="32" t="n">
        <x:v>0.502</x:v>
      </x:c>
      <x:c r="F79" s="32" t="n">
        <x:v>0.290532178217822</x:v>
      </x:c>
      <x:c r="G79" s="32" t="n">
        <x:v>3.119086632251105</x:v>
      </x:c>
      <x:c r="H79" s="32" t="n">
        <x:v>3.0529546195282107</x:v>
      </x:c>
      <x:c r="I79" s="32" t="n">
        <x:v>0.6545424292121439</x:v>
      </x:c>
      <x:c r="J79" s="32" t="n">
        <x:v>0.012833658770602243</x:v>
      </x:c>
      <x:c r="K79" s="32" t="n">
        <x:v>0.041431939689486115</x:v>
      </x:c>
      <x:c r="L79" s="32" t="n">
        <x:v>0.713075048</x:v>
      </x:c>
      <x:c r="M79" s="32" t="n">
        <x:v>0.712428507</x:v>
      </x:c>
      <x:c r="N79" s="32" t="n">
        <x:v>131327</x:v>
      </x:c>
      <x:c r="O79" s="32" t="n">
        <x:v>0.4018</x:v>
      </x:c>
      <x:c r="P79" s="32" t="n">
        <x:v>1671.441817220052</x:v>
      </x:c>
      <x:c r="Q79" s="32" t="n">
        <x:v>35.42950185139974</x:v>
      </x:c>
      <x:c r="R79" s="32" t="n">
        <x:v>3.8059632087345796</x:v>
      </x:c>
      <x:c r="S79" s="32" t="n">
        <x:v>0.13230626121501415</x:v>
      </x:c>
      <x:c r="T79" s="32" t="n">
        <x:v>72.1</x:v>
      </x:c>
      <x:c r="U79" s="32" t="n">
        <x:v>211.4154781728841</x:v>
      </x:c>
      <x:c r="V79" s="32" t="n">
        <x:v>325.42757789465</x:v>
      </x:c>
      <x:c r="W79" s="33" t="n">
        <x:f>IF(ISNUMBER(E79),100*MAX(0,MIN(1,('Anchors'!$H$6-E79)/('Anchors'!$H$6-'Anchors'!$G$6))),"")</x:f>
        <x:v>56.85714285714286</x:v>
      </x:c>
      <x:c r="X79" s="33" t="n">
        <x:f>IF(ISNUMBER(F79),100*MAX(0,MIN(1,('Anchors'!$H$7-F79)/('Anchors'!$H$7-'Anchors'!$G$7))),"")</x:f>
        <x:v>72.78111739745398</x:v>
      </x:c>
      <x:c r="Y79" s="33" t="n">
        <x:f>IF(ISNUMBER(G79),100*MAX(0,MIN(1,('Anchors'!$H$8-G79)/('Anchors'!$H$8-'Anchors'!$G$8))),"")</x:f>
        <x:v>29.363778924963164</x:v>
      </x:c>
      <x:c r="Z79" s="33" t="n">
        <x:f>IF(ISNUMBER(H79),100*MAX(0,MIN(1,('Anchors'!$H$9-H79)/('Anchors'!$H$9-'Anchors'!$G$9))),"")</x:f>
        <x:v>31.568179349059644</x:v>
      </x:c>
      <x:c r="AA79" s="33" t="n">
        <x:f>IF(ISNUMBER(I79),100*MAX(0,MIN(1,(I79-'Anchors'!$H$10)/('Anchors'!$G$10-'Anchors'!$H$10))),"")</x:f>
        <x:v>55.416771124951225</x:v>
      </x:c>
      <x:c r="AB79" s="33" t="n">
        <x:f>IF(ISNUMBER(J79),100*MAX(0,MIN(1,('Anchors'!$H$11-J79)/('Anchors'!$H$11-'Anchors'!$G$11))),"")</x:f>
        <x:v>94.8665364917591</x:v>
      </x:c>
      <x:c r="AC79" s="33" t="n">
        <x:f>IF(ISNUMBER(K79),100*MAX(0,MIN(1,('Anchors'!$H$12-K79)/('Anchors'!$H$12-'Anchors'!$G$12))),"")</x:f>
        <x:v>89.64201507762849</x:v>
      </x:c>
      <x:c r="AD79" s="33" t="n">
        <x:f>IF(ISNUMBER(L79),100*MAX(0,MIN(1,(L79-'Anchors'!$H$13)/('Anchors'!$G$13-'Anchors'!$H$13))),"")</x:f>
        <x:v>73.29643542857143</x:v>
      </x:c>
      <x:c r="AE79" s="33" t="n">
        <x:f>IF(ISNUMBER(M79),100*MAX(0,MIN(1,(M79-'Anchors'!$H$14)/('Anchors'!$G$14-'Anchors'!$H$14))),"")</x:f>
        <x:v>76.553563375</x:v>
      </x:c>
      <x:c r="AF79" s="33" t="n">
        <x:f>IF(ISNUMBER(N79),100*MAX(0,MIN(1,(LN(1+N79)-LN(1+'Anchors'!$H$15))/(LN(1+'Anchors'!$G$15)-LN(1+'Anchors'!$H$15)))),"")</x:f>
        <x:v>96.92045154108835</x:v>
      </x:c>
      <x:c r="AG79" s="33" t="n">
        <x:f>IF(ISNUMBER(O79),100*MAX(0,MIN(1,('Anchors'!$H$16-O79)/('Anchors'!$H$16-'Anchors'!$G$16))),"")</x:f>
        <x:v>60.91111111111112</x:v>
      </x:c>
      <x:c r="AH79" s="33" t="n">
        <x:f>IF(ISNUMBER(P79),100*MAX(0,MIN(1,('Anchors'!$H$17-P79)/('Anchors'!$H$17-'Anchors'!$G$17))),"")</x:f>
        <x:v>35.237212185329874</x:v>
      </x:c>
      <x:c r="AI79" s="33" t="n">
        <x:f>IF(ISNUMBER(Q79),100*MAX(0,MIN(1,('Anchors'!$H$18-Q79)/('Anchors'!$H$18-'Anchors'!$G$18))),"")</x:f>
        <x:v>56.529283069428935</x:v>
      </x:c>
      <x:c r="AJ79" s="33" t="n">
        <x:f>IF(ISNUMBER(R79),100*MAX(0,MIN(1,('Anchors'!$H$19-R79)/('Anchors'!$H$19-'Anchors'!$G$19))),"")</x:f>
        <x:v>100</x:v>
      </x:c>
      <x:c r="AK79" s="33" t="n">
        <x:f>IF(ISNUMBER(S79),100*MAX(0,MIN(1,('Anchors'!$H$20-S79)/('Anchors'!$H$20-'Anchors'!$G$20))),"")</x:f>
        <x:v>100</x:v>
      </x:c>
      <x:c r="AL79" s="33" t="n">
        <x:f>IF(ISNUMBER(T79),100*MAX(0,MIN(1,('Anchors'!$H$21-T79)/('Anchors'!$H$21-'Anchors'!$G$21))),"")</x:f>
        <x:v>87.0909090909091</x:v>
      </x:c>
      <x:c r="AM79" s="33" t="n">
        <x:f>IF(ISNUMBER(U79),100*MAX(0,MIN(1,('Anchors'!$H$22-U79)/('Anchors'!$H$22-'Anchors'!$G$22))),"")</x:f>
        <x:v>44.29226091355795</x:v>
      </x:c>
      <x:c r="AN79" s="33" t="n">
        <x:f>IF(ISNUMBER(V79),100*MAX(0,MIN(1,('Anchors'!$H$23-V79)/('Anchors'!$H$23-'Anchors'!$G$23))),"")</x:f>
        <x:v>68.6431055263375</x:v>
      </x:c>
      <x:c r="AO79" s="27" t="n">
        <x:f>IF(ISNUMBER(W79),IF('Scoring Setup'!$L$9=1,1-'Scoring Setup'!$B$5*(1-MAX(0,MIN(1,(W79-'Scoring Setup'!$K$9)/(100-'Scoring Setup'!$K$9)))),1),"")</x:f>
        <x:v>0.9137142857142857</x:v>
      </x:c>
      <x:c r="AP79" s="27" t="n">
        <x:f>IF(ISNUMBER(X79),IF('Scoring Setup'!$L$10=1,1-'Scoring Setup'!$B$5*(1-MAX(0,MIN(1,(X79-'Scoring Setup'!$K$10)/(100-'Scoring Setup'!$K$10)))),1),"")</x:f>
        <x:v>0.945562234794908</x:v>
      </x:c>
      <x:c r="AQ79" s="27" t="n">
        <x:f>IF(ISNUMBER(Y79),IF('Scoring Setup'!$L$11=1,1-'Scoring Setup'!$B$5*(1-MAX(0,MIN(1,(Y79-'Scoring Setup'!$K$11)/(100-'Scoring Setup'!$K$11)))),1),"")</x:f>
        <x:v>0.8587275578499263</x:v>
      </x:c>
      <x:c r="AR79" s="27" t="n">
        <x:f>IF(ISNUMBER(Z79),IF('Scoring Setup'!$L$12=1,1-'Scoring Setup'!$B$5*(1-MAX(0,MIN(1,(Z79-'Scoring Setup'!$K$12)/(100-'Scoring Setup'!$K$12)))),1),"")</x:f>
        <x:v>0.8631363586981193</x:v>
      </x:c>
      <x:c r="AS79" s="27" t="n">
        <x:f>IF(ISNUMBER(AA79),IF('Scoring Setup'!$L$13=1,1-'Scoring Setup'!$B$5*(1-MAX(0,MIN(1,(AA79-'Scoring Setup'!$K$13)/(100-'Scoring Setup'!$K$13)))),1),"")</x:f>
        <x:v>0.9108335422499024</x:v>
      </x:c>
      <x:c r="AT79" s="27" t="n">
        <x:f>IF(ISNUMBER(AB79),IF('Scoring Setup'!$L$14=1,1-'Scoring Setup'!$B$5*(1-MAX(0,MIN(1,(AB79-'Scoring Setup'!$K$14)/(100-'Scoring Setup'!$K$14)))),1),"")</x:f>
        <x:v>0.9897330729835182</x:v>
      </x:c>
      <x:c r="AU79" s="27" t="n">
        <x:f>IF(ISNUMBER(AC79),IF('Scoring Setup'!$L$15=1,1-'Scoring Setup'!$B$5*(1-MAX(0,MIN(1,(AC79-'Scoring Setup'!$K$15)/(100-'Scoring Setup'!$K$15)))),1),"")</x:f>
        <x:v>0.979284030155257</x:v>
      </x:c>
      <x:c r="AV79" s="27" t="n">
        <x:f>IF(ISNUMBER(AD79),IF('Scoring Setup'!$L$16=1,1-'Scoring Setup'!$B$5*(1-MAX(0,MIN(1,(AD79-'Scoring Setup'!$K$16)/(100-'Scoring Setup'!$K$16)))),1),"")</x:f>
        <x:v>0.9465928708571428</x:v>
      </x:c>
      <x:c r="AW79" s="27" t="n">
        <x:f>IF(ISNUMBER(AE79),IF('Scoring Setup'!$L$17=1,1-'Scoring Setup'!$B$5*(1-MAX(0,MIN(1,(AE79-'Scoring Setup'!$K$17)/(100-'Scoring Setup'!$K$17)))),1),"")</x:f>
        <x:v>0.95310712675</x:v>
      </x:c>
      <x:c r="AX79" s="27" t="n">
        <x:f>IF(ISNUMBER(AF79),IF('Scoring Setup'!$L$18=1,1-'Scoring Setup'!$B$5*(1-MAX(0,MIN(1,(AF79-'Scoring Setup'!$K$18)/(100-'Scoring Setup'!$K$18)))),1),"")</x:f>
        <x:v>0.9938409030821768</x:v>
      </x:c>
      <x:c r="AY79" s="27" t="n">
        <x:f>IF(ISNUMBER(AG79),IF('Scoring Setup'!$L$19=1,1-'Scoring Setup'!$B$5*(1-MAX(0,MIN(1,(AG79-'Scoring Setup'!$K$19)/(100-'Scoring Setup'!$K$19)))),1),"")</x:f>
        <x:v>0.9218222222222222</x:v>
      </x:c>
      <x:c r="AZ79" s="27" t="n">
        <x:f>IF(ISNUMBER(AH79),IF('Scoring Setup'!$L$20=1,1-'Scoring Setup'!$B$5*(1-MAX(0,MIN(1,(AH79-'Scoring Setup'!$K$20)/(100-'Scoring Setup'!$K$20)))),1),"")</x:f>
        <x:v>0.8704744243706597</x:v>
      </x:c>
      <x:c r="BA79" s="27" t="n">
        <x:f>IF(ISNUMBER(AI79),IF('Scoring Setup'!$L$21=1,1-'Scoring Setup'!$B$5*(1-MAX(0,MIN(1,(AI79-'Scoring Setup'!$K$21)/(100-'Scoring Setup'!$K$21)))),1),"")</x:f>
        <x:v>0.9130585661388578</x:v>
      </x:c>
      <x:c r="BB79" s="27" t="n">
        <x:f>IF(ISNUMBER(AJ79),IF('Scoring Setup'!$L$22=1,1-'Scoring Setup'!$B$5*(1-MAX(0,MIN(1,(AJ79-'Scoring Setup'!$K$22)/(100-'Scoring Setup'!$K$22)))),1),"")</x:f>
        <x:v>1</x:v>
      </x:c>
      <x:c r="BC79" s="27" t="n">
        <x:f>IF(ISNUMBER(AK79),IF('Scoring Setup'!$L$23=1,1-'Scoring Setup'!$B$5*(1-MAX(0,MIN(1,(AK79-'Scoring Setup'!$K$23)/(100-'Scoring Setup'!$K$23)))),1),"")</x:f>
        <x:v>1</x:v>
      </x:c>
      <x:c r="BD79" s="27" t="n">
        <x:f>IF(ISNUMBER(AL79),IF('Scoring Setup'!$L$24=1,1-'Scoring Setup'!$B$5*(1-MAX(0,MIN(1,(AL79-'Scoring Setup'!$K$24)/(100-'Scoring Setup'!$K$24)))),1),"")</x:f>
        <x:v>0.9741818181818181</x:v>
      </x:c>
      <x:c r="BE79" s="27" t="n">
        <x:f>IF(ISNUMBER(AM79),IF('Scoring Setup'!$L$25=1,1-'Scoring Setup'!$B$5*(1-MAX(0,MIN(1,(AM79-'Scoring Setup'!$K$25)/(100-'Scoring Setup'!$K$25)))),1),"")</x:f>
        <x:v>0.8885845218271159</x:v>
      </x:c>
      <x:c r="BF79" s="27" t="n">
        <x:f>IF(ISNUMBER(AN79),IF('Scoring Setup'!$L$26=1,1-'Scoring Setup'!$B$5*(1-MAX(0,MIN(1,(AN79-'Scoring Setup'!$K$26)/(100-'Scoring Setup'!$K$26)))),1),"")</x:f>
        <x:v>0.937286211052675</x:v>
      </x:c>
      <x:c r="BG79" s="34" t="n">
        <x:f>IF(COUNT(W79,X79)=2,AVERAGE(W79,X79),"")</x:f>
        <x:v>64.81913012729842</x:v>
      </x:c>
      <x:c r="BH79" s="34" t="n">
        <x:f>IF(COUNT(Y79,Z79)=2,AVERAGE(Y79,Z79),"")</x:f>
        <x:v>30.465979137011402</x:v>
      </x:c>
      <x:c r="BI79" s="34" t="n">
        <x:f>IF(COUNT(AA79,AB79,AC79)=3,AVERAGE(AA79,AB79,AC79),"")</x:f>
        <x:v>79.9751075647796</x:v>
      </x:c>
      <x:c r="BJ79" s="34" t="n">
        <x:f>IF(COUNT(AD79,AE79)=2,AVERAGE(AD79,AE79),"")</x:f>
        <x:v>74.92499940178571</x:v>
      </x:c>
      <x:c r="BK79" s="34" t="n">
        <x:f>IF(COUNT(AF79,AG79)=2,AVERAGE(AF79,AG79),"")</x:f>
        <x:v>78.91578132609973</x:v>
      </x:c>
      <x:c r="BL79" s="34" t="n">
        <x:f>IF(COUNT(AH79,AI79)=2,AVERAGE(AH79,AI79),"")</x:f>
        <x:v>45.883247627379404</x:v>
      </x:c>
      <x:c r="BM79" s="34" t="n">
        <x:f>IF(COUNT(AJ79,AK79)=2,AVERAGE(AJ79,AK79),"")</x:f>
        <x:v>100</x:v>
      </x:c>
      <x:c r="BN79" s="34" t="n">
        <x:f>IF(COUNT(AL79,AM79,AN79)=3,AVERAGE(AL79,AM79,AN79),"")</x:f>
        <x:v>66.67542517693484</x:v>
      </x:c>
      <x:c r="BO79" s="35" t="n">
        <x:f>IF(AND(COUNT(BG79:BN79)=8,ABS('Scoring Setup'!$C$17-1)&lt;0.000001),BG79*'Scoring Setup'!$C$9+BH79*'Scoring Setup'!$C$10+BI79*'Scoring Setup'!$C$11+BJ79*'Scoring Setup'!$C$12+BK79*'Scoring Setup'!$C$13+BL79*'Scoring Setup'!$C$14+BM79*'Scoring Setup'!$C$15+BN79*'Scoring Setup'!$C$16,"")</x:f>
        <x:v>63.25348760384805</x:v>
      </x:c>
      <x:c r="BP79" s="36" t="n">
        <x:f>IF(COUNT(AO79:BF79)=18,MIN(AO79:BF79),"")</x:f>
        <x:v>0.8587275578499263</x:v>
      </x:c>
      <x:c r="BQ79" s="35" t="n">
        <x:f>IF(AND(ISNUMBER(BO79),ISNUMBER(BP79)),BO79*BP79,"")</x:f>
        <x:v>54.31751293554302</x:v>
      </x:c>
      <x:c r="BR79" s="17" t="str">
        <x:f>IF(COUNT(AO79:BF79)=18,INDEX('Scoring Setup'!$F$9:$F$26,MATCH(MIN(AO79:BF79),AO79:BF79,0),1),"")</x:f>
        <x:v>基线水压力</x:v>
      </x:c>
    </x:row>
    <x:row r="80">
      <x:c r="A80" s="28" t="str">
        <x:v>13153</x:v>
      </x:c>
      <x:c r="B80" s="28" t="str">
        <x:v>Houston County</x:v>
      </x:c>
      <x:c r="C80" s="28" t="str">
        <x:v>GA</x:v>
      </x:c>
      <x:c r="D80" s="31" t="n">
        <x:v>974.236344</x:v>
      </x:c>
      <x:c r="E80" s="32" t="n">
        <x:v>0.489</x:v>
      </x:c>
      <x:c r="F80" s="32" t="n">
        <x:v>0.150680693069307</x:v>
      </x:c>
      <x:c r="G80" s="32" t="n">
        <x:v>2.561199900259151</x:v>
      </x:c>
      <x:c r="H80" s="32" t="n">
        <x:v>2.4386731094419787</x:v>
      </x:c>
      <x:c r="I80" s="32" t="n">
        <x:v>0.7793836896290368</x:v>
      </x:c>
      <x:c r="J80" s="32" t="n">
        <x:v>0.05818039356124309</x:v>
      </x:c>
      <x:c r="K80" s="32" t="n">
        <x:v>0.16554419629248635</x:v>
      </x:c>
      <x:c r="L80" s="32" t="n">
        <x:v>0.588823559</x:v>
      </x:c>
      <x:c r="M80" s="32" t="n">
        <x:v>0.575355546</x:v>
      </x:c>
      <x:c r="N80" s="32" t="n">
        <x:v>77475</x:v>
      </x:c>
      <x:c r="O80" s="32" t="n">
        <x:v>0.4887</x:v>
      </x:c>
      <x:c r="P80" s="32" t="n">
        <x:v>2057.650105794271</x:v>
      </x:c>
      <x:c r="Q80" s="32" t="n">
        <x:v>66.85262285868326</x:v>
      </x:c>
      <x:c r="R80" s="32" t="n">
        <x:v>7.791665379257728</x:v>
      </x:c>
      <x:c r="S80" s="32" t="n">
        <x:v>3.892239172261135</x:v>
      </x:c>
      <x:c r="T80" s="32" t="n">
        <x:v>72.1</x:v>
      </x:c>
      <x:c r="U80" s="32" t="n">
        <x:v>211.4154781728841</x:v>
      </x:c>
      <x:c r="V80" s="32" t="n">
        <x:v>325.42757789465</x:v>
      </x:c>
      <x:c r="W80" s="33" t="n">
        <x:f>IF(ISNUMBER(E80),100*MAX(0,MIN(1,('Anchors'!$H$6-E80)/('Anchors'!$H$6-'Anchors'!$G$6))),"")</x:f>
        <x:v>58.71428571428572</x:v>
      </x:c>
      <x:c r="X80" s="33" t="n">
        <x:f>IF(ISNUMBER(F80),100*MAX(0,MIN(1,('Anchors'!$H$7-F80)/('Anchors'!$H$7-'Anchors'!$G$7))),"")</x:f>
        <x:v>92.759900990099</x:v>
      </x:c>
      <x:c r="Y80" s="33" t="n">
        <x:f>IF(ISNUMBER(G80),100*MAX(0,MIN(1,('Anchors'!$H$8-G80)/('Anchors'!$H$8-'Anchors'!$G$8))),"")</x:f>
        <x:v>47.960003324694966</x:v>
      </x:c>
      <x:c r="Z80" s="33" t="n">
        <x:f>IF(ISNUMBER(H80),100*MAX(0,MIN(1,('Anchors'!$H$9-H80)/('Anchors'!$H$9-'Anchors'!$G$9))),"")</x:f>
        <x:v>52.044229685267375</x:v>
      </x:c>
      <x:c r="AA80" s="33" t="n">
        <x:f>IF(ISNUMBER(I80),100*MAX(0,MIN(1,(I80-'Anchors'!$H$10)/('Anchors'!$G$10-'Anchors'!$H$10))),"")</x:f>
        <x:v>72.51831364781326</x:v>
      </x:c>
      <x:c r="AB80" s="33" t="n">
        <x:f>IF(ISNUMBER(J80),100*MAX(0,MIN(1,('Anchors'!$H$11-J80)/('Anchors'!$H$11-'Anchors'!$G$11))),"")</x:f>
        <x:v>76.72784257550276</x:v>
      </x:c>
      <x:c r="AC80" s="33" t="n">
        <x:f>IF(ISNUMBER(K80),100*MAX(0,MIN(1,('Anchors'!$H$12-K80)/('Anchors'!$H$12-'Anchors'!$G$12))),"")</x:f>
        <x:v>58.61395092687841</x:v>
      </x:c>
      <x:c r="AD80" s="33" t="n">
        <x:f>IF(ISNUMBER(L80),100*MAX(0,MIN(1,(L80-'Anchors'!$H$13)/('Anchors'!$G$13-'Anchors'!$H$13))),"")</x:f>
        <x:v>55.54622271428572</x:v>
      </x:c>
      <x:c r="AE80" s="33" t="n">
        <x:f>IF(ISNUMBER(M80),100*MAX(0,MIN(1,(M80-'Anchors'!$H$14)/('Anchors'!$G$14-'Anchors'!$H$14))),"")</x:f>
        <x:v>59.41944325</x:v>
      </x:c>
      <x:c r="AF80" s="33" t="n">
        <x:f>IF(ISNUMBER(N80),100*MAX(0,MIN(1,(LN(1+N80)-LN(1+'Anchors'!$H$15))/(LN(1+'Anchors'!$G$15)-LN(1+'Anchors'!$H$15)))),"")</x:f>
        <x:v>84.69598032246417</x:v>
      </x:c>
      <x:c r="AG80" s="33" t="n">
        <x:f>IF(ISNUMBER(O80),100*MAX(0,MIN(1,('Anchors'!$H$16-O80)/('Anchors'!$H$16-'Anchors'!$G$16))),"")</x:f>
        <x:v>51.25555555555555</x:v>
      </x:c>
      <x:c r="AH80" s="33" t="n">
        <x:f>IF(ISNUMBER(P80),100*MAX(0,MIN(1,('Anchors'!$H$17-P80)/('Anchors'!$H$17-'Anchors'!$G$17))),"")</x:f>
        <x:v>9.4899929470486</x:v>
      </x:c>
      <x:c r="AI80" s="33" t="n">
        <x:f>IF(ISNUMBER(Q80),100*MAX(0,MIN(1,('Anchors'!$H$18-Q80)/('Anchors'!$H$18-'Anchors'!$G$18))),"")</x:f>
        <x:v>11.639110201881055</x:v>
      </x:c>
      <x:c r="AJ80" s="33" t="n">
        <x:f>IF(ISNUMBER(R80),100*MAX(0,MIN(1,('Anchors'!$H$19-R80)/('Anchors'!$H$19-'Anchors'!$G$19))),"")</x:f>
        <x:v>93.79629915720504</x:v>
      </x:c>
      <x:c r="AK80" s="33" t="n">
        <x:f>IF(ISNUMBER(S80),100*MAX(0,MIN(1,('Anchors'!$H$20-S80)/('Anchors'!$H$20-'Anchors'!$G$20))),"")</x:f>
        <x:v>84.77768856704667</x:v>
      </x:c>
      <x:c r="AL80" s="33" t="n">
        <x:f>IF(ISNUMBER(T80),100*MAX(0,MIN(1,('Anchors'!$H$21-T80)/('Anchors'!$H$21-'Anchors'!$G$21))),"")</x:f>
        <x:v>87.0909090909091</x:v>
      </x:c>
      <x:c r="AM80" s="33" t="n">
        <x:f>IF(ISNUMBER(U80),100*MAX(0,MIN(1,('Anchors'!$H$22-U80)/('Anchors'!$H$22-'Anchors'!$G$22))),"")</x:f>
        <x:v>44.29226091355795</x:v>
      </x:c>
      <x:c r="AN80" s="33" t="n">
        <x:f>IF(ISNUMBER(V80),100*MAX(0,MIN(1,('Anchors'!$H$23-V80)/('Anchors'!$H$23-'Anchors'!$G$23))),"")</x:f>
        <x:v>68.6431055263375</x:v>
      </x:c>
      <x:c r="AO80" s="27" t="n">
        <x:f>IF(ISNUMBER(W80),IF('Scoring Setup'!$L$9=1,1-'Scoring Setup'!$B$5*(1-MAX(0,MIN(1,(W80-'Scoring Setup'!$K$9)/(100-'Scoring Setup'!$K$9)))),1),"")</x:f>
        <x:v>0.9174285714285715</x:v>
      </x:c>
      <x:c r="AP80" s="27" t="n">
        <x:f>IF(ISNUMBER(X80),IF('Scoring Setup'!$L$10=1,1-'Scoring Setup'!$B$5*(1-MAX(0,MIN(1,(X80-'Scoring Setup'!$K$10)/(100-'Scoring Setup'!$K$10)))),1),"")</x:f>
        <x:v>0.985519801980198</x:v>
      </x:c>
      <x:c r="AQ80" s="27" t="n">
        <x:f>IF(ISNUMBER(Y80),IF('Scoring Setup'!$L$11=1,1-'Scoring Setup'!$B$5*(1-MAX(0,MIN(1,(Y80-'Scoring Setup'!$K$11)/(100-'Scoring Setup'!$K$11)))),1),"")</x:f>
        <x:v>0.89592000664939</x:v>
      </x:c>
      <x:c r="AR80" s="27" t="n">
        <x:f>IF(ISNUMBER(Z80),IF('Scoring Setup'!$L$12=1,1-'Scoring Setup'!$B$5*(1-MAX(0,MIN(1,(Z80-'Scoring Setup'!$K$12)/(100-'Scoring Setup'!$K$12)))),1),"")</x:f>
        <x:v>0.9040884593705347</x:v>
      </x:c>
      <x:c r="AS80" s="27" t="n">
        <x:f>IF(ISNUMBER(AA80),IF('Scoring Setup'!$L$13=1,1-'Scoring Setup'!$B$5*(1-MAX(0,MIN(1,(AA80-'Scoring Setup'!$K$13)/(100-'Scoring Setup'!$K$13)))),1),"")</x:f>
        <x:v>0.9450366272956265</x:v>
      </x:c>
      <x:c r="AT80" s="27" t="n">
        <x:f>IF(ISNUMBER(AB80),IF('Scoring Setup'!$L$14=1,1-'Scoring Setup'!$B$5*(1-MAX(0,MIN(1,(AB80-'Scoring Setup'!$K$14)/(100-'Scoring Setup'!$K$14)))),1),"")</x:f>
        <x:v>0.9534556851510055</x:v>
      </x:c>
      <x:c r="AU80" s="27" t="n">
        <x:f>IF(ISNUMBER(AC80),IF('Scoring Setup'!$L$15=1,1-'Scoring Setup'!$B$5*(1-MAX(0,MIN(1,(AC80-'Scoring Setup'!$K$15)/(100-'Scoring Setup'!$K$15)))),1),"")</x:f>
        <x:v>0.9172279018537568</x:v>
      </x:c>
      <x:c r="AV80" s="27" t="n">
        <x:f>IF(ISNUMBER(AD80),IF('Scoring Setup'!$L$16=1,1-'Scoring Setup'!$B$5*(1-MAX(0,MIN(1,(AD80-'Scoring Setup'!$K$16)/(100-'Scoring Setup'!$K$16)))),1),"")</x:f>
        <x:v>0.9110924454285714</x:v>
      </x:c>
      <x:c r="AW80" s="27" t="n">
        <x:f>IF(ISNUMBER(AE80),IF('Scoring Setup'!$L$17=1,1-'Scoring Setup'!$B$5*(1-MAX(0,MIN(1,(AE80-'Scoring Setup'!$K$17)/(100-'Scoring Setup'!$K$17)))),1),"")</x:f>
        <x:v>0.9188388865</x:v>
      </x:c>
      <x:c r="AX80" s="27" t="n">
        <x:f>IF(ISNUMBER(AF80),IF('Scoring Setup'!$L$18=1,1-'Scoring Setup'!$B$5*(1-MAX(0,MIN(1,(AF80-'Scoring Setup'!$K$18)/(100-'Scoring Setup'!$K$18)))),1),"")</x:f>
        <x:v>0.9693919606449284</x:v>
      </x:c>
      <x:c r="AY80" s="27" t="n">
        <x:f>IF(ISNUMBER(AG80),IF('Scoring Setup'!$L$19=1,1-'Scoring Setup'!$B$5*(1-MAX(0,MIN(1,(AG80-'Scoring Setup'!$K$19)/(100-'Scoring Setup'!$K$19)))),1),"")</x:f>
        <x:v>0.902511111111111</x:v>
      </x:c>
      <x:c r="AZ80" s="27" t="n">
        <x:f>IF(ISNUMBER(AH80),IF('Scoring Setup'!$L$20=1,1-'Scoring Setup'!$B$5*(1-MAX(0,MIN(1,(AH80-'Scoring Setup'!$K$20)/(100-'Scoring Setup'!$K$20)))),1),"")</x:f>
        <x:v>0.8189799858940972</x:v>
      </x:c>
      <x:c r="BA80" s="27" t="n">
        <x:f>IF(ISNUMBER(AI80),IF('Scoring Setup'!$L$21=1,1-'Scoring Setup'!$B$5*(1-MAX(0,MIN(1,(AI80-'Scoring Setup'!$K$21)/(100-'Scoring Setup'!$K$21)))),1),"")</x:f>
        <x:v>0.8232782204037621</x:v>
      </x:c>
      <x:c r="BB80" s="27" t="n">
        <x:f>IF(ISNUMBER(AJ80),IF('Scoring Setup'!$L$22=1,1-'Scoring Setup'!$B$5*(1-MAX(0,MIN(1,(AJ80-'Scoring Setup'!$K$22)/(100-'Scoring Setup'!$K$22)))),1),"")</x:f>
        <x:v>0.98759259831441</x:v>
      </x:c>
      <x:c r="BC80" s="27" t="n">
        <x:f>IF(ISNUMBER(AK80),IF('Scoring Setup'!$L$23=1,1-'Scoring Setup'!$B$5*(1-MAX(0,MIN(1,(AK80-'Scoring Setup'!$K$23)/(100-'Scoring Setup'!$K$23)))),1),"")</x:f>
        <x:v>0.9695553771340933</x:v>
      </x:c>
      <x:c r="BD80" s="27" t="n">
        <x:f>IF(ISNUMBER(AL80),IF('Scoring Setup'!$L$24=1,1-'Scoring Setup'!$B$5*(1-MAX(0,MIN(1,(AL80-'Scoring Setup'!$K$24)/(100-'Scoring Setup'!$K$24)))),1),"")</x:f>
        <x:v>0.9741818181818181</x:v>
      </x:c>
      <x:c r="BE80" s="27" t="n">
        <x:f>IF(ISNUMBER(AM80),IF('Scoring Setup'!$L$25=1,1-'Scoring Setup'!$B$5*(1-MAX(0,MIN(1,(AM80-'Scoring Setup'!$K$25)/(100-'Scoring Setup'!$K$25)))),1),"")</x:f>
        <x:v>0.8885845218271159</x:v>
      </x:c>
      <x:c r="BF80" s="27" t="n">
        <x:f>IF(ISNUMBER(AN80),IF('Scoring Setup'!$L$26=1,1-'Scoring Setup'!$B$5*(1-MAX(0,MIN(1,(AN80-'Scoring Setup'!$K$26)/(100-'Scoring Setup'!$K$26)))),1),"")</x:f>
        <x:v>0.937286211052675</x:v>
      </x:c>
      <x:c r="BG80" s="34" t="n">
        <x:f>IF(COUNT(W80,X80)=2,AVERAGE(W80,X80),"")</x:f>
        <x:v>75.73709335219236</x:v>
      </x:c>
      <x:c r="BH80" s="34" t="n">
        <x:f>IF(COUNT(Y80,Z80)=2,AVERAGE(Y80,Z80),"")</x:f>
        <x:v>50.002116504981174</x:v>
      </x:c>
      <x:c r="BI80" s="34" t="n">
        <x:f>IF(COUNT(AA80,AB80,AC80)=3,AVERAGE(AA80,AB80,AC80),"")</x:f>
        <x:v>69.28670238339814</x:v>
      </x:c>
      <x:c r="BJ80" s="34" t="n">
        <x:f>IF(COUNT(AD80,AE80)=2,AVERAGE(AD80,AE80),"")</x:f>
        <x:v>57.48283298214286</x:v>
      </x:c>
      <x:c r="BK80" s="34" t="n">
        <x:f>IF(COUNT(AF80,AG80)=2,AVERAGE(AF80,AG80),"")</x:f>
        <x:v>67.97576793900986</x:v>
      </x:c>
      <x:c r="BL80" s="34" t="n">
        <x:f>IF(COUNT(AH80,AI80)=2,AVERAGE(AH80,AI80),"")</x:f>
        <x:v>10.564551574464828</x:v>
      </x:c>
      <x:c r="BM80" s="34" t="n">
        <x:f>IF(COUNT(AJ80,AK80)=2,AVERAGE(AJ80,AK80),"")</x:f>
        <x:v>89.28699386212585</x:v>
      </x:c>
      <x:c r="BN80" s="34" t="n">
        <x:f>IF(COUNT(AL80,AM80,AN80)=3,AVERAGE(AL80,AM80,AN80),"")</x:f>
        <x:v>66.67542517693484</x:v>
      </x:c>
      <x:c r="BO80" s="35" t="n">
        <x:f>IF(AND(COUNT(BG80:BN80)=8,ABS('Scoring Setup'!$C$17-1)&lt;0.000001),BG80*'Scoring Setup'!$C$9+BH80*'Scoring Setup'!$C$10+BI80*'Scoring Setup'!$C$11+BJ80*'Scoring Setup'!$C$12+BK80*'Scoring Setup'!$C$13+BL80*'Scoring Setup'!$C$14+BM80*'Scoring Setup'!$C$15+BN80*'Scoring Setup'!$C$16,"")</x:f>
        <x:v>62.04386779158054</x:v>
      </x:c>
      <x:c r="BP80" s="36" t="n">
        <x:f>IF(COUNT(AO80:BF80)=18,MIN(AO80:BF80),"")</x:f>
        <x:v>0.8189799858940972</x:v>
      </x:c>
      <x:c r="BQ80" s="35" t="n">
        <x:f>IF(AND(ISNUMBER(BO80),ISNUMBER(BP80)),BO80*BP80,"")</x:f>
        <x:v>50.81268596876386</x:v>
      </x:c>
      <x:c r="BR80" s="17" t="str">
        <x:f>IF(COUNT(AO80:BF80)=18,INDEX('Scoring Setup'!$F$9:$F$26,MATCH(MIN(AO80:BF80),AO80:BF80,0),1),"")</x:f>
        <x:v>历史CDD65</x:v>
      </x:c>
    </x:row>
    <x:row r="81">
      <x:c r="A81" s="28" t="str">
        <x:v>13155</x:v>
      </x:c>
      <x:c r="B81" s="28" t="str">
        <x:v>Irwin County</x:v>
      </x:c>
      <x:c r="C81" s="28" t="str">
        <x:v>GA</x:v>
      </x:c>
      <x:c r="D81" s="31" t="n">
        <x:v>917.795237</x:v>
      </x:c>
      <x:c r="E81" s="32" t="n">
        <x:v>0.485</x:v>
      </x:c>
      <x:c r="F81" s="32" t="n">
        <x:v>0.114789603960396</x:v>
      </x:c>
      <x:c r="G81" s="32" t="n">
        <x:v>2.540998662645616</x:v>
      </x:c>
      <x:c r="H81" s="32" t="n">
        <x:v>2.6924500149851904</x:v>
      </x:c>
      <x:c r="I81" s="32" t="n">
        <x:v>0.9499237058017715</x:v>
      </x:c>
      <x:c r="J81" s="32" t="n">
        <x:v>0.03148930767136613</x:v>
      </x:c>
      <x:c r="K81" s="32" t="n">
        <x:v>0.23749482028206917</x:v>
      </x:c>
      <x:c r="L81" s="32" t="n">
        <x:v>0.918896999</x:v>
      </x:c>
      <x:c r="M81" s="32" t="n">
        <x:v>0.918896999</x:v>
      </x:c>
      <x:c r="N81" s="32" t="n">
        <x:v>3991</x:v>
      </x:c>
      <x:c r="O81" s="32" t="n">
        <x:v>0.8282</x:v>
      </x:c>
      <x:c r="P81" s="32" t="n">
        <x:v>2260.5689290364585</x:v>
      </x:c>
      <x:c r="Q81" s="32" t="n">
        <x:v>72.43587532043458</x:v>
      </x:c>
      <x:c r="R81" s="32" t="n">
        <x:v>24.71535526651209</x:v>
      </x:c>
      <x:c r="S81" s="32" t="n">
        <x:v>8.211887419271442</x:v>
      </x:c>
      <x:c r="T81" s="32" t="n">
        <x:v>72.1</x:v>
      </x:c>
      <x:c r="U81" s="32" t="n">
        <x:v>211.4154781728841</x:v>
      </x:c>
      <x:c r="V81" s="32" t="n">
        <x:v>325.42757789465</x:v>
      </x:c>
      <x:c r="W81" s="33" t="n">
        <x:f>IF(ISNUMBER(E81),100*MAX(0,MIN(1,('Anchors'!$H$6-E81)/('Anchors'!$H$6-'Anchors'!$G$6))),"")</x:f>
        <x:v>59.2857142857143</x:v>
      </x:c>
      <x:c r="X81" s="33" t="n">
        <x:f>IF(ISNUMBER(F81),100*MAX(0,MIN(1,('Anchors'!$H$7-F81)/('Anchors'!$H$7-'Anchors'!$G$7))),"")</x:f>
        <x:v>97.88719943422915</x:v>
      </x:c>
      <x:c r="Y81" s="33" t="n">
        <x:f>IF(ISNUMBER(G81),100*MAX(0,MIN(1,('Anchors'!$H$8-G81)/('Anchors'!$H$8-'Anchors'!$G$8))),"")</x:f>
        <x:v>48.63337791181281</x:v>
      </x:c>
      <x:c r="Z81" s="33" t="n">
        <x:f>IF(ISNUMBER(H81),100*MAX(0,MIN(1,('Anchors'!$H$9-H81)/('Anchors'!$H$9-'Anchors'!$G$9))),"")</x:f>
        <x:v>43.58499950049365</x:v>
      </x:c>
      <x:c r="AA81" s="33" t="n">
        <x:f>IF(ISNUMBER(I81),100*MAX(0,MIN(1,(I81-'Anchors'!$H$10)/('Anchors'!$G$10-'Anchors'!$H$10))),"")</x:f>
        <x:v>95.87995969887282</x:v>
      </x:c>
      <x:c r="AB81" s="33" t="n">
        <x:f>IF(ISNUMBER(J81),100*MAX(0,MIN(1,('Anchors'!$H$11-J81)/('Anchors'!$H$11-'Anchors'!$G$11))),"")</x:f>
        <x:v>87.40427693145355</x:v>
      </x:c>
      <x:c r="AC81" s="33" t="n">
        <x:f>IF(ISNUMBER(K81),100*MAX(0,MIN(1,('Anchors'!$H$12-K81)/('Anchors'!$H$12-'Anchors'!$G$12))),"")</x:f>
        <x:v>40.62629492948271</x:v>
      </x:c>
      <x:c r="AD81" s="33" t="n">
        <x:f>IF(ISNUMBER(L81),100*MAX(0,MIN(1,(L81-'Anchors'!$H$13)/('Anchors'!$G$13-'Anchors'!$H$13))),"")</x:f>
        <x:v>100</x:v>
      </x:c>
      <x:c r="AE81" s="33" t="n">
        <x:f>IF(ISNUMBER(M81),100*MAX(0,MIN(1,(M81-'Anchors'!$H$14)/('Anchors'!$G$14-'Anchors'!$H$14))),"")</x:f>
        <x:v>100</x:v>
      </x:c>
      <x:c r="AF81" s="33" t="n">
        <x:f>IF(ISNUMBER(N81),100*MAX(0,MIN(1,(LN(1+N81)-LN(1+'Anchors'!$H$15))/(LN(1+'Anchors'!$G$15)-LN(1+'Anchors'!$H$15)))),"")</x:f>
        <x:v>15.998288578600173</x:v>
      </x:c>
      <x:c r="AG81" s="33" t="n">
        <x:f>IF(ISNUMBER(O81),100*MAX(0,MIN(1,('Anchors'!$H$16-O81)/('Anchors'!$H$16-'Anchors'!$G$16))),"")</x:f>
        <x:v>13.533333333333324</x:v>
      </x:c>
      <x:c r="AH81" s="33" t="n">
        <x:f>IF(ISNUMBER(P81),100*MAX(0,MIN(1,('Anchors'!$H$17-P81)/('Anchors'!$H$17-'Anchors'!$G$17))),"")</x:f>
        <x:v>0</x:v>
      </x:c>
      <x:c r="AI81" s="33" t="n">
        <x:f>IF(ISNUMBER(Q81),100*MAX(0,MIN(1,('Anchors'!$H$18-Q81)/('Anchors'!$H$18-'Anchors'!$G$18))),"")</x:f>
        <x:v>3.663035256522034</x:v>
      </x:c>
      <x:c r="AJ81" s="33" t="n">
        <x:f>IF(ISNUMBER(R81),100*MAX(0,MIN(1,('Anchors'!$H$19-R81)/('Anchors'!$H$19-'Anchors'!$G$19))),"")</x:f>
        <x:v>56.18809940775091</x:v>
      </x:c>
      <x:c r="AK81" s="33" t="n">
        <x:f>IF(ISNUMBER(S81),100*MAX(0,MIN(1,('Anchors'!$H$20-S81)/('Anchors'!$H$20-'Anchors'!$G$20))),"")</x:f>
        <x:v>62.0426977933082</x:v>
      </x:c>
      <x:c r="AL81" s="33" t="n">
        <x:f>IF(ISNUMBER(T81),100*MAX(0,MIN(1,('Anchors'!$H$21-T81)/('Anchors'!$H$21-'Anchors'!$G$21))),"")</x:f>
        <x:v>87.0909090909091</x:v>
      </x:c>
      <x:c r="AM81" s="33" t="n">
        <x:f>IF(ISNUMBER(U81),100*MAX(0,MIN(1,('Anchors'!$H$22-U81)/('Anchors'!$H$22-'Anchors'!$G$22))),"")</x:f>
        <x:v>44.29226091355795</x:v>
      </x:c>
      <x:c r="AN81" s="33" t="n">
        <x:f>IF(ISNUMBER(V81),100*MAX(0,MIN(1,('Anchors'!$H$23-V81)/('Anchors'!$H$23-'Anchors'!$G$23))),"")</x:f>
        <x:v>68.6431055263375</x:v>
      </x:c>
      <x:c r="AO81" s="27" t="n">
        <x:f>IF(ISNUMBER(W81),IF('Scoring Setup'!$L$9=1,1-'Scoring Setup'!$B$5*(1-MAX(0,MIN(1,(W81-'Scoring Setup'!$K$9)/(100-'Scoring Setup'!$K$9)))),1),"")</x:f>
        <x:v>0.9185714285714286</x:v>
      </x:c>
      <x:c r="AP81" s="27" t="n">
        <x:f>IF(ISNUMBER(X81),IF('Scoring Setup'!$L$10=1,1-'Scoring Setup'!$B$5*(1-MAX(0,MIN(1,(X81-'Scoring Setup'!$K$10)/(100-'Scoring Setup'!$K$10)))),1),"")</x:f>
        <x:v>0.9957743988684583</x:v>
      </x:c>
      <x:c r="AQ81" s="27" t="n">
        <x:f>IF(ISNUMBER(Y81),IF('Scoring Setup'!$L$11=1,1-'Scoring Setup'!$B$5*(1-MAX(0,MIN(1,(Y81-'Scoring Setup'!$K$11)/(100-'Scoring Setup'!$K$11)))),1),"")</x:f>
        <x:v>0.8972667558236256</x:v>
      </x:c>
      <x:c r="AR81" s="27" t="n">
        <x:f>IF(ISNUMBER(Z81),IF('Scoring Setup'!$L$12=1,1-'Scoring Setup'!$B$5*(1-MAX(0,MIN(1,(Z81-'Scoring Setup'!$K$12)/(100-'Scoring Setup'!$K$12)))),1),"")</x:f>
        <x:v>0.8871699990009874</x:v>
      </x:c>
      <x:c r="AS81" s="27" t="n">
        <x:f>IF(ISNUMBER(AA81),IF('Scoring Setup'!$L$13=1,1-'Scoring Setup'!$B$5*(1-MAX(0,MIN(1,(AA81-'Scoring Setup'!$K$13)/(100-'Scoring Setup'!$K$13)))),1),"")</x:f>
        <x:v>0.9917599193977457</x:v>
      </x:c>
      <x:c r="AT81" s="27" t="n">
        <x:f>IF(ISNUMBER(AB81),IF('Scoring Setup'!$L$14=1,1-'Scoring Setup'!$B$5*(1-MAX(0,MIN(1,(AB81-'Scoring Setup'!$K$14)/(100-'Scoring Setup'!$K$14)))),1),"")</x:f>
        <x:v>0.9748085538629071</x:v>
      </x:c>
      <x:c r="AU81" s="27" t="n">
        <x:f>IF(ISNUMBER(AC81),IF('Scoring Setup'!$L$15=1,1-'Scoring Setup'!$B$5*(1-MAX(0,MIN(1,(AC81-'Scoring Setup'!$K$15)/(100-'Scoring Setup'!$K$15)))),1),"")</x:f>
        <x:v>0.8812525898589654</x:v>
      </x:c>
      <x:c r="AV81" s="27" t="n">
        <x:f>IF(ISNUMBER(AD81),IF('Scoring Setup'!$L$16=1,1-'Scoring Setup'!$B$5*(1-MAX(0,MIN(1,(AD81-'Scoring Setup'!$K$16)/(100-'Scoring Setup'!$K$16)))),1),"")</x:f>
        <x:v>1</x:v>
      </x:c>
      <x:c r="AW81" s="27" t="n">
        <x:f>IF(ISNUMBER(AE81),IF('Scoring Setup'!$L$17=1,1-'Scoring Setup'!$B$5*(1-MAX(0,MIN(1,(AE81-'Scoring Setup'!$K$17)/(100-'Scoring Setup'!$K$17)))),1),"")</x:f>
        <x:v>1</x:v>
      </x:c>
      <x:c r="AX81" s="27" t="n">
        <x:f>IF(ISNUMBER(AF81),IF('Scoring Setup'!$L$18=1,1-'Scoring Setup'!$B$5*(1-MAX(0,MIN(1,(AF81-'Scoring Setup'!$K$18)/(100-'Scoring Setup'!$K$18)))),1),"")</x:f>
        <x:v>0.8319965771572003</x:v>
      </x:c>
      <x:c r="AY81" s="27" t="n">
        <x:f>IF(ISNUMBER(AG81),IF('Scoring Setup'!$L$19=1,1-'Scoring Setup'!$B$5*(1-MAX(0,MIN(1,(AG81-'Scoring Setup'!$K$19)/(100-'Scoring Setup'!$K$19)))),1),"")</x:f>
        <x:v>0.8270666666666666</x:v>
      </x:c>
      <x:c r="AZ81" s="27" t="n">
        <x:f>IF(ISNUMBER(AH81),IF('Scoring Setup'!$L$20=1,1-'Scoring Setup'!$B$5*(1-MAX(0,MIN(1,(AH81-'Scoring Setup'!$K$20)/(100-'Scoring Setup'!$K$20)))),1),"")</x:f>
        <x:v>0.8</x:v>
      </x:c>
      <x:c r="BA81" s="27" t="n">
        <x:f>IF(ISNUMBER(AI81),IF('Scoring Setup'!$L$21=1,1-'Scoring Setup'!$B$5*(1-MAX(0,MIN(1,(AI81-'Scoring Setup'!$K$21)/(100-'Scoring Setup'!$K$21)))),1),"")</x:f>
        <x:v>0.8073260705130441</x:v>
      </x:c>
      <x:c r="BB81" s="27" t="n">
        <x:f>IF(ISNUMBER(AJ81),IF('Scoring Setup'!$L$22=1,1-'Scoring Setup'!$B$5*(1-MAX(0,MIN(1,(AJ81-'Scoring Setup'!$K$22)/(100-'Scoring Setup'!$K$22)))),1),"")</x:f>
        <x:v>0.9123761988155018</x:v>
      </x:c>
      <x:c r="BC81" s="27" t="n">
        <x:f>IF(ISNUMBER(AK81),IF('Scoring Setup'!$L$23=1,1-'Scoring Setup'!$B$5*(1-MAX(0,MIN(1,(AK81-'Scoring Setup'!$K$23)/(100-'Scoring Setup'!$K$23)))),1),"")</x:f>
        <x:v>0.9240853955866164</x:v>
      </x:c>
      <x:c r="BD81" s="27" t="n">
        <x:f>IF(ISNUMBER(AL81),IF('Scoring Setup'!$L$24=1,1-'Scoring Setup'!$B$5*(1-MAX(0,MIN(1,(AL81-'Scoring Setup'!$K$24)/(100-'Scoring Setup'!$K$24)))),1),"")</x:f>
        <x:v>0.9741818181818181</x:v>
      </x:c>
      <x:c r="BE81" s="27" t="n">
        <x:f>IF(ISNUMBER(AM81),IF('Scoring Setup'!$L$25=1,1-'Scoring Setup'!$B$5*(1-MAX(0,MIN(1,(AM81-'Scoring Setup'!$K$25)/(100-'Scoring Setup'!$K$25)))),1),"")</x:f>
        <x:v>0.8885845218271159</x:v>
      </x:c>
      <x:c r="BF81" s="27" t="n">
        <x:f>IF(ISNUMBER(AN81),IF('Scoring Setup'!$L$26=1,1-'Scoring Setup'!$B$5*(1-MAX(0,MIN(1,(AN81-'Scoring Setup'!$K$26)/(100-'Scoring Setup'!$K$26)))),1),"")</x:f>
        <x:v>0.937286211052675</x:v>
      </x:c>
      <x:c r="BG81" s="34" t="n">
        <x:f>IF(COUNT(W81,X81)=2,AVERAGE(W81,X81),"")</x:f>
        <x:v>78.58645685997172</x:v>
      </x:c>
      <x:c r="BH81" s="34" t="n">
        <x:f>IF(COUNT(Y81,Z81)=2,AVERAGE(Y81,Z81),"")</x:f>
        <x:v>46.10918870615323</x:v>
      </x:c>
      <x:c r="BI81" s="34" t="n">
        <x:f>IF(COUNT(AA81,AB81,AC81)=3,AVERAGE(AA81,AB81,AC81),"")</x:f>
        <x:v>74.6368438532697</x:v>
      </x:c>
      <x:c r="BJ81" s="34" t="n">
        <x:f>IF(COUNT(AD81,AE81)=2,AVERAGE(AD81,AE81),"")</x:f>
        <x:v>100</x:v>
      </x:c>
      <x:c r="BK81" s="34" t="n">
        <x:f>IF(COUNT(AF81,AG81)=2,AVERAGE(AF81,AG81),"")</x:f>
        <x:v>14.76581095596675</x:v>
      </x:c>
      <x:c r="BL81" s="34" t="n">
        <x:f>IF(COUNT(AH81,AI81)=2,AVERAGE(AH81,AI81),"")</x:f>
        <x:v>1.831517628261017</x:v>
      </x:c>
      <x:c r="BM81" s="34" t="n">
        <x:f>IF(COUNT(AJ81,AK81)=2,AVERAGE(AJ81,AK81),"")</x:f>
        <x:v>59.11539860052956</x:v>
      </x:c>
      <x:c r="BN81" s="34" t="n">
        <x:f>IF(COUNT(AL81,AM81,AN81)=3,AVERAGE(AL81,AM81,AN81),"")</x:f>
        <x:v>66.67542517693484</x:v>
      </x:c>
      <x:c r="BO81" s="35" t="n">
        <x:f>IF(AND(COUNT(BG81:BN81)=8,ABS('Scoring Setup'!$C$17-1)&lt;0.000001),BG81*'Scoring Setup'!$C$9+BH81*'Scoring Setup'!$C$10+BI81*'Scoring Setup'!$C$11+BJ81*'Scoring Setup'!$C$12+BK81*'Scoring Setup'!$C$13+BL81*'Scoring Setup'!$C$14+BM81*'Scoring Setup'!$C$15+BN81*'Scoring Setup'!$C$16,"")</x:f>
        <x:v>59.07072227267144</x:v>
      </x:c>
      <x:c r="BP81" s="36" t="n">
        <x:f>IF(COUNT(AO81:BF81)=18,MIN(AO81:BF81),"")</x:f>
        <x:v>0.8</x:v>
      </x:c>
      <x:c r="BQ81" s="35" t="n">
        <x:f>IF(AND(ISNUMBER(BO81),ISNUMBER(BP81)),BO81*BP81,"")</x:f>
        <x:v>47.25657781813715</x:v>
      </x:c>
      <x:c r="BR81" s="17" t="str">
        <x:f>IF(COUNT(AO81:BF81)=18,INDEX('Scoring Setup'!$F$9:$F$26,MATCH(MIN(AO81:BF81),AO81:BF81,0),1),"")</x:f>
        <x:v>历史CDD65</x:v>
      </x:c>
    </x:row>
    <x:row r="82">
      <x:c r="A82" s="28" t="str">
        <x:v>13157</x:v>
      </x:c>
      <x:c r="B82" s="28" t="str">
        <x:v>Jackson County</x:v>
      </x:c>
      <x:c r="C82" s="28" t="str">
        <x:v>GA</x:v>
      </x:c>
      <x:c r="D82" s="31" t="n">
        <x:v>879.812977</x:v>
      </x:c>
      <x:c r="E82" s="32" t="n">
        <x:v>0.497</x:v>
      </x:c>
      <x:c r="F82" s="32" t="n">
        <x:v>0.171101485148515</x:v>
      </x:c>
      <x:c r="G82" s="32" t="n">
        <x:v>2.1397501954663536</x:v>
      </x:c>
      <x:c r="H82" s="32" t="n">
        <x:v>1.9469339822586829</x:v>
      </x:c>
      <x:c r="I82" s="32" t="n">
        <x:v>0.8578813137088342</x:v>
      </x:c>
      <x:c r="J82" s="32" t="n">
        <x:v>0.005939443718642342</x:v>
      </x:c>
      <x:c r="K82" s="32" t="n">
        <x:v>0.045460949751698905</x:v>
      </x:c>
      <x:c r="L82" s="32" t="n">
        <x:v>0.406795199</x:v>
      </x:c>
      <x:c r="M82" s="32" t="n">
        <x:v>0.404100456</x:v>
      </x:c>
      <x:c r="N82" s="32" t="n">
        <x:v>44302</x:v>
      </x:c>
      <x:c r="O82" s="32" t="n">
        <x:v>0.3264</x:v>
      </x:c>
      <x:c r="P82" s="32" t="n">
        <x:v>1493.971826171875</x:v>
      </x:c>
      <x:c r="Q82" s="32" t="n">
        <x:v>36.08658014933268</x:v>
      </x:c>
      <x:c r="R82" s="32" t="n">
        <x:v>6.607658265680167</x:v>
      </x:c>
      <x:c r="S82" s="32" t="n">
        <x:v>2.073498360020508</x:v>
      </x:c>
      <x:c r="T82" s="32" t="n">
        <x:v>72.1</x:v>
      </x:c>
      <x:c r="U82" s="32" t="n">
        <x:v>211.4154781728841</x:v>
      </x:c>
      <x:c r="V82" s="32" t="n">
        <x:v>325.42757789465</x:v>
      </x:c>
      <x:c r="W82" s="33" t="n">
        <x:f>IF(ISNUMBER(E82),100*MAX(0,MIN(1,('Anchors'!$H$6-E82)/('Anchors'!$H$6-'Anchors'!$G$6))),"")</x:f>
        <x:v>57.57142857142858</x:v>
      </x:c>
      <x:c r="X82" s="33" t="n">
        <x:f>IF(ISNUMBER(F82),100*MAX(0,MIN(1,('Anchors'!$H$7-F82)/('Anchors'!$H$7-'Anchors'!$G$7))),"")</x:f>
        <x:v>89.84264497878357</x:v>
      </x:c>
      <x:c r="Y82" s="33" t="n">
        <x:f>IF(ISNUMBER(G82),100*MAX(0,MIN(1,('Anchors'!$H$8-G82)/('Anchors'!$H$8-'Anchors'!$G$8))),"")</x:f>
        <x:v>62.008326817788216</x:v>
      </x:c>
      <x:c r="Z82" s="33" t="n">
        <x:f>IF(ISNUMBER(H82),100*MAX(0,MIN(1,('Anchors'!$H$9-H82)/('Anchors'!$H$9-'Anchors'!$G$9))),"")</x:f>
        <x:v>68.43553392471057</x:v>
      </x:c>
      <x:c r="AA82" s="33" t="n">
        <x:f>IF(ISNUMBER(I82),100*MAX(0,MIN(1,(I82-'Anchors'!$H$10)/('Anchors'!$G$10-'Anchors'!$H$10))),"")</x:f>
        <x:v>83.27141283682661</x:v>
      </x:c>
      <x:c r="AB82" s="33" t="n">
        <x:f>IF(ISNUMBER(J82),100*MAX(0,MIN(1,('Anchors'!$H$11-J82)/('Anchors'!$H$11-'Anchors'!$G$11))),"")</x:f>
        <x:v>97.62422251254307</x:v>
      </x:c>
      <x:c r="AC82" s="33" t="n">
        <x:f>IF(ISNUMBER(K82),100*MAX(0,MIN(1,('Anchors'!$H$12-K82)/('Anchors'!$H$12-'Anchors'!$G$12))),"")</x:f>
        <x:v>88.63476256207528</x:v>
      </x:c>
      <x:c r="AD82" s="33" t="n">
        <x:f>IF(ISNUMBER(L82),100*MAX(0,MIN(1,(L82-'Anchors'!$H$13)/('Anchors'!$G$13-'Anchors'!$H$13))),"")</x:f>
        <x:v>29.542171285714286</x:v>
      </x:c>
      <x:c r="AE82" s="33" t="n">
        <x:f>IF(ISNUMBER(M82),100*MAX(0,MIN(1,(M82-'Anchors'!$H$14)/('Anchors'!$G$14-'Anchors'!$H$14))),"")</x:f>
        <x:v>38.012557</x:v>
      </x:c>
      <x:c r="AF82" s="33" t="n">
        <x:f>IF(ISNUMBER(N82),100*MAX(0,MIN(1,(LN(1+N82)-LN(1+'Anchors'!$H$15))/(LN(1+'Anchors'!$G$15)-LN(1+'Anchors'!$H$15)))),"")</x:f>
        <x:v>71.74910805568993</x:v>
      </x:c>
      <x:c r="AG82" s="33" t="n">
        <x:f>IF(ISNUMBER(O82),100*MAX(0,MIN(1,('Anchors'!$H$16-O82)/('Anchors'!$H$16-'Anchors'!$G$16))),"")</x:f>
        <x:v>69.28888888888889</x:v>
      </x:c>
      <x:c r="AH82" s="33" t="n">
        <x:f>IF(ISNUMBER(P82),100*MAX(0,MIN(1,('Anchors'!$H$17-P82)/('Anchors'!$H$17-'Anchors'!$G$17))),"")</x:f>
        <x:v>47.068544921875</x:v>
      </x:c>
      <x:c r="AI82" s="33" t="n">
        <x:f>IF(ISNUMBER(Q82),100*MAX(0,MIN(1,('Anchors'!$H$18-Q82)/('Anchors'!$H$18-'Anchors'!$G$18))),"")</x:f>
        <x:v>55.590599786667596</x:v>
      </x:c>
      <x:c r="AJ82" s="33" t="n">
        <x:f>IF(ISNUMBER(R82),100*MAX(0,MIN(1,('Anchors'!$H$19-R82)/('Anchors'!$H$19-'Anchors'!$G$19))),"")</x:f>
        <x:v>96.4274260762663</x:v>
      </x:c>
      <x:c r="AK82" s="33" t="n">
        <x:f>IF(ISNUMBER(S82),100*MAX(0,MIN(1,('Anchors'!$H$20-S82)/('Anchors'!$H$20-'Anchors'!$G$20))),"")</x:f>
        <x:v>94.350008631471</x:v>
      </x:c>
      <x:c r="AL82" s="33" t="n">
        <x:f>IF(ISNUMBER(T82),100*MAX(0,MIN(1,('Anchors'!$H$21-T82)/('Anchors'!$H$21-'Anchors'!$G$21))),"")</x:f>
        <x:v>87.0909090909091</x:v>
      </x:c>
      <x:c r="AM82" s="33" t="n">
        <x:f>IF(ISNUMBER(U82),100*MAX(0,MIN(1,('Anchors'!$H$22-U82)/('Anchors'!$H$22-'Anchors'!$G$22))),"")</x:f>
        <x:v>44.29226091355795</x:v>
      </x:c>
      <x:c r="AN82" s="33" t="n">
        <x:f>IF(ISNUMBER(V82),100*MAX(0,MIN(1,('Anchors'!$H$23-V82)/('Anchors'!$H$23-'Anchors'!$G$23))),"")</x:f>
        <x:v>68.6431055263375</x:v>
      </x:c>
      <x:c r="AO82" s="27" t="n">
        <x:f>IF(ISNUMBER(W82),IF('Scoring Setup'!$L$9=1,1-'Scoring Setup'!$B$5*(1-MAX(0,MIN(1,(W82-'Scoring Setup'!$K$9)/(100-'Scoring Setup'!$K$9)))),1),"")</x:f>
        <x:v>0.9151428571428571</x:v>
      </x:c>
      <x:c r="AP82" s="27" t="n">
        <x:f>IF(ISNUMBER(X82),IF('Scoring Setup'!$L$10=1,1-'Scoring Setup'!$B$5*(1-MAX(0,MIN(1,(X82-'Scoring Setup'!$K$10)/(100-'Scoring Setup'!$K$10)))),1),"")</x:f>
        <x:v>0.9796852899575671</x:v>
      </x:c>
      <x:c r="AQ82" s="27" t="n">
        <x:f>IF(ISNUMBER(Y82),IF('Scoring Setup'!$L$11=1,1-'Scoring Setup'!$B$5*(1-MAX(0,MIN(1,(Y82-'Scoring Setup'!$K$11)/(100-'Scoring Setup'!$K$11)))),1),"")</x:f>
        <x:v>0.9240166536355764</x:v>
      </x:c>
      <x:c r="AR82" s="27" t="n">
        <x:f>IF(ISNUMBER(Z82),IF('Scoring Setup'!$L$12=1,1-'Scoring Setup'!$B$5*(1-MAX(0,MIN(1,(Z82-'Scoring Setup'!$K$12)/(100-'Scoring Setup'!$K$12)))),1),"")</x:f>
        <x:v>0.9368710678494211</x:v>
      </x:c>
      <x:c r="AS82" s="27" t="n">
        <x:f>IF(ISNUMBER(AA82),IF('Scoring Setup'!$L$13=1,1-'Scoring Setup'!$B$5*(1-MAX(0,MIN(1,(AA82-'Scoring Setup'!$K$13)/(100-'Scoring Setup'!$K$13)))),1),"")</x:f>
        <x:v>0.9665428256736532</x:v>
      </x:c>
      <x:c r="AT82" s="27" t="n">
        <x:f>IF(ISNUMBER(AB82),IF('Scoring Setup'!$L$14=1,1-'Scoring Setup'!$B$5*(1-MAX(0,MIN(1,(AB82-'Scoring Setup'!$K$14)/(100-'Scoring Setup'!$K$14)))),1),"")</x:f>
        <x:v>0.9952484450250861</x:v>
      </x:c>
      <x:c r="AU82" s="27" t="n">
        <x:f>IF(ISNUMBER(AC82),IF('Scoring Setup'!$L$15=1,1-'Scoring Setup'!$B$5*(1-MAX(0,MIN(1,(AC82-'Scoring Setup'!$K$15)/(100-'Scoring Setup'!$K$15)))),1),"")</x:f>
        <x:v>0.9772695251241506</x:v>
      </x:c>
      <x:c r="AV82" s="27" t="n">
        <x:f>IF(ISNUMBER(AD82),IF('Scoring Setup'!$L$16=1,1-'Scoring Setup'!$B$5*(1-MAX(0,MIN(1,(AD82-'Scoring Setup'!$K$16)/(100-'Scoring Setup'!$K$16)))),1),"")</x:f>
        <x:v>0.8590843425714285</x:v>
      </x:c>
      <x:c r="AW82" s="27" t="n">
        <x:f>IF(ISNUMBER(AE82),IF('Scoring Setup'!$L$17=1,1-'Scoring Setup'!$B$5*(1-MAX(0,MIN(1,(AE82-'Scoring Setup'!$K$17)/(100-'Scoring Setup'!$K$17)))),1),"")</x:f>
        <x:v>0.8760251139999999</x:v>
      </x:c>
      <x:c r="AX82" s="27" t="n">
        <x:f>IF(ISNUMBER(AF82),IF('Scoring Setup'!$L$18=1,1-'Scoring Setup'!$B$5*(1-MAX(0,MIN(1,(AF82-'Scoring Setup'!$K$18)/(100-'Scoring Setup'!$K$18)))),1),"")</x:f>
        <x:v>0.9434982161113799</x:v>
      </x:c>
      <x:c r="AY82" s="27" t="n">
        <x:f>IF(ISNUMBER(AG82),IF('Scoring Setup'!$L$19=1,1-'Scoring Setup'!$B$5*(1-MAX(0,MIN(1,(AG82-'Scoring Setup'!$K$19)/(100-'Scoring Setup'!$K$19)))),1),"")</x:f>
        <x:v>0.9385777777777777</x:v>
      </x:c>
      <x:c r="AZ82" s="27" t="n">
        <x:f>IF(ISNUMBER(AH82),IF('Scoring Setup'!$L$20=1,1-'Scoring Setup'!$B$5*(1-MAX(0,MIN(1,(AH82-'Scoring Setup'!$K$20)/(100-'Scoring Setup'!$K$20)))),1),"")</x:f>
        <x:v>0.89413708984375</x:v>
      </x:c>
      <x:c r="BA82" s="27" t="n">
        <x:f>IF(ISNUMBER(AI82),IF('Scoring Setup'!$L$21=1,1-'Scoring Setup'!$B$5*(1-MAX(0,MIN(1,(AI82-'Scoring Setup'!$K$21)/(100-'Scoring Setup'!$K$21)))),1),"")</x:f>
        <x:v>0.9111811995733352</x:v>
      </x:c>
      <x:c r="BB82" s="27" t="n">
        <x:f>IF(ISNUMBER(AJ82),IF('Scoring Setup'!$L$22=1,1-'Scoring Setup'!$B$5*(1-MAX(0,MIN(1,(AJ82-'Scoring Setup'!$K$22)/(100-'Scoring Setup'!$K$22)))),1),"")</x:f>
        <x:v>0.9928548521525326</x:v>
      </x:c>
      <x:c r="BC82" s="27" t="n">
        <x:f>IF(ISNUMBER(AK82),IF('Scoring Setup'!$L$23=1,1-'Scoring Setup'!$B$5*(1-MAX(0,MIN(1,(AK82-'Scoring Setup'!$K$23)/(100-'Scoring Setup'!$K$23)))),1),"")</x:f>
        <x:v>0.988700017262942</x:v>
      </x:c>
      <x:c r="BD82" s="27" t="n">
        <x:f>IF(ISNUMBER(AL82),IF('Scoring Setup'!$L$24=1,1-'Scoring Setup'!$B$5*(1-MAX(0,MIN(1,(AL82-'Scoring Setup'!$K$24)/(100-'Scoring Setup'!$K$24)))),1),"")</x:f>
        <x:v>0.9741818181818181</x:v>
      </x:c>
      <x:c r="BE82" s="27" t="n">
        <x:f>IF(ISNUMBER(AM82),IF('Scoring Setup'!$L$25=1,1-'Scoring Setup'!$B$5*(1-MAX(0,MIN(1,(AM82-'Scoring Setup'!$K$25)/(100-'Scoring Setup'!$K$25)))),1),"")</x:f>
        <x:v>0.8885845218271159</x:v>
      </x:c>
      <x:c r="BF82" s="27" t="n">
        <x:f>IF(ISNUMBER(AN82),IF('Scoring Setup'!$L$26=1,1-'Scoring Setup'!$B$5*(1-MAX(0,MIN(1,(AN82-'Scoring Setup'!$K$26)/(100-'Scoring Setup'!$K$26)))),1),"")</x:f>
        <x:v>0.937286211052675</x:v>
      </x:c>
      <x:c r="BG82" s="34" t="n">
        <x:f>IF(COUNT(W82,X82)=2,AVERAGE(W82,X82),"")</x:f>
        <x:v>73.70703677510608</x:v>
      </x:c>
      <x:c r="BH82" s="34" t="n">
        <x:f>IF(COUNT(Y82,Z82)=2,AVERAGE(Y82,Z82),"")</x:f>
        <x:v>65.22193037124939</x:v>
      </x:c>
      <x:c r="BI82" s="34" t="n">
        <x:f>IF(COUNT(AA82,AB82,AC82)=3,AVERAGE(AA82,AB82,AC82),"")</x:f>
        <x:v>89.84346597048166</x:v>
      </x:c>
      <x:c r="BJ82" s="34" t="n">
        <x:f>IF(COUNT(AD82,AE82)=2,AVERAGE(AD82,AE82),"")</x:f>
        <x:v>33.777364142857145</x:v>
      </x:c>
      <x:c r="BK82" s="34" t="n">
        <x:f>IF(COUNT(AF82,AG82)=2,AVERAGE(AF82,AG82),"")</x:f>
        <x:v>70.51899847228941</x:v>
      </x:c>
      <x:c r="BL82" s="34" t="n">
        <x:f>IF(COUNT(AH82,AI82)=2,AVERAGE(AH82,AI82),"")</x:f>
        <x:v>51.3295723542713</x:v>
      </x:c>
      <x:c r="BM82" s="34" t="n">
        <x:f>IF(COUNT(AJ82,AK82)=2,AVERAGE(AJ82,AK82),"")</x:f>
        <x:v>95.38871735386866</x:v>
      </x:c>
      <x:c r="BN82" s="34" t="n">
        <x:f>IF(COUNT(AL82,AM82,AN82)=3,AVERAGE(AL82,AM82,AN82),"")</x:f>
        <x:v>66.67542517693484</x:v>
      </x:c>
      <x:c r="BO82" s="35" t="n">
        <x:f>IF(AND(COUNT(BG82:BN82)=8,ABS('Scoring Setup'!$C$17-1)&lt;0.000001),BG82*'Scoring Setup'!$C$9+BH82*'Scoring Setup'!$C$10+BI82*'Scoring Setup'!$C$11+BJ82*'Scoring Setup'!$C$12+BK82*'Scoring Setup'!$C$13+BL82*'Scoring Setup'!$C$14+BM82*'Scoring Setup'!$C$15+BN82*'Scoring Setup'!$C$16,"")</x:f>
        <x:v>67.16761464881075</x:v>
      </x:c>
      <x:c r="BP82" s="36" t="n">
        <x:f>IF(COUNT(AO82:BF82)=18,MIN(AO82:BF82),"")</x:f>
        <x:v>0.8590843425714285</x:v>
      </x:c>
      <x:c r="BQ82" s="35" t="n">
        <x:f>IF(AND(ISNUMBER(BO82),ISNUMBER(BP82)),BO82*BP82,"")</x:f>
        <x:v>57.70264607266464</x:v>
      </x:c>
      <x:c r="BR82" s="17" t="str">
        <x:f>IF(COUNT(AO82:BF82)=18,INDEX('Scoring Setup'!$F$9:$F$26,MATCH(MIN(AO82:BF82),AO82:BF82,0),1),"")</x:f>
        <x:v>商业光纤100/20覆盖率</x:v>
      </x:c>
    </x:row>
    <x:row r="83">
      <x:c r="A83" s="28" t="str">
        <x:v>13159</x:v>
      </x:c>
      <x:c r="B83" s="28" t="str">
        <x:v>Jasper County</x:v>
      </x:c>
      <x:c r="C83" s="28" t="str">
        <x:v>GA</x:v>
      </x:c>
      <x:c r="D83" s="31" t="n">
        <x:v>954.167639</x:v>
      </x:c>
      <x:c r="E83" s="32" t="n">
        <x:v>0.594</x:v>
      </x:c>
      <x:c r="F83" s="32" t="n">
        <x:v>0.431311881188119</x:v>
      </x:c>
      <x:c r="G83" s="32" t="n">
        <x:v>2.2933778363367514</x:v>
      </x:c>
      <x:c r="H83" s="32" t="n">
        <x:v>2.1273086773833874</x:v>
      </x:c>
      <x:c r="I83" s="32" t="n">
        <x:v>0.9602714209936715</x:v>
      </x:c>
      <x:c r="J83" s="32" t="n">
        <x:v>0.03864602900962545</x:v>
      </x:c>
      <x:c r="K83" s="32" t="n">
        <x:v>0.04146311819457177</x:v>
      </x:c>
      <x:c r="L83" s="32" t="n">
        <x:v>0.813136589</x:v>
      </x:c>
      <x:c r="M83" s="32" t="n">
        <x:v>0.813136589</x:v>
      </x:c>
      <x:c r="N83" s="32" t="n">
        <x:v>7724</x:v>
      </x:c>
      <x:c r="O83" s="32" t="n">
        <x:v>0.5492</x:v>
      </x:c>
      <x:c r="P83" s="32" t="n">
        <x:v>1719.545808919271</x:v>
      </x:c>
      <x:c r="Q83" s="32" t="n">
        <x:v>47.854315694173174</x:v>
      </x:c>
      <x:c r="R83" s="32" t="n">
        <x:v>30.75053995847138</x:v>
      </x:c>
      <x:c r="S83" s="32" t="n">
        <x:v>1.377632975511051</x:v>
      </x:c>
      <x:c r="T83" s="32" t="n">
        <x:v>72.1</x:v>
      </x:c>
      <x:c r="U83" s="32" t="n">
        <x:v>211.4154781728841</x:v>
      </x:c>
      <x:c r="V83" s="32" t="n">
        <x:v>325.42757789465</x:v>
      </x:c>
      <x:c r="W83" s="33" t="n">
        <x:f>IF(ISNUMBER(E83),100*MAX(0,MIN(1,('Anchors'!$H$6-E83)/('Anchors'!$H$6-'Anchors'!$G$6))),"")</x:f>
        <x:v>43.71428571428572</x:v>
      </x:c>
      <x:c r="X83" s="33" t="n">
        <x:f>IF(ISNUMBER(F83),100*MAX(0,MIN(1,('Anchors'!$H$7-F83)/('Anchors'!$H$7-'Anchors'!$G$7))),"")</x:f>
        <x:v>52.669731258840145</x:v>
      </x:c>
      <x:c r="Y83" s="33" t="n">
        <x:f>IF(ISNUMBER(G83),100*MAX(0,MIN(1,('Anchors'!$H$8-G83)/('Anchors'!$H$8-'Anchors'!$G$8))),"")</x:f>
        <x:v>56.88740545544162</x:v>
      </x:c>
      <x:c r="Z83" s="33" t="n">
        <x:f>IF(ISNUMBER(H83),100*MAX(0,MIN(1,('Anchors'!$H$9-H83)/('Anchors'!$H$9-'Anchors'!$G$9))),"")</x:f>
        <x:v>62.423044087220426</x:v>
      </x:c>
      <x:c r="AA83" s="33" t="n">
        <x:f>IF(ISNUMBER(I83),100*MAX(0,MIN(1,(I83-'Anchors'!$H$10)/('Anchors'!$G$10-'Anchors'!$H$10))),"")</x:f>
        <x:v>97.29745493063993</x:v>
      </x:c>
      <x:c r="AB83" s="33" t="n">
        <x:f>IF(ISNUMBER(J83),100*MAX(0,MIN(1,('Anchors'!$H$11-J83)/('Anchors'!$H$11-'Anchors'!$G$11))),"")</x:f>
        <x:v>84.54158839614982</x:v>
      </x:c>
      <x:c r="AC83" s="33" t="n">
        <x:f>IF(ISNUMBER(K83),100*MAX(0,MIN(1,('Anchors'!$H$12-K83)/('Anchors'!$H$12-'Anchors'!$G$12))),"")</x:f>
        <x:v>89.63422045135707</x:v>
      </x:c>
      <x:c r="AD83" s="33" t="n">
        <x:f>IF(ISNUMBER(L83),100*MAX(0,MIN(1,(L83-'Anchors'!$H$13)/('Anchors'!$G$13-'Anchors'!$H$13))),"")</x:f>
        <x:v>87.5909412857143</x:v>
      </x:c>
      <x:c r="AE83" s="33" t="n">
        <x:f>IF(ISNUMBER(M83),100*MAX(0,MIN(1,(M83-'Anchors'!$H$14)/('Anchors'!$G$14-'Anchors'!$H$14))),"")</x:f>
        <x:v>89.142073625</x:v>
      </x:c>
      <x:c r="AF83" s="33" t="n">
        <x:f>IF(ISNUMBER(N83),100*MAX(0,MIN(1,(LN(1+N83)-LN(1+'Anchors'!$H$15))/(LN(1+'Anchors'!$G$15)-LN(1+'Anchors'!$H$15)))),"")</x:f>
        <x:v>31.290626856523613</x:v>
      </x:c>
      <x:c r="AG83" s="33" t="n">
        <x:f>IF(ISNUMBER(O83),100*MAX(0,MIN(1,('Anchors'!$H$16-O83)/('Anchors'!$H$16-'Anchors'!$G$16))),"")</x:f>
        <x:v>44.53333333333333</x:v>
      </x:c>
      <x:c r="AH83" s="33" t="n">
        <x:f>IF(ISNUMBER(P83),100*MAX(0,MIN(1,('Anchors'!$H$17-P83)/('Anchors'!$H$17-'Anchors'!$G$17))),"")</x:f>
        <x:v>32.03027940538194</x:v>
      </x:c>
      <x:c r="AI83" s="33" t="n">
        <x:f>IF(ISNUMBER(Q83),100*MAX(0,MIN(1,('Anchors'!$H$18-Q83)/('Anchors'!$H$18-'Anchors'!$G$18))),"")</x:f>
        <x:v>38.77954900832404</x:v>
      </x:c>
      <x:c r="AJ83" s="33" t="n">
        <x:f>IF(ISNUMBER(R83),100*MAX(0,MIN(1,('Anchors'!$H$19-R83)/('Anchors'!$H$19-'Anchors'!$G$19))),"")</x:f>
        <x:v>42.776577870063605</x:v>
      </x:c>
      <x:c r="AK83" s="33" t="n">
        <x:f>IF(ISNUMBER(S83),100*MAX(0,MIN(1,('Anchors'!$H$20-S83)/('Anchors'!$H$20-'Anchors'!$G$20))),"")</x:f>
        <x:v>98.01245802362605</x:v>
      </x:c>
      <x:c r="AL83" s="33" t="n">
        <x:f>IF(ISNUMBER(T83),100*MAX(0,MIN(1,('Anchors'!$H$21-T83)/('Anchors'!$H$21-'Anchors'!$G$21))),"")</x:f>
        <x:v>87.0909090909091</x:v>
      </x:c>
      <x:c r="AM83" s="33" t="n">
        <x:f>IF(ISNUMBER(U83),100*MAX(0,MIN(1,('Anchors'!$H$22-U83)/('Anchors'!$H$22-'Anchors'!$G$22))),"")</x:f>
        <x:v>44.29226091355795</x:v>
      </x:c>
      <x:c r="AN83" s="33" t="n">
        <x:f>IF(ISNUMBER(V83),100*MAX(0,MIN(1,('Anchors'!$H$23-V83)/('Anchors'!$H$23-'Anchors'!$G$23))),"")</x:f>
        <x:v>68.6431055263375</x:v>
      </x:c>
      <x:c r="AO83" s="27" t="n">
        <x:f>IF(ISNUMBER(W83),IF('Scoring Setup'!$L$9=1,1-'Scoring Setup'!$B$5*(1-MAX(0,MIN(1,(W83-'Scoring Setup'!$K$9)/(100-'Scoring Setup'!$K$9)))),1),"")</x:f>
        <x:v>0.8874285714285715</x:v>
      </x:c>
      <x:c r="AP83" s="27" t="n">
        <x:f>IF(ISNUMBER(X83),IF('Scoring Setup'!$L$10=1,1-'Scoring Setup'!$B$5*(1-MAX(0,MIN(1,(X83-'Scoring Setup'!$K$10)/(100-'Scoring Setup'!$K$10)))),1),"")</x:f>
        <x:v>0.9053394625176803</x:v>
      </x:c>
      <x:c r="AQ83" s="27" t="n">
        <x:f>IF(ISNUMBER(Y83),IF('Scoring Setup'!$L$11=1,1-'Scoring Setup'!$B$5*(1-MAX(0,MIN(1,(Y83-'Scoring Setup'!$K$11)/(100-'Scoring Setup'!$K$11)))),1),"")</x:f>
        <x:v>0.9137748109108832</x:v>
      </x:c>
      <x:c r="AR83" s="27" t="n">
        <x:f>IF(ISNUMBER(Z83),IF('Scoring Setup'!$L$12=1,1-'Scoring Setup'!$B$5*(1-MAX(0,MIN(1,(Z83-'Scoring Setup'!$K$12)/(100-'Scoring Setup'!$K$12)))),1),"")</x:f>
        <x:v>0.9248460881744408</x:v>
      </x:c>
      <x:c r="AS83" s="27" t="n">
        <x:f>IF(ISNUMBER(AA83),IF('Scoring Setup'!$L$13=1,1-'Scoring Setup'!$B$5*(1-MAX(0,MIN(1,(AA83-'Scoring Setup'!$K$13)/(100-'Scoring Setup'!$K$13)))),1),"")</x:f>
        <x:v>0.9945949098612799</x:v>
      </x:c>
      <x:c r="AT83" s="27" t="n">
        <x:f>IF(ISNUMBER(AB83),IF('Scoring Setup'!$L$14=1,1-'Scoring Setup'!$B$5*(1-MAX(0,MIN(1,(AB83-'Scoring Setup'!$K$14)/(100-'Scoring Setup'!$K$14)))),1),"")</x:f>
        <x:v>0.9690831767922996</x:v>
      </x:c>
      <x:c r="AU83" s="27" t="n">
        <x:f>IF(ISNUMBER(AC83),IF('Scoring Setup'!$L$15=1,1-'Scoring Setup'!$B$5*(1-MAX(0,MIN(1,(AC83-'Scoring Setup'!$K$15)/(100-'Scoring Setup'!$K$15)))),1),"")</x:f>
        <x:v>0.9792684409027141</x:v>
      </x:c>
      <x:c r="AV83" s="27" t="n">
        <x:f>IF(ISNUMBER(AD83),IF('Scoring Setup'!$L$16=1,1-'Scoring Setup'!$B$5*(1-MAX(0,MIN(1,(AD83-'Scoring Setup'!$K$16)/(100-'Scoring Setup'!$K$16)))),1),"")</x:f>
        <x:v>0.9751818825714286</x:v>
      </x:c>
      <x:c r="AW83" s="27" t="n">
        <x:f>IF(ISNUMBER(AE83),IF('Scoring Setup'!$L$17=1,1-'Scoring Setup'!$B$5*(1-MAX(0,MIN(1,(AE83-'Scoring Setup'!$K$17)/(100-'Scoring Setup'!$K$17)))),1),"")</x:f>
        <x:v>0.97828414725</x:v>
      </x:c>
      <x:c r="AX83" s="27" t="n">
        <x:f>IF(ISNUMBER(AF83),IF('Scoring Setup'!$L$18=1,1-'Scoring Setup'!$B$5*(1-MAX(0,MIN(1,(AF83-'Scoring Setup'!$K$18)/(100-'Scoring Setup'!$K$18)))),1),"")</x:f>
        <x:v>0.8625812537130473</x:v>
      </x:c>
      <x:c r="AY83" s="27" t="n">
        <x:f>IF(ISNUMBER(AG83),IF('Scoring Setup'!$L$19=1,1-'Scoring Setup'!$B$5*(1-MAX(0,MIN(1,(AG83-'Scoring Setup'!$K$19)/(100-'Scoring Setup'!$K$19)))),1),"")</x:f>
        <x:v>0.8890666666666667</x:v>
      </x:c>
      <x:c r="AZ83" s="27" t="n">
        <x:f>IF(ISNUMBER(AH83),IF('Scoring Setup'!$L$20=1,1-'Scoring Setup'!$B$5*(1-MAX(0,MIN(1,(AH83-'Scoring Setup'!$K$20)/(100-'Scoring Setup'!$K$20)))),1),"")</x:f>
        <x:v>0.8640605588107639</x:v>
      </x:c>
      <x:c r="BA83" s="27" t="n">
        <x:f>IF(ISNUMBER(AI83),IF('Scoring Setup'!$L$21=1,1-'Scoring Setup'!$B$5*(1-MAX(0,MIN(1,(AI83-'Scoring Setup'!$K$21)/(100-'Scoring Setup'!$K$21)))),1),"")</x:f>
        <x:v>0.8775590980166481</x:v>
      </x:c>
      <x:c r="BB83" s="27" t="n">
        <x:f>IF(ISNUMBER(AJ83),IF('Scoring Setup'!$L$22=1,1-'Scoring Setup'!$B$5*(1-MAX(0,MIN(1,(AJ83-'Scoring Setup'!$K$22)/(100-'Scoring Setup'!$K$22)))),1),"")</x:f>
        <x:v>0.8855531557401272</x:v>
      </x:c>
      <x:c r="BC83" s="27" t="n">
        <x:f>IF(ISNUMBER(AK83),IF('Scoring Setup'!$L$23=1,1-'Scoring Setup'!$B$5*(1-MAX(0,MIN(1,(AK83-'Scoring Setup'!$K$23)/(100-'Scoring Setup'!$K$23)))),1),"")</x:f>
        <x:v>0.9960249160472521</x:v>
      </x:c>
      <x:c r="BD83" s="27" t="n">
        <x:f>IF(ISNUMBER(AL83),IF('Scoring Setup'!$L$24=1,1-'Scoring Setup'!$B$5*(1-MAX(0,MIN(1,(AL83-'Scoring Setup'!$K$24)/(100-'Scoring Setup'!$K$24)))),1),"")</x:f>
        <x:v>0.9741818181818181</x:v>
      </x:c>
      <x:c r="BE83" s="27" t="n">
        <x:f>IF(ISNUMBER(AM83),IF('Scoring Setup'!$L$25=1,1-'Scoring Setup'!$B$5*(1-MAX(0,MIN(1,(AM83-'Scoring Setup'!$K$25)/(100-'Scoring Setup'!$K$25)))),1),"")</x:f>
        <x:v>0.8885845218271159</x:v>
      </x:c>
      <x:c r="BF83" s="27" t="n">
        <x:f>IF(ISNUMBER(AN83),IF('Scoring Setup'!$L$26=1,1-'Scoring Setup'!$B$5*(1-MAX(0,MIN(1,(AN83-'Scoring Setup'!$K$26)/(100-'Scoring Setup'!$K$26)))),1),"")</x:f>
        <x:v>0.937286211052675</x:v>
      </x:c>
      <x:c r="BG83" s="34" t="n">
        <x:f>IF(COUNT(W83,X83)=2,AVERAGE(W83,X83),"")</x:f>
        <x:v>48.19200848656293</x:v>
      </x:c>
      <x:c r="BH83" s="34" t="n">
        <x:f>IF(COUNT(Y83,Z83)=2,AVERAGE(Y83,Z83),"")</x:f>
        <x:v>59.65522477133102</x:v>
      </x:c>
      <x:c r="BI83" s="34" t="n">
        <x:f>IF(COUNT(AA83,AB83,AC83)=3,AVERAGE(AA83,AB83,AC83),"")</x:f>
        <x:v>90.49108792604893</x:v>
      </x:c>
      <x:c r="BJ83" s="34" t="n">
        <x:f>IF(COUNT(AD83,AE83)=2,AVERAGE(AD83,AE83),"")</x:f>
        <x:v>88.36650745535715</x:v>
      </x:c>
      <x:c r="BK83" s="34" t="n">
        <x:f>IF(COUNT(AF83,AG83)=2,AVERAGE(AF83,AG83),"")</x:f>
        <x:v>37.911980094928474</x:v>
      </x:c>
      <x:c r="BL83" s="34" t="n">
        <x:f>IF(COUNT(AH83,AI83)=2,AVERAGE(AH83,AI83),"")</x:f>
        <x:v>35.40491420685299</x:v>
      </x:c>
      <x:c r="BM83" s="34" t="n">
        <x:f>IF(COUNT(AJ83,AK83)=2,AVERAGE(AJ83,AK83),"")</x:f>
        <x:v>70.39451794684483</x:v>
      </x:c>
      <x:c r="BN83" s="34" t="n">
        <x:f>IF(COUNT(AL83,AM83,AN83)=3,AVERAGE(AL83,AM83,AN83),"")</x:f>
        <x:v>66.67542517693484</x:v>
      </x:c>
      <x:c r="BO83" s="35" t="n">
        <x:f>IF(AND(COUNT(BG83:BN83)=8,ABS('Scoring Setup'!$C$17-1)&lt;0.000001),BG83*'Scoring Setup'!$C$9+BH83*'Scoring Setup'!$C$10+BI83*'Scoring Setup'!$C$11+BJ83*'Scoring Setup'!$C$12+BK83*'Scoring Setup'!$C$13+BL83*'Scoring Setup'!$C$14+BM83*'Scoring Setup'!$C$15+BN83*'Scoring Setup'!$C$16,"")</x:f>
        <x:v>63.7198025113213</x:v>
      </x:c>
      <x:c r="BP83" s="36" t="n">
        <x:f>IF(COUNT(AO83:BF83)=18,MIN(AO83:BF83),"")</x:f>
        <x:v>0.8625812537130473</x:v>
      </x:c>
      <x:c r="BQ83" s="35" t="n">
        <x:f>IF(AND(ISNUMBER(BO83),ISNUMBER(BP83)),BO83*BP83,"")</x:f>
        <x:v>54.9635071365633</x:v>
      </x:c>
      <x:c r="BR83" s="17" t="str">
        <x:f>IF(COUNT(AO83:BF83)=18,INDEX('Scoring Setup'!$F$9:$F$26,MATCH(MIN(AO83:BF83),AO83:BF83,0),1),"")</x:f>
        <x:v>劳动力人数</x:v>
      </x:c>
    </x:row>
    <x:row r="84">
      <x:c r="A84" s="28" t="str">
        <x:v>13161</x:v>
      </x:c>
      <x:c r="B84" s="28" t="str">
        <x:v>Jeff Davis County</x:v>
      </x:c>
      <x:c r="C84" s="28" t="str">
        <x:v>GA</x:v>
      </x:c>
      <x:c r="D84" s="31" t="n">
        <x:v>857.075892</x:v>
      </x:c>
      <x:c r="E84" s="32" t="n">
        <x:v>0.535</x:v>
      </x:c>
      <x:c r="F84" s="32" t="n">
        <x:v>0.11943069306930701</x:v>
      </x:c>
      <x:c r="G84" s="32" t="n">
        <x:v>1.1883581798935619</x:v>
      </x:c>
      <x:c r="H84" s="32" t="n">
        <x:v>1.1188874347712237</x:v>
      </x:c>
      <x:c r="I84" s="32" t="n">
        <x:v>0.9250210244888225</x:v>
      </x:c>
      <x:c r="J84" s="32" t="n">
        <x:v>0.07103898359499679</x:v>
      </x:c>
      <x:c r="K84" s="32" t="n">
        <x:v>0.24447819519930378</x:v>
      </x:c>
      <x:c r="L84" s="32" t="n">
        <x:v>0.750169354</x:v>
      </x:c>
      <x:c r="M84" s="32" t="n">
        <x:v>0.750169354</x:v>
      </x:c>
      <x:c r="N84" s="32" t="n">
        <x:v>5883</x:v>
      </x:c>
      <x:c r="O84" s="32" t="n">
        <x:v>0.8785</x:v>
      </x:c>
      <x:c r="P84" s="32" t="n">
        <x:v>2126.5381673177085</x:v>
      </x:c>
      <x:c r="Q84" s="32" t="n">
        <x:v>72.29266026814778</x:v>
      </x:c>
      <x:c r="R84" s="32" t="n">
        <x:v>68.57871565189281</x:v>
      </x:c>
      <x:c r="S84" s="32" t="n">
        <x:v>6.29698062034429</x:v>
      </x:c>
      <x:c r="T84" s="32" t="n">
        <x:v>72.1</x:v>
      </x:c>
      <x:c r="U84" s="32" t="n">
        <x:v>211.4154781728841</x:v>
      </x:c>
      <x:c r="V84" s="32" t="n">
        <x:v>325.42757789465</x:v>
      </x:c>
      <x:c r="W84" s="33" t="n">
        <x:f>IF(ISNUMBER(E84),100*MAX(0,MIN(1,('Anchors'!$H$6-E84)/('Anchors'!$H$6-'Anchors'!$G$6))),"")</x:f>
        <x:v>52.142857142857146</x:v>
      </x:c>
      <x:c r="X84" s="33" t="n">
        <x:f>IF(ISNUMBER(F84),100*MAX(0,MIN(1,('Anchors'!$H$7-F84)/('Anchors'!$H$7-'Anchors'!$G$7))),"")</x:f>
        <x:v>97.22418670438472</x:v>
      </x:c>
      <x:c r="Y84" s="33" t="n">
        <x:f>IF(ISNUMBER(G84),100*MAX(0,MIN(1,('Anchors'!$H$8-G84)/('Anchors'!$H$8-'Anchors'!$G$8))),"")</x:f>
        <x:v>93.72139400354794</x:v>
      </x:c>
      <x:c r="Z84" s="33" t="n">
        <x:f>IF(ISNUMBER(H84),100*MAX(0,MIN(1,('Anchors'!$H$9-H84)/('Anchors'!$H$9-'Anchors'!$G$9))),"")</x:f>
        <x:v>96.03708550762589</x:v>
      </x:c>
      <x:c r="AA84" s="33" t="n">
        <x:f>IF(ISNUMBER(I84),100*MAX(0,MIN(1,(I84-'Anchors'!$H$10)/('Anchors'!$G$10-'Anchors'!$H$10))),"")</x:f>
        <x:v>92.46863349161953</x:v>
      </x:c>
      <x:c r="AB84" s="33" t="n">
        <x:f>IF(ISNUMBER(J84),100*MAX(0,MIN(1,('Anchors'!$H$11-J84)/('Anchors'!$H$11-'Anchors'!$G$11))),"")</x:f>
        <x:v>71.58440656200129</x:v>
      </x:c>
      <x:c r="AC84" s="33" t="n">
        <x:f>IF(ISNUMBER(K84),100*MAX(0,MIN(1,('Anchors'!$H$12-K84)/('Anchors'!$H$12-'Anchors'!$G$12))),"")</x:f>
        <x:v>38.88045120017406</x:v>
      </x:c>
      <x:c r="AD84" s="33" t="n">
        <x:f>IF(ISNUMBER(L84),100*MAX(0,MIN(1,(L84-'Anchors'!$H$13)/('Anchors'!$G$13-'Anchors'!$H$13))),"")</x:f>
        <x:v>78.59562199999999</x:v>
      </x:c>
      <x:c r="AE84" s="33" t="n">
        <x:f>IF(ISNUMBER(M84),100*MAX(0,MIN(1,(M84-'Anchors'!$H$14)/('Anchors'!$G$14-'Anchors'!$H$14))),"")</x:f>
        <x:v>81.27116925</x:v>
      </x:c>
      <x:c r="AF84" s="33" t="n">
        <x:f>IF(ISNUMBER(N84),100*MAX(0,MIN(1,(LN(1+N84)-LN(1+'Anchors'!$H$15))/(LN(1+'Anchors'!$G$15)-LN(1+'Anchors'!$H$15)))),"")</x:f>
        <x:v>24.984735234540207</x:v>
      </x:c>
      <x:c r="AG84" s="33" t="n">
        <x:f>IF(ISNUMBER(O84),100*MAX(0,MIN(1,('Anchors'!$H$16-O84)/('Anchors'!$H$16-'Anchors'!$G$16))),"")</x:f>
        <x:v>7.9444444444444455</x:v>
      </x:c>
      <x:c r="AH84" s="33" t="n">
        <x:f>IF(ISNUMBER(P84),100*MAX(0,MIN(1,('Anchors'!$H$17-P84)/('Anchors'!$H$17-'Anchors'!$G$17))),"")</x:f>
        <x:v>4.897455512152768</x:v>
      </x:c>
      <x:c r="AI84" s="33" t="n">
        <x:f>IF(ISNUMBER(Q84),100*MAX(0,MIN(1,('Anchors'!$H$18-Q84)/('Anchors'!$H$18-'Anchors'!$G$18))),"")</x:f>
        <x:v>3.867628188360308</x:v>
      </x:c>
      <x:c r="AJ84" s="33" t="n">
        <x:f>IF(ISNUMBER(R84),100*MAX(0,MIN(1,('Anchors'!$H$19-R84)/('Anchors'!$H$19-'Anchors'!$G$19))),"")</x:f>
        <x:v>0</x:v>
      </x:c>
      <x:c r="AK84" s="33" t="n">
        <x:f>IF(ISNUMBER(S84),100*MAX(0,MIN(1,('Anchors'!$H$20-S84)/('Anchors'!$H$20-'Anchors'!$G$20))),"")</x:f>
        <x:v>72.1211546297669</x:v>
      </x:c>
      <x:c r="AL84" s="33" t="n">
        <x:f>IF(ISNUMBER(T84),100*MAX(0,MIN(1,('Anchors'!$H$21-T84)/('Anchors'!$H$21-'Anchors'!$G$21))),"")</x:f>
        <x:v>87.0909090909091</x:v>
      </x:c>
      <x:c r="AM84" s="33" t="n">
        <x:f>IF(ISNUMBER(U84),100*MAX(0,MIN(1,('Anchors'!$H$22-U84)/('Anchors'!$H$22-'Anchors'!$G$22))),"")</x:f>
        <x:v>44.29226091355795</x:v>
      </x:c>
      <x:c r="AN84" s="33" t="n">
        <x:f>IF(ISNUMBER(V84),100*MAX(0,MIN(1,('Anchors'!$H$23-V84)/('Anchors'!$H$23-'Anchors'!$G$23))),"")</x:f>
        <x:v>68.6431055263375</x:v>
      </x:c>
      <x:c r="AO84" s="27" t="n">
        <x:f>IF(ISNUMBER(W84),IF('Scoring Setup'!$L$9=1,1-'Scoring Setup'!$B$5*(1-MAX(0,MIN(1,(W84-'Scoring Setup'!$K$9)/(100-'Scoring Setup'!$K$9)))),1),"")</x:f>
        <x:v>0.9042857142857142</x:v>
      </x:c>
      <x:c r="AP84" s="27" t="n">
        <x:f>IF(ISNUMBER(X84),IF('Scoring Setup'!$L$10=1,1-'Scoring Setup'!$B$5*(1-MAX(0,MIN(1,(X84-'Scoring Setup'!$K$10)/(100-'Scoring Setup'!$K$10)))),1),"")</x:f>
        <x:v>0.9944483734087695</x:v>
      </x:c>
      <x:c r="AQ84" s="27" t="n">
        <x:f>IF(ISNUMBER(Y84),IF('Scoring Setup'!$L$11=1,1-'Scoring Setup'!$B$5*(1-MAX(0,MIN(1,(Y84-'Scoring Setup'!$K$11)/(100-'Scoring Setup'!$K$11)))),1),"")</x:f>
        <x:v>0.9874427880070958</x:v>
      </x:c>
      <x:c r="AR84" s="27" t="n">
        <x:f>IF(ISNUMBER(Z84),IF('Scoring Setup'!$L$12=1,1-'Scoring Setup'!$B$5*(1-MAX(0,MIN(1,(Z84-'Scoring Setup'!$K$12)/(100-'Scoring Setup'!$K$12)))),1),"")</x:f>
        <x:v>0.9920741710152517</x:v>
      </x:c>
      <x:c r="AS84" s="27" t="n">
        <x:f>IF(ISNUMBER(AA84),IF('Scoring Setup'!$L$13=1,1-'Scoring Setup'!$B$5*(1-MAX(0,MIN(1,(AA84-'Scoring Setup'!$K$13)/(100-'Scoring Setup'!$K$13)))),1),"")</x:f>
        <x:v>0.984937266983239</x:v>
      </x:c>
      <x:c r="AT84" s="27" t="n">
        <x:f>IF(ISNUMBER(AB84),IF('Scoring Setup'!$L$14=1,1-'Scoring Setup'!$B$5*(1-MAX(0,MIN(1,(AB84-'Scoring Setup'!$K$14)/(100-'Scoring Setup'!$K$14)))),1),"")</x:f>
        <x:v>0.9431688131240026</x:v>
      </x:c>
      <x:c r="AU84" s="27" t="n">
        <x:f>IF(ISNUMBER(AC84),IF('Scoring Setup'!$L$15=1,1-'Scoring Setup'!$B$5*(1-MAX(0,MIN(1,(AC84-'Scoring Setup'!$K$15)/(100-'Scoring Setup'!$K$15)))),1),"")</x:f>
        <x:v>0.8777609024003481</x:v>
      </x:c>
      <x:c r="AV84" s="27" t="n">
        <x:f>IF(ISNUMBER(AD84),IF('Scoring Setup'!$L$16=1,1-'Scoring Setup'!$B$5*(1-MAX(0,MIN(1,(AD84-'Scoring Setup'!$K$16)/(100-'Scoring Setup'!$K$16)))),1),"")</x:f>
        <x:v>0.957191244</x:v>
      </x:c>
      <x:c r="AW84" s="27" t="n">
        <x:f>IF(ISNUMBER(AE84),IF('Scoring Setup'!$L$17=1,1-'Scoring Setup'!$B$5*(1-MAX(0,MIN(1,(AE84-'Scoring Setup'!$K$17)/(100-'Scoring Setup'!$K$17)))),1),"")</x:f>
        <x:v>0.9625423385</x:v>
      </x:c>
      <x:c r="AX84" s="27" t="n">
        <x:f>IF(ISNUMBER(AF84),IF('Scoring Setup'!$L$18=1,1-'Scoring Setup'!$B$5*(1-MAX(0,MIN(1,(AF84-'Scoring Setup'!$K$18)/(100-'Scoring Setup'!$K$18)))),1),"")</x:f>
        <x:v>0.8499694704690804</x:v>
      </x:c>
      <x:c r="AY84" s="27" t="n">
        <x:f>IF(ISNUMBER(AG84),IF('Scoring Setup'!$L$19=1,1-'Scoring Setup'!$B$5*(1-MAX(0,MIN(1,(AG84-'Scoring Setup'!$K$19)/(100-'Scoring Setup'!$K$19)))),1),"")</x:f>
        <x:v>0.8158888888888889</x:v>
      </x:c>
      <x:c r="AZ84" s="27" t="n">
        <x:f>IF(ISNUMBER(AH84),IF('Scoring Setup'!$L$20=1,1-'Scoring Setup'!$B$5*(1-MAX(0,MIN(1,(AH84-'Scoring Setup'!$K$20)/(100-'Scoring Setup'!$K$20)))),1),"")</x:f>
        <x:v>0.8097949110243056</x:v>
      </x:c>
      <x:c r="BA84" s="27" t="n">
        <x:f>IF(ISNUMBER(AI84),IF('Scoring Setup'!$L$21=1,1-'Scoring Setup'!$B$5*(1-MAX(0,MIN(1,(AI84-'Scoring Setup'!$K$21)/(100-'Scoring Setup'!$K$21)))),1),"")</x:f>
        <x:v>0.8077352563767206</x:v>
      </x:c>
      <x:c r="BB84" s="27" t="n">
        <x:f>IF(ISNUMBER(AJ84),IF('Scoring Setup'!$L$22=1,1-'Scoring Setup'!$B$5*(1-MAX(0,MIN(1,(AJ84-'Scoring Setup'!$K$22)/(100-'Scoring Setup'!$K$22)))),1),"")</x:f>
        <x:v>0.8</x:v>
      </x:c>
      <x:c r="BC84" s="27" t="n">
        <x:f>IF(ISNUMBER(AK84),IF('Scoring Setup'!$L$23=1,1-'Scoring Setup'!$B$5*(1-MAX(0,MIN(1,(AK84-'Scoring Setup'!$K$23)/(100-'Scoring Setup'!$K$23)))),1),"")</x:f>
        <x:v>0.9442423092595338</x:v>
      </x:c>
      <x:c r="BD84" s="27" t="n">
        <x:f>IF(ISNUMBER(AL84),IF('Scoring Setup'!$L$24=1,1-'Scoring Setup'!$B$5*(1-MAX(0,MIN(1,(AL84-'Scoring Setup'!$K$24)/(100-'Scoring Setup'!$K$24)))),1),"")</x:f>
        <x:v>0.9741818181818181</x:v>
      </x:c>
      <x:c r="BE84" s="27" t="n">
        <x:f>IF(ISNUMBER(AM84),IF('Scoring Setup'!$L$25=1,1-'Scoring Setup'!$B$5*(1-MAX(0,MIN(1,(AM84-'Scoring Setup'!$K$25)/(100-'Scoring Setup'!$K$25)))),1),"")</x:f>
        <x:v>0.8885845218271159</x:v>
      </x:c>
      <x:c r="BF84" s="27" t="n">
        <x:f>IF(ISNUMBER(AN84),IF('Scoring Setup'!$L$26=1,1-'Scoring Setup'!$B$5*(1-MAX(0,MIN(1,(AN84-'Scoring Setup'!$K$26)/(100-'Scoring Setup'!$K$26)))),1),"")</x:f>
        <x:v>0.937286211052675</x:v>
      </x:c>
      <x:c r="BG84" s="34" t="n">
        <x:f>IF(COUNT(W84,X84)=2,AVERAGE(W84,X84),"")</x:f>
        <x:v>74.68352192362093</x:v>
      </x:c>
      <x:c r="BH84" s="34" t="n">
        <x:f>IF(COUNT(Y84,Z84)=2,AVERAGE(Y84,Z84),"")</x:f>
        <x:v>94.87923975558692</x:v>
      </x:c>
      <x:c r="BI84" s="34" t="n">
        <x:f>IF(COUNT(AA84,AB84,AC84)=3,AVERAGE(AA84,AB84,AC84),"")</x:f>
        <x:v>67.64449708459829</x:v>
      </x:c>
      <x:c r="BJ84" s="34" t="n">
        <x:f>IF(COUNT(AD84,AE84)=2,AVERAGE(AD84,AE84),"")</x:f>
        <x:v>79.933395625</x:v>
      </x:c>
      <x:c r="BK84" s="34" t="n">
        <x:f>IF(COUNT(AF84,AG84)=2,AVERAGE(AF84,AG84),"")</x:f>
        <x:v>16.464589839492326</x:v>
      </x:c>
      <x:c r="BL84" s="34" t="n">
        <x:f>IF(COUNT(AH84,AI84)=2,AVERAGE(AH84,AI84),"")</x:f>
        <x:v>4.382541850256538</x:v>
      </x:c>
      <x:c r="BM84" s="34" t="n">
        <x:f>IF(COUNT(AJ84,AK84)=2,AVERAGE(AJ84,AK84),"")</x:f>
        <x:v>36.06057731488345</x:v>
      </x:c>
      <x:c r="BN84" s="34" t="n">
        <x:f>IF(COUNT(AL84,AM84,AN84)=3,AVERAGE(AL84,AM84,AN84),"")</x:f>
        <x:v>66.67542517693484</x:v>
      </x:c>
      <x:c r="BO84" s="35" t="n">
        <x:f>IF(AND(COUNT(BG84:BN84)=8,ABS('Scoring Setup'!$C$17-1)&lt;0.000001),BG84*'Scoring Setup'!$C$9+BH84*'Scoring Setup'!$C$10+BI84*'Scoring Setup'!$C$11+BJ84*'Scoring Setup'!$C$12+BK84*'Scoring Setup'!$C$13+BL84*'Scoring Setup'!$C$14+BM84*'Scoring Setup'!$C$15+BN84*'Scoring Setup'!$C$16,"")</x:f>
        <x:v>64.873231909726</x:v>
      </x:c>
      <x:c r="BP84" s="36" t="n">
        <x:f>IF(COUNT(AO84:BF84)=18,MIN(AO84:BF84),"")</x:f>
        <x:v>0.8</x:v>
      </x:c>
      <x:c r="BQ84" s="35" t="n">
        <x:f>IF(AND(ISNUMBER(BO84),ISNUMBER(BP84)),BO84*BP84,"")</x:f>
        <x:v>51.8985855277808</x:v>
      </x:c>
      <x:c r="BR84" s="17" t="str">
        <x:f>IF(COUNT(AO84:BF84)=18,INDEX('Scoring Setup'!$F$9:$F$26,MATCH(MIN(AO84:BF84),AO84:BF84,0),1),"")</x:f>
        <x:v>到Interstate距离</x:v>
      </x:c>
    </x:row>
    <x:row r="85">
      <x:c r="A85" s="28" t="str">
        <x:v>13163</x:v>
      </x:c>
      <x:c r="B85" s="28" t="str">
        <x:v>Jefferson County</x:v>
      </x:c>
      <x:c r="C85" s="28" t="str">
        <x:v>GA</x:v>
      </x:c>
      <x:c r="D85" s="31" t="n">
        <x:v>1363.77135</x:v>
      </x:c>
      <x:c r="E85" s="32" t="n">
        <x:v>0.538</x:v>
      </x:c>
      <x:c r="F85" s="32" t="n">
        <x:v>0.135519801980198</x:v>
      </x:c>
      <x:c r="G85" s="32" t="n">
        <x:v>1.2142497622040478</x:v>
      </x:c>
      <x:c r="H85" s="32" t="n">
        <x:v>1.0229263828806225</x:v>
      </x:c>
      <x:c r="I85" s="32" t="n">
        <x:v>0.9372541132249662</x:v>
      </x:c>
      <x:c r="J85" s="32" t="n">
        <x:v>0.00047540394088579403</x:v>
      </x:c>
      <x:c r="K85" s="32" t="n">
        <x:v>0.20042006000857265</x:v>
      </x:c>
      <x:c r="L85" s="32" t="n">
        <x:v>0.727767037</x:v>
      </x:c>
      <x:c r="M85" s="32" t="n">
        <x:v>0.727646206</x:v>
      </x:c>
      <x:c r="N85" s="32" t="n">
        <x:v>6696</x:v>
      </x:c>
      <x:c r="O85" s="32" t="n">
        <x:v>0.9583</x:v>
      </x:c>
      <x:c r="P85" s="32" t="n">
        <x:v>1974.513289388021</x:v>
      </x:c>
      <x:c r="Q85" s="32" t="n">
        <x:v>62.24526481628418</x:v>
      </x:c>
      <x:c r="R85" s="32" t="n">
        <x:v>49.47928878042156</x:v>
      </x:c>
      <x:c r="S85" s="32" t="n">
        <x:v>13.236855103664324</x:v>
      </x:c>
      <x:c r="T85" s="32" t="n">
        <x:v>72.1</x:v>
      </x:c>
      <x:c r="U85" s="32" t="n">
        <x:v>211.4154781728841</x:v>
      </x:c>
      <x:c r="V85" s="32" t="n">
        <x:v>325.42757789465</x:v>
      </x:c>
      <x:c r="W85" s="33" t="n">
        <x:f>IF(ISNUMBER(E85),100*MAX(0,MIN(1,('Anchors'!$H$6-E85)/('Anchors'!$H$6-'Anchors'!$G$6))),"")</x:f>
        <x:v>51.714285714285715</x:v>
      </x:c>
      <x:c r="X85" s="33" t="n">
        <x:f>IF(ISNUMBER(F85),100*MAX(0,MIN(1,('Anchors'!$H$7-F85)/('Anchors'!$H$7-'Anchors'!$G$7))),"")</x:f>
        <x:v>94.92574257425743</x:v>
      </x:c>
      <x:c r="Y85" s="33" t="n">
        <x:f>IF(ISNUMBER(G85),100*MAX(0,MIN(1,('Anchors'!$H$8-G85)/('Anchors'!$H$8-'Anchors'!$G$8))),"")</x:f>
        <x:v>92.85834125986506</x:v>
      </x:c>
      <x:c r="Z85" s="33" t="n">
        <x:f>IF(ISNUMBER(H85),100*MAX(0,MIN(1,('Anchors'!$H$9-H85)/('Anchors'!$H$9-'Anchors'!$G$9))),"")</x:f>
        <x:v>99.23578723731259</x:v>
      </x:c>
      <x:c r="AA85" s="33" t="n">
        <x:f>IF(ISNUMBER(I85),100*MAX(0,MIN(1,(I85-'Anchors'!$H$10)/('Anchors'!$G$10-'Anchors'!$H$10))),"")</x:f>
        <x:v>94.14439907191318</x:v>
      </x:c>
      <x:c r="AB85" s="33" t="n">
        <x:f>IF(ISNUMBER(J85),100*MAX(0,MIN(1,('Anchors'!$H$11-J85)/('Anchors'!$H$11-'Anchors'!$G$11))),"")</x:f>
        <x:v>99.80983842364569</x:v>
      </x:c>
      <x:c r="AC85" s="33" t="n">
        <x:f>IF(ISNUMBER(K85),100*MAX(0,MIN(1,('Anchors'!$H$12-K85)/('Anchors'!$H$12-'Anchors'!$G$12))),"")</x:f>
        <x:v>49.89498499785684</x:v>
      </x:c>
      <x:c r="AD85" s="33" t="n">
        <x:f>IF(ISNUMBER(L85),100*MAX(0,MIN(1,(L85-'Anchors'!$H$13)/('Anchors'!$G$13-'Anchors'!$H$13))),"")</x:f>
        <x:v>75.39529100000001</x:v>
      </x:c>
      <x:c r="AE85" s="33" t="n">
        <x:f>IF(ISNUMBER(M85),100*MAX(0,MIN(1,(M85-'Anchors'!$H$14)/('Anchors'!$G$14-'Anchors'!$H$14))),"")</x:f>
        <x:v>78.45577574999999</x:v>
      </x:c>
      <x:c r="AF85" s="33" t="n">
        <x:f>IF(ISNUMBER(N85),100*MAX(0,MIN(1,(LN(1+N85)-LN(1+'Anchors'!$H$15))/(LN(1+'Anchors'!$G$15)-LN(1+'Anchors'!$H$15)))),"")</x:f>
        <x:v>27.9827202920313</x:v>
      </x:c>
      <x:c r="AG85" s="33" t="n">
        <x:f>IF(ISNUMBER(O85),100*MAX(0,MIN(1,('Anchors'!$H$16-O85)/('Anchors'!$H$16-'Anchors'!$G$16))),"")</x:f>
        <x:v>0</x:v>
      </x:c>
      <x:c r="AH85" s="33" t="n">
        <x:f>IF(ISNUMBER(P85),100*MAX(0,MIN(1,('Anchors'!$H$17-P85)/('Anchors'!$H$17-'Anchors'!$G$17))),"")</x:f>
        <x:v>15.03244737413194</x:v>
      </x:c>
      <x:c r="AI85" s="33" t="n">
        <x:f>IF(ISNUMBER(Q85),100*MAX(0,MIN(1,('Anchors'!$H$18-Q85)/('Anchors'!$H$18-'Anchors'!$G$18))),"")</x:f>
        <x:v>18.22105026245118</x:v>
      </x:c>
      <x:c r="AJ85" s="33" t="n">
        <x:f>IF(ISNUMBER(R85),100*MAX(0,MIN(1,('Anchors'!$H$19-R85)/('Anchors'!$H$19-'Anchors'!$G$19))),"")</x:f>
        <x:v>1.157136043507639</x:v>
      </x:c>
      <x:c r="AK85" s="33" t="n">
        <x:f>IF(ISNUMBER(S85),100*MAX(0,MIN(1,('Anchors'!$H$20-S85)/('Anchors'!$H$20-'Anchors'!$G$20))),"")</x:f>
        <x:v>35.5954994543983</x:v>
      </x:c>
      <x:c r="AL85" s="33" t="n">
        <x:f>IF(ISNUMBER(T85),100*MAX(0,MIN(1,('Anchors'!$H$21-T85)/('Anchors'!$H$21-'Anchors'!$G$21))),"")</x:f>
        <x:v>87.0909090909091</x:v>
      </x:c>
      <x:c r="AM85" s="33" t="n">
        <x:f>IF(ISNUMBER(U85),100*MAX(0,MIN(1,('Anchors'!$H$22-U85)/('Anchors'!$H$22-'Anchors'!$G$22))),"")</x:f>
        <x:v>44.29226091355795</x:v>
      </x:c>
      <x:c r="AN85" s="33" t="n">
        <x:f>IF(ISNUMBER(V85),100*MAX(0,MIN(1,('Anchors'!$H$23-V85)/('Anchors'!$H$23-'Anchors'!$G$23))),"")</x:f>
        <x:v>68.6431055263375</x:v>
      </x:c>
      <x:c r="AO85" s="27" t="n">
        <x:f>IF(ISNUMBER(W85),IF('Scoring Setup'!$L$9=1,1-'Scoring Setup'!$B$5*(1-MAX(0,MIN(1,(W85-'Scoring Setup'!$K$9)/(100-'Scoring Setup'!$K$9)))),1),"")</x:f>
        <x:v>0.9034285714285715</x:v>
      </x:c>
      <x:c r="AP85" s="27" t="n">
        <x:f>IF(ISNUMBER(X85),IF('Scoring Setup'!$L$10=1,1-'Scoring Setup'!$B$5*(1-MAX(0,MIN(1,(X85-'Scoring Setup'!$K$10)/(100-'Scoring Setup'!$K$10)))),1),"")</x:f>
        <x:v>0.9898514851485148</x:v>
      </x:c>
      <x:c r="AQ85" s="27" t="n">
        <x:f>IF(ISNUMBER(Y85),IF('Scoring Setup'!$L$11=1,1-'Scoring Setup'!$B$5*(1-MAX(0,MIN(1,(Y85-'Scoring Setup'!$K$11)/(100-'Scoring Setup'!$K$11)))),1),"")</x:f>
        <x:v>0.9857166825197301</x:v>
      </x:c>
      <x:c r="AR85" s="27" t="n">
        <x:f>IF(ISNUMBER(Z85),IF('Scoring Setup'!$L$12=1,1-'Scoring Setup'!$B$5*(1-MAX(0,MIN(1,(Z85-'Scoring Setup'!$K$12)/(100-'Scoring Setup'!$K$12)))),1),"")</x:f>
        <x:v>0.9984715744746252</x:v>
      </x:c>
      <x:c r="AS85" s="27" t="n">
        <x:f>IF(ISNUMBER(AA85),IF('Scoring Setup'!$L$13=1,1-'Scoring Setup'!$B$5*(1-MAX(0,MIN(1,(AA85-'Scoring Setup'!$K$13)/(100-'Scoring Setup'!$K$13)))),1),"")</x:f>
        <x:v>0.9882887981438264</x:v>
      </x:c>
      <x:c r="AT85" s="27" t="n">
        <x:f>IF(ISNUMBER(AB85),IF('Scoring Setup'!$L$14=1,1-'Scoring Setup'!$B$5*(1-MAX(0,MIN(1,(AB85-'Scoring Setup'!$K$14)/(100-'Scoring Setup'!$K$14)))),1),"")</x:f>
        <x:v>0.9996196768472914</x:v>
      </x:c>
      <x:c r="AU85" s="27" t="n">
        <x:f>IF(ISNUMBER(AC85),IF('Scoring Setup'!$L$15=1,1-'Scoring Setup'!$B$5*(1-MAX(0,MIN(1,(AC85-'Scoring Setup'!$K$15)/(100-'Scoring Setup'!$K$15)))),1),"")</x:f>
        <x:v>0.8997899699957137</x:v>
      </x:c>
      <x:c r="AV85" s="27" t="n">
        <x:f>IF(ISNUMBER(AD85),IF('Scoring Setup'!$L$16=1,1-'Scoring Setup'!$B$5*(1-MAX(0,MIN(1,(AD85-'Scoring Setup'!$K$16)/(100-'Scoring Setup'!$K$16)))),1),"")</x:f>
        <x:v>0.950790582</x:v>
      </x:c>
      <x:c r="AW85" s="27" t="n">
        <x:f>IF(ISNUMBER(AE85),IF('Scoring Setup'!$L$17=1,1-'Scoring Setup'!$B$5*(1-MAX(0,MIN(1,(AE85-'Scoring Setup'!$K$17)/(100-'Scoring Setup'!$K$17)))),1),"")</x:f>
        <x:v>0.9569115515</x:v>
      </x:c>
      <x:c r="AX85" s="27" t="n">
        <x:f>IF(ISNUMBER(AF85),IF('Scoring Setup'!$L$18=1,1-'Scoring Setup'!$B$5*(1-MAX(0,MIN(1,(AF85-'Scoring Setup'!$K$18)/(100-'Scoring Setup'!$K$18)))),1),"")</x:f>
        <x:v>0.8559654405840627</x:v>
      </x:c>
      <x:c r="AY85" s="27" t="n">
        <x:f>IF(ISNUMBER(AG85),IF('Scoring Setup'!$L$19=1,1-'Scoring Setup'!$B$5*(1-MAX(0,MIN(1,(AG85-'Scoring Setup'!$K$19)/(100-'Scoring Setup'!$K$19)))),1),"")</x:f>
        <x:v>0.8</x:v>
      </x:c>
      <x:c r="AZ85" s="27" t="n">
        <x:f>IF(ISNUMBER(AH85),IF('Scoring Setup'!$L$20=1,1-'Scoring Setup'!$B$5*(1-MAX(0,MIN(1,(AH85-'Scoring Setup'!$K$20)/(100-'Scoring Setup'!$K$20)))),1),"")</x:f>
        <x:v>0.8300648947482638</x:v>
      </x:c>
      <x:c r="BA85" s="27" t="n">
        <x:f>IF(ISNUMBER(AI85),IF('Scoring Setup'!$L$21=1,1-'Scoring Setup'!$B$5*(1-MAX(0,MIN(1,(AI85-'Scoring Setup'!$K$21)/(100-'Scoring Setup'!$K$21)))),1),"")</x:f>
        <x:v>0.8364421005249023</x:v>
      </x:c>
      <x:c r="BB85" s="27" t="n">
        <x:f>IF(ISNUMBER(AJ85),IF('Scoring Setup'!$L$22=1,1-'Scoring Setup'!$B$5*(1-MAX(0,MIN(1,(AJ85-'Scoring Setup'!$K$22)/(100-'Scoring Setup'!$K$22)))),1),"")</x:f>
        <x:v>0.8023142720870152</x:v>
      </x:c>
      <x:c r="BC85" s="27" t="n">
        <x:f>IF(ISNUMBER(AK85),IF('Scoring Setup'!$L$23=1,1-'Scoring Setup'!$B$5*(1-MAX(0,MIN(1,(AK85-'Scoring Setup'!$K$23)/(100-'Scoring Setup'!$K$23)))),1),"")</x:f>
        <x:v>0.8711909989087966</x:v>
      </x:c>
      <x:c r="BD85" s="27" t="n">
        <x:f>IF(ISNUMBER(AL85),IF('Scoring Setup'!$L$24=1,1-'Scoring Setup'!$B$5*(1-MAX(0,MIN(1,(AL85-'Scoring Setup'!$K$24)/(100-'Scoring Setup'!$K$24)))),1),"")</x:f>
        <x:v>0.9741818181818181</x:v>
      </x:c>
      <x:c r="BE85" s="27" t="n">
        <x:f>IF(ISNUMBER(AM85),IF('Scoring Setup'!$L$25=1,1-'Scoring Setup'!$B$5*(1-MAX(0,MIN(1,(AM85-'Scoring Setup'!$K$25)/(100-'Scoring Setup'!$K$25)))),1),"")</x:f>
        <x:v>0.8885845218271159</x:v>
      </x:c>
      <x:c r="BF85" s="27" t="n">
        <x:f>IF(ISNUMBER(AN85),IF('Scoring Setup'!$L$26=1,1-'Scoring Setup'!$B$5*(1-MAX(0,MIN(1,(AN85-'Scoring Setup'!$K$26)/(100-'Scoring Setup'!$K$26)))),1),"")</x:f>
        <x:v>0.937286211052675</x:v>
      </x:c>
      <x:c r="BG85" s="34" t="n">
        <x:f>IF(COUNT(W85,X85)=2,AVERAGE(W85,X85),"")</x:f>
        <x:v>73.32001414427157</x:v>
      </x:c>
      <x:c r="BH85" s="34" t="n">
        <x:f>IF(COUNT(Y85,Z85)=2,AVERAGE(Y85,Z85),"")</x:f>
        <x:v>96.04706424858882</x:v>
      </x:c>
      <x:c r="BI85" s="34" t="n">
        <x:f>IF(COUNT(AA85,AB85,AC85)=3,AVERAGE(AA85,AB85,AC85),"")</x:f>
        <x:v>81.2830741644719</x:v>
      </x:c>
      <x:c r="BJ85" s="34" t="n">
        <x:f>IF(COUNT(AD85,AE85)=2,AVERAGE(AD85,AE85),"")</x:f>
        <x:v>76.925533375</x:v>
      </x:c>
      <x:c r="BK85" s="34" t="n">
        <x:f>IF(COUNT(AF85,AG85)=2,AVERAGE(AF85,AG85),"")</x:f>
        <x:v>13.99136014601565</x:v>
      </x:c>
      <x:c r="BL85" s="34" t="n">
        <x:f>IF(COUNT(AH85,AI85)=2,AVERAGE(AH85,AI85),"")</x:f>
        <x:v>16.62674881829156</x:v>
      </x:c>
      <x:c r="BM85" s="34" t="n">
        <x:f>IF(COUNT(AJ85,AK85)=2,AVERAGE(AJ85,AK85),"")</x:f>
        <x:v>18.37631774895297</x:v>
      </x:c>
      <x:c r="BN85" s="34" t="n">
        <x:f>IF(COUNT(AL85,AM85,AN85)=3,AVERAGE(AL85,AM85,AN85),"")</x:f>
        <x:v>66.67542517693484</x:v>
      </x:c>
      <x:c r="BO85" s="35" t="n">
        <x:f>IF(AND(COUNT(BG85:BN85)=8,ABS('Scoring Setup'!$C$17-1)&lt;0.000001),BG85*'Scoring Setup'!$C$9+BH85*'Scoring Setup'!$C$10+BI85*'Scoring Setup'!$C$11+BJ85*'Scoring Setup'!$C$12+BK85*'Scoring Setup'!$C$13+BL85*'Scoring Setup'!$C$14+BM85*'Scoring Setup'!$C$15+BN85*'Scoring Setup'!$C$16,"")</x:f>
        <x:v>65.51419191413636</x:v>
      </x:c>
      <x:c r="BP85" s="36" t="n">
        <x:f>IF(COUNT(AO85:BF85)=18,MIN(AO85:BF85),"")</x:f>
        <x:v>0.8</x:v>
      </x:c>
      <x:c r="BQ85" s="35" t="n">
        <x:f>IF(AND(ISNUMBER(BO85),ISNUMBER(BP85)),BO85*BP85,"")</x:f>
        <x:v>52.41135353130909</x:v>
      </x:c>
      <x:c r="BR85" s="17" t="str">
        <x:f>IF(COUNT(AO85:BF85)=18,INDEX('Scoring Setup'!$F$9:$F$26,MATCH(MIN(AO85:BF85),AO85:BF85,0),1),"")</x:f>
        <x:v>社会脆弱性百分位</x:v>
      </x:c>
    </x:row>
    <x:row r="86">
      <x:c r="A86" s="28" t="str">
        <x:v>13165</x:v>
      </x:c>
      <x:c r="B86" s="28" t="str">
        <x:v>Jenkins County</x:v>
      </x:c>
      <x:c r="C86" s="28" t="str">
        <x:v>GA</x:v>
      </x:c>
      <x:c r="D86" s="31" t="n">
        <x:v>899.705945</x:v>
      </x:c>
      <x:c r="E86" s="32" t="n">
        <x:v>0.537</x:v>
      </x:c>
      <x:c r="F86" s="32" t="n">
        <x:v>0.538366336633663</x:v>
      </x:c>
      <x:c r="G86" s="32" t="n">
        <x:v>0.9378783486552666</x:v>
      </x:c>
      <x:c r="H86" s="32" t="n">
        <x:v>0.7467489116289789</x:v>
      </x:c>
      <x:c r="I86" s="32" t="n">
        <x:v>0.9423608886385073</x:v>
      </x:c>
      <x:c r="J86" s="32" t="n">
        <x:v>0.025656245464490402</x:v>
      </x:c>
      <x:c r="K86" s="32" t="n">
        <x:v>0.35277349914058076</x:v>
      </x:c>
      <x:c r="L86" s="32" t="n">
        <x:v>0.293459916</x:v>
      </x:c>
      <x:c r="M86" s="32" t="n">
        <x:v>0.293459916</x:v>
      </x:c>
      <x:c r="N86" s="32" t="n">
        <x:v>3658</x:v>
      </x:c>
      <x:c r="O86" s="32" t="n">
        <x:v>0.8352</x:v>
      </x:c>
      <x:c r="P86" s="32" t="n">
        <x:v>2045.005900065104</x:v>
      </x:c>
      <x:c r="Q86" s="32" t="n">
        <x:v>68.98989372253418</x:v>
      </x:c>
      <x:c r="R86" s="32" t="n">
        <x:v>47.04103759593077</x:v>
      </x:c>
      <x:c r="S86" s="32" t="n">
        <x:v>0.3329348564866413</x:v>
      </x:c>
      <x:c r="T86" s="32" t="n">
        <x:v>72.1</x:v>
      </x:c>
      <x:c r="U86" s="32" t="n">
        <x:v>211.4154781728841</x:v>
      </x:c>
      <x:c r="V86" s="32" t="n">
        <x:v>325.42757789465</x:v>
      </x:c>
      <x:c r="W86" s="33" t="n">
        <x:f>IF(ISNUMBER(E86),100*MAX(0,MIN(1,('Anchors'!$H$6-E86)/('Anchors'!$H$6-'Anchors'!$G$6))),"")</x:f>
        <x:v>51.857142857142854</x:v>
      </x:c>
      <x:c r="X86" s="33" t="n">
        <x:f>IF(ISNUMBER(F86),100*MAX(0,MIN(1,('Anchors'!$H$7-F86)/('Anchors'!$H$7-'Anchors'!$G$7))),"")</x:f>
        <x:v>37.376237623762435</x:v>
      </x:c>
      <x:c r="Y86" s="33" t="n">
        <x:f>IF(ISNUMBER(G86),100*MAX(0,MIN(1,('Anchors'!$H$8-G86)/('Anchors'!$H$8-'Anchors'!$G$8))),"")</x:f>
        <x:v>100</x:v>
      </x:c>
      <x:c r="Z86" s="33" t="n">
        <x:f>IF(ISNUMBER(H86),100*MAX(0,MIN(1,('Anchors'!$H$9-H86)/('Anchors'!$H$9-'Anchors'!$G$9))),"")</x:f>
        <x:v>100</x:v>
      </x:c>
      <x:c r="AA86" s="33" t="n">
        <x:f>IF(ISNUMBER(I86),100*MAX(0,MIN(1,(I86-'Anchors'!$H$10)/('Anchors'!$G$10-'Anchors'!$H$10))),"")</x:f>
        <x:v>94.84395734774073</x:v>
      </x:c>
      <x:c r="AB86" s="33" t="n">
        <x:f>IF(ISNUMBER(J86),100*MAX(0,MIN(1,('Anchors'!$H$11-J86)/('Anchors'!$H$11-'Anchors'!$G$11))),"")</x:f>
        <x:v>89.73750181420384</x:v>
      </x:c>
      <x:c r="AC86" s="33" t="n">
        <x:f>IF(ISNUMBER(K86),100*MAX(0,MIN(1,('Anchors'!$H$12-K86)/('Anchors'!$H$12-'Anchors'!$G$12))),"")</x:f>
        <x:v>11.806625214854815</x:v>
      </x:c>
      <x:c r="AD86" s="33" t="n">
        <x:f>IF(ISNUMBER(L86),100*MAX(0,MIN(1,(L86-'Anchors'!$H$13)/('Anchors'!$G$13-'Anchors'!$H$13))),"")</x:f>
        <x:v>13.351416571428567</x:v>
      </x:c>
      <x:c r="AE86" s="33" t="n">
        <x:f>IF(ISNUMBER(M86),100*MAX(0,MIN(1,(M86-'Anchors'!$H$14)/('Anchors'!$G$14-'Anchors'!$H$14))),"")</x:f>
        <x:v>24.182489499999996</x:v>
      </x:c>
      <x:c r="AF86" s="33" t="n">
        <x:f>IF(ISNUMBER(N86),100*MAX(0,MIN(1,(LN(1+N86)-LN(1+'Anchors'!$H$15))/(LN(1+'Anchors'!$G$15)-LN(1+'Anchors'!$H$15)))),"")</x:f>
        <x:v>13.980624107686468</x:v>
      </x:c>
      <x:c r="AG86" s="33" t="n">
        <x:f>IF(ISNUMBER(O86),100*MAX(0,MIN(1,('Anchors'!$H$16-O86)/('Anchors'!$H$16-'Anchors'!$G$16))),"")</x:f>
        <x:v>12.755555555555546</x:v>
      </x:c>
      <x:c r="AH86" s="33" t="n">
        <x:f>IF(ISNUMBER(P86),100*MAX(0,MIN(1,('Anchors'!$H$17-P86)/('Anchors'!$H$17-'Anchors'!$G$17))),"")</x:f>
        <x:v>10.332939995659732</x:v>
      </x:c>
      <x:c r="AI86" s="33" t="n">
        <x:f>IF(ISNUMBER(Q86),100*MAX(0,MIN(1,('Anchors'!$H$18-Q86)/('Anchors'!$H$18-'Anchors'!$G$18))),"")</x:f>
        <x:v>8.585866110665462</x:v>
      </x:c>
      <x:c r="AJ86" s="33" t="n">
        <x:f>IF(ISNUMBER(R86),100*MAX(0,MIN(1,('Anchors'!$H$19-R86)/('Anchors'!$H$19-'Anchors'!$G$19))),"")</x:f>
        <x:v>6.575472009042739</x:v>
      </x:c>
      <x:c r="AK86" s="33" t="n">
        <x:f>IF(ISNUMBER(S86),100*MAX(0,MIN(1,('Anchors'!$H$20-S86)/('Anchors'!$H$20-'Anchors'!$G$20))),"")</x:f>
        <x:v>100</x:v>
      </x:c>
      <x:c r="AL86" s="33" t="n">
        <x:f>IF(ISNUMBER(T86),100*MAX(0,MIN(1,('Anchors'!$H$21-T86)/('Anchors'!$H$21-'Anchors'!$G$21))),"")</x:f>
        <x:v>87.0909090909091</x:v>
      </x:c>
      <x:c r="AM86" s="33" t="n">
        <x:f>IF(ISNUMBER(U86),100*MAX(0,MIN(1,('Anchors'!$H$22-U86)/('Anchors'!$H$22-'Anchors'!$G$22))),"")</x:f>
        <x:v>44.29226091355795</x:v>
      </x:c>
      <x:c r="AN86" s="33" t="n">
        <x:f>IF(ISNUMBER(V86),100*MAX(0,MIN(1,('Anchors'!$H$23-V86)/('Anchors'!$H$23-'Anchors'!$G$23))),"")</x:f>
        <x:v>68.6431055263375</x:v>
      </x:c>
      <x:c r="AO86" s="27" t="n">
        <x:f>IF(ISNUMBER(W86),IF('Scoring Setup'!$L$9=1,1-'Scoring Setup'!$B$5*(1-MAX(0,MIN(1,(W86-'Scoring Setup'!$K$9)/(100-'Scoring Setup'!$K$9)))),1),"")</x:f>
        <x:v>0.9037142857142857</x:v>
      </x:c>
      <x:c r="AP86" s="27" t="n">
        <x:f>IF(ISNUMBER(X86),IF('Scoring Setup'!$L$10=1,1-'Scoring Setup'!$B$5*(1-MAX(0,MIN(1,(X86-'Scoring Setup'!$K$10)/(100-'Scoring Setup'!$K$10)))),1),"")</x:f>
        <x:v>0.8747524752475249</x:v>
      </x:c>
      <x:c r="AQ86" s="27" t="n">
        <x:f>IF(ISNUMBER(Y86),IF('Scoring Setup'!$L$11=1,1-'Scoring Setup'!$B$5*(1-MAX(0,MIN(1,(Y86-'Scoring Setup'!$K$11)/(100-'Scoring Setup'!$K$11)))),1),"")</x:f>
        <x:v>1</x:v>
      </x:c>
      <x:c r="AR86" s="27" t="n">
        <x:f>IF(ISNUMBER(Z86),IF('Scoring Setup'!$L$12=1,1-'Scoring Setup'!$B$5*(1-MAX(0,MIN(1,(Z86-'Scoring Setup'!$K$12)/(100-'Scoring Setup'!$K$12)))),1),"")</x:f>
        <x:v>1</x:v>
      </x:c>
      <x:c r="AS86" s="27" t="n">
        <x:f>IF(ISNUMBER(AA86),IF('Scoring Setup'!$L$13=1,1-'Scoring Setup'!$B$5*(1-MAX(0,MIN(1,(AA86-'Scoring Setup'!$K$13)/(100-'Scoring Setup'!$K$13)))),1),"")</x:f>
        <x:v>0.9896879146954815</x:v>
      </x:c>
      <x:c r="AT86" s="27" t="n">
        <x:f>IF(ISNUMBER(AB86),IF('Scoring Setup'!$L$14=1,1-'Scoring Setup'!$B$5*(1-MAX(0,MIN(1,(AB86-'Scoring Setup'!$K$14)/(100-'Scoring Setup'!$K$14)))),1),"")</x:f>
        <x:v>0.9794750036284077</x:v>
      </x:c>
      <x:c r="AU86" s="27" t="n">
        <x:f>IF(ISNUMBER(AC86),IF('Scoring Setup'!$L$15=1,1-'Scoring Setup'!$B$5*(1-MAX(0,MIN(1,(AC86-'Scoring Setup'!$K$15)/(100-'Scoring Setup'!$K$15)))),1),"")</x:f>
        <x:v>0.8236132504297096</x:v>
      </x:c>
      <x:c r="AV86" s="27" t="n">
        <x:f>IF(ISNUMBER(AD86),IF('Scoring Setup'!$L$16=1,1-'Scoring Setup'!$B$5*(1-MAX(0,MIN(1,(AD86-'Scoring Setup'!$K$16)/(100-'Scoring Setup'!$K$16)))),1),"")</x:f>
        <x:v>0.8267028331428571</x:v>
      </x:c>
      <x:c r="AW86" s="27" t="n">
        <x:f>IF(ISNUMBER(AE86),IF('Scoring Setup'!$L$17=1,1-'Scoring Setup'!$B$5*(1-MAX(0,MIN(1,(AE86-'Scoring Setup'!$K$17)/(100-'Scoring Setup'!$K$17)))),1),"")</x:f>
        <x:v>0.848364979</x:v>
      </x:c>
      <x:c r="AX86" s="27" t="n">
        <x:f>IF(ISNUMBER(AF86),IF('Scoring Setup'!$L$18=1,1-'Scoring Setup'!$B$5*(1-MAX(0,MIN(1,(AF86-'Scoring Setup'!$K$18)/(100-'Scoring Setup'!$K$18)))),1),"")</x:f>
        <x:v>0.8279612482153729</x:v>
      </x:c>
      <x:c r="AY86" s="27" t="n">
        <x:f>IF(ISNUMBER(AG86),IF('Scoring Setup'!$L$19=1,1-'Scoring Setup'!$B$5*(1-MAX(0,MIN(1,(AG86-'Scoring Setup'!$K$19)/(100-'Scoring Setup'!$K$19)))),1),"")</x:f>
        <x:v>0.8255111111111111</x:v>
      </x:c>
      <x:c r="AZ86" s="27" t="n">
        <x:f>IF(ISNUMBER(AH86),IF('Scoring Setup'!$L$20=1,1-'Scoring Setup'!$B$5*(1-MAX(0,MIN(1,(AH86-'Scoring Setup'!$K$20)/(100-'Scoring Setup'!$K$20)))),1),"")</x:f>
        <x:v>0.8206658799913195</x:v>
      </x:c>
      <x:c r="BA86" s="27" t="n">
        <x:f>IF(ISNUMBER(AI86),IF('Scoring Setup'!$L$21=1,1-'Scoring Setup'!$B$5*(1-MAX(0,MIN(1,(AI86-'Scoring Setup'!$K$21)/(100-'Scoring Setup'!$K$21)))),1),"")</x:f>
        <x:v>0.8171717322213309</x:v>
      </x:c>
      <x:c r="BB86" s="27" t="n">
        <x:f>IF(ISNUMBER(AJ86),IF('Scoring Setup'!$L$22=1,1-'Scoring Setup'!$B$5*(1-MAX(0,MIN(1,(AJ86-'Scoring Setup'!$K$22)/(100-'Scoring Setup'!$K$22)))),1),"")</x:f>
        <x:v>0.8131509440180855</x:v>
      </x:c>
      <x:c r="BC86" s="27" t="n">
        <x:f>IF(ISNUMBER(AK86),IF('Scoring Setup'!$L$23=1,1-'Scoring Setup'!$B$5*(1-MAX(0,MIN(1,(AK86-'Scoring Setup'!$K$23)/(100-'Scoring Setup'!$K$23)))),1),"")</x:f>
        <x:v>1</x:v>
      </x:c>
      <x:c r="BD86" s="27" t="n">
        <x:f>IF(ISNUMBER(AL86),IF('Scoring Setup'!$L$24=1,1-'Scoring Setup'!$B$5*(1-MAX(0,MIN(1,(AL86-'Scoring Setup'!$K$24)/(100-'Scoring Setup'!$K$24)))),1),"")</x:f>
        <x:v>0.9741818181818181</x:v>
      </x:c>
      <x:c r="BE86" s="27" t="n">
        <x:f>IF(ISNUMBER(AM86),IF('Scoring Setup'!$L$25=1,1-'Scoring Setup'!$B$5*(1-MAX(0,MIN(1,(AM86-'Scoring Setup'!$K$25)/(100-'Scoring Setup'!$K$25)))),1),"")</x:f>
        <x:v>0.8885845218271159</x:v>
      </x:c>
      <x:c r="BF86" s="27" t="n">
        <x:f>IF(ISNUMBER(AN86),IF('Scoring Setup'!$L$26=1,1-'Scoring Setup'!$B$5*(1-MAX(0,MIN(1,(AN86-'Scoring Setup'!$K$26)/(100-'Scoring Setup'!$K$26)))),1),"")</x:f>
        <x:v>0.937286211052675</x:v>
      </x:c>
      <x:c r="BG86" s="34" t="n">
        <x:f>IF(COUNT(W86,X86)=2,AVERAGE(W86,X86),"")</x:f>
        <x:v>44.61669024045264</x:v>
      </x:c>
      <x:c r="BH86" s="34" t="n">
        <x:f>IF(COUNT(Y86,Z86)=2,AVERAGE(Y86,Z86),"")</x:f>
        <x:v>100</x:v>
      </x:c>
      <x:c r="BI86" s="34" t="n">
        <x:f>IF(COUNT(AA86,AB86,AC86)=3,AVERAGE(AA86,AB86,AC86),"")</x:f>
        <x:v>65.46269479226646</x:v>
      </x:c>
      <x:c r="BJ86" s="34" t="n">
        <x:f>IF(COUNT(AD86,AE86)=2,AVERAGE(AD86,AE86),"")</x:f>
        <x:v>18.76695303571428</x:v>
      </x:c>
      <x:c r="BK86" s="34" t="n">
        <x:f>IF(COUNT(AF86,AG86)=2,AVERAGE(AF86,AG86),"")</x:f>
        <x:v>13.368089831621006</x:v>
      </x:c>
      <x:c r="BL86" s="34" t="n">
        <x:f>IF(COUNT(AH86,AI86)=2,AVERAGE(AH86,AI86),"")</x:f>
        <x:v>9.459403053162596</x:v>
      </x:c>
      <x:c r="BM86" s="34" t="n">
        <x:f>IF(COUNT(AJ86,AK86)=2,AVERAGE(AJ86,AK86),"")</x:f>
        <x:v>53.28773600452137</x:v>
      </x:c>
      <x:c r="BN86" s="34" t="n">
        <x:f>IF(COUNT(AL86,AM86,AN86)=3,AVERAGE(AL86,AM86,AN86),"")</x:f>
        <x:v>66.67542517693484</x:v>
      </x:c>
      <x:c r="BO86" s="35" t="n">
        <x:f>IF(AND(COUNT(BG86:BN86)=8,ABS('Scoring Setup'!$C$17-1)&lt;0.000001),BG86*'Scoring Setup'!$C$9+BH86*'Scoring Setup'!$C$10+BI86*'Scoring Setup'!$C$11+BJ86*'Scoring Setup'!$C$12+BK86*'Scoring Setup'!$C$13+BL86*'Scoring Setup'!$C$14+BM86*'Scoring Setup'!$C$15+BN86*'Scoring Setup'!$C$16,"")</x:f>
        <x:v>57.36142729597009</x:v>
      </x:c>
      <x:c r="BP86" s="36" t="n">
        <x:f>IF(COUNT(AO86:BF86)=18,MIN(AO86:BF86),"")</x:f>
        <x:v>0.8131509440180855</x:v>
      </x:c>
      <x:c r="BQ86" s="35" t="n">
        <x:f>IF(AND(ISNUMBER(BO86),ISNUMBER(BP86)),BO86*BP86,"")</x:f>
        <x:v>46.64349875594286</x:v>
      </x:c>
      <x:c r="BR86" s="17" t="str">
        <x:f>IF(COUNT(AO86:BF86)=18,INDEX('Scoring Setup'!$F$9:$F$26,MATCH(MIN(AO86:BF86),AO86:BF86,0),1),"")</x:f>
        <x:v>到Interstate距离</x:v>
      </x:c>
    </x:row>
    <x:row r="87">
      <x:c r="A87" s="28" t="str">
        <x:v>13167</x:v>
      </x:c>
      <x:c r="B87" s="28" t="str">
        <x:v>Johnson County</x:v>
      </x:c>
      <x:c r="C87" s="28" t="str">
        <x:v>GA</x:v>
      </x:c>
      <x:c r="D87" s="31" t="n">
        <x:v>784.815228</x:v>
      </x:c>
      <x:c r="E87" s="32" t="n">
        <x:v>0.548</x:v>
      </x:c>
      <x:c r="F87" s="32" t="n">
        <x:v>0.155012376237624</x:v>
      </x:c>
      <x:c r="G87" s="32" t="n">
        <x:v>2.0683800128289973</x:v>
      </x:c>
      <x:c r="H87" s="32" t="n">
        <x:v>1.9182189147918598</x:v>
      </x:c>
      <x:c r="I87" s="32" t="n">
        <x:v>0.938157917239099</x:v>
      </x:c>
      <x:c r="J87" s="32" t="n">
        <x:v>0.0016165708409963699</x:v>
      </x:c>
      <x:c r="K87" s="32" t="n">
        <x:v>0.1828082156640311</x:v>
      </x:c>
      <x:c r="L87" s="32" t="n">
        <x:v>0.897083635</x:v>
      </x:c>
      <x:c r="M87" s="32" t="n">
        <x:v>0.897083635</x:v>
      </x:c>
      <x:c r="N87" s="32" t="n">
        <x:v>3415</x:v>
      </x:c>
      <x:c r="O87" s="32" t="n">
        <x:v>0.9322</x:v>
      </x:c>
      <x:c r="P87" s="32" t="n">
        <x:v>2018.6457275390624</x:v>
      </x:c>
      <x:c r="Q87" s="32" t="n">
        <x:v>67.21316947937012</x:v>
      </x:c>
      <x:c r="R87" s="32" t="n">
        <x:v>28.040486567153774</x:v>
      </x:c>
      <x:c r="S87" s="32" t="n">
        <x:v>6.157309533381034</x:v>
      </x:c>
      <x:c r="T87" s="32" t="n">
        <x:v>72.1</x:v>
      </x:c>
      <x:c r="U87" s="32" t="n">
        <x:v>211.4154781728841</x:v>
      </x:c>
      <x:c r="V87" s="32" t="n">
        <x:v>325.42757789465</x:v>
      </x:c>
      <x:c r="W87" s="33" t="n">
        <x:f>IF(ISNUMBER(E87),100*MAX(0,MIN(1,('Anchors'!$H$6-E87)/('Anchors'!$H$6-'Anchors'!$G$6))),"")</x:f>
        <x:v>50.28571428571429</x:v>
      </x:c>
      <x:c r="X87" s="33" t="n">
        <x:f>IF(ISNUMBER(F87),100*MAX(0,MIN(1,('Anchors'!$H$7-F87)/('Anchors'!$H$7-'Anchors'!$G$7))),"")</x:f>
        <x:v>92.14108910891086</x:v>
      </x:c>
      <x:c r="Y87" s="33" t="n">
        <x:f>IF(ISNUMBER(G87),100*MAX(0,MIN(1,('Anchors'!$H$8-G87)/('Anchors'!$H$8-'Anchors'!$G$8))),"")</x:f>
        <x:v>64.38733290570009</x:v>
      </x:c>
      <x:c r="Z87" s="33" t="n">
        <x:f>IF(ISNUMBER(H87),100*MAX(0,MIN(1,('Anchors'!$H$9-H87)/('Anchors'!$H$9-'Anchors'!$G$9))),"")</x:f>
        <x:v>69.39270284027134</x:v>
      </x:c>
      <x:c r="AA87" s="33" t="n">
        <x:f>IF(ISNUMBER(I87),100*MAX(0,MIN(1,(I87-'Anchors'!$H$10)/('Anchors'!$G$10-'Anchors'!$H$10))),"")</x:f>
        <x:v>94.26820784097248</x:v>
      </x:c>
      <x:c r="AB87" s="33" t="n">
        <x:f>IF(ISNUMBER(J87),100*MAX(0,MIN(1,('Anchors'!$H$11-J87)/('Anchors'!$H$11-'Anchors'!$G$11))),"")</x:f>
        <x:v>99.35337166360145</x:v>
      </x:c>
      <x:c r="AC87" s="33" t="n">
        <x:f>IF(ISNUMBER(K87),100*MAX(0,MIN(1,('Anchors'!$H$12-K87)/('Anchors'!$H$12-'Anchors'!$G$12))),"")</x:f>
        <x:v>54.29794608399222</x:v>
      </x:c>
      <x:c r="AD87" s="33" t="n">
        <x:f>IF(ISNUMBER(L87),100*MAX(0,MIN(1,(L87-'Anchors'!$H$13)/('Anchors'!$G$13-'Anchors'!$H$13))),"")</x:f>
        <x:v>99.58337642857144</x:v>
      </x:c>
      <x:c r="AE87" s="33" t="n">
        <x:f>IF(ISNUMBER(M87),100*MAX(0,MIN(1,(M87-'Anchors'!$H$14)/('Anchors'!$G$14-'Anchors'!$H$14))),"")</x:f>
        <x:v>99.635454375</x:v>
      </x:c>
      <x:c r="AF87" s="33" t="n">
        <x:f>IF(ISNUMBER(N87),100*MAX(0,MIN(1,(LN(1+N87)-LN(1+'Anchors'!$H$15))/(LN(1+'Anchors'!$G$15)-LN(1+'Anchors'!$H$15)))),"")</x:f>
        <x:v>12.388785071023692</x:v>
      </x:c>
      <x:c r="AG87" s="33" t="n">
        <x:f>IF(ISNUMBER(O87),100*MAX(0,MIN(1,('Anchors'!$H$16-O87)/('Anchors'!$H$16-'Anchors'!$G$16))),"")</x:f>
        <x:v>1.9777777777777699</x:v>
      </x:c>
      <x:c r="AH87" s="33" t="n">
        <x:f>IF(ISNUMBER(P87),100*MAX(0,MIN(1,('Anchors'!$H$17-P87)/('Anchors'!$H$17-'Anchors'!$G$17))),"")</x:f>
        <x:v>12.090284830729175</x:v>
      </x:c>
      <x:c r="AI87" s="33" t="n">
        <x:f>IF(ISNUMBER(Q87),100*MAX(0,MIN(1,('Anchors'!$H$18-Q87)/('Anchors'!$H$18-'Anchors'!$G$18))),"")</x:f>
        <x:v>11.124043600899824</x:v>
      </x:c>
      <x:c r="AJ87" s="33" t="n">
        <x:f>IF(ISNUMBER(R87),100*MAX(0,MIN(1,('Anchors'!$H$19-R87)/('Anchors'!$H$19-'Anchors'!$G$19))),"")</x:f>
        <x:v>48.79891873965828</x:v>
      </x:c>
      <x:c r="AK87" s="33" t="n">
        <x:f>IF(ISNUMBER(S87),100*MAX(0,MIN(1,('Anchors'!$H$20-S87)/('Anchors'!$H$20-'Anchors'!$G$20))),"")</x:f>
        <x:v>72.85626561378402</x:v>
      </x:c>
      <x:c r="AL87" s="33" t="n">
        <x:f>IF(ISNUMBER(T87),100*MAX(0,MIN(1,('Anchors'!$H$21-T87)/('Anchors'!$H$21-'Anchors'!$G$21))),"")</x:f>
        <x:v>87.0909090909091</x:v>
      </x:c>
      <x:c r="AM87" s="33" t="n">
        <x:f>IF(ISNUMBER(U87),100*MAX(0,MIN(1,('Anchors'!$H$22-U87)/('Anchors'!$H$22-'Anchors'!$G$22))),"")</x:f>
        <x:v>44.29226091355795</x:v>
      </x:c>
      <x:c r="AN87" s="33" t="n">
        <x:f>IF(ISNUMBER(V87),100*MAX(0,MIN(1,('Anchors'!$H$23-V87)/('Anchors'!$H$23-'Anchors'!$G$23))),"")</x:f>
        <x:v>68.6431055263375</x:v>
      </x:c>
      <x:c r="AO87" s="27" t="n">
        <x:f>IF(ISNUMBER(W87),IF('Scoring Setup'!$L$9=1,1-'Scoring Setup'!$B$5*(1-MAX(0,MIN(1,(W87-'Scoring Setup'!$K$9)/(100-'Scoring Setup'!$K$9)))),1),"")</x:f>
        <x:v>0.9005714285714286</x:v>
      </x:c>
      <x:c r="AP87" s="27" t="n">
        <x:f>IF(ISNUMBER(X87),IF('Scoring Setup'!$L$10=1,1-'Scoring Setup'!$B$5*(1-MAX(0,MIN(1,(X87-'Scoring Setup'!$K$10)/(100-'Scoring Setup'!$K$10)))),1),"")</x:f>
        <x:v>0.9842821782178217</x:v>
      </x:c>
      <x:c r="AQ87" s="27" t="n">
        <x:f>IF(ISNUMBER(Y87),IF('Scoring Setup'!$L$11=1,1-'Scoring Setup'!$B$5*(1-MAX(0,MIN(1,(Y87-'Scoring Setup'!$K$11)/(100-'Scoring Setup'!$K$11)))),1),"")</x:f>
        <x:v>0.9287746658114002</x:v>
      </x:c>
      <x:c r="AR87" s="27" t="n">
        <x:f>IF(ISNUMBER(Z87),IF('Scoring Setup'!$L$12=1,1-'Scoring Setup'!$B$5*(1-MAX(0,MIN(1,(Z87-'Scoring Setup'!$K$12)/(100-'Scoring Setup'!$K$12)))),1),"")</x:f>
        <x:v>0.9387854056805427</x:v>
      </x:c>
      <x:c r="AS87" s="27" t="n">
        <x:f>IF(ISNUMBER(AA87),IF('Scoring Setup'!$L$13=1,1-'Scoring Setup'!$B$5*(1-MAX(0,MIN(1,(AA87-'Scoring Setup'!$K$13)/(100-'Scoring Setup'!$K$13)))),1),"")</x:f>
        <x:v>0.988536415681945</x:v>
      </x:c>
      <x:c r="AT87" s="27" t="n">
        <x:f>IF(ISNUMBER(AB87),IF('Scoring Setup'!$L$14=1,1-'Scoring Setup'!$B$5*(1-MAX(0,MIN(1,(AB87-'Scoring Setup'!$K$14)/(100-'Scoring Setup'!$K$14)))),1),"")</x:f>
        <x:v>0.9987067433272029</x:v>
      </x:c>
      <x:c r="AU87" s="27" t="n">
        <x:f>IF(ISNUMBER(AC87),IF('Scoring Setup'!$L$15=1,1-'Scoring Setup'!$B$5*(1-MAX(0,MIN(1,(AC87-'Scoring Setup'!$K$15)/(100-'Scoring Setup'!$K$15)))),1),"")</x:f>
        <x:v>0.9085958921679844</x:v>
      </x:c>
      <x:c r="AV87" s="27" t="n">
        <x:f>IF(ISNUMBER(AD87),IF('Scoring Setup'!$L$16=1,1-'Scoring Setup'!$B$5*(1-MAX(0,MIN(1,(AD87-'Scoring Setup'!$K$16)/(100-'Scoring Setup'!$K$16)))),1),"")</x:f>
        <x:v>0.9991667528571428</x:v>
      </x:c>
      <x:c r="AW87" s="27" t="n">
        <x:f>IF(ISNUMBER(AE87),IF('Scoring Setup'!$L$17=1,1-'Scoring Setup'!$B$5*(1-MAX(0,MIN(1,(AE87-'Scoring Setup'!$K$17)/(100-'Scoring Setup'!$K$17)))),1),"")</x:f>
        <x:v>0.99927090875</x:v>
      </x:c>
      <x:c r="AX87" s="27" t="n">
        <x:f>IF(ISNUMBER(AF87),IF('Scoring Setup'!$L$18=1,1-'Scoring Setup'!$B$5*(1-MAX(0,MIN(1,(AF87-'Scoring Setup'!$K$18)/(100-'Scoring Setup'!$K$18)))),1),"")</x:f>
        <x:v>0.8247775701420473</x:v>
      </x:c>
      <x:c r="AY87" s="27" t="n">
        <x:f>IF(ISNUMBER(AG87),IF('Scoring Setup'!$L$19=1,1-'Scoring Setup'!$B$5*(1-MAX(0,MIN(1,(AG87-'Scoring Setup'!$K$19)/(100-'Scoring Setup'!$K$19)))),1),"")</x:f>
        <x:v>0.8039555555555555</x:v>
      </x:c>
      <x:c r="AZ87" s="27" t="n">
        <x:f>IF(ISNUMBER(AH87),IF('Scoring Setup'!$L$20=1,1-'Scoring Setup'!$B$5*(1-MAX(0,MIN(1,(AH87-'Scoring Setup'!$K$20)/(100-'Scoring Setup'!$K$20)))),1),"")</x:f>
        <x:v>0.8241805696614584</x:v>
      </x:c>
      <x:c r="BA87" s="27" t="n">
        <x:f>IF(ISNUMBER(AI87),IF('Scoring Setup'!$L$21=1,1-'Scoring Setup'!$B$5*(1-MAX(0,MIN(1,(AI87-'Scoring Setup'!$K$21)/(100-'Scoring Setup'!$K$21)))),1),"")</x:f>
        <x:v>0.8222480872017996</x:v>
      </x:c>
      <x:c r="BB87" s="27" t="n">
        <x:f>IF(ISNUMBER(AJ87),IF('Scoring Setup'!$L$22=1,1-'Scoring Setup'!$B$5*(1-MAX(0,MIN(1,(AJ87-'Scoring Setup'!$K$22)/(100-'Scoring Setup'!$K$22)))),1),"")</x:f>
        <x:v>0.8975978374793165</x:v>
      </x:c>
      <x:c r="BC87" s="27" t="n">
        <x:f>IF(ISNUMBER(AK87),IF('Scoring Setup'!$L$23=1,1-'Scoring Setup'!$B$5*(1-MAX(0,MIN(1,(AK87-'Scoring Setup'!$K$23)/(100-'Scoring Setup'!$K$23)))),1),"")</x:f>
        <x:v>0.945712531227568</x:v>
      </x:c>
      <x:c r="BD87" s="27" t="n">
        <x:f>IF(ISNUMBER(AL87),IF('Scoring Setup'!$L$24=1,1-'Scoring Setup'!$B$5*(1-MAX(0,MIN(1,(AL87-'Scoring Setup'!$K$24)/(100-'Scoring Setup'!$K$24)))),1),"")</x:f>
        <x:v>0.9741818181818181</x:v>
      </x:c>
      <x:c r="BE87" s="27" t="n">
        <x:f>IF(ISNUMBER(AM87),IF('Scoring Setup'!$L$25=1,1-'Scoring Setup'!$B$5*(1-MAX(0,MIN(1,(AM87-'Scoring Setup'!$K$25)/(100-'Scoring Setup'!$K$25)))),1),"")</x:f>
        <x:v>0.8885845218271159</x:v>
      </x:c>
      <x:c r="BF87" s="27" t="n">
        <x:f>IF(ISNUMBER(AN87),IF('Scoring Setup'!$L$26=1,1-'Scoring Setup'!$B$5*(1-MAX(0,MIN(1,(AN87-'Scoring Setup'!$K$26)/(100-'Scoring Setup'!$K$26)))),1),"")</x:f>
        <x:v>0.937286211052675</x:v>
      </x:c>
      <x:c r="BG87" s="34" t="n">
        <x:f>IF(COUNT(W87,X87)=2,AVERAGE(W87,X87),"")</x:f>
        <x:v>71.21340169731258</x:v>
      </x:c>
      <x:c r="BH87" s="34" t="n">
        <x:f>IF(COUNT(Y87,Z87)=2,AVERAGE(Y87,Z87),"")</x:f>
        <x:v>66.89001787298571</x:v>
      </x:c>
      <x:c r="BI87" s="34" t="n">
        <x:f>IF(COUNT(AA87,AB87,AC87)=3,AVERAGE(AA87,AB87,AC87),"")</x:f>
        <x:v>82.63984186285539</x:v>
      </x:c>
      <x:c r="BJ87" s="34" t="n">
        <x:f>IF(COUNT(AD87,AE87)=2,AVERAGE(AD87,AE87),"")</x:f>
        <x:v>99.60941540178572</x:v>
      </x:c>
      <x:c r="BK87" s="34" t="n">
        <x:f>IF(COUNT(AF87,AG87)=2,AVERAGE(AF87,AG87),"")</x:f>
        <x:v>7.183281424400731</x:v>
      </x:c>
      <x:c r="BL87" s="34" t="n">
        <x:f>IF(COUNT(AH87,AI87)=2,AVERAGE(AH87,AI87),"")</x:f>
        <x:v>11.6071642158145</x:v>
      </x:c>
      <x:c r="BM87" s="34" t="n">
        <x:f>IF(COUNT(AJ87,AK87)=2,AVERAGE(AJ87,AK87),"")</x:f>
        <x:v>60.827592176721154</x:v>
      </x:c>
      <x:c r="BN87" s="34" t="n">
        <x:f>IF(COUNT(AL87,AM87,AN87)=3,AVERAGE(AL87,AM87,AN87),"")</x:f>
        <x:v>66.67542517693484</x:v>
      </x:c>
      <x:c r="BO87" s="35" t="n">
        <x:f>IF(AND(COUNT(BG87:BN87)=8,ABS('Scoring Setup'!$C$17-1)&lt;0.000001),BG87*'Scoring Setup'!$C$9+BH87*'Scoring Setup'!$C$10+BI87*'Scoring Setup'!$C$11+BJ87*'Scoring Setup'!$C$12+BK87*'Scoring Setup'!$C$13+BL87*'Scoring Setup'!$C$14+BM87*'Scoring Setup'!$C$15+BN87*'Scoring Setup'!$C$16,"")</x:f>
        <x:v>63.066962985939824</x:v>
      </x:c>
      <x:c r="BP87" s="36" t="n">
        <x:f>IF(COUNT(AO87:BF87)=18,MIN(AO87:BF87),"")</x:f>
        <x:v>0.8039555555555555</x:v>
      </x:c>
      <x:c r="BQ87" s="35" t="n">
        <x:f>IF(AND(ISNUMBER(BO87),ISNUMBER(BP87)),BO87*BP87,"")</x:f>
        <x:v>50.70303526456291</x:v>
      </x:c>
      <x:c r="BR87" s="17" t="str">
        <x:f>IF(COUNT(AO87:BF87)=18,INDEX('Scoring Setup'!$F$9:$F$26,MATCH(MIN(AO87:BF87),AO87:BF87,0),1),"")</x:f>
        <x:v>社会脆弱性百分位</x:v>
      </x:c>
    </x:row>
    <x:row r="88">
      <x:c r="A88" s="28" t="str">
        <x:v>13169</x:v>
      </x:c>
      <x:c r="B88" s="28" t="str">
        <x:v>Jones County</x:v>
      </x:c>
      <x:c r="C88" s="28" t="str">
        <x:v>GA</x:v>
      </x:c>
      <x:c r="D88" s="31" t="n">
        <x:v>1020.304153</x:v>
      </x:c>
      <x:c r="E88" s="32" t="n">
        <x:v>0.609</x:v>
      </x:c>
      <x:c r="F88" s="32" t="n">
        <x:v>0.326113861386139</x:v>
      </x:c>
      <x:c r="G88" s="32" t="n">
        <x:v>2.343954232167907</x:v>
      </x:c>
      <x:c r="H88" s="32" t="n">
        <x:v>2.1853773429208414</x:v>
      </x:c>
      <x:c r="I88" s="32" t="n">
        <x:v>0.9389883290589299</x:v>
      </x:c>
      <x:c r="J88" s="32" t="n">
        <x:v>0.1909932553406341</x:v>
      </x:c>
      <x:c r="K88" s="32" t="n">
        <x:v>0.04342935871521111</x:v>
      </x:c>
      <x:c r="L88" s="32" t="n">
        <x:v>0.899821526</x:v>
      </x:c>
      <x:c r="M88" s="32" t="n">
        <x:v>0.899821526</x:v>
      </x:c>
      <x:c r="N88" s="32" t="n">
        <x:v>12849</x:v>
      </x:c>
      <x:c r="O88" s="32" t="n">
        <x:v>0.3675</x:v>
      </x:c>
      <x:c r="P88" s="32" t="n">
        <x:v>1843.4365519205728</x:v>
      </x:c>
      <x:c r="Q88" s="32" t="n">
        <x:v>57.645565541585285</x:v>
      </x:c>
      <x:c r="R88" s="32" t="n">
        <x:v>17.54880053404877</x:v>
      </x:c>
      <x:c r="S88" s="32" t="n">
        <x:v>2.4148281426371097</x:v>
      </x:c>
      <x:c r="T88" s="32" t="n">
        <x:v>72.1</x:v>
      </x:c>
      <x:c r="U88" s="32" t="n">
        <x:v>211.4154781728841</x:v>
      </x:c>
      <x:c r="V88" s="32" t="n">
        <x:v>325.42757789465</x:v>
      </x:c>
      <x:c r="W88" s="33" t="n">
        <x:f>IF(ISNUMBER(E88),100*MAX(0,MIN(1,('Anchors'!$H$6-E88)/('Anchors'!$H$6-'Anchors'!$G$6))),"")</x:f>
        <x:v>41.571428571428584</x:v>
      </x:c>
      <x:c r="X88" s="33" t="n">
        <x:f>IF(ISNUMBER(F88),100*MAX(0,MIN(1,('Anchors'!$H$7-F88)/('Anchors'!$H$7-'Anchors'!$G$7))),"")</x:f>
        <x:v>67.69801980198014</x:v>
      </x:c>
      <x:c r="Y88" s="33" t="n">
        <x:f>IF(ISNUMBER(G88),100*MAX(0,MIN(1,('Anchors'!$H$8-G88)/('Anchors'!$H$8-'Anchors'!$G$8))),"")</x:f>
        <x:v>55.20152559440309</x:v>
      </x:c>
      <x:c r="Z88" s="33" t="n">
        <x:f>IF(ISNUMBER(H88),100*MAX(0,MIN(1,('Anchors'!$H$9-H88)/('Anchors'!$H$9-'Anchors'!$G$9))),"")</x:f>
        <x:v>60.487421902638616</x:v>
      </x:c>
      <x:c r="AA88" s="33" t="n">
        <x:f>IF(ISNUMBER(I88),100*MAX(0,MIN(1,(I88-'Anchors'!$H$10)/('Anchors'!$G$10-'Anchors'!$H$10))),"")</x:f>
        <x:v>94.38196288478493</x:v>
      </x:c>
      <x:c r="AB88" s="33" t="n">
        <x:f>IF(ISNUMBER(J88),100*MAX(0,MIN(1,('Anchors'!$H$11-J88)/('Anchors'!$H$11-'Anchors'!$G$11))),"")</x:f>
        <x:v>23.602697863746357</x:v>
      </x:c>
      <x:c r="AC88" s="33" t="n">
        <x:f>IF(ISNUMBER(K88),100*MAX(0,MIN(1,('Anchors'!$H$12-K88)/('Anchors'!$H$12-'Anchors'!$G$12))),"")</x:f>
        <x:v>89.14266032119723</x:v>
      </x:c>
      <x:c r="AD88" s="33" t="n">
        <x:f>IF(ISNUMBER(L88),100*MAX(0,MIN(1,(L88-'Anchors'!$H$13)/('Anchors'!$G$13-'Anchors'!$H$13))),"")</x:f>
        <x:v>99.97450371428572</x:v>
      </x:c>
      <x:c r="AE88" s="33" t="n">
        <x:f>IF(ISNUMBER(M88),100*MAX(0,MIN(1,(M88-'Anchors'!$H$14)/('Anchors'!$G$14-'Anchors'!$H$14))),"")</x:f>
        <x:v>99.97769075</x:v>
      </x:c>
      <x:c r="AF88" s="33" t="n">
        <x:f>IF(ISNUMBER(N88),100*MAX(0,MIN(1,(LN(1+N88)-LN(1+'Anchors'!$H$15))/(LN(1+'Anchors'!$G$15)-LN(1+'Anchors'!$H$15)))),"")</x:f>
        <x:v>43.07850244450794</x:v>
      </x:c>
      <x:c r="AG88" s="33" t="n">
        <x:f>IF(ISNUMBER(O88),100*MAX(0,MIN(1,('Anchors'!$H$16-O88)/('Anchors'!$H$16-'Anchors'!$G$16))),"")</x:f>
        <x:v>64.72222222222223</x:v>
      </x:c>
      <x:c r="AH88" s="33" t="n">
        <x:f>IF(ISNUMBER(P88),100*MAX(0,MIN(1,('Anchors'!$H$17-P88)/('Anchors'!$H$17-'Anchors'!$G$17))),"")</x:f>
        <x:v>23.77089653862848</x:v>
      </x:c>
      <x:c r="AI88" s="33" t="n">
        <x:f>IF(ISNUMBER(Q88),100*MAX(0,MIN(1,('Anchors'!$H$18-Q88)/('Anchors'!$H$18-'Anchors'!$G$18))),"")</x:f>
        <x:v>24.792049226306737</x:v>
      </x:c>
      <x:c r="AJ88" s="33" t="n">
        <x:f>IF(ISNUMBER(R88),100*MAX(0,MIN(1,('Anchors'!$H$19-R88)/('Anchors'!$H$19-'Anchors'!$G$19))),"")</x:f>
        <x:v>72.11377659100275</x:v>
      </x:c>
      <x:c r="AK88" s="33" t="n">
        <x:f>IF(ISNUMBER(S88),100*MAX(0,MIN(1,('Anchors'!$H$20-S88)/('Anchors'!$H$20-'Anchors'!$G$20))),"")</x:f>
        <x:v>92.55353609138363</x:v>
      </x:c>
      <x:c r="AL88" s="33" t="n">
        <x:f>IF(ISNUMBER(T88),100*MAX(0,MIN(1,('Anchors'!$H$21-T88)/('Anchors'!$H$21-'Anchors'!$G$21))),"")</x:f>
        <x:v>87.0909090909091</x:v>
      </x:c>
      <x:c r="AM88" s="33" t="n">
        <x:f>IF(ISNUMBER(U88),100*MAX(0,MIN(1,('Anchors'!$H$22-U88)/('Anchors'!$H$22-'Anchors'!$G$22))),"")</x:f>
        <x:v>44.29226091355795</x:v>
      </x:c>
      <x:c r="AN88" s="33" t="n">
        <x:f>IF(ISNUMBER(V88),100*MAX(0,MIN(1,('Anchors'!$H$23-V88)/('Anchors'!$H$23-'Anchors'!$G$23))),"")</x:f>
        <x:v>68.6431055263375</x:v>
      </x:c>
      <x:c r="AO88" s="27" t="n">
        <x:f>IF(ISNUMBER(W88),IF('Scoring Setup'!$L$9=1,1-'Scoring Setup'!$B$5*(1-MAX(0,MIN(1,(W88-'Scoring Setup'!$K$9)/(100-'Scoring Setup'!$K$9)))),1),"")</x:f>
        <x:v>0.8831428571428571</x:v>
      </x:c>
      <x:c r="AP88" s="27" t="n">
        <x:f>IF(ISNUMBER(X88),IF('Scoring Setup'!$L$10=1,1-'Scoring Setup'!$B$5*(1-MAX(0,MIN(1,(X88-'Scoring Setup'!$K$10)/(100-'Scoring Setup'!$K$10)))),1),"")</x:f>
        <x:v>0.9353960396039602</x:v>
      </x:c>
      <x:c r="AQ88" s="27" t="n">
        <x:f>IF(ISNUMBER(Y88),IF('Scoring Setup'!$L$11=1,1-'Scoring Setup'!$B$5*(1-MAX(0,MIN(1,(Y88-'Scoring Setup'!$K$11)/(100-'Scoring Setup'!$K$11)))),1),"")</x:f>
        <x:v>0.9104030511888062</x:v>
      </x:c>
      <x:c r="AR88" s="27" t="n">
        <x:f>IF(ISNUMBER(Z88),IF('Scoring Setup'!$L$12=1,1-'Scoring Setup'!$B$5*(1-MAX(0,MIN(1,(Z88-'Scoring Setup'!$K$12)/(100-'Scoring Setup'!$K$12)))),1),"")</x:f>
        <x:v>0.9209748438052772</x:v>
      </x:c>
      <x:c r="AS88" s="27" t="n">
        <x:f>IF(ISNUMBER(AA88),IF('Scoring Setup'!$L$13=1,1-'Scoring Setup'!$B$5*(1-MAX(0,MIN(1,(AA88-'Scoring Setup'!$K$13)/(100-'Scoring Setup'!$K$13)))),1),"")</x:f>
        <x:v>0.9887639257695698</x:v>
      </x:c>
      <x:c r="AT88" s="27" t="n">
        <x:f>IF(ISNUMBER(AB88),IF('Scoring Setup'!$L$14=1,1-'Scoring Setup'!$B$5*(1-MAX(0,MIN(1,(AB88-'Scoring Setup'!$K$14)/(100-'Scoring Setup'!$K$14)))),1),"")</x:f>
        <x:v>0.8472053957274928</x:v>
      </x:c>
      <x:c r="AU88" s="27" t="n">
        <x:f>IF(ISNUMBER(AC88),IF('Scoring Setup'!$L$15=1,1-'Scoring Setup'!$B$5*(1-MAX(0,MIN(1,(AC88-'Scoring Setup'!$K$15)/(100-'Scoring Setup'!$K$15)))),1),"")</x:f>
        <x:v>0.9782853206423945</x:v>
      </x:c>
      <x:c r="AV88" s="27" t="n">
        <x:f>IF(ISNUMBER(AD88),IF('Scoring Setup'!$L$16=1,1-'Scoring Setup'!$B$5*(1-MAX(0,MIN(1,(AD88-'Scoring Setup'!$K$16)/(100-'Scoring Setup'!$K$16)))),1),"")</x:f>
        <x:v>0.9999490074285714</x:v>
      </x:c>
      <x:c r="AW88" s="27" t="n">
        <x:f>IF(ISNUMBER(AE88),IF('Scoring Setup'!$L$17=1,1-'Scoring Setup'!$B$5*(1-MAX(0,MIN(1,(AE88-'Scoring Setup'!$K$17)/(100-'Scoring Setup'!$K$17)))),1),"")</x:f>
        <x:v>0.9999553815</x:v>
      </x:c>
      <x:c r="AX88" s="27" t="n">
        <x:f>IF(ISNUMBER(AF88),IF('Scoring Setup'!$L$18=1,1-'Scoring Setup'!$B$5*(1-MAX(0,MIN(1,(AF88-'Scoring Setup'!$K$18)/(100-'Scoring Setup'!$K$18)))),1),"")</x:f>
        <x:v>0.8861570048890158</x:v>
      </x:c>
      <x:c r="AY88" s="27" t="n">
        <x:f>IF(ISNUMBER(AG88),IF('Scoring Setup'!$L$19=1,1-'Scoring Setup'!$B$5*(1-MAX(0,MIN(1,(AG88-'Scoring Setup'!$K$19)/(100-'Scoring Setup'!$K$19)))),1),"")</x:f>
        <x:v>0.9294444444444444</x:v>
      </x:c>
      <x:c r="AZ88" s="27" t="n">
        <x:f>IF(ISNUMBER(AH88),IF('Scoring Setup'!$L$20=1,1-'Scoring Setup'!$B$5*(1-MAX(0,MIN(1,(AH88-'Scoring Setup'!$K$20)/(100-'Scoring Setup'!$K$20)))),1),"")</x:f>
        <x:v>0.847541793077257</x:v>
      </x:c>
      <x:c r="BA88" s="27" t="n">
        <x:f>IF(ISNUMBER(AI88),IF('Scoring Setup'!$L$21=1,1-'Scoring Setup'!$B$5*(1-MAX(0,MIN(1,(AI88-'Scoring Setup'!$K$21)/(100-'Scoring Setup'!$K$21)))),1),"")</x:f>
        <x:v>0.8495840984526135</x:v>
      </x:c>
      <x:c r="BB88" s="27" t="n">
        <x:f>IF(ISNUMBER(AJ88),IF('Scoring Setup'!$L$22=1,1-'Scoring Setup'!$B$5*(1-MAX(0,MIN(1,(AJ88-'Scoring Setup'!$K$22)/(100-'Scoring Setup'!$K$22)))),1),"")</x:f>
        <x:v>0.9442275531820055</x:v>
      </x:c>
      <x:c r="BC88" s="27" t="n">
        <x:f>IF(ISNUMBER(AK88),IF('Scoring Setup'!$L$23=1,1-'Scoring Setup'!$B$5*(1-MAX(0,MIN(1,(AK88-'Scoring Setup'!$K$23)/(100-'Scoring Setup'!$K$23)))),1),"")</x:f>
        <x:v>0.9851070721827673</x:v>
      </x:c>
      <x:c r="BD88" s="27" t="n">
        <x:f>IF(ISNUMBER(AL88),IF('Scoring Setup'!$L$24=1,1-'Scoring Setup'!$B$5*(1-MAX(0,MIN(1,(AL88-'Scoring Setup'!$K$24)/(100-'Scoring Setup'!$K$24)))),1),"")</x:f>
        <x:v>0.9741818181818181</x:v>
      </x:c>
      <x:c r="BE88" s="27" t="n">
        <x:f>IF(ISNUMBER(AM88),IF('Scoring Setup'!$L$25=1,1-'Scoring Setup'!$B$5*(1-MAX(0,MIN(1,(AM88-'Scoring Setup'!$K$25)/(100-'Scoring Setup'!$K$25)))),1),"")</x:f>
        <x:v>0.8885845218271159</x:v>
      </x:c>
      <x:c r="BF88" s="27" t="n">
        <x:f>IF(ISNUMBER(AN88),IF('Scoring Setup'!$L$26=1,1-'Scoring Setup'!$B$5*(1-MAX(0,MIN(1,(AN88-'Scoring Setup'!$K$26)/(100-'Scoring Setup'!$K$26)))),1),"")</x:f>
        <x:v>0.937286211052675</x:v>
      </x:c>
      <x:c r="BG88" s="34" t="n">
        <x:f>IF(COUNT(W88,X88)=2,AVERAGE(W88,X88),"")</x:f>
        <x:v>54.63472418670436</x:v>
      </x:c>
      <x:c r="BH88" s="34" t="n">
        <x:f>IF(COUNT(Y88,Z88)=2,AVERAGE(Y88,Z88),"")</x:f>
        <x:v>57.844473748520855</x:v>
      </x:c>
      <x:c r="BI88" s="34" t="n">
        <x:f>IF(COUNT(AA88,AB88,AC88)=3,AVERAGE(AA88,AB88,AC88),"")</x:f>
        <x:v>69.04244035657617</x:v>
      </x:c>
      <x:c r="BJ88" s="34" t="n">
        <x:f>IF(COUNT(AD88,AE88)=2,AVERAGE(AD88,AE88),"")</x:f>
        <x:v>99.97609723214285</x:v>
      </x:c>
      <x:c r="BK88" s="34" t="n">
        <x:f>IF(COUNT(AF88,AG88)=2,AVERAGE(AF88,AG88),"")</x:f>
        <x:v>53.90036233336508</x:v>
      </x:c>
      <x:c r="BL88" s="34" t="n">
        <x:f>IF(COUNT(AH88,AI88)=2,AVERAGE(AH88,AI88),"")</x:f>
        <x:v>24.28147288246761</x:v>
      </x:c>
      <x:c r="BM88" s="34" t="n">
        <x:f>IF(COUNT(AJ88,AK88)=2,AVERAGE(AJ88,AK88),"")</x:f>
        <x:v>82.33365634119319</x:v>
      </x:c>
      <x:c r="BN88" s="34" t="n">
        <x:f>IF(COUNT(AL88,AM88,AN88)=3,AVERAGE(AL88,AM88,AN88),"")</x:f>
        <x:v>66.67542517693484</x:v>
      </x:c>
      <x:c r="BO88" s="35" t="n">
        <x:f>IF(AND(COUNT(BG88:BN88)=8,ABS('Scoring Setup'!$C$17-1)&lt;0.000001),BG88*'Scoring Setup'!$C$9+BH88*'Scoring Setup'!$C$10+BI88*'Scoring Setup'!$C$11+BJ88*'Scoring Setup'!$C$12+BK88*'Scoring Setup'!$C$13+BL88*'Scoring Setup'!$C$14+BM88*'Scoring Setup'!$C$15+BN88*'Scoring Setup'!$C$16,"")</x:f>
        <x:v>64.6576411748465</x:v>
      </x:c>
      <x:c r="BP88" s="36" t="n">
        <x:f>IF(COUNT(AO88:BF88)=18,MIN(AO88:BF88),"")</x:f>
        <x:v>0.8472053957274928</x:v>
      </x:c>
      <x:c r="BQ88" s="35" t="n">
        <x:f>IF(AND(ISNUMBER(BO88),ISNUMBER(BP88)),BO88*BP88,"")</x:f>
        <x:v>54.77830247834206</x:v>
      </x:c>
      <x:c r="BR88" s="17" t="str">
        <x:f>IF(COUNT(AO88:BF88)=18,INDEX('Scoring Setup'!$F$9:$F$26,MATCH(MIN(AO88:BF88),AO88:BF88,0),1),"")</x:f>
        <x:v>GAP1/2保护地比例</x:v>
      </x:c>
    </x:row>
    <x:row r="89">
      <x:c r="A89" s="28" t="str">
        <x:v>13171</x:v>
      </x:c>
      <x:c r="B89" s="28" t="str">
        <x:v>Lamar County</x:v>
      </x:c>
      <x:c r="C89" s="28" t="str">
        <x:v>GA</x:v>
      </x:c>
      <x:c r="D89" s="31" t="n">
        <x:v>475.264402</x:v>
      </x:c>
      <x:c r="E89" s="32" t="n">
        <x:v>0.658</x:v>
      </x:c>
      <x:c r="F89" s="32" t="n">
        <x:v>0.130878712871287</x:v>
      </x:c>
      <x:c r="G89" s="32" t="n">
        <x:v>2.160131230089994</x:v>
      </x:c>
      <x:c r="H89" s="32" t="n">
        <x:v>2.0647795603458747</x:v>
      </x:c>
      <x:c r="I89" s="32" t="n">
        <x:v>0.9243706071255453</x:v>
      </x:c>
      <x:c r="J89" s="32" t="n">
        <x:v>0.0009726176269518588</x:v>
      </x:c>
      <x:c r="K89" s="32" t="n">
        <x:v>0.06763322527872032</x:v>
      </x:c>
      <x:c r="L89" s="32" t="n">
        <x:v>0.660710247</x:v>
      </x:c>
      <x:c r="M89" s="32" t="n">
        <x:v>0.660710247</x:v>
      </x:c>
      <x:c r="N89" s="32" t="n">
        <x:v>8006</x:v>
      </x:c>
      <x:c r="O89" s="32" t="n">
        <x:v>0.4092</x:v>
      </x:c>
      <x:c r="P89" s="32" t="n">
        <x:v>1676.322351074219</x:v>
      </x:c>
      <x:c r="Q89" s="32" t="n">
        <x:v>43.090708033243814</x:v>
      </x:c>
      <x:c r="R89" s="32" t="n">
        <x:v>13.484505136690363</x:v>
      </x:c>
      <x:c r="S89" s="32" t="n">
        <x:v>1.1396966402514184</x:v>
      </x:c>
      <x:c r="T89" s="32" t="n">
        <x:v>72.1</x:v>
      </x:c>
      <x:c r="U89" s="32" t="n">
        <x:v>211.4154781728841</x:v>
      </x:c>
      <x:c r="V89" s="32" t="n">
        <x:v>325.42757789465</x:v>
      </x:c>
      <x:c r="W89" s="33" t="n">
        <x:f>IF(ISNUMBER(E89),100*MAX(0,MIN(1,('Anchors'!$H$6-E89)/('Anchors'!$H$6-'Anchors'!$G$6))),"")</x:f>
        <x:v>34.57142857142858</x:v>
      </x:c>
      <x:c r="X89" s="33" t="n">
        <x:f>IF(ISNUMBER(F89),100*MAX(0,MIN(1,('Anchors'!$H$7-F89)/('Anchors'!$H$7-'Anchors'!$G$7))),"")</x:f>
        <x:v>95.58875530410185</x:v>
      </x:c>
      <x:c r="Y89" s="33" t="n">
        <x:f>IF(ISNUMBER(G89),100*MAX(0,MIN(1,('Anchors'!$H$8-G89)/('Anchors'!$H$8-'Anchors'!$G$8))),"")</x:f>
        <x:v>61.32895899700021</x:v>
      </x:c>
      <x:c r="Z89" s="33" t="n">
        <x:f>IF(ISNUMBER(H89),100*MAX(0,MIN(1,('Anchors'!$H$9-H89)/('Anchors'!$H$9-'Anchors'!$G$9))),"")</x:f>
        <x:v>64.50734798847084</x:v>
      </x:c>
      <x:c r="AA89" s="33" t="n">
        <x:f>IF(ISNUMBER(I89),100*MAX(0,MIN(1,(I89-'Anchors'!$H$10)/('Anchors'!$G$10-'Anchors'!$H$10))),"")</x:f>
        <x:v>92.37953522267745</x:v>
      </x:c>
      <x:c r="AB89" s="33" t="n">
        <x:f>IF(ISNUMBER(J89),100*MAX(0,MIN(1,('Anchors'!$H$11-J89)/('Anchors'!$H$11-'Anchors'!$G$11))),"")</x:f>
        <x:v>99.61095294921925</x:v>
      </x:c>
      <x:c r="AC89" s="33" t="n">
        <x:f>IF(ISNUMBER(K89),100*MAX(0,MIN(1,('Anchors'!$H$12-K89)/('Anchors'!$H$12-'Anchors'!$G$12))),"")</x:f>
        <x:v>83.09169368031993</x:v>
      </x:c>
      <x:c r="AD89" s="33" t="n">
        <x:f>IF(ISNUMBER(L89),100*MAX(0,MIN(1,(L89-'Anchors'!$H$13)/('Anchors'!$G$13-'Anchors'!$H$13))),"")</x:f>
        <x:v>65.81574957142858</x:v>
      </x:c>
      <x:c r="AE89" s="33" t="n">
        <x:f>IF(ISNUMBER(M89),100*MAX(0,MIN(1,(M89-'Anchors'!$H$14)/('Anchors'!$G$14-'Anchors'!$H$14))),"")</x:f>
        <x:v>70.088780875</x:v>
      </x:c>
      <x:c r="AF89" s="33" t="n">
        <x:f>IF(ISNUMBER(N89),100*MAX(0,MIN(1,(LN(1+N89)-LN(1+'Anchors'!$H$15))/(LN(1+'Anchors'!$G$15)-LN(1+'Anchors'!$H$15)))),"")</x:f>
        <x:v>32.12116608796921</x:v>
      </x:c>
      <x:c r="AG89" s="33" t="n">
        <x:f>IF(ISNUMBER(O89),100*MAX(0,MIN(1,('Anchors'!$H$16-O89)/('Anchors'!$H$16-'Anchors'!$G$16))),"")</x:f>
        <x:v>60.08888888888889</x:v>
      </x:c>
      <x:c r="AH89" s="33" t="n">
        <x:f>IF(ISNUMBER(P89),100*MAX(0,MIN(1,('Anchors'!$H$17-P89)/('Anchors'!$H$17-'Anchors'!$G$17))),"")</x:f>
        <x:v>34.91184326171874</x:v>
      </x:c>
      <x:c r="AI89" s="33" t="n">
        <x:f>IF(ISNUMBER(Q89),100*MAX(0,MIN(1,('Anchors'!$H$18-Q89)/('Anchors'!$H$18-'Anchors'!$G$18))),"")</x:f>
        <x:v>45.584702809651695</x:v>
      </x:c>
      <x:c r="AJ89" s="33" t="n">
        <x:f>IF(ISNUMBER(R89),100*MAX(0,MIN(1,('Anchors'!$H$19-R89)/('Anchors'!$H$19-'Anchors'!$G$19))),"")</x:f>
        <x:v>81.14554414068809</x:v>
      </x:c>
      <x:c r="AK89" s="33" t="n">
        <x:f>IF(ISNUMBER(S89),100*MAX(0,MIN(1,('Anchors'!$H$20-S89)/('Anchors'!$H$20-'Anchors'!$G$20))),"")</x:f>
        <x:v>99.26475452499254</x:v>
      </x:c>
      <x:c r="AL89" s="33" t="n">
        <x:f>IF(ISNUMBER(T89),100*MAX(0,MIN(1,('Anchors'!$H$21-T89)/('Anchors'!$H$21-'Anchors'!$G$21))),"")</x:f>
        <x:v>87.0909090909091</x:v>
      </x:c>
      <x:c r="AM89" s="33" t="n">
        <x:f>IF(ISNUMBER(U89),100*MAX(0,MIN(1,('Anchors'!$H$22-U89)/('Anchors'!$H$22-'Anchors'!$G$22))),"")</x:f>
        <x:v>44.29226091355795</x:v>
      </x:c>
      <x:c r="AN89" s="33" t="n">
        <x:f>IF(ISNUMBER(V89),100*MAX(0,MIN(1,('Anchors'!$H$23-V89)/('Anchors'!$H$23-'Anchors'!$G$23))),"")</x:f>
        <x:v>68.6431055263375</x:v>
      </x:c>
      <x:c r="AO89" s="27" t="n">
        <x:f>IF(ISNUMBER(W89),IF('Scoring Setup'!$L$9=1,1-'Scoring Setup'!$B$5*(1-MAX(0,MIN(1,(W89-'Scoring Setup'!$K$9)/(100-'Scoring Setup'!$K$9)))),1),"")</x:f>
        <x:v>0.8691428571428571</x:v>
      </x:c>
      <x:c r="AP89" s="27" t="n">
        <x:f>IF(ISNUMBER(X89),IF('Scoring Setup'!$L$10=1,1-'Scoring Setup'!$B$5*(1-MAX(0,MIN(1,(X89-'Scoring Setup'!$K$10)/(100-'Scoring Setup'!$K$10)))),1),"")</x:f>
        <x:v>0.9911775106082037</x:v>
      </x:c>
      <x:c r="AQ89" s="27" t="n">
        <x:f>IF(ISNUMBER(Y89),IF('Scoring Setup'!$L$11=1,1-'Scoring Setup'!$B$5*(1-MAX(0,MIN(1,(Y89-'Scoring Setup'!$K$11)/(100-'Scoring Setup'!$K$11)))),1),"")</x:f>
        <x:v>0.9226579179940004</x:v>
      </x:c>
      <x:c r="AR89" s="27" t="n">
        <x:f>IF(ISNUMBER(Z89),IF('Scoring Setup'!$L$12=1,1-'Scoring Setup'!$B$5*(1-MAX(0,MIN(1,(Z89-'Scoring Setup'!$K$12)/(100-'Scoring Setup'!$K$12)))),1),"")</x:f>
        <x:v>0.9290146959769416</x:v>
      </x:c>
      <x:c r="AS89" s="27" t="n">
        <x:f>IF(ISNUMBER(AA89),IF('Scoring Setup'!$L$13=1,1-'Scoring Setup'!$B$5*(1-MAX(0,MIN(1,(AA89-'Scoring Setup'!$K$13)/(100-'Scoring Setup'!$K$13)))),1),"")</x:f>
        <x:v>0.9847590704453549</x:v>
      </x:c>
      <x:c r="AT89" s="27" t="n">
        <x:f>IF(ISNUMBER(AB89),IF('Scoring Setup'!$L$14=1,1-'Scoring Setup'!$B$5*(1-MAX(0,MIN(1,(AB89-'Scoring Setup'!$K$14)/(100-'Scoring Setup'!$K$14)))),1),"")</x:f>
        <x:v>0.9992219058984385</x:v>
      </x:c>
      <x:c r="AU89" s="27" t="n">
        <x:f>IF(ISNUMBER(AC89),IF('Scoring Setup'!$L$15=1,1-'Scoring Setup'!$B$5*(1-MAX(0,MIN(1,(AC89-'Scoring Setup'!$K$15)/(100-'Scoring Setup'!$K$15)))),1),"")</x:f>
        <x:v>0.9661833873606399</x:v>
      </x:c>
      <x:c r="AV89" s="27" t="n">
        <x:f>IF(ISNUMBER(AD89),IF('Scoring Setup'!$L$16=1,1-'Scoring Setup'!$B$5*(1-MAX(0,MIN(1,(AD89-'Scoring Setup'!$K$16)/(100-'Scoring Setup'!$K$16)))),1),"")</x:f>
        <x:v>0.9316314991428571</x:v>
      </x:c>
      <x:c r="AW89" s="27" t="n">
        <x:f>IF(ISNUMBER(AE89),IF('Scoring Setup'!$L$17=1,1-'Scoring Setup'!$B$5*(1-MAX(0,MIN(1,(AE89-'Scoring Setup'!$K$17)/(100-'Scoring Setup'!$K$17)))),1),"")</x:f>
        <x:v>0.94017756175</x:v>
      </x:c>
      <x:c r="AX89" s="27" t="n">
        <x:f>IF(ISNUMBER(AF89),IF('Scoring Setup'!$L$18=1,1-'Scoring Setup'!$B$5*(1-MAX(0,MIN(1,(AF89-'Scoring Setup'!$K$18)/(100-'Scoring Setup'!$K$18)))),1),"")</x:f>
        <x:v>0.8642423321759384</x:v>
      </x:c>
      <x:c r="AY89" s="27" t="n">
        <x:f>IF(ISNUMBER(AG89),IF('Scoring Setup'!$L$19=1,1-'Scoring Setup'!$B$5*(1-MAX(0,MIN(1,(AG89-'Scoring Setup'!$K$19)/(100-'Scoring Setup'!$K$19)))),1),"")</x:f>
        <x:v>0.9201777777777778</x:v>
      </x:c>
      <x:c r="AZ89" s="27" t="n">
        <x:f>IF(ISNUMBER(AH89),IF('Scoring Setup'!$L$20=1,1-'Scoring Setup'!$B$5*(1-MAX(0,MIN(1,(AH89-'Scoring Setup'!$K$20)/(100-'Scoring Setup'!$K$20)))),1),"")</x:f>
        <x:v>0.8698236865234374</x:v>
      </x:c>
      <x:c r="BA89" s="27" t="n">
        <x:f>IF(ISNUMBER(AI89),IF('Scoring Setup'!$L$21=1,1-'Scoring Setup'!$B$5*(1-MAX(0,MIN(1,(AI89-'Scoring Setup'!$K$21)/(100-'Scoring Setup'!$K$21)))),1),"")</x:f>
        <x:v>0.8911694056193034</x:v>
      </x:c>
      <x:c r="BB89" s="27" t="n">
        <x:f>IF(ISNUMBER(AJ89),IF('Scoring Setup'!$L$22=1,1-'Scoring Setup'!$B$5*(1-MAX(0,MIN(1,(AJ89-'Scoring Setup'!$K$22)/(100-'Scoring Setup'!$K$22)))),1),"")</x:f>
        <x:v>0.9622910882813762</x:v>
      </x:c>
      <x:c r="BC89" s="27" t="n">
        <x:f>IF(ISNUMBER(AK89),IF('Scoring Setup'!$L$23=1,1-'Scoring Setup'!$B$5*(1-MAX(0,MIN(1,(AK89-'Scoring Setup'!$K$23)/(100-'Scoring Setup'!$K$23)))),1),"")</x:f>
        <x:v>0.998529509049985</x:v>
      </x:c>
      <x:c r="BD89" s="27" t="n">
        <x:f>IF(ISNUMBER(AL89),IF('Scoring Setup'!$L$24=1,1-'Scoring Setup'!$B$5*(1-MAX(0,MIN(1,(AL89-'Scoring Setup'!$K$24)/(100-'Scoring Setup'!$K$24)))),1),"")</x:f>
        <x:v>0.9741818181818181</x:v>
      </x:c>
      <x:c r="BE89" s="27" t="n">
        <x:f>IF(ISNUMBER(AM89),IF('Scoring Setup'!$L$25=1,1-'Scoring Setup'!$B$5*(1-MAX(0,MIN(1,(AM89-'Scoring Setup'!$K$25)/(100-'Scoring Setup'!$K$25)))),1),"")</x:f>
        <x:v>0.8885845218271159</x:v>
      </x:c>
      <x:c r="BF89" s="27" t="n">
        <x:f>IF(ISNUMBER(AN89),IF('Scoring Setup'!$L$26=1,1-'Scoring Setup'!$B$5*(1-MAX(0,MIN(1,(AN89-'Scoring Setup'!$K$26)/(100-'Scoring Setup'!$K$26)))),1),"")</x:f>
        <x:v>0.937286211052675</x:v>
      </x:c>
      <x:c r="BG89" s="34" t="n">
        <x:f>IF(COUNT(W89,X89)=2,AVERAGE(W89,X89),"")</x:f>
        <x:v>65.08009193776522</x:v>
      </x:c>
      <x:c r="BH89" s="34" t="n">
        <x:f>IF(COUNT(Y89,Z89)=2,AVERAGE(Y89,Z89),"")</x:f>
        <x:v>62.91815349273553</x:v>
      </x:c>
      <x:c r="BI89" s="34" t="n">
        <x:f>IF(COUNT(AA89,AB89,AC89)=3,AVERAGE(AA89,AB89,AC89),"")</x:f>
        <x:v>91.69406061740555</x:v>
      </x:c>
      <x:c r="BJ89" s="34" t="n">
        <x:f>IF(COUNT(AD89,AE89)=2,AVERAGE(AD89,AE89),"")</x:f>
        <x:v>67.95226522321428</x:v>
      </x:c>
      <x:c r="BK89" s="34" t="n">
        <x:f>IF(COUNT(AF89,AG89)=2,AVERAGE(AF89,AG89),"")</x:f>
        <x:v>46.105027488429045</x:v>
      </x:c>
      <x:c r="BL89" s="34" t="n">
        <x:f>IF(COUNT(AH89,AI89)=2,AVERAGE(AH89,AI89),"")</x:f>
        <x:v>40.248273035685216</x:v>
      </x:c>
      <x:c r="BM89" s="34" t="n">
        <x:f>IF(COUNT(AJ89,AK89)=2,AVERAGE(AJ89,AK89),"")</x:f>
        <x:v>90.2051493328403</x:v>
      </x:c>
      <x:c r="BN89" s="34" t="n">
        <x:f>IF(COUNT(AL89,AM89,AN89)=3,AVERAGE(AL89,AM89,AN89),"")</x:f>
        <x:v>66.67542517693484</x:v>
      </x:c>
      <x:c r="BO89" s="35" t="n">
        <x:f>IF(AND(COUNT(BG89:BN89)=8,ABS('Scoring Setup'!$C$17-1)&lt;0.000001),BG89*'Scoring Setup'!$C$9+BH89*'Scoring Setup'!$C$10+BI89*'Scoring Setup'!$C$11+BJ89*'Scoring Setup'!$C$12+BK89*'Scoring Setup'!$C$13+BL89*'Scoring Setup'!$C$14+BM89*'Scoring Setup'!$C$15+BN89*'Scoring Setup'!$C$16,"")</x:f>
        <x:v>66.19207389673525</x:v>
      </x:c>
      <x:c r="BP89" s="36" t="n">
        <x:f>IF(COUNT(AO89:BF89)=18,MIN(AO89:BF89),"")</x:f>
        <x:v>0.8642423321759384</x:v>
      </x:c>
      <x:c r="BQ89" s="35" t="n">
        <x:f>IF(AND(ISNUMBER(BO89),ISNUMBER(BP89)),BO89*BP89,"")</x:f>
        <x:v>57.205992316076525</x:v>
      </x:c>
      <x:c r="BR89" s="17" t="str">
        <x:f>IF(COUNT(AO89:BF89)=18,INDEX('Scoring Setup'!$F$9:$F$26,MATCH(MIN(AO89:BF89),AO89:BF89,0),1),"")</x:f>
        <x:v>劳动力人数</x:v>
      </x:c>
    </x:row>
    <x:row r="90">
      <x:c r="A90" s="28" t="str">
        <x:v>13173</x:v>
      </x:c>
      <x:c r="B90" s="28" t="str">
        <x:v>Lanier County</x:v>
      </x:c>
      <x:c r="C90" s="28" t="str">
        <x:v>GA</x:v>
      </x:c>
      <x:c r="D90" s="31" t="n">
        <x:v>509.030779</x:v>
      </x:c>
      <x:c r="E90" s="32" t="n">
        <x:v>0.614</x:v>
      </x:c>
      <x:c r="F90" s="32" t="n">
        <x:v>0.243811881188119</x:v>
      </x:c>
      <x:c r="G90" s="32" t="n">
        <x:v>2.8615833765292407</x:v>
      </x:c>
      <x:c r="H90" s="32" t="n">
        <x:v>3.072920026</x:v>
      </x:c>
      <x:c r="I90" s="32" t="n">
        <x:v>0.9371074911491171</x:v>
      </x:c>
      <x:c r="J90" s="32" t="n">
        <x:v>0.07370670166321905</x:v>
      </x:c>
      <x:c r="K90" s="32" t="n">
        <x:v>0.36078143530578244</x:v>
      </x:c>
      <x:c r="L90" s="32" t="n">
        <x:v>0.975516287</x:v>
      </x:c>
      <x:c r="M90" s="32" t="n">
        <x:v>0.975516287</x:v>
      </x:c>
      <x:c r="N90" s="32" t="n">
        <x:v>3891</x:v>
      </x:c>
      <x:c r="O90" s="32" t="n">
        <x:v>0.8011</x:v>
      </x:c>
      <x:c r="P90" s="32" t="n">
        <x:v>2186.554093424479</x:v>
      </x:c>
      <x:c r="Q90" s="32" t="n">
        <x:v>76.87980550130209</x:v>
      </x:c>
      <x:c r="R90" s="32" t="n">
        <x:v>31.29484522760121</x:v>
      </x:c>
      <x:c r="S90" s="32" t="n">
        <x:v>12.296213232993134</x:v>
      </x:c>
      <x:c r="T90" s="32" t="n">
        <x:v>72.1</x:v>
      </x:c>
      <x:c r="U90" s="32" t="n">
        <x:v>211.4154781728841</x:v>
      </x:c>
      <x:c r="V90" s="32" t="n">
        <x:v>325.42757789465</x:v>
      </x:c>
      <x:c r="W90" s="33" t="n">
        <x:f>IF(ISNUMBER(E90),100*MAX(0,MIN(1,('Anchors'!$H$6-E90)/('Anchors'!$H$6-'Anchors'!$G$6))),"")</x:f>
        <x:v>40.85714285714286</x:v>
      </x:c>
      <x:c r="X90" s="33" t="n">
        <x:f>IF(ISNUMBER(F90),100*MAX(0,MIN(1,('Anchors'!$H$7-F90)/('Anchors'!$H$7-'Anchors'!$G$7))),"")</x:f>
        <x:v>79.45544554455442</x:v>
      </x:c>
      <x:c r="Y90" s="33" t="n">
        <x:f>IF(ISNUMBER(G90),100*MAX(0,MIN(1,('Anchors'!$H$8-G90)/('Anchors'!$H$8-'Anchors'!$G$8))),"")</x:f>
        <x:v>37.94722078235864</x:v>
      </x:c>
      <x:c r="Z90" s="33" t="n">
        <x:f>IF(ISNUMBER(H90),100*MAX(0,MIN(1,('Anchors'!$H$9-H90)/('Anchors'!$H$9-'Anchors'!$G$9))),"")</x:f>
        <x:v>30.90266580000001</x:v>
      </x:c>
      <x:c r="AA90" s="33" t="n">
        <x:f>IF(ISNUMBER(I90),100*MAX(0,MIN(1,(I90-'Anchors'!$H$10)/('Anchors'!$G$10-'Anchors'!$H$10))),"")</x:f>
        <x:v>94.12431385604344</x:v>
      </x:c>
      <x:c r="AB90" s="33" t="n">
        <x:f>IF(ISNUMBER(J90),100*MAX(0,MIN(1,('Anchors'!$H$11-J90)/('Anchors'!$H$11-'Anchors'!$G$11))),"")</x:f>
        <x:v>70.51731933471238</x:v>
      </x:c>
      <x:c r="AC90" s="33" t="n">
        <x:f>IF(ISNUMBER(K90),100*MAX(0,MIN(1,('Anchors'!$H$12-K90)/('Anchors'!$H$12-'Anchors'!$G$12))),"")</x:f>
        <x:v>9.804641173554396</x:v>
      </x:c>
      <x:c r="AD90" s="33" t="n">
        <x:f>IF(ISNUMBER(L90),100*MAX(0,MIN(1,(L90-'Anchors'!$H$13)/('Anchors'!$G$13-'Anchors'!$H$13))),"")</x:f>
        <x:v>100</x:v>
      </x:c>
      <x:c r="AE90" s="33" t="n">
        <x:f>IF(ISNUMBER(M90),100*MAX(0,MIN(1,(M90-'Anchors'!$H$14)/('Anchors'!$G$14-'Anchors'!$H$14))),"")</x:f>
        <x:v>100</x:v>
      </x:c>
      <x:c r="AF90" s="33" t="n">
        <x:f>IF(ISNUMBER(N90),100*MAX(0,MIN(1,(LN(1+N90)-LN(1+'Anchors'!$H$15))/(LN(1+'Anchors'!$G$15)-LN(1+'Anchors'!$H$15)))),"")</x:f>
        <x:v>15.410629925233268</x:v>
      </x:c>
      <x:c r="AG90" s="33" t="n">
        <x:f>IF(ISNUMBER(O90),100*MAX(0,MIN(1,('Anchors'!$H$16-O90)/('Anchors'!$H$16-'Anchors'!$G$16))),"")</x:f>
        <x:v>16.544444444444437</x:v>
      </x:c>
      <x:c r="AH90" s="33" t="n">
        <x:f>IF(ISNUMBER(P90),100*MAX(0,MIN(1,('Anchors'!$H$17-P90)/('Anchors'!$H$17-'Anchors'!$G$17))),"")</x:f>
        <x:v>0.8963937717013929</x:v>
      </x:c>
      <x:c r="AI90" s="33" t="n">
        <x:f>IF(ISNUMBER(Q90),100*MAX(0,MIN(1,('Anchors'!$H$18-Q90)/('Anchors'!$H$18-'Anchors'!$G$18))),"")</x:f>
        <x:v>0</x:v>
      </x:c>
      <x:c r="AJ90" s="33" t="n">
        <x:f>IF(ISNUMBER(R90),100*MAX(0,MIN(1,('Anchors'!$H$19-R90)/('Anchors'!$H$19-'Anchors'!$G$19))),"")</x:f>
        <x:v>41.56701060533064</x:v>
      </x:c>
      <x:c r="AK90" s="33" t="n">
        <x:f>IF(ISNUMBER(S90),100*MAX(0,MIN(1,('Anchors'!$H$20-S90)/('Anchors'!$H$20-'Anchors'!$G$20))),"")</x:f>
        <x:v>40.5462461421414</x:v>
      </x:c>
      <x:c r="AL90" s="33" t="n">
        <x:f>IF(ISNUMBER(T90),100*MAX(0,MIN(1,('Anchors'!$H$21-T90)/('Anchors'!$H$21-'Anchors'!$G$21))),"")</x:f>
        <x:v>87.0909090909091</x:v>
      </x:c>
      <x:c r="AM90" s="33" t="n">
        <x:f>IF(ISNUMBER(U90),100*MAX(0,MIN(1,('Anchors'!$H$22-U90)/('Anchors'!$H$22-'Anchors'!$G$22))),"")</x:f>
        <x:v>44.29226091355795</x:v>
      </x:c>
      <x:c r="AN90" s="33" t="n">
        <x:f>IF(ISNUMBER(V90),100*MAX(0,MIN(1,('Anchors'!$H$23-V90)/('Anchors'!$H$23-'Anchors'!$G$23))),"")</x:f>
        <x:v>68.6431055263375</x:v>
      </x:c>
      <x:c r="AO90" s="27" t="n">
        <x:f>IF(ISNUMBER(W90),IF('Scoring Setup'!$L$9=1,1-'Scoring Setup'!$B$5*(1-MAX(0,MIN(1,(W90-'Scoring Setup'!$K$9)/(100-'Scoring Setup'!$K$9)))),1),"")</x:f>
        <x:v>0.8817142857142857</x:v>
      </x:c>
      <x:c r="AP90" s="27" t="n">
        <x:f>IF(ISNUMBER(X90),IF('Scoring Setup'!$L$10=1,1-'Scoring Setup'!$B$5*(1-MAX(0,MIN(1,(X90-'Scoring Setup'!$K$10)/(100-'Scoring Setup'!$K$10)))),1),"")</x:f>
        <x:v>0.9589108910891089</x:v>
      </x:c>
      <x:c r="AQ90" s="27" t="n">
        <x:f>IF(ISNUMBER(Y90),IF('Scoring Setup'!$L$11=1,1-'Scoring Setup'!$B$5*(1-MAX(0,MIN(1,(Y90-'Scoring Setup'!$K$11)/(100-'Scoring Setup'!$K$11)))),1),"")</x:f>
        <x:v>0.8758944415647173</x:v>
      </x:c>
      <x:c r="AR90" s="27" t="n">
        <x:f>IF(ISNUMBER(Z90),IF('Scoring Setup'!$L$12=1,1-'Scoring Setup'!$B$5*(1-MAX(0,MIN(1,(Z90-'Scoring Setup'!$K$12)/(100-'Scoring Setup'!$K$12)))),1),"")</x:f>
        <x:v>0.8618053316000001</x:v>
      </x:c>
      <x:c r="AS90" s="27" t="n">
        <x:f>IF(ISNUMBER(AA90),IF('Scoring Setup'!$L$13=1,1-'Scoring Setup'!$B$5*(1-MAX(0,MIN(1,(AA90-'Scoring Setup'!$K$13)/(100-'Scoring Setup'!$K$13)))),1),"")</x:f>
        <x:v>0.9882486277120869</x:v>
      </x:c>
      <x:c r="AT90" s="27" t="n">
        <x:f>IF(ISNUMBER(AB90),IF('Scoring Setup'!$L$14=1,1-'Scoring Setup'!$B$5*(1-MAX(0,MIN(1,(AB90-'Scoring Setup'!$K$14)/(100-'Scoring Setup'!$K$14)))),1),"")</x:f>
        <x:v>0.9410346386694247</x:v>
      </x:c>
      <x:c r="AU90" s="27" t="n">
        <x:f>IF(ISNUMBER(AC90),IF('Scoring Setup'!$L$15=1,1-'Scoring Setup'!$B$5*(1-MAX(0,MIN(1,(AC90-'Scoring Setup'!$K$15)/(100-'Scoring Setup'!$K$15)))),1),"")</x:f>
        <x:v>0.8196092823471088</x:v>
      </x:c>
      <x:c r="AV90" s="27" t="n">
        <x:f>IF(ISNUMBER(AD90),IF('Scoring Setup'!$L$16=1,1-'Scoring Setup'!$B$5*(1-MAX(0,MIN(1,(AD90-'Scoring Setup'!$K$16)/(100-'Scoring Setup'!$K$16)))),1),"")</x:f>
        <x:v>1</x:v>
      </x:c>
      <x:c r="AW90" s="27" t="n">
        <x:f>IF(ISNUMBER(AE90),IF('Scoring Setup'!$L$17=1,1-'Scoring Setup'!$B$5*(1-MAX(0,MIN(1,(AE90-'Scoring Setup'!$K$17)/(100-'Scoring Setup'!$K$17)))),1),"")</x:f>
        <x:v>1</x:v>
      </x:c>
      <x:c r="AX90" s="27" t="n">
        <x:f>IF(ISNUMBER(AF90),IF('Scoring Setup'!$L$18=1,1-'Scoring Setup'!$B$5*(1-MAX(0,MIN(1,(AF90-'Scoring Setup'!$K$18)/(100-'Scoring Setup'!$K$18)))),1),"")</x:f>
        <x:v>0.8308212598504665</x:v>
      </x:c>
      <x:c r="AY90" s="27" t="n">
        <x:f>IF(ISNUMBER(AG90),IF('Scoring Setup'!$L$19=1,1-'Scoring Setup'!$B$5*(1-MAX(0,MIN(1,(AG90-'Scoring Setup'!$K$19)/(100-'Scoring Setup'!$K$19)))),1),"")</x:f>
        <x:v>0.8330888888888889</x:v>
      </x:c>
      <x:c r="AZ90" s="27" t="n">
        <x:f>IF(ISNUMBER(AH90),IF('Scoring Setup'!$L$20=1,1-'Scoring Setup'!$B$5*(1-MAX(0,MIN(1,(AH90-'Scoring Setup'!$K$20)/(100-'Scoring Setup'!$K$20)))),1),"")</x:f>
        <x:v>0.8017927875434028</x:v>
      </x:c>
      <x:c r="BA90" s="27" t="n">
        <x:f>IF(ISNUMBER(AI90),IF('Scoring Setup'!$L$21=1,1-'Scoring Setup'!$B$5*(1-MAX(0,MIN(1,(AI90-'Scoring Setup'!$K$21)/(100-'Scoring Setup'!$K$21)))),1),"")</x:f>
        <x:v>0.8</x:v>
      </x:c>
      <x:c r="BB90" s="27" t="n">
        <x:f>IF(ISNUMBER(AJ90),IF('Scoring Setup'!$L$22=1,1-'Scoring Setup'!$B$5*(1-MAX(0,MIN(1,(AJ90-'Scoring Setup'!$K$22)/(100-'Scoring Setup'!$K$22)))),1),"")</x:f>
        <x:v>0.8831340212106613</x:v>
      </x:c>
      <x:c r="BC90" s="27" t="n">
        <x:f>IF(ISNUMBER(AK90),IF('Scoring Setup'!$L$23=1,1-'Scoring Setup'!$B$5*(1-MAX(0,MIN(1,(AK90-'Scoring Setup'!$K$23)/(100-'Scoring Setup'!$K$23)))),1),"")</x:f>
        <x:v>0.8810924922842828</x:v>
      </x:c>
      <x:c r="BD90" s="27" t="n">
        <x:f>IF(ISNUMBER(AL90),IF('Scoring Setup'!$L$24=1,1-'Scoring Setup'!$B$5*(1-MAX(0,MIN(1,(AL90-'Scoring Setup'!$K$24)/(100-'Scoring Setup'!$K$24)))),1),"")</x:f>
        <x:v>0.9741818181818181</x:v>
      </x:c>
      <x:c r="BE90" s="27" t="n">
        <x:f>IF(ISNUMBER(AM90),IF('Scoring Setup'!$L$25=1,1-'Scoring Setup'!$B$5*(1-MAX(0,MIN(1,(AM90-'Scoring Setup'!$K$25)/(100-'Scoring Setup'!$K$25)))),1),"")</x:f>
        <x:v>0.8885845218271159</x:v>
      </x:c>
      <x:c r="BF90" s="27" t="n">
        <x:f>IF(ISNUMBER(AN90),IF('Scoring Setup'!$L$26=1,1-'Scoring Setup'!$B$5*(1-MAX(0,MIN(1,(AN90-'Scoring Setup'!$K$26)/(100-'Scoring Setup'!$K$26)))),1),"")</x:f>
        <x:v>0.937286211052675</x:v>
      </x:c>
      <x:c r="BG90" s="34" t="n">
        <x:f>IF(COUNT(W90,X90)=2,AVERAGE(W90,X90),"")</x:f>
        <x:v>60.15629420084864</x:v>
      </x:c>
      <x:c r="BH90" s="34" t="n">
        <x:f>IF(COUNT(Y90,Z90)=2,AVERAGE(Y90,Z90),"")</x:f>
        <x:v>34.424943291179325</x:v>
      </x:c>
      <x:c r="BI90" s="34" t="n">
        <x:f>IF(COUNT(AA90,AB90,AC90)=3,AVERAGE(AA90,AB90,AC90),"")</x:f>
        <x:v>58.14875812143674</x:v>
      </x:c>
      <x:c r="BJ90" s="34" t="n">
        <x:f>IF(COUNT(AD90,AE90)=2,AVERAGE(AD90,AE90),"")</x:f>
        <x:v>100</x:v>
      </x:c>
      <x:c r="BK90" s="34" t="n">
        <x:f>IF(COUNT(AF90,AG90)=2,AVERAGE(AF90,AG90),"")</x:f>
        <x:v>15.977537184838852</x:v>
      </x:c>
      <x:c r="BL90" s="34" t="n">
        <x:f>IF(COUNT(AH90,AI90)=2,AVERAGE(AH90,AI90),"")</x:f>
        <x:v>0.44819688585069645</x:v>
      </x:c>
      <x:c r="BM90" s="34" t="n">
        <x:f>IF(COUNT(AJ90,AK90)=2,AVERAGE(AJ90,AK90),"")</x:f>
        <x:v>41.05662837373602</x:v>
      </x:c>
      <x:c r="BN90" s="34" t="n">
        <x:f>IF(COUNT(AL90,AM90,AN90)=3,AVERAGE(AL90,AM90,AN90),"")</x:f>
        <x:v>66.67542517693484</x:v>
      </x:c>
      <x:c r="BO90" s="35" t="n">
        <x:f>IF(AND(COUNT(BG90:BN90)=8,ABS('Scoring Setup'!$C$17-1)&lt;0.000001),BG90*'Scoring Setup'!$C$9+BH90*'Scoring Setup'!$C$10+BI90*'Scoring Setup'!$C$11+BJ90*'Scoring Setup'!$C$12+BK90*'Scoring Setup'!$C$13+BL90*'Scoring Setup'!$C$14+BM90*'Scoring Setup'!$C$15+BN90*'Scoring Setup'!$C$16,"")</x:f>
        <x:v>52.39111642500808</x:v>
      </x:c>
      <x:c r="BP90" s="36" t="n">
        <x:f>IF(COUNT(AO90:BF90)=18,MIN(AO90:BF90),"")</x:f>
        <x:v>0.8</x:v>
      </x:c>
      <x:c r="BQ90" s="35" t="n">
        <x:f>IF(AND(ISNUMBER(BO90),ISNUMBER(BP90)),BO90*BP90,"")</x:f>
        <x:v>41.91289314000647</x:v>
      </x:c>
      <x:c r="BR90" s="17" t="str">
        <x:f>IF(COUNT(AO90:BF90)=18,INDEX('Scoring Setup'!$F$9:$F$26,MATCH(MIN(AO90:BF90),AO90:BF90,0),1),"")</x:f>
        <x:v>历史&gt;90°F天数</x:v>
      </x:c>
    </x:row>
    <x:row r="91">
      <x:c r="A91" s="28" t="str">
        <x:v>13175</x:v>
      </x:c>
      <x:c r="B91" s="28" t="str">
        <x:v>Laurens County</x:v>
      </x:c>
      <x:c r="C91" s="28" t="str">
        <x:v>GA</x:v>
      </x:c>
      <x:c r="D91" s="31" t="n">
        <x:v>2090.990052</x:v>
      </x:c>
      <x:c r="E91" s="32" t="n">
        <x:v>0.522</x:v>
      </x:c>
      <x:c r="F91" s="32" t="n">
        <x:v>0.20049504950495098</x:v>
      </x:c>
      <x:c r="G91" s="32" t="n">
        <x:v>2.160589596017112</x:v>
      </x:c>
      <x:c r="H91" s="32" t="n">
        <x:v>1.9747929560829411</x:v>
      </x:c>
      <x:c r="I91" s="32" t="n">
        <x:v>0.910297241732301</x:v>
      </x:c>
      <x:c r="J91" s="32" t="n">
        <x:v>0.017222241668817032</x:v>
      </x:c>
      <x:c r="K91" s="32" t="n">
        <x:v>0.21874887661318346</x:v>
      </x:c>
      <x:c r="L91" s="32" t="n">
        <x:v>0.483236387</x:v>
      </x:c>
      <x:c r="M91" s="32" t="n">
        <x:v>0.483155599</x:v>
      </x:c>
      <x:c r="N91" s="32" t="n">
        <x:v>20364</x:v>
      </x:c>
      <x:c r="O91" s="32" t="n">
        <x:v>0.9014</x:v>
      </x:c>
      <x:c r="P91" s="32" t="n">
        <x:v>2097.1931762695312</x:v>
      </x:c>
      <x:c r="Q91" s="32" t="n">
        <x:v>76.98034693400065</x:v>
      </x:c>
      <x:c r="R91" s="32" t="n">
        <x:v>10.215097057728494</x:v>
      </x:c>
      <x:c r="S91" s="32" t="n">
        <x:v>14.263650602226557</x:v>
      </x:c>
      <x:c r="T91" s="32" t="n">
        <x:v>72.1</x:v>
      </x:c>
      <x:c r="U91" s="32" t="n">
        <x:v>211.4154781728841</x:v>
      </x:c>
      <x:c r="V91" s="32" t="n">
        <x:v>325.42757789465</x:v>
      </x:c>
      <x:c r="W91" s="33" t="n">
        <x:f>IF(ISNUMBER(E91),100*MAX(0,MIN(1,('Anchors'!$H$6-E91)/('Anchors'!$H$6-'Anchors'!$G$6))),"")</x:f>
        <x:v>54</x:v>
      </x:c>
      <x:c r="X91" s="33" t="n">
        <x:f>IF(ISNUMBER(F91),100*MAX(0,MIN(1,('Anchors'!$H$7-F91)/('Anchors'!$H$7-'Anchors'!$G$7))),"")</x:f>
        <x:v>85.64356435643556</x:v>
      </x:c>
      <x:c r="Y91" s="33" t="n">
        <x:f>IF(ISNUMBER(G91),100*MAX(0,MIN(1,('Anchors'!$H$8-G91)/('Anchors'!$H$8-'Anchors'!$G$8))),"")</x:f>
        <x:v>61.31368013276294</x:v>
      </x:c>
      <x:c r="Z91" s="33" t="n">
        <x:f>IF(ISNUMBER(H91),100*MAX(0,MIN(1,('Anchors'!$H$9-H91)/('Anchors'!$H$9-'Anchors'!$G$9))),"")</x:f>
        <x:v>67.50690146390195</x:v>
      </x:c>
      <x:c r="AA91" s="33" t="n">
        <x:f>IF(ISNUMBER(I91),100*MAX(0,MIN(1,(I91-'Anchors'!$H$10)/('Anchors'!$G$10-'Anchors'!$H$10))),"")</x:f>
        <x:v>90.45167694963028</x:v>
      </x:c>
      <x:c r="AB91" s="33" t="n">
        <x:f>IF(ISNUMBER(J91),100*MAX(0,MIN(1,('Anchors'!$H$11-J91)/('Anchors'!$H$11-'Anchors'!$G$11))),"")</x:f>
        <x:v>93.11110333247319</x:v>
      </x:c>
      <x:c r="AC91" s="33" t="n">
        <x:f>IF(ISNUMBER(K91),100*MAX(0,MIN(1,('Anchors'!$H$12-K91)/('Anchors'!$H$12-'Anchors'!$G$12))),"")</x:f>
        <x:v>45.312780846704136</x:v>
      </x:c>
      <x:c r="AD91" s="33" t="n">
        <x:f>IF(ISNUMBER(L91),100*MAX(0,MIN(1,(L91-'Anchors'!$H$13)/('Anchors'!$G$13-'Anchors'!$H$13))),"")</x:f>
        <x:v>40.462341</x:v>
      </x:c>
      <x:c r="AE91" s="33" t="n">
        <x:f>IF(ISNUMBER(M91),100*MAX(0,MIN(1,(M91-'Anchors'!$H$14)/('Anchors'!$G$14-'Anchors'!$H$14))),"")</x:f>
        <x:v>47.89444987499999</x:v>
      </x:c>
      <x:c r="AF91" s="33" t="n">
        <x:f>IF(ISNUMBER(N91),100*MAX(0,MIN(1,(LN(1+N91)-LN(1+'Anchors'!$H$15))/(LN(1+'Anchors'!$G$15)-LN(1+'Anchors'!$H$15)))),"")</x:f>
        <x:v>53.74504108718694</x:v>
      </x:c>
      <x:c r="AG91" s="33" t="n">
        <x:f>IF(ISNUMBER(O91),100*MAX(0,MIN(1,('Anchors'!$H$16-O91)/('Anchors'!$H$16-'Anchors'!$G$16))),"")</x:f>
        <x:v>5.399999999999998</x:v>
      </x:c>
      <x:c r="AH91" s="33" t="n">
        <x:f>IF(ISNUMBER(P91),100*MAX(0,MIN(1,('Anchors'!$H$17-P91)/('Anchors'!$H$17-'Anchors'!$G$17))),"")</x:f>
        <x:v>6.853788248697916</x:v>
      </x:c>
      <x:c r="AI91" s="33" t="n">
        <x:f>IF(ISNUMBER(Q91),100*MAX(0,MIN(1,('Anchors'!$H$18-Q91)/('Anchors'!$H$18-'Anchors'!$G$18))),"")</x:f>
        <x:v>0</x:v>
      </x:c>
      <x:c r="AJ91" s="33" t="n">
        <x:f>IF(ISNUMBER(R91),100*MAX(0,MIN(1,('Anchors'!$H$19-R91)/('Anchors'!$H$19-'Anchors'!$G$19))),"")</x:f>
        <x:v>88.41089542727002</x:v>
      </x:c>
      <x:c r="AK91" s="33" t="n">
        <x:f>IF(ISNUMBER(S91),100*MAX(0,MIN(1,('Anchors'!$H$20-S91)/('Anchors'!$H$20-'Anchors'!$G$20))),"")</x:f>
        <x:v>30.191312619860227</x:v>
      </x:c>
      <x:c r="AL91" s="33" t="n">
        <x:f>IF(ISNUMBER(T91),100*MAX(0,MIN(1,('Anchors'!$H$21-T91)/('Anchors'!$H$21-'Anchors'!$G$21))),"")</x:f>
        <x:v>87.0909090909091</x:v>
      </x:c>
      <x:c r="AM91" s="33" t="n">
        <x:f>IF(ISNUMBER(U91),100*MAX(0,MIN(1,('Anchors'!$H$22-U91)/('Anchors'!$H$22-'Anchors'!$G$22))),"")</x:f>
        <x:v>44.29226091355795</x:v>
      </x:c>
      <x:c r="AN91" s="33" t="n">
        <x:f>IF(ISNUMBER(V91),100*MAX(0,MIN(1,('Anchors'!$H$23-V91)/('Anchors'!$H$23-'Anchors'!$G$23))),"")</x:f>
        <x:v>68.6431055263375</x:v>
      </x:c>
      <x:c r="AO91" s="27" t="n">
        <x:f>IF(ISNUMBER(W91),IF('Scoring Setup'!$L$9=1,1-'Scoring Setup'!$B$5*(1-MAX(0,MIN(1,(W91-'Scoring Setup'!$K$9)/(100-'Scoring Setup'!$K$9)))),1),"")</x:f>
        <x:v>0.908</x:v>
      </x:c>
      <x:c r="AP91" s="27" t="n">
        <x:f>IF(ISNUMBER(X91),IF('Scoring Setup'!$L$10=1,1-'Scoring Setup'!$B$5*(1-MAX(0,MIN(1,(X91-'Scoring Setup'!$K$10)/(100-'Scoring Setup'!$K$10)))),1),"")</x:f>
        <x:v>0.9712871287128712</x:v>
      </x:c>
      <x:c r="AQ91" s="27" t="n">
        <x:f>IF(ISNUMBER(Y91),IF('Scoring Setup'!$L$11=1,1-'Scoring Setup'!$B$5*(1-MAX(0,MIN(1,(Y91-'Scoring Setup'!$K$11)/(100-'Scoring Setup'!$K$11)))),1),"")</x:f>
        <x:v>0.9226273602655258</x:v>
      </x:c>
      <x:c r="AR91" s="27" t="n">
        <x:f>IF(ISNUMBER(Z91),IF('Scoring Setup'!$L$12=1,1-'Scoring Setup'!$B$5*(1-MAX(0,MIN(1,(Z91-'Scoring Setup'!$K$12)/(100-'Scoring Setup'!$K$12)))),1),"")</x:f>
        <x:v>0.9350138029278039</x:v>
      </x:c>
      <x:c r="AS91" s="27" t="n">
        <x:f>IF(ISNUMBER(AA91),IF('Scoring Setup'!$L$13=1,1-'Scoring Setup'!$B$5*(1-MAX(0,MIN(1,(AA91-'Scoring Setup'!$K$13)/(100-'Scoring Setup'!$K$13)))),1),"")</x:f>
        <x:v>0.9809033538992605</x:v>
      </x:c>
      <x:c r="AT91" s="27" t="n">
        <x:f>IF(ISNUMBER(AB91),IF('Scoring Setup'!$L$14=1,1-'Scoring Setup'!$B$5*(1-MAX(0,MIN(1,(AB91-'Scoring Setup'!$K$14)/(100-'Scoring Setup'!$K$14)))),1),"")</x:f>
        <x:v>0.9862222066649464</x:v>
      </x:c>
      <x:c r="AU91" s="27" t="n">
        <x:f>IF(ISNUMBER(AC91),IF('Scoring Setup'!$L$15=1,1-'Scoring Setup'!$B$5*(1-MAX(0,MIN(1,(AC91-'Scoring Setup'!$K$15)/(100-'Scoring Setup'!$K$15)))),1),"")</x:f>
        <x:v>0.8906255616934082</x:v>
      </x:c>
      <x:c r="AV91" s="27" t="n">
        <x:f>IF(ISNUMBER(AD91),IF('Scoring Setup'!$L$16=1,1-'Scoring Setup'!$B$5*(1-MAX(0,MIN(1,(AD91-'Scoring Setup'!$K$16)/(100-'Scoring Setup'!$K$16)))),1),"")</x:f>
        <x:v>0.880924682</x:v>
      </x:c>
      <x:c r="AW91" s="27" t="n">
        <x:f>IF(ISNUMBER(AE91),IF('Scoring Setup'!$L$17=1,1-'Scoring Setup'!$B$5*(1-MAX(0,MIN(1,(AE91-'Scoring Setup'!$K$17)/(100-'Scoring Setup'!$K$17)))),1),"")</x:f>
        <x:v>0.89578889975</x:v>
      </x:c>
      <x:c r="AX91" s="27" t="n">
        <x:f>IF(ISNUMBER(AF91),IF('Scoring Setup'!$L$18=1,1-'Scoring Setup'!$B$5*(1-MAX(0,MIN(1,(AF91-'Scoring Setup'!$K$18)/(100-'Scoring Setup'!$K$18)))),1),"")</x:f>
        <x:v>0.9074900821743739</x:v>
      </x:c>
      <x:c r="AY91" s="27" t="n">
        <x:f>IF(ISNUMBER(AG91),IF('Scoring Setup'!$L$19=1,1-'Scoring Setup'!$B$5*(1-MAX(0,MIN(1,(AG91-'Scoring Setup'!$K$19)/(100-'Scoring Setup'!$K$19)))),1),"")</x:f>
        <x:v>0.8108</x:v>
      </x:c>
      <x:c r="AZ91" s="27" t="n">
        <x:f>IF(ISNUMBER(AH91),IF('Scoring Setup'!$L$20=1,1-'Scoring Setup'!$B$5*(1-MAX(0,MIN(1,(AH91-'Scoring Setup'!$K$20)/(100-'Scoring Setup'!$K$20)))),1),"")</x:f>
        <x:v>0.8137075764973958</x:v>
      </x:c>
      <x:c r="BA91" s="27" t="n">
        <x:f>IF(ISNUMBER(AI91),IF('Scoring Setup'!$L$21=1,1-'Scoring Setup'!$B$5*(1-MAX(0,MIN(1,(AI91-'Scoring Setup'!$K$21)/(100-'Scoring Setup'!$K$21)))),1),"")</x:f>
        <x:v>0.8</x:v>
      </x:c>
      <x:c r="BB91" s="27" t="n">
        <x:f>IF(ISNUMBER(AJ91),IF('Scoring Setup'!$L$22=1,1-'Scoring Setup'!$B$5*(1-MAX(0,MIN(1,(AJ91-'Scoring Setup'!$K$22)/(100-'Scoring Setup'!$K$22)))),1),"")</x:f>
        <x:v>0.97682179085454</x:v>
      </x:c>
      <x:c r="BC91" s="27" t="n">
        <x:f>IF(ISNUMBER(AK91),IF('Scoring Setup'!$L$23=1,1-'Scoring Setup'!$B$5*(1-MAX(0,MIN(1,(AK91-'Scoring Setup'!$K$23)/(100-'Scoring Setup'!$K$23)))),1),"")</x:f>
        <x:v>0.8603826252397204</x:v>
      </x:c>
      <x:c r="BD91" s="27" t="n">
        <x:f>IF(ISNUMBER(AL91),IF('Scoring Setup'!$L$24=1,1-'Scoring Setup'!$B$5*(1-MAX(0,MIN(1,(AL91-'Scoring Setup'!$K$24)/(100-'Scoring Setup'!$K$24)))),1),"")</x:f>
        <x:v>0.9741818181818181</x:v>
      </x:c>
      <x:c r="BE91" s="27" t="n">
        <x:f>IF(ISNUMBER(AM91),IF('Scoring Setup'!$L$25=1,1-'Scoring Setup'!$B$5*(1-MAX(0,MIN(1,(AM91-'Scoring Setup'!$K$25)/(100-'Scoring Setup'!$K$25)))),1),"")</x:f>
        <x:v>0.8885845218271159</x:v>
      </x:c>
      <x:c r="BF91" s="27" t="n">
        <x:f>IF(ISNUMBER(AN91),IF('Scoring Setup'!$L$26=1,1-'Scoring Setup'!$B$5*(1-MAX(0,MIN(1,(AN91-'Scoring Setup'!$K$26)/(100-'Scoring Setup'!$K$26)))),1),"")</x:f>
        <x:v>0.937286211052675</x:v>
      </x:c>
      <x:c r="BG91" s="34" t="n">
        <x:f>IF(COUNT(W91,X91)=2,AVERAGE(W91,X91),"")</x:f>
        <x:v>69.82178217821777</x:v>
      </x:c>
      <x:c r="BH91" s="34" t="n">
        <x:f>IF(COUNT(Y91,Z91)=2,AVERAGE(Y91,Z91),"")</x:f>
        <x:v>64.41029079833245</x:v>
      </x:c>
      <x:c r="BI91" s="34" t="n">
        <x:f>IF(COUNT(AA91,AB91,AC91)=3,AVERAGE(AA91,AB91,AC91),"")</x:f>
        <x:v>76.29185370960253</x:v>
      </x:c>
      <x:c r="BJ91" s="34" t="n">
        <x:f>IF(COUNT(AD91,AE91)=2,AVERAGE(AD91,AE91),"")</x:f>
        <x:v>44.1783954375</x:v>
      </x:c>
      <x:c r="BK91" s="34" t="n">
        <x:f>IF(COUNT(AF91,AG91)=2,AVERAGE(AF91,AG91),"")</x:f>
        <x:v>29.57252054359347</x:v>
      </x:c>
      <x:c r="BL91" s="34" t="n">
        <x:f>IF(COUNT(AH91,AI91)=2,AVERAGE(AH91,AI91),"")</x:f>
        <x:v>3.426894124348958</x:v>
      </x:c>
      <x:c r="BM91" s="34" t="n">
        <x:f>IF(COUNT(AJ91,AK91)=2,AVERAGE(AJ91,AK91),"")</x:f>
        <x:v>59.301104023565124</x:v>
      </x:c>
      <x:c r="BN91" s="34" t="n">
        <x:f>IF(COUNT(AL91,AM91,AN91)=3,AVERAGE(AL91,AM91,AN91),"")</x:f>
        <x:v>66.67542517693484</x:v>
      </x:c>
      <x:c r="BO91" s="35" t="n">
        <x:f>IF(AND(COUNT(BG91:BN91)=8,ABS('Scoring Setup'!$C$17-1)&lt;0.000001),BG91*'Scoring Setup'!$C$9+BH91*'Scoring Setup'!$C$10+BI91*'Scoring Setup'!$C$11+BJ91*'Scoring Setup'!$C$12+BK91*'Scoring Setup'!$C$13+BL91*'Scoring Setup'!$C$14+BM91*'Scoring Setup'!$C$15+BN91*'Scoring Setup'!$C$16,"")</x:f>
        <x:v>58.007540807034026</x:v>
      </x:c>
      <x:c r="BP91" s="36" t="n">
        <x:f>IF(COUNT(AO91:BF91)=18,MIN(AO91:BF91),"")</x:f>
        <x:v>0.8</x:v>
      </x:c>
      <x:c r="BQ91" s="35" t="n">
        <x:f>IF(AND(ISNUMBER(BO91),ISNUMBER(BP91)),BO91*BP91,"")</x:f>
        <x:v>46.40603264562722</x:v>
      </x:c>
      <x:c r="BR91" s="17" t="str">
        <x:f>IF(COUNT(AO91:BF91)=18,INDEX('Scoring Setup'!$F$9:$F$26,MATCH(MIN(AO91:BF91),AO91:BF91,0),1),"")</x:f>
        <x:v>历史&gt;90°F天数</x:v>
      </x:c>
    </x:row>
    <x:row r="92">
      <x:c r="A92" s="28" t="str">
        <x:v>13177</x:v>
      </x:c>
      <x:c r="B92" s="28" t="str">
        <x:v>Lee County</x:v>
      </x:c>
      <x:c r="C92" s="28" t="str">
        <x:v>GA</x:v>
      </x:c>
      <x:c r="D92" s="31" t="n">
        <x:v>921.632943</x:v>
      </x:c>
      <x:c r="E92" s="32" t="n">
        <x:v>0.516</x:v>
      </x:c>
      <x:c r="F92" s="32" t="n">
        <x:v>0.743811881188119</x:v>
      </x:c>
      <x:c r="G92" s="32" t="n">
        <x:v>1.1652933984148754</x:v>
      </x:c>
      <x:c r="H92" s="32" t="n">
        <x:v>1.134330805</x:v>
      </x:c>
      <x:c r="I92" s="32" t="n">
        <x:v>0.923197961062827</x:v>
      </x:c>
      <x:c r="J92" s="32" t="n">
        <x:v>0.011294283795663624</x:v>
      </x:c>
      <x:c r="K92" s="32" t="n">
        <x:v>0.20990893161712426</x:v>
      </x:c>
      <x:c r="L92" s="32" t="n">
        <x:v>0.595410796</x:v>
      </x:c>
      <x:c r="M92" s="32" t="n">
        <x:v>0.591993305</x:v>
      </x:c>
      <x:c r="N92" s="32" t="n">
        <x:v>16897</x:v>
      </x:c>
      <x:c r="O92" s="32" t="n">
        <x:v>0.2606</x:v>
      </x:c>
      <x:c r="P92" s="32" t="n">
        <x:v>2182.811083984375</x:v>
      </x:c>
      <x:c r="Q92" s="32" t="n">
        <x:v>72.3065086364746</x:v>
      </x:c>
      <x:c r="R92" s="32" t="n">
        <x:v>39.79345158358567</x:v>
      </x:c>
      <x:c r="S92" s="32" t="n">
        <x:v>5.795264191127044</x:v>
      </x:c>
      <x:c r="T92" s="32" t="n">
        <x:v>72.1</x:v>
      </x:c>
      <x:c r="U92" s="32" t="n">
        <x:v>211.4154781728841</x:v>
      </x:c>
      <x:c r="V92" s="32" t="n">
        <x:v>325.42757789465</x:v>
      </x:c>
      <x:c r="W92" s="33" t="n">
        <x:f>IF(ISNUMBER(E92),100*MAX(0,MIN(1,('Anchors'!$H$6-E92)/('Anchors'!$H$6-'Anchors'!$G$6))),"")</x:f>
        <x:v>54.85714285714286</x:v>
      </x:c>
      <x:c r="X92" s="33" t="n">
        <x:f>IF(ISNUMBER(F92),100*MAX(0,MIN(1,('Anchors'!$H$7-F92)/('Anchors'!$H$7-'Anchors'!$G$7))),"")</x:f>
        <x:v>8.026874115983002</x:v>
      </x:c>
      <x:c r="Y92" s="33" t="n">
        <x:f>IF(ISNUMBER(G92),100*MAX(0,MIN(1,('Anchors'!$H$8-G92)/('Anchors'!$H$8-'Anchors'!$G$8))),"")</x:f>
        <x:v>94.49022005283749</x:v>
      </x:c>
      <x:c r="Z92" s="33" t="n">
        <x:f>IF(ISNUMBER(H92),100*MAX(0,MIN(1,('Anchors'!$H$9-H92)/('Anchors'!$H$9-'Anchors'!$G$9))),"")</x:f>
        <x:v>95.52230649999998</x:v>
      </x:c>
      <x:c r="AA92" s="33" t="n">
        <x:f>IF(ISNUMBER(I92),100*MAX(0,MIN(1,(I92-'Anchors'!$H$10)/('Anchors'!$G$10-'Anchors'!$H$10))),"")</x:f>
        <x:v>92.21889877572973</x:v>
      </x:c>
      <x:c r="AB92" s="33" t="n">
        <x:f>IF(ISNUMBER(J92),100*MAX(0,MIN(1,('Anchors'!$H$11-J92)/('Anchors'!$H$11-'Anchors'!$G$11))),"")</x:f>
        <x:v>95.48228648173455</x:v>
      </x:c>
      <x:c r="AC92" s="33" t="n">
        <x:f>IF(ISNUMBER(K92),100*MAX(0,MIN(1,('Anchors'!$H$12-K92)/('Anchors'!$H$12-'Anchors'!$G$12))),"")</x:f>
        <x:v>47.52276709571894</x:v>
      </x:c>
      <x:c r="AD92" s="33" t="n">
        <x:f>IF(ISNUMBER(L92),100*MAX(0,MIN(1,(L92-'Anchors'!$H$13)/('Anchors'!$G$13-'Anchors'!$H$13))),"")</x:f>
        <x:v>56.48725657142858</x:v>
      </x:c>
      <x:c r="AE92" s="33" t="n">
        <x:f>IF(ISNUMBER(M92),100*MAX(0,MIN(1,(M92-'Anchors'!$H$14)/('Anchors'!$G$14-'Anchors'!$H$14))),"")</x:f>
        <x:v>61.499163125</x:v>
      </x:c>
      <x:c r="AF92" s="33" t="n">
        <x:f>IF(ISNUMBER(N92),100*MAX(0,MIN(1,(LN(1+N92)-LN(1+'Anchors'!$H$15))/(LN(1+'Anchors'!$G$15)-LN(1+'Anchors'!$H$15)))),"")</x:f>
        <x:v>49.42206935637578</x:v>
      </x:c>
      <x:c r="AG92" s="33" t="n">
        <x:f>IF(ISNUMBER(O92),100*MAX(0,MIN(1,('Anchors'!$H$16-O92)/('Anchors'!$H$16-'Anchors'!$G$16))),"")</x:f>
        <x:v>76.60000000000001</x:v>
      </x:c>
      <x:c r="AH92" s="33" t="n">
        <x:f>IF(ISNUMBER(P92),100*MAX(0,MIN(1,('Anchors'!$H$17-P92)/('Anchors'!$H$17-'Anchors'!$G$17))),"")</x:f>
        <x:v>1.145927734375012</x:v>
      </x:c>
      <x:c r="AI92" s="33" t="n">
        <x:f>IF(ISNUMBER(Q92),100*MAX(0,MIN(1,('Anchors'!$H$18-Q92)/('Anchors'!$H$18-'Anchors'!$G$18))),"")</x:f>
        <x:v>3.84784480503628</x:v>
      </x:c>
      <x:c r="AJ92" s="33" t="n">
        <x:f>IF(ISNUMBER(R92),100*MAX(0,MIN(1,('Anchors'!$H$19-R92)/('Anchors'!$H$19-'Anchors'!$G$19))),"")</x:f>
        <x:v>22.681218703142953</x:v>
      </x:c>
      <x:c r="AK92" s="33" t="n">
        <x:f>IF(ISNUMBER(S92),100*MAX(0,MIN(1,('Anchors'!$H$20-S92)/('Anchors'!$H$20-'Anchors'!$G$20))),"")</x:f>
        <x:v>74.76176741512081</x:v>
      </x:c>
      <x:c r="AL92" s="33" t="n">
        <x:f>IF(ISNUMBER(T92),100*MAX(0,MIN(1,('Anchors'!$H$21-T92)/('Anchors'!$H$21-'Anchors'!$G$21))),"")</x:f>
        <x:v>87.0909090909091</x:v>
      </x:c>
      <x:c r="AM92" s="33" t="n">
        <x:f>IF(ISNUMBER(U92),100*MAX(0,MIN(1,('Anchors'!$H$22-U92)/('Anchors'!$H$22-'Anchors'!$G$22))),"")</x:f>
        <x:v>44.29226091355795</x:v>
      </x:c>
      <x:c r="AN92" s="33" t="n">
        <x:f>IF(ISNUMBER(V92),100*MAX(0,MIN(1,('Anchors'!$H$23-V92)/('Anchors'!$H$23-'Anchors'!$G$23))),"")</x:f>
        <x:v>68.6431055263375</x:v>
      </x:c>
      <x:c r="AO92" s="27" t="n">
        <x:f>IF(ISNUMBER(W92),IF('Scoring Setup'!$L$9=1,1-'Scoring Setup'!$B$5*(1-MAX(0,MIN(1,(W92-'Scoring Setup'!$K$9)/(100-'Scoring Setup'!$K$9)))),1),"")</x:f>
        <x:v>0.9097142857142857</x:v>
      </x:c>
      <x:c r="AP92" s="27" t="n">
        <x:f>IF(ISNUMBER(X92),IF('Scoring Setup'!$L$10=1,1-'Scoring Setup'!$B$5*(1-MAX(0,MIN(1,(X92-'Scoring Setup'!$K$10)/(100-'Scoring Setup'!$K$10)))),1),"")</x:f>
        <x:v>0.816053748231966</x:v>
      </x:c>
      <x:c r="AQ92" s="27" t="n">
        <x:f>IF(ISNUMBER(Y92),IF('Scoring Setup'!$L$11=1,1-'Scoring Setup'!$B$5*(1-MAX(0,MIN(1,(Y92-'Scoring Setup'!$K$11)/(100-'Scoring Setup'!$K$11)))),1),"")</x:f>
        <x:v>0.988980440105675</x:v>
      </x:c>
      <x:c r="AR92" s="27" t="n">
        <x:f>IF(ISNUMBER(Z92),IF('Scoring Setup'!$L$12=1,1-'Scoring Setup'!$B$5*(1-MAX(0,MIN(1,(Z92-'Scoring Setup'!$K$12)/(100-'Scoring Setup'!$K$12)))),1),"")</x:f>
        <x:v>0.991044613</x:v>
      </x:c>
      <x:c r="AS92" s="27" t="n">
        <x:f>IF(ISNUMBER(AA92),IF('Scoring Setup'!$L$13=1,1-'Scoring Setup'!$B$5*(1-MAX(0,MIN(1,(AA92-'Scoring Setup'!$K$13)/(100-'Scoring Setup'!$K$13)))),1),"")</x:f>
        <x:v>0.9844377975514594</x:v>
      </x:c>
      <x:c r="AT92" s="27" t="n">
        <x:f>IF(ISNUMBER(AB92),IF('Scoring Setup'!$L$14=1,1-'Scoring Setup'!$B$5*(1-MAX(0,MIN(1,(AB92-'Scoring Setup'!$K$14)/(100-'Scoring Setup'!$K$14)))),1),"")</x:f>
        <x:v>0.9909645729634691</x:v>
      </x:c>
      <x:c r="AU92" s="27" t="n">
        <x:f>IF(ISNUMBER(AC92),IF('Scoring Setup'!$L$15=1,1-'Scoring Setup'!$B$5*(1-MAX(0,MIN(1,(AC92-'Scoring Setup'!$K$15)/(100-'Scoring Setup'!$K$15)))),1),"")</x:f>
        <x:v>0.8950455341914378</x:v>
      </x:c>
      <x:c r="AV92" s="27" t="n">
        <x:f>IF(ISNUMBER(AD92),IF('Scoring Setup'!$L$16=1,1-'Scoring Setup'!$B$5*(1-MAX(0,MIN(1,(AD92-'Scoring Setup'!$K$16)/(100-'Scoring Setup'!$K$16)))),1),"")</x:f>
        <x:v>0.9129745131428572</x:v>
      </x:c>
      <x:c r="AW92" s="27" t="n">
        <x:f>IF(ISNUMBER(AE92),IF('Scoring Setup'!$L$17=1,1-'Scoring Setup'!$B$5*(1-MAX(0,MIN(1,(AE92-'Scoring Setup'!$K$17)/(100-'Scoring Setup'!$K$17)))),1),"")</x:f>
        <x:v>0.92299832625</x:v>
      </x:c>
      <x:c r="AX92" s="27" t="n">
        <x:f>IF(ISNUMBER(AF92),IF('Scoring Setup'!$L$18=1,1-'Scoring Setup'!$B$5*(1-MAX(0,MIN(1,(AF92-'Scoring Setup'!$K$18)/(100-'Scoring Setup'!$K$18)))),1),"")</x:f>
        <x:v>0.8988441387127516</x:v>
      </x:c>
      <x:c r="AY92" s="27" t="n">
        <x:f>IF(ISNUMBER(AG92),IF('Scoring Setup'!$L$19=1,1-'Scoring Setup'!$B$5*(1-MAX(0,MIN(1,(AG92-'Scoring Setup'!$K$19)/(100-'Scoring Setup'!$K$19)))),1),"")</x:f>
        <x:v>0.9532</x:v>
      </x:c>
      <x:c r="AZ92" s="27" t="n">
        <x:f>IF(ISNUMBER(AH92),IF('Scoring Setup'!$L$20=1,1-'Scoring Setup'!$B$5*(1-MAX(0,MIN(1,(AH92-'Scoring Setup'!$K$20)/(100-'Scoring Setup'!$K$20)))),1),"")</x:f>
        <x:v>0.80229185546875</x:v>
      </x:c>
      <x:c r="BA92" s="27" t="n">
        <x:f>IF(ISNUMBER(AI92),IF('Scoring Setup'!$L$21=1,1-'Scoring Setup'!$B$5*(1-MAX(0,MIN(1,(AI92-'Scoring Setup'!$K$21)/(100-'Scoring Setup'!$K$21)))),1),"")</x:f>
        <x:v>0.8076956896100725</x:v>
      </x:c>
      <x:c r="BB92" s="27" t="n">
        <x:f>IF(ISNUMBER(AJ92),IF('Scoring Setup'!$L$22=1,1-'Scoring Setup'!$B$5*(1-MAX(0,MIN(1,(AJ92-'Scoring Setup'!$K$22)/(100-'Scoring Setup'!$K$22)))),1),"")</x:f>
        <x:v>0.8453624374062859</x:v>
      </x:c>
      <x:c r="BC92" s="27" t="n">
        <x:f>IF(ISNUMBER(AK92),IF('Scoring Setup'!$L$23=1,1-'Scoring Setup'!$B$5*(1-MAX(0,MIN(1,(AK92-'Scoring Setup'!$K$23)/(100-'Scoring Setup'!$K$23)))),1),"")</x:f>
        <x:v>0.9495235348302417</x:v>
      </x:c>
      <x:c r="BD92" s="27" t="n">
        <x:f>IF(ISNUMBER(AL92),IF('Scoring Setup'!$L$24=1,1-'Scoring Setup'!$B$5*(1-MAX(0,MIN(1,(AL92-'Scoring Setup'!$K$24)/(100-'Scoring Setup'!$K$24)))),1),"")</x:f>
        <x:v>0.9741818181818181</x:v>
      </x:c>
      <x:c r="BE92" s="27" t="n">
        <x:f>IF(ISNUMBER(AM92),IF('Scoring Setup'!$L$25=1,1-'Scoring Setup'!$B$5*(1-MAX(0,MIN(1,(AM92-'Scoring Setup'!$K$25)/(100-'Scoring Setup'!$K$25)))),1),"")</x:f>
        <x:v>0.8885845218271159</x:v>
      </x:c>
      <x:c r="BF92" s="27" t="n">
        <x:f>IF(ISNUMBER(AN92),IF('Scoring Setup'!$L$26=1,1-'Scoring Setup'!$B$5*(1-MAX(0,MIN(1,(AN92-'Scoring Setup'!$K$26)/(100-'Scoring Setup'!$K$26)))),1),"")</x:f>
        <x:v>0.937286211052675</x:v>
      </x:c>
      <x:c r="BG92" s="34" t="n">
        <x:f>IF(COUNT(W92,X92)=2,AVERAGE(W92,X92),"")</x:f>
        <x:v>31.442008486562933</x:v>
      </x:c>
      <x:c r="BH92" s="34" t="n">
        <x:f>IF(COUNT(Y92,Z92)=2,AVERAGE(Y92,Z92),"")</x:f>
        <x:v>95.00626327641874</x:v>
      </x:c>
      <x:c r="BI92" s="34" t="n">
        <x:f>IF(COUNT(AA92,AB92,AC92)=3,AVERAGE(AA92,AB92,AC92),"")</x:f>
        <x:v>78.40798411772774</x:v>
      </x:c>
      <x:c r="BJ92" s="34" t="n">
        <x:f>IF(COUNT(AD92,AE92)=2,AVERAGE(AD92,AE92),"")</x:f>
        <x:v>58.99320984821429</x:v>
      </x:c>
      <x:c r="BK92" s="34" t="n">
        <x:f>IF(COUNT(AF92,AG92)=2,AVERAGE(AF92,AG92),"")</x:f>
        <x:v>63.0110346781879</x:v>
      </x:c>
      <x:c r="BL92" s="34" t="n">
        <x:f>IF(COUNT(AH92,AI92)=2,AVERAGE(AH92,AI92),"")</x:f>
        <x:v>2.496886269705646</x:v>
      </x:c>
      <x:c r="BM92" s="34" t="n">
        <x:f>IF(COUNT(AJ92,AK92)=2,AVERAGE(AJ92,AK92),"")</x:f>
        <x:v>48.72149305913189</x:v>
      </x:c>
      <x:c r="BN92" s="34" t="n">
        <x:f>IF(COUNT(AL92,AM92,AN92)=3,AVERAGE(AL92,AM92,AN92),"")</x:f>
        <x:v>66.67542517693484</x:v>
      </x:c>
      <x:c r="BO92" s="35" t="n">
        <x:f>IF(AND(COUNT(BG92:BN92)=8,ABS('Scoring Setup'!$C$17-1)&lt;0.000001),BG92*'Scoring Setup'!$C$9+BH92*'Scoring Setup'!$C$10+BI92*'Scoring Setup'!$C$11+BJ92*'Scoring Setup'!$C$12+BK92*'Scoring Setup'!$C$13+BL92*'Scoring Setup'!$C$14+BM92*'Scoring Setup'!$C$15+BN92*'Scoring Setup'!$C$16,"")</x:f>
        <x:v>64.75022288787537</x:v>
      </x:c>
      <x:c r="BP92" s="36" t="n">
        <x:f>IF(COUNT(AO92:BF92)=18,MIN(AO92:BF92),"")</x:f>
        <x:v>0.80229185546875</x:v>
      </x:c>
      <x:c r="BQ92" s="35" t="n">
        <x:f>IF(AND(ISNUMBER(BO92),ISNUMBER(BP92)),BO92*BP92,"")</x:f>
        <x:v>51.94857646272865</x:v>
      </x:c>
      <x:c r="BR92" s="17" t="str">
        <x:f>IF(COUNT(AO92:BF92)=18,INDEX('Scoring Setup'!$F$9:$F$26,MATCH(MIN(AO92:BF92),AO92:BF92,0),1),"")</x:f>
        <x:v>历史CDD65</x:v>
      </x:c>
    </x:row>
    <x:row r="93">
      <x:c r="A93" s="28" t="str">
        <x:v>13179</x:v>
      </x:c>
      <x:c r="B93" s="28" t="str">
        <x:v>Liberty County</x:v>
      </x:c>
      <x:c r="C93" s="28" t="str">
        <x:v>GA</x:v>
      </x:c>
      <x:c r="D93" s="31" t="n">
        <x:v>1337.632044</x:v>
      </x:c>
      <x:c r="E93" s="32" t="n">
        <x:v>0.711</x:v>
      </x:c>
      <x:c r="F93" s="32" t="n">
        <x:v>0.377784653465347</x:v>
      </x:c>
      <x:c r="G93" s="32" t="n">
        <x:v>0.8207086059047765</x:v>
      </x:c>
      <x:c r="H93" s="32" t="n">
        <x:v>0.630086639</x:v>
      </x:c>
      <x:c r="I93" s="32" t="n">
        <x:v>0.9074874697927984</x:v>
      </x:c>
      <x:c r="J93" s="32" t="n">
        <x:v>0.049084666527922906</x:v>
      </x:c>
      <x:c r="K93" s="32" t="n">
        <x:v>0.45876324508565375</x:v>
      </x:c>
      <x:c r="L93" s="32" t="n">
        <x:v>0.650375085</x:v>
      </x:c>
      <x:c r="M93" s="32" t="n">
        <x:v>0.606241678</x:v>
      </x:c>
      <x:c r="N93" s="32" t="n">
        <x:v>23928</x:v>
      </x:c>
      <x:c r="O93" s="32" t="n">
        <x:v>0.9007</x:v>
      </x:c>
      <x:c r="P93" s="32" t="n">
        <x:v>2345.9510823567707</x:v>
      </x:c>
      <x:c r="Q93" s="32" t="n">
        <x:v>65.09857889811198</x:v>
      </x:c>
      <x:c r="R93" s="32" t="n">
        <x:v>7.974194451915243</x:v>
      </x:c>
      <x:c r="S93" s="32" t="n">
        <x:v>5.126018900201164</x:v>
      </x:c>
      <x:c r="T93" s="32" t="n">
        <x:v>72.1</x:v>
      </x:c>
      <x:c r="U93" s="32" t="n">
        <x:v>211.4154781728841</x:v>
      </x:c>
      <x:c r="V93" s="32" t="n">
        <x:v>325.42757789465</x:v>
      </x:c>
      <x:c r="W93" s="33" t="n">
        <x:f>IF(ISNUMBER(E93),100*MAX(0,MIN(1,('Anchors'!$H$6-E93)/('Anchors'!$H$6-'Anchors'!$G$6))),"")</x:f>
        <x:v>27.000000000000007</x:v>
      </x:c>
      <x:c r="X93" s="33" t="n">
        <x:f>IF(ISNUMBER(F93),100*MAX(0,MIN(1,('Anchors'!$H$7-F93)/('Anchors'!$H$7-'Anchors'!$G$7))),"")</x:f>
        <x:v>60.316478076379</x:v>
      </x:c>
      <x:c r="Y93" s="33" t="n">
        <x:f>IF(ISNUMBER(G93),100*MAX(0,MIN(1,('Anchors'!$H$8-G93)/('Anchors'!$H$8-'Anchors'!$G$8))),"")</x:f>
        <x:v>100</x:v>
      </x:c>
      <x:c r="Z93" s="33" t="n">
        <x:f>IF(ISNUMBER(H93),100*MAX(0,MIN(1,('Anchors'!$H$9-H93)/('Anchors'!$H$9-'Anchors'!$G$9))),"")</x:f>
        <x:v>100</x:v>
      </x:c>
      <x:c r="AA93" s="33" t="n">
        <x:f>IF(ISNUMBER(I93),100*MAX(0,MIN(1,(I93-'Anchors'!$H$10)/('Anchors'!$G$10-'Anchors'!$H$10))),"")</x:f>
        <x:v>90.06677668394498</x:v>
      </x:c>
      <x:c r="AB93" s="33" t="n">
        <x:f>IF(ISNUMBER(J93),100*MAX(0,MIN(1,('Anchors'!$H$11-J93)/('Anchors'!$H$11-'Anchors'!$G$11))),"")</x:f>
        <x:v>80.36613338883085</x:v>
      </x:c>
      <x:c r="AC93" s="33" t="n">
        <x:f>IF(ISNUMBER(K93),100*MAX(0,MIN(1,('Anchors'!$H$12-K93)/('Anchors'!$H$12-'Anchors'!$G$12))),"")</x:f>
        <x:v>0</x:v>
      </x:c>
      <x:c r="AD93" s="33" t="n">
        <x:f>IF(ISNUMBER(L93),100*MAX(0,MIN(1,(L93-'Anchors'!$H$13)/('Anchors'!$G$13-'Anchors'!$H$13))),"")</x:f>
        <x:v>64.33929785714285</x:v>
      </x:c>
      <x:c r="AE93" s="33" t="n">
        <x:f>IF(ISNUMBER(M93),100*MAX(0,MIN(1,(M93-'Anchors'!$H$14)/('Anchors'!$G$14-'Anchors'!$H$14))),"")</x:f>
        <x:v>63.28020975</x:v>
      </x:c>
      <x:c r="AF93" s="33" t="n">
        <x:f>IF(ISNUMBER(N93),100*MAX(0,MIN(1,(LN(1+N93)-LN(1+'Anchors'!$H$15))/(LN(1+'Anchors'!$G$15)-LN(1+'Anchors'!$H$15)))),"")</x:f>
        <x:v>57.48081967716904</x:v>
      </x:c>
      <x:c r="AG93" s="33" t="n">
        <x:f>IF(ISNUMBER(O93),100*MAX(0,MIN(1,('Anchors'!$H$16-O93)/('Anchors'!$H$16-'Anchors'!$G$16))),"")</x:f>
        <x:v>5.47777777777778</x:v>
      </x:c>
      <x:c r="AH93" s="33" t="n">
        <x:f>IF(ISNUMBER(P93),100*MAX(0,MIN(1,('Anchors'!$H$17-P93)/('Anchors'!$H$17-'Anchors'!$G$17))),"")</x:f>
        <x:v>0</x:v>
      </x:c>
      <x:c r="AI93" s="33" t="n">
        <x:f>IF(ISNUMBER(Q93),100*MAX(0,MIN(1,('Anchors'!$H$18-Q93)/('Anchors'!$H$18-'Anchors'!$G$18))),"")</x:f>
        <x:v>14.144887288411457</x:v>
      </x:c>
      <x:c r="AJ93" s="33" t="n">
        <x:f>IF(ISNUMBER(R93),100*MAX(0,MIN(1,('Anchors'!$H$19-R93)/('Anchors'!$H$19-'Anchors'!$G$19))),"")</x:f>
        <x:v>93.3906789957439</x:v>
      </x:c>
      <x:c r="AK93" s="33" t="n">
        <x:f>IF(ISNUMBER(S93),100*MAX(0,MIN(1,('Anchors'!$H$20-S93)/('Anchors'!$H$20-'Anchors'!$G$20))),"")</x:f>
        <x:v>78.28411105157282</x:v>
      </x:c>
      <x:c r="AL93" s="33" t="n">
        <x:f>IF(ISNUMBER(T93),100*MAX(0,MIN(1,('Anchors'!$H$21-T93)/('Anchors'!$H$21-'Anchors'!$G$21))),"")</x:f>
        <x:v>87.0909090909091</x:v>
      </x:c>
      <x:c r="AM93" s="33" t="n">
        <x:f>IF(ISNUMBER(U93),100*MAX(0,MIN(1,('Anchors'!$H$22-U93)/('Anchors'!$H$22-'Anchors'!$G$22))),"")</x:f>
        <x:v>44.29226091355795</x:v>
      </x:c>
      <x:c r="AN93" s="33" t="n">
        <x:f>IF(ISNUMBER(V93),100*MAX(0,MIN(1,('Anchors'!$H$23-V93)/('Anchors'!$H$23-'Anchors'!$G$23))),"")</x:f>
        <x:v>68.6431055263375</x:v>
      </x:c>
      <x:c r="AO93" s="27" t="n">
        <x:f>IF(ISNUMBER(W93),IF('Scoring Setup'!$L$9=1,1-'Scoring Setup'!$B$5*(1-MAX(0,MIN(1,(W93-'Scoring Setup'!$K$9)/(100-'Scoring Setup'!$K$9)))),1),"")</x:f>
        <x:v>0.854</x:v>
      </x:c>
      <x:c r="AP93" s="27" t="n">
        <x:f>IF(ISNUMBER(X93),IF('Scoring Setup'!$L$10=1,1-'Scoring Setup'!$B$5*(1-MAX(0,MIN(1,(X93-'Scoring Setup'!$K$10)/(100-'Scoring Setup'!$K$10)))),1),"")</x:f>
        <x:v>0.920632956152758</x:v>
      </x:c>
      <x:c r="AQ93" s="27" t="n">
        <x:f>IF(ISNUMBER(Y93),IF('Scoring Setup'!$L$11=1,1-'Scoring Setup'!$B$5*(1-MAX(0,MIN(1,(Y93-'Scoring Setup'!$K$11)/(100-'Scoring Setup'!$K$11)))),1),"")</x:f>
        <x:v>1</x:v>
      </x:c>
      <x:c r="AR93" s="27" t="n">
        <x:f>IF(ISNUMBER(Z93),IF('Scoring Setup'!$L$12=1,1-'Scoring Setup'!$B$5*(1-MAX(0,MIN(1,(Z93-'Scoring Setup'!$K$12)/(100-'Scoring Setup'!$K$12)))),1),"")</x:f>
        <x:v>1</x:v>
      </x:c>
      <x:c r="AS93" s="27" t="n">
        <x:f>IF(ISNUMBER(AA93),IF('Scoring Setup'!$L$13=1,1-'Scoring Setup'!$B$5*(1-MAX(0,MIN(1,(AA93-'Scoring Setup'!$K$13)/(100-'Scoring Setup'!$K$13)))),1),"")</x:f>
        <x:v>0.98013355336789</x:v>
      </x:c>
      <x:c r="AT93" s="27" t="n">
        <x:f>IF(ISNUMBER(AB93),IF('Scoring Setup'!$L$14=1,1-'Scoring Setup'!$B$5*(1-MAX(0,MIN(1,(AB93-'Scoring Setup'!$K$14)/(100-'Scoring Setup'!$K$14)))),1),"")</x:f>
        <x:v>0.9607322667776617</x:v>
      </x:c>
      <x:c r="AU93" s="27" t="n">
        <x:f>IF(ISNUMBER(AC93),IF('Scoring Setup'!$L$15=1,1-'Scoring Setup'!$B$5*(1-MAX(0,MIN(1,(AC93-'Scoring Setup'!$K$15)/(100-'Scoring Setup'!$K$15)))),1),"")</x:f>
        <x:v>0.8</x:v>
      </x:c>
      <x:c r="AV93" s="27" t="n">
        <x:f>IF(ISNUMBER(AD93),IF('Scoring Setup'!$L$16=1,1-'Scoring Setup'!$B$5*(1-MAX(0,MIN(1,(AD93-'Scoring Setup'!$K$16)/(100-'Scoring Setup'!$K$16)))),1),"")</x:f>
        <x:v>0.9286785957142857</x:v>
      </x:c>
      <x:c r="AW93" s="27" t="n">
        <x:f>IF(ISNUMBER(AE93),IF('Scoring Setup'!$L$17=1,1-'Scoring Setup'!$B$5*(1-MAX(0,MIN(1,(AE93-'Scoring Setup'!$K$17)/(100-'Scoring Setup'!$K$17)))),1),"")</x:f>
        <x:v>0.9265604195</x:v>
      </x:c>
      <x:c r="AX93" s="27" t="n">
        <x:f>IF(ISNUMBER(AF93),IF('Scoring Setup'!$L$18=1,1-'Scoring Setup'!$B$5*(1-MAX(0,MIN(1,(AF93-'Scoring Setup'!$K$18)/(100-'Scoring Setup'!$K$18)))),1),"")</x:f>
        <x:v>0.914961639354338</x:v>
      </x:c>
      <x:c r="AY93" s="27" t="n">
        <x:f>IF(ISNUMBER(AG93),IF('Scoring Setup'!$L$19=1,1-'Scoring Setup'!$B$5*(1-MAX(0,MIN(1,(AG93-'Scoring Setup'!$K$19)/(100-'Scoring Setup'!$K$19)))),1),"")</x:f>
        <x:v>0.8109555555555555</x:v>
      </x:c>
      <x:c r="AZ93" s="27" t="n">
        <x:f>IF(ISNUMBER(AH93),IF('Scoring Setup'!$L$20=1,1-'Scoring Setup'!$B$5*(1-MAX(0,MIN(1,(AH93-'Scoring Setup'!$K$20)/(100-'Scoring Setup'!$K$20)))),1),"")</x:f>
        <x:v>0.8</x:v>
      </x:c>
      <x:c r="BA93" s="27" t="n">
        <x:f>IF(ISNUMBER(AI93),IF('Scoring Setup'!$L$21=1,1-'Scoring Setup'!$B$5*(1-MAX(0,MIN(1,(AI93-'Scoring Setup'!$K$21)/(100-'Scoring Setup'!$K$21)))),1),"")</x:f>
        <x:v>0.828289774576823</x:v>
      </x:c>
      <x:c r="BB93" s="27" t="n">
        <x:f>IF(ISNUMBER(AJ93),IF('Scoring Setup'!$L$22=1,1-'Scoring Setup'!$B$5*(1-MAX(0,MIN(1,(AJ93-'Scoring Setup'!$K$22)/(100-'Scoring Setup'!$K$22)))),1),"")</x:f>
        <x:v>0.9867813579914878</x:v>
      </x:c>
      <x:c r="BC93" s="27" t="n">
        <x:f>IF(ISNUMBER(AK93),IF('Scoring Setup'!$L$23=1,1-'Scoring Setup'!$B$5*(1-MAX(0,MIN(1,(AK93-'Scoring Setup'!$K$23)/(100-'Scoring Setup'!$K$23)))),1),"")</x:f>
        <x:v>0.9565682221031456</x:v>
      </x:c>
      <x:c r="BD93" s="27" t="n">
        <x:f>IF(ISNUMBER(AL93),IF('Scoring Setup'!$L$24=1,1-'Scoring Setup'!$B$5*(1-MAX(0,MIN(1,(AL93-'Scoring Setup'!$K$24)/(100-'Scoring Setup'!$K$24)))),1),"")</x:f>
        <x:v>0.9741818181818181</x:v>
      </x:c>
      <x:c r="BE93" s="27" t="n">
        <x:f>IF(ISNUMBER(AM93),IF('Scoring Setup'!$L$25=1,1-'Scoring Setup'!$B$5*(1-MAX(0,MIN(1,(AM93-'Scoring Setup'!$K$25)/(100-'Scoring Setup'!$K$25)))),1),"")</x:f>
        <x:v>0.8885845218271159</x:v>
      </x:c>
      <x:c r="BF93" s="27" t="n">
        <x:f>IF(ISNUMBER(AN93),IF('Scoring Setup'!$L$26=1,1-'Scoring Setup'!$B$5*(1-MAX(0,MIN(1,(AN93-'Scoring Setup'!$K$26)/(100-'Scoring Setup'!$K$26)))),1),"")</x:f>
        <x:v>0.937286211052675</x:v>
      </x:c>
      <x:c r="BG93" s="34" t="n">
        <x:f>IF(COUNT(W93,X93)=2,AVERAGE(W93,X93),"")</x:f>
        <x:v>43.65823903818951</x:v>
      </x:c>
      <x:c r="BH93" s="34" t="n">
        <x:f>IF(COUNT(Y93,Z93)=2,AVERAGE(Y93,Z93),"")</x:f>
        <x:v>100</x:v>
      </x:c>
      <x:c r="BI93" s="34" t="n">
        <x:f>IF(COUNT(AA93,AB93,AC93)=3,AVERAGE(AA93,AB93,AC93),"")</x:f>
        <x:v>56.81097002425861</x:v>
      </x:c>
      <x:c r="BJ93" s="34" t="n">
        <x:f>IF(COUNT(AD93,AE93)=2,AVERAGE(AD93,AE93),"")</x:f>
        <x:v>63.809753803571425</x:v>
      </x:c>
      <x:c r="BK93" s="34" t="n">
        <x:f>IF(COUNT(AF93,AG93)=2,AVERAGE(AF93,AG93),"")</x:f>
        <x:v>31.47929872747341</x:v>
      </x:c>
      <x:c r="BL93" s="34" t="n">
        <x:f>IF(COUNT(AH93,AI93)=2,AVERAGE(AH93,AI93),"")</x:f>
        <x:v>7.072443644205729</x:v>
      </x:c>
      <x:c r="BM93" s="34" t="n">
        <x:f>IF(COUNT(AJ93,AK93)=2,AVERAGE(AJ93,AK93),"")</x:f>
        <x:v>85.83739502365836</x:v>
      </x:c>
      <x:c r="BN93" s="34" t="n">
        <x:f>IF(COUNT(AL93,AM93,AN93)=3,AVERAGE(AL93,AM93,AN93),"")</x:f>
        <x:v>66.67542517693484</x:v>
      </x:c>
      <x:c r="BO93" s="35" t="n">
        <x:f>IF(AND(COUNT(BG93:BN93)=8,ABS('Scoring Setup'!$C$17-1)&lt;0.000001),BG93*'Scoring Setup'!$C$9+BH93*'Scoring Setup'!$C$10+BI93*'Scoring Setup'!$C$11+BJ93*'Scoring Setup'!$C$12+BK93*'Scoring Setup'!$C$13+BL93*'Scoring Setup'!$C$14+BM93*'Scoring Setup'!$C$15+BN93*'Scoring Setup'!$C$16,"")</x:f>
        <x:v>64.22394564582294</x:v>
      </x:c>
      <x:c r="BP93" s="36" t="n">
        <x:f>IF(COUNT(AO93:BF93)=18,MIN(AO93:BF93),"")</x:f>
        <x:v>0.8</x:v>
      </x:c>
      <x:c r="BQ93" s="35" t="n">
        <x:f>IF(AND(ISNUMBER(BO93),ISNUMBER(BP93)),BO93*BP93,"")</x:f>
        <x:v>51.379156516658355</x:v>
      </x:c>
      <x:c r="BR93" s="17" t="str">
        <x:f>IF(COUNT(AO93:BF93)=18,INDEX('Scoring Setup'!$F$9:$F$26,MATCH(MIN(AO93:BF93),AO93:BF93,0),1),"")</x:f>
        <x:v>湿地陆地比例</x:v>
      </x:c>
    </x:row>
    <x:row r="94">
      <x:c r="A94" s="28" t="str">
        <x:v>13181</x:v>
      </x:c>
      <x:c r="B94" s="28" t="str">
        <x:v>Lincoln County</x:v>
      </x:c>
      <x:c r="C94" s="28" t="str">
        <x:v>GA</x:v>
      </x:c>
      <x:c r="D94" s="31" t="n">
        <x:v>544.884775</x:v>
      </x:c>
      <x:c r="E94" s="32" t="n">
        <x:v>0.633</x:v>
      </x:c>
      <x:c r="F94" s="32" t="n">
        <x:v>0.45049504950495</x:v>
      </x:c>
      <x:c r="G94" s="32" t="n">
        <x:v>2.931926380780837</x:v>
      </x:c>
      <x:c r="H94" s="32" t="n">
        <x:v>2.735302759</x:v>
      </x:c>
      <x:c r="I94" s="32" t="n">
        <x:v>0.9401886615618099</x:v>
      </x:c>
      <x:c r="J94" s="32" t="n">
        <x:v>0.0279024813460703</x:v>
      </x:c>
      <x:c r="K94" s="32" t="n">
        <x:v>0.01964059923147626</x:v>
      </x:c>
      <x:c r="L94" s="32" t="n">
        <x:v>0.994710994</x:v>
      </x:c>
      <x:c r="M94" s="32" t="n">
        <x:v>0.994710994</x:v>
      </x:c>
      <x:c r="N94" s="32" t="n">
        <x:v>3239</x:v>
      </x:c>
      <x:c r="O94" s="32" t="n">
        <x:v>0.5488</x:v>
      </x:c>
      <x:c r="P94" s="32" t="n">
        <x:v>1725.7078938802083</x:v>
      </x:c>
      <x:c r="Q94" s="32" t="n">
        <x:v>54.826527150472</x:v>
      </x:c>
      <x:c r="R94" s="32" t="n">
        <x:v>30.915007503380977</x:v>
      </x:c>
      <x:c r="S94" s="32" t="n">
        <x:v>18.067609726415775</x:v>
      </x:c>
      <x:c r="T94" s="32" t="n">
        <x:v>72.1</x:v>
      </x:c>
      <x:c r="U94" s="32" t="n">
        <x:v>211.4154781728841</x:v>
      </x:c>
      <x:c r="V94" s="32" t="n">
        <x:v>325.42757789465</x:v>
      </x:c>
      <x:c r="W94" s="33" t="n">
        <x:f>IF(ISNUMBER(E94),100*MAX(0,MIN(1,('Anchors'!$H$6-E94)/('Anchors'!$H$6-'Anchors'!$G$6))),"")</x:f>
        <x:v>38.142857142857146</x:v>
      </x:c>
      <x:c r="X94" s="33" t="n">
        <x:f>IF(ISNUMBER(F94),100*MAX(0,MIN(1,('Anchors'!$H$7-F94)/('Anchors'!$H$7-'Anchors'!$G$7))),"")</x:f>
        <x:v>49.929278642149995</x:v>
      </x:c>
      <x:c r="Y94" s="33" t="n">
        <x:f>IF(ISNUMBER(G94),100*MAX(0,MIN(1,('Anchors'!$H$8-G94)/('Anchors'!$H$8-'Anchors'!$G$8))),"")</x:f>
        <x:v>35.6024539739721</x:v>
      </x:c>
      <x:c r="Z94" s="33" t="n">
        <x:f>IF(ISNUMBER(H94),100*MAX(0,MIN(1,('Anchors'!$H$9-H94)/('Anchors'!$H$9-'Anchors'!$G$9))),"")</x:f>
        <x:v>42.1565747</x:v>
      </x:c>
      <x:c r="AA94" s="33" t="n">
        <x:f>IF(ISNUMBER(I94),100*MAX(0,MIN(1,(I94-'Anchors'!$H$10)/('Anchors'!$G$10-'Anchors'!$H$10))),"")</x:f>
        <x:v>94.54639199476848</x:v>
      </x:c>
      <x:c r="AB94" s="33" t="n">
        <x:f>IF(ISNUMBER(J94),100*MAX(0,MIN(1,('Anchors'!$H$11-J94)/('Anchors'!$H$11-'Anchors'!$G$11))),"")</x:f>
        <x:v>88.83900746157188</x:v>
      </x:c>
      <x:c r="AC94" s="33" t="n">
        <x:f>IF(ISNUMBER(K94),100*MAX(0,MIN(1,('Anchors'!$H$12-K94)/('Anchors'!$H$12-'Anchors'!$G$12))),"")</x:f>
        <x:v>95.08985019213092</x:v>
      </x:c>
      <x:c r="AD94" s="33" t="n">
        <x:f>IF(ISNUMBER(L94),100*MAX(0,MIN(1,(L94-'Anchors'!$H$13)/('Anchors'!$G$13-'Anchors'!$H$13))),"")</x:f>
        <x:v>100</x:v>
      </x:c>
      <x:c r="AE94" s="33" t="n">
        <x:f>IF(ISNUMBER(M94),100*MAX(0,MIN(1,(M94-'Anchors'!$H$14)/('Anchors'!$G$14-'Anchors'!$H$14))),"")</x:f>
        <x:v>100</x:v>
      </x:c>
      <x:c r="AF94" s="33" t="n">
        <x:f>IF(ISNUMBER(N94),100*MAX(0,MIN(1,(LN(1+N94)-LN(1+'Anchors'!$H$15))/(LN(1+'Anchors'!$G$15)-LN(1+'Anchors'!$H$15)))),"")</x:f>
        <x:v>11.163466364737662</x:v>
      </x:c>
      <x:c r="AG94" s="33" t="n">
        <x:f>IF(ISNUMBER(O94),100*MAX(0,MIN(1,('Anchors'!$H$16-O94)/('Anchors'!$H$16-'Anchors'!$G$16))),"")</x:f>
        <x:v>44.57777777777778</x:v>
      </x:c>
      <x:c r="AH94" s="33" t="n">
        <x:f>IF(ISNUMBER(P94),100*MAX(0,MIN(1,('Anchors'!$H$17-P94)/('Anchors'!$H$17-'Anchors'!$G$17))),"")</x:f>
        <x:v>31.61947374131945</x:v>
      </x:c>
      <x:c r="AI94" s="33" t="n">
        <x:f>IF(ISNUMBER(Q94),100*MAX(0,MIN(1,('Anchors'!$H$18-Q94)/('Anchors'!$H$18-'Anchors'!$G$18))),"")</x:f>
        <x:v>28.81924692789714</x:v>
      </x:c>
      <x:c r="AJ94" s="33" t="n">
        <x:f>IF(ISNUMBER(R94),100*MAX(0,MIN(1,('Anchors'!$H$19-R94)/('Anchors'!$H$19-'Anchors'!$G$19))),"")</x:f>
        <x:v>42.411094436931165</x:v>
      </x:c>
      <x:c r="AK94" s="33" t="n">
        <x:f>IF(ISNUMBER(S94),100*MAX(0,MIN(1,('Anchors'!$H$20-S94)/('Anchors'!$H$20-'Anchors'!$G$20))),"")</x:f>
        <x:v>10.170475124127503</x:v>
      </x:c>
      <x:c r="AL94" s="33" t="n">
        <x:f>IF(ISNUMBER(T94),100*MAX(0,MIN(1,('Anchors'!$H$21-T94)/('Anchors'!$H$21-'Anchors'!$G$21))),"")</x:f>
        <x:v>87.0909090909091</x:v>
      </x:c>
      <x:c r="AM94" s="33" t="n">
        <x:f>IF(ISNUMBER(U94),100*MAX(0,MIN(1,('Anchors'!$H$22-U94)/('Anchors'!$H$22-'Anchors'!$G$22))),"")</x:f>
        <x:v>44.29226091355795</x:v>
      </x:c>
      <x:c r="AN94" s="33" t="n">
        <x:f>IF(ISNUMBER(V94),100*MAX(0,MIN(1,('Anchors'!$H$23-V94)/('Anchors'!$H$23-'Anchors'!$G$23))),"")</x:f>
        <x:v>68.6431055263375</x:v>
      </x:c>
      <x:c r="AO94" s="27" t="n">
        <x:f>IF(ISNUMBER(W94),IF('Scoring Setup'!$L$9=1,1-'Scoring Setup'!$B$5*(1-MAX(0,MIN(1,(W94-'Scoring Setup'!$K$9)/(100-'Scoring Setup'!$K$9)))),1),"")</x:f>
        <x:v>0.8762857142857143</x:v>
      </x:c>
      <x:c r="AP94" s="27" t="n">
        <x:f>IF(ISNUMBER(X94),IF('Scoring Setup'!$L$10=1,1-'Scoring Setup'!$B$5*(1-MAX(0,MIN(1,(X94-'Scoring Setup'!$K$10)/(100-'Scoring Setup'!$K$10)))),1),"")</x:f>
        <x:v>0.8998585572843</x:v>
      </x:c>
      <x:c r="AQ94" s="27" t="n">
        <x:f>IF(ISNUMBER(Y94),IF('Scoring Setup'!$L$11=1,1-'Scoring Setup'!$B$5*(1-MAX(0,MIN(1,(Y94-'Scoring Setup'!$K$11)/(100-'Scoring Setup'!$K$11)))),1),"")</x:f>
        <x:v>0.8712049079479443</x:v>
      </x:c>
      <x:c r="AR94" s="27" t="n">
        <x:f>IF(ISNUMBER(Z94),IF('Scoring Setup'!$L$12=1,1-'Scoring Setup'!$B$5*(1-MAX(0,MIN(1,(Z94-'Scoring Setup'!$K$12)/(100-'Scoring Setup'!$K$12)))),1),"")</x:f>
        <x:v>0.8843131494</x:v>
      </x:c>
      <x:c r="AS94" s="27" t="n">
        <x:f>IF(ISNUMBER(AA94),IF('Scoring Setup'!$L$13=1,1-'Scoring Setup'!$B$5*(1-MAX(0,MIN(1,(AA94-'Scoring Setup'!$K$13)/(100-'Scoring Setup'!$K$13)))),1),"")</x:f>
        <x:v>0.9890927839895369</x:v>
      </x:c>
      <x:c r="AT94" s="27" t="n">
        <x:f>IF(ISNUMBER(AB94),IF('Scoring Setup'!$L$14=1,1-'Scoring Setup'!$B$5*(1-MAX(0,MIN(1,(AB94-'Scoring Setup'!$K$14)/(100-'Scoring Setup'!$K$14)))),1),"")</x:f>
        <x:v>0.9776780149231438</x:v>
      </x:c>
      <x:c r="AU94" s="27" t="n">
        <x:f>IF(ISNUMBER(AC94),IF('Scoring Setup'!$L$15=1,1-'Scoring Setup'!$B$5*(1-MAX(0,MIN(1,(AC94-'Scoring Setup'!$K$15)/(100-'Scoring Setup'!$K$15)))),1),"")</x:f>
        <x:v>0.9901797003842618</x:v>
      </x:c>
      <x:c r="AV94" s="27" t="n">
        <x:f>IF(ISNUMBER(AD94),IF('Scoring Setup'!$L$16=1,1-'Scoring Setup'!$B$5*(1-MAX(0,MIN(1,(AD94-'Scoring Setup'!$K$16)/(100-'Scoring Setup'!$K$16)))),1),"")</x:f>
        <x:v>1</x:v>
      </x:c>
      <x:c r="AW94" s="27" t="n">
        <x:f>IF(ISNUMBER(AE94),IF('Scoring Setup'!$L$17=1,1-'Scoring Setup'!$B$5*(1-MAX(0,MIN(1,(AE94-'Scoring Setup'!$K$17)/(100-'Scoring Setup'!$K$17)))),1),"")</x:f>
        <x:v>1</x:v>
      </x:c>
      <x:c r="AX94" s="27" t="n">
        <x:f>IF(ISNUMBER(AF94),IF('Scoring Setup'!$L$18=1,1-'Scoring Setup'!$B$5*(1-MAX(0,MIN(1,(AF94-'Scoring Setup'!$K$18)/(100-'Scoring Setup'!$K$18)))),1),"")</x:f>
        <x:v>0.8223269327294753</x:v>
      </x:c>
      <x:c r="AY94" s="27" t="n">
        <x:f>IF(ISNUMBER(AG94),IF('Scoring Setup'!$L$19=1,1-'Scoring Setup'!$B$5*(1-MAX(0,MIN(1,(AG94-'Scoring Setup'!$K$19)/(100-'Scoring Setup'!$K$19)))),1),"")</x:f>
        <x:v>0.8891555555555556</x:v>
      </x:c>
      <x:c r="AZ94" s="27" t="n">
        <x:f>IF(ISNUMBER(AH94),IF('Scoring Setup'!$L$20=1,1-'Scoring Setup'!$B$5*(1-MAX(0,MIN(1,(AH94-'Scoring Setup'!$K$20)/(100-'Scoring Setup'!$K$20)))),1),"")</x:f>
        <x:v>0.8632389474826389</x:v>
      </x:c>
      <x:c r="BA94" s="27" t="n">
        <x:f>IF(ISNUMBER(AI94),IF('Scoring Setup'!$L$21=1,1-'Scoring Setup'!$B$5*(1-MAX(0,MIN(1,(AI94-'Scoring Setup'!$K$21)/(100-'Scoring Setup'!$K$21)))),1),"")</x:f>
        <x:v>0.8576384938557943</x:v>
      </x:c>
      <x:c r="BB94" s="27" t="n">
        <x:f>IF(ISNUMBER(AJ94),IF('Scoring Setup'!$L$22=1,1-'Scoring Setup'!$B$5*(1-MAX(0,MIN(1,(AJ94-'Scoring Setup'!$K$22)/(100-'Scoring Setup'!$K$22)))),1),"")</x:f>
        <x:v>0.8848221888738623</x:v>
      </x:c>
      <x:c r="BC94" s="27" t="n">
        <x:f>IF(ISNUMBER(AK94),IF('Scoring Setup'!$L$23=1,1-'Scoring Setup'!$B$5*(1-MAX(0,MIN(1,(AK94-'Scoring Setup'!$K$23)/(100-'Scoring Setup'!$K$23)))),1),"")</x:f>
        <x:v>0.820340950248255</x:v>
      </x:c>
      <x:c r="BD94" s="27" t="n">
        <x:f>IF(ISNUMBER(AL94),IF('Scoring Setup'!$L$24=1,1-'Scoring Setup'!$B$5*(1-MAX(0,MIN(1,(AL94-'Scoring Setup'!$K$24)/(100-'Scoring Setup'!$K$24)))),1),"")</x:f>
        <x:v>0.9741818181818181</x:v>
      </x:c>
      <x:c r="BE94" s="27" t="n">
        <x:f>IF(ISNUMBER(AM94),IF('Scoring Setup'!$L$25=1,1-'Scoring Setup'!$B$5*(1-MAX(0,MIN(1,(AM94-'Scoring Setup'!$K$25)/(100-'Scoring Setup'!$K$25)))),1),"")</x:f>
        <x:v>0.8885845218271159</x:v>
      </x:c>
      <x:c r="BF94" s="27" t="n">
        <x:f>IF(ISNUMBER(AN94),IF('Scoring Setup'!$L$26=1,1-'Scoring Setup'!$B$5*(1-MAX(0,MIN(1,(AN94-'Scoring Setup'!$K$26)/(100-'Scoring Setup'!$K$26)))),1),"")</x:f>
        <x:v>0.937286211052675</x:v>
      </x:c>
      <x:c r="BG94" s="34" t="n">
        <x:f>IF(COUNT(W94,X94)=2,AVERAGE(W94,X94),"")</x:f>
        <x:v>44.03606789250357</x:v>
      </x:c>
      <x:c r="BH94" s="34" t="n">
        <x:f>IF(COUNT(Y94,Z94)=2,AVERAGE(Y94,Z94),"")</x:f>
        <x:v>38.87951433698605</x:v>
      </x:c>
      <x:c r="BI94" s="34" t="n">
        <x:f>IF(COUNT(AA94,AB94,AC94)=3,AVERAGE(AA94,AB94,AC94),"")</x:f>
        <x:v>92.8250832161571</x:v>
      </x:c>
      <x:c r="BJ94" s="34" t="n">
        <x:f>IF(COUNT(AD94,AE94)=2,AVERAGE(AD94,AE94),"")</x:f>
        <x:v>100</x:v>
      </x:c>
      <x:c r="BK94" s="34" t="n">
        <x:f>IF(COUNT(AF94,AG94)=2,AVERAGE(AF94,AG94),"")</x:f>
        <x:v>27.87062207125772</x:v>
      </x:c>
      <x:c r="BL94" s="34" t="n">
        <x:f>IF(COUNT(AH94,AI94)=2,AVERAGE(AH94,AI94),"")</x:f>
        <x:v>30.219360334608297</x:v>
      </x:c>
      <x:c r="BM94" s="34" t="n">
        <x:f>IF(COUNT(AJ94,AK94)=2,AVERAGE(AJ94,AK94),"")</x:f>
        <x:v>26.290784780529336</x:v>
      </x:c>
      <x:c r="BN94" s="34" t="n">
        <x:f>IF(COUNT(AL94,AM94,AN94)=3,AVERAGE(AL94,AM94,AN94),"")</x:f>
        <x:v>66.67542517693484</x:v>
      </x:c>
      <x:c r="BO94" s="35" t="n">
        <x:f>IF(AND(COUNT(BG94:BN94)=8,ABS('Scoring Setup'!$C$17-1)&lt;0.000001),BG94*'Scoring Setup'!$C$9+BH94*'Scoring Setup'!$C$10+BI94*'Scoring Setup'!$C$11+BJ94*'Scoring Setup'!$C$12+BK94*'Scoring Setup'!$C$13+BL94*'Scoring Setup'!$C$14+BM94*'Scoring Setup'!$C$15+BN94*'Scoring Setup'!$C$16,"")</x:f>
        <x:v>57.07721499422638</x:v>
      </x:c>
      <x:c r="BP94" s="36" t="n">
        <x:f>IF(COUNT(AO94:BF94)=18,MIN(AO94:BF94),"")</x:f>
        <x:v>0.820340950248255</x:v>
      </x:c>
      <x:c r="BQ94" s="35" t="n">
        <x:f>IF(AND(ISNUMBER(BO94),ISNUMBER(BP94)),BO94*BP94,"")</x:f>
        <x:v>46.82277678588762</x:v>
      </x:c>
      <x:c r="BR94" s="17" t="str">
        <x:f>IF(COUNT(AO94:BF94)=18,INDEX('Scoring Setup'!$F$9:$F$26,MATCH(MIN(AO94:BF94),AO94:BF94,0),1),"")</x:f>
        <x:v>到铁路距离</x:v>
      </x:c>
    </x:row>
    <x:row r="95">
      <x:c r="A95" s="28" t="str">
        <x:v>13183</x:v>
      </x:c>
      <x:c r="B95" s="28" t="str">
        <x:v>Long County</x:v>
      </x:c>
      <x:c r="C95" s="28" t="str">
        <x:v>GA</x:v>
      </x:c>
      <x:c r="D95" s="31" t="n">
        <x:v>1037.028629</x:v>
      </x:c>
      <x:c r="E95" s="32" t="n">
        <x:v>0.592</x:v>
      </x:c>
      <x:c r="F95" s="32" t="n">
        <x:v>0.517326732673267</x:v>
      </x:c>
      <x:c r="G95" s="32" t="n">
        <x:v>0.29382057353708024</x:v>
      </x:c>
      <x:c r="H95" s="32" t="n">
        <x:v>0.2260571861100003</x:v>
      </x:c>
      <x:c r="I95" s="32" t="n">
        <x:v>0.9416011084316888</x:v>
      </x:c>
      <x:c r="J95" s="32" t="n">
        <x:v>0.13665431627179125</x:v>
      </x:c>
      <x:c r="K95" s="32" t="n">
        <x:v>0.4418536942957187</x:v>
      </x:c>
      <x:c r="L95" s="32" t="n">
        <x:v>0.385789406</x:v>
      </x:c>
      <x:c r="M95" s="32" t="n">
        <x:v>0.367577273</x:v>
      </x:c>
      <x:c r="N95" s="32" t="n">
        <x:v>7741</x:v>
      </x:c>
      <x:c r="O95" s="32" t="n">
        <x:v>0.8851</x:v>
      </x:c>
      <x:c r="P95" s="32" t="n">
        <x:v>2328.028312174479</x:v>
      </x:c>
      <x:c r="Q95" s="32" t="n">
        <x:v>71.90462379455566</x:v>
      </x:c>
      <x:c r="R95" s="32" t="n">
        <x:v>33.6159415223762</x:v>
      </x:c>
      <x:c r="S95" s="32" t="n">
        <x:v>3.561532843363973</x:v>
      </x:c>
      <x:c r="T95" s="32" t="n">
        <x:v>72.1</x:v>
      </x:c>
      <x:c r="U95" s="32" t="n">
        <x:v>211.4154781728841</x:v>
      </x:c>
      <x:c r="V95" s="32" t="n">
        <x:v>325.42757789465</x:v>
      </x:c>
      <x:c r="W95" s="33" t="n">
        <x:f>IF(ISNUMBER(E95),100*MAX(0,MIN(1,('Anchors'!$H$6-E95)/('Anchors'!$H$6-'Anchors'!$G$6))),"")</x:f>
        <x:v>44.000000000000014</x:v>
      </x:c>
      <x:c r="X95" s="33" t="n">
        <x:f>IF(ISNUMBER(F95),100*MAX(0,MIN(1,('Anchors'!$H$7-F95)/('Anchors'!$H$7-'Anchors'!$G$7))),"")</x:f>
        <x:v>40.38189533239043</x:v>
      </x:c>
      <x:c r="Y95" s="33" t="n">
        <x:f>IF(ISNUMBER(G95),100*MAX(0,MIN(1,('Anchors'!$H$8-G95)/('Anchors'!$H$8-'Anchors'!$G$8))),"")</x:f>
        <x:v>100</x:v>
      </x:c>
      <x:c r="Z95" s="33" t="n">
        <x:f>IF(ISNUMBER(H95),100*MAX(0,MIN(1,('Anchors'!$H$9-H95)/('Anchors'!$H$9-'Anchors'!$G$9))),"")</x:f>
        <x:v>100</x:v>
      </x:c>
      <x:c r="AA95" s="33" t="n">
        <x:f>IF(ISNUMBER(I95),100*MAX(0,MIN(1,(I95-'Anchors'!$H$10)/('Anchors'!$G$10-'Anchors'!$H$10))),"")</x:f>
        <x:v>94.73987786735462</x:v>
      </x:c>
      <x:c r="AB95" s="33" t="n">
        <x:f>IF(ISNUMBER(J95),100*MAX(0,MIN(1,('Anchors'!$H$11-J95)/('Anchors'!$H$11-'Anchors'!$G$11))),"")</x:f>
        <x:v>45.3382734912835</x:v>
      </x:c>
      <x:c r="AC95" s="33" t="n">
        <x:f>IF(ISNUMBER(K95),100*MAX(0,MIN(1,('Anchors'!$H$12-K95)/('Anchors'!$H$12-'Anchors'!$G$12))),"")</x:f>
        <x:v>0</x:v>
      </x:c>
      <x:c r="AD95" s="33" t="n">
        <x:f>IF(ISNUMBER(L95),100*MAX(0,MIN(1,(L95-'Anchors'!$H$13)/('Anchors'!$G$13-'Anchors'!$H$13))),"")</x:f>
        <x:v>26.541343714285716</x:v>
      </x:c>
      <x:c r="AE95" s="33" t="n">
        <x:f>IF(ISNUMBER(M95),100*MAX(0,MIN(1,(M95-'Anchors'!$H$14)/('Anchors'!$G$14-'Anchors'!$H$14))),"")</x:f>
        <x:v>33.447159125</x:v>
      </x:c>
      <x:c r="AF95" s="33" t="n">
        <x:f>IF(ISNUMBER(N95),100*MAX(0,MIN(1,(LN(1+N95)-LN(1+'Anchors'!$H$15))/(LN(1+'Anchors'!$G$15)-LN(1+'Anchors'!$H$15)))),"")</x:f>
        <x:v>31.341547217097354</x:v>
      </x:c>
      <x:c r="AG95" s="33" t="n">
        <x:f>IF(ISNUMBER(O95),100*MAX(0,MIN(1,('Anchors'!$H$16-O95)/('Anchors'!$H$16-'Anchors'!$G$16))),"")</x:f>
        <x:v>7.211111111111107</x:v>
      </x:c>
      <x:c r="AH95" s="33" t="n">
        <x:f>IF(ISNUMBER(P95),100*MAX(0,MIN(1,('Anchors'!$H$17-P95)/('Anchors'!$H$17-'Anchors'!$G$17))),"")</x:f>
        <x:v>0</x:v>
      </x:c>
      <x:c r="AI95" s="33" t="n">
        <x:f>IF(ISNUMBER(Q95),100*MAX(0,MIN(1,('Anchors'!$H$18-Q95)/('Anchors'!$H$18-'Anchors'!$G$18))),"")</x:f>
        <x:v>4.421966007777627</x:v>
      </x:c>
      <x:c r="AJ95" s="33" t="n">
        <x:f>IF(ISNUMBER(R95),100*MAX(0,MIN(1,('Anchors'!$H$19-R95)/('Anchors'!$H$19-'Anchors'!$G$19))),"")</x:f>
        <x:v>36.409018839164005</x:v>
      </x:c>
      <x:c r="AK95" s="33" t="n">
        <x:f>IF(ISNUMBER(S95),100*MAX(0,MIN(1,('Anchors'!$H$20-S95)/('Anchors'!$H$20-'Anchors'!$G$20))),"")</x:f>
        <x:v>86.51824819282119</x:v>
      </x:c>
      <x:c r="AL95" s="33" t="n">
        <x:f>IF(ISNUMBER(T95),100*MAX(0,MIN(1,('Anchors'!$H$21-T95)/('Anchors'!$H$21-'Anchors'!$G$21))),"")</x:f>
        <x:v>87.0909090909091</x:v>
      </x:c>
      <x:c r="AM95" s="33" t="n">
        <x:f>IF(ISNUMBER(U95),100*MAX(0,MIN(1,('Anchors'!$H$22-U95)/('Anchors'!$H$22-'Anchors'!$G$22))),"")</x:f>
        <x:v>44.29226091355795</x:v>
      </x:c>
      <x:c r="AN95" s="33" t="n">
        <x:f>IF(ISNUMBER(V95),100*MAX(0,MIN(1,('Anchors'!$H$23-V95)/('Anchors'!$H$23-'Anchors'!$G$23))),"")</x:f>
        <x:v>68.6431055263375</x:v>
      </x:c>
      <x:c r="AO95" s="27" t="n">
        <x:f>IF(ISNUMBER(W95),IF('Scoring Setup'!$L$9=1,1-'Scoring Setup'!$B$5*(1-MAX(0,MIN(1,(W95-'Scoring Setup'!$K$9)/(100-'Scoring Setup'!$K$9)))),1),"")</x:f>
        <x:v>0.888</x:v>
      </x:c>
      <x:c r="AP95" s="27" t="n">
        <x:f>IF(ISNUMBER(X95),IF('Scoring Setup'!$L$10=1,1-'Scoring Setup'!$B$5*(1-MAX(0,MIN(1,(X95-'Scoring Setup'!$K$10)/(100-'Scoring Setup'!$K$10)))),1),"")</x:f>
        <x:v>0.8807637906647808</x:v>
      </x:c>
      <x:c r="AQ95" s="27" t="n">
        <x:f>IF(ISNUMBER(Y95),IF('Scoring Setup'!$L$11=1,1-'Scoring Setup'!$B$5*(1-MAX(0,MIN(1,(Y95-'Scoring Setup'!$K$11)/(100-'Scoring Setup'!$K$11)))),1),"")</x:f>
        <x:v>1</x:v>
      </x:c>
      <x:c r="AR95" s="27" t="n">
        <x:f>IF(ISNUMBER(Z95),IF('Scoring Setup'!$L$12=1,1-'Scoring Setup'!$B$5*(1-MAX(0,MIN(1,(Z95-'Scoring Setup'!$K$12)/(100-'Scoring Setup'!$K$12)))),1),"")</x:f>
        <x:v>1</x:v>
      </x:c>
      <x:c r="AS95" s="27" t="n">
        <x:f>IF(ISNUMBER(AA95),IF('Scoring Setup'!$L$13=1,1-'Scoring Setup'!$B$5*(1-MAX(0,MIN(1,(AA95-'Scoring Setup'!$K$13)/(100-'Scoring Setup'!$K$13)))),1),"")</x:f>
        <x:v>0.9894797557347093</x:v>
      </x:c>
      <x:c r="AT95" s="27" t="n">
        <x:f>IF(ISNUMBER(AB95),IF('Scoring Setup'!$L$14=1,1-'Scoring Setup'!$B$5*(1-MAX(0,MIN(1,(AB95-'Scoring Setup'!$K$14)/(100-'Scoring Setup'!$K$14)))),1),"")</x:f>
        <x:v>0.890676546982567</x:v>
      </x:c>
      <x:c r="AU95" s="27" t="n">
        <x:f>IF(ISNUMBER(AC95),IF('Scoring Setup'!$L$15=1,1-'Scoring Setup'!$B$5*(1-MAX(0,MIN(1,(AC95-'Scoring Setup'!$K$15)/(100-'Scoring Setup'!$K$15)))),1),"")</x:f>
        <x:v>0.8</x:v>
      </x:c>
      <x:c r="AV95" s="27" t="n">
        <x:f>IF(ISNUMBER(AD95),IF('Scoring Setup'!$L$16=1,1-'Scoring Setup'!$B$5*(1-MAX(0,MIN(1,(AD95-'Scoring Setup'!$K$16)/(100-'Scoring Setup'!$K$16)))),1),"")</x:f>
        <x:v>0.8530826874285714</x:v>
      </x:c>
      <x:c r="AW95" s="27" t="n">
        <x:f>IF(ISNUMBER(AE95),IF('Scoring Setup'!$L$17=1,1-'Scoring Setup'!$B$5*(1-MAX(0,MIN(1,(AE95-'Scoring Setup'!$K$17)/(100-'Scoring Setup'!$K$17)))),1),"")</x:f>
        <x:v>0.86689431825</x:v>
      </x:c>
      <x:c r="AX95" s="27" t="n">
        <x:f>IF(ISNUMBER(AF95),IF('Scoring Setup'!$L$18=1,1-'Scoring Setup'!$B$5*(1-MAX(0,MIN(1,(AF95-'Scoring Setup'!$K$18)/(100-'Scoring Setup'!$K$18)))),1),"")</x:f>
        <x:v>0.8626830944341947</x:v>
      </x:c>
      <x:c r="AY95" s="27" t="n">
        <x:f>IF(ISNUMBER(AG95),IF('Scoring Setup'!$L$19=1,1-'Scoring Setup'!$B$5*(1-MAX(0,MIN(1,(AG95-'Scoring Setup'!$K$19)/(100-'Scoring Setup'!$K$19)))),1),"")</x:f>
        <x:v>0.8144222222222222</x:v>
      </x:c>
      <x:c r="AZ95" s="27" t="n">
        <x:f>IF(ISNUMBER(AH95),IF('Scoring Setup'!$L$20=1,1-'Scoring Setup'!$B$5*(1-MAX(0,MIN(1,(AH95-'Scoring Setup'!$K$20)/(100-'Scoring Setup'!$K$20)))),1),"")</x:f>
        <x:v>0.8</x:v>
      </x:c>
      <x:c r="BA95" s="27" t="n">
        <x:f>IF(ISNUMBER(AI95),IF('Scoring Setup'!$L$21=1,1-'Scoring Setup'!$B$5*(1-MAX(0,MIN(1,(AI95-'Scoring Setup'!$K$21)/(100-'Scoring Setup'!$K$21)))),1),"")</x:f>
        <x:v>0.8088439320155553</x:v>
      </x:c>
      <x:c r="BB95" s="27" t="n">
        <x:f>IF(ISNUMBER(AJ95),IF('Scoring Setup'!$L$22=1,1-'Scoring Setup'!$B$5*(1-MAX(0,MIN(1,(AJ95-'Scoring Setup'!$K$22)/(100-'Scoring Setup'!$K$22)))),1),"")</x:f>
        <x:v>0.872818037678328</x:v>
      </x:c>
      <x:c r="BC95" s="27" t="n">
        <x:f>IF(ISNUMBER(AK95),IF('Scoring Setup'!$L$23=1,1-'Scoring Setup'!$B$5*(1-MAX(0,MIN(1,(AK95-'Scoring Setup'!$K$23)/(100-'Scoring Setup'!$K$23)))),1),"")</x:f>
        <x:v>0.9730364963856424</x:v>
      </x:c>
      <x:c r="BD95" s="27" t="n">
        <x:f>IF(ISNUMBER(AL95),IF('Scoring Setup'!$L$24=1,1-'Scoring Setup'!$B$5*(1-MAX(0,MIN(1,(AL95-'Scoring Setup'!$K$24)/(100-'Scoring Setup'!$K$24)))),1),"")</x:f>
        <x:v>0.9741818181818181</x:v>
      </x:c>
      <x:c r="BE95" s="27" t="n">
        <x:f>IF(ISNUMBER(AM95),IF('Scoring Setup'!$L$25=1,1-'Scoring Setup'!$B$5*(1-MAX(0,MIN(1,(AM95-'Scoring Setup'!$K$25)/(100-'Scoring Setup'!$K$25)))),1),"")</x:f>
        <x:v>0.8885845218271159</x:v>
      </x:c>
      <x:c r="BF95" s="27" t="n">
        <x:f>IF(ISNUMBER(AN95),IF('Scoring Setup'!$L$26=1,1-'Scoring Setup'!$B$5*(1-MAX(0,MIN(1,(AN95-'Scoring Setup'!$K$26)/(100-'Scoring Setup'!$K$26)))),1),"")</x:f>
        <x:v>0.937286211052675</x:v>
      </x:c>
      <x:c r="BG95" s="34" t="n">
        <x:f>IF(COUNT(W95,X95)=2,AVERAGE(W95,X95),"")</x:f>
        <x:v>42.19094766619522</x:v>
      </x:c>
      <x:c r="BH95" s="34" t="n">
        <x:f>IF(COUNT(Y95,Z95)=2,AVERAGE(Y95,Z95),"")</x:f>
        <x:v>100</x:v>
      </x:c>
      <x:c r="BI95" s="34" t="n">
        <x:f>IF(COUNT(AA95,AB95,AC95)=3,AVERAGE(AA95,AB95,AC95),"")</x:f>
        <x:v>46.692717119546046</x:v>
      </x:c>
      <x:c r="BJ95" s="34" t="n">
        <x:f>IF(COUNT(AD95,AE95)=2,AVERAGE(AD95,AE95),"")</x:f>
        <x:v>29.994251419642858</x:v>
      </x:c>
      <x:c r="BK95" s="34" t="n">
        <x:f>IF(COUNT(AF95,AG95)=2,AVERAGE(AF95,AG95),"")</x:f>
        <x:v>19.27632916410423</x:v>
      </x:c>
      <x:c r="BL95" s="34" t="n">
        <x:f>IF(COUNT(AH95,AI95)=2,AVERAGE(AH95,AI95),"")</x:f>
        <x:v>2.2109830038888134</x:v>
      </x:c>
      <x:c r="BM95" s="34" t="n">
        <x:f>IF(COUNT(AJ95,AK95)=2,AVERAGE(AJ95,AK95),"")</x:f>
        <x:v>61.4636335159926</x:v>
      </x:c>
      <x:c r="BN95" s="34" t="n">
        <x:f>IF(COUNT(AL95,AM95,AN95)=3,AVERAGE(AL95,AM95,AN95),"")</x:f>
        <x:v>66.67542517693484</x:v>
      </x:c>
      <x:c r="BO95" s="35" t="n">
        <x:f>IF(AND(COUNT(BG95:BN95)=8,ABS('Scoring Setup'!$C$17-1)&lt;0.000001),BG95*'Scoring Setup'!$C$9+BH95*'Scoring Setup'!$C$10+BI95*'Scoring Setup'!$C$11+BJ95*'Scoring Setup'!$C$12+BK95*'Scoring Setup'!$C$13+BL95*'Scoring Setup'!$C$14+BM95*'Scoring Setup'!$C$15+BN95*'Scoring Setup'!$C$16,"")</x:f>
        <x:v>57.001782916023366</x:v>
      </x:c>
      <x:c r="BP95" s="36" t="n">
        <x:f>IF(COUNT(AO95:BF95)=18,MIN(AO95:BF95),"")</x:f>
        <x:v>0.8</x:v>
      </x:c>
      <x:c r="BQ95" s="35" t="n">
        <x:f>IF(AND(ISNUMBER(BO95),ISNUMBER(BP95)),BO95*BP95,"")</x:f>
        <x:v>45.6014263328187</x:v>
      </x:c>
      <x:c r="BR95" s="17" t="str">
        <x:f>IF(COUNT(AO95:BF95)=18,INDEX('Scoring Setup'!$F$9:$F$26,MATCH(MIN(AO95:BF95),AO95:BF95,0),1),"")</x:f>
        <x:v>湿地陆地比例</x:v>
      </x:c>
    </x:row>
    <x:row r="96">
      <x:c r="A96" s="28" t="str">
        <x:v>13185</x:v>
      </x:c>
      <x:c r="B96" s="28" t="str">
        <x:v>Lowndes County</x:v>
      </x:c>
      <x:c r="C96" s="28" t="str">
        <x:v>GA</x:v>
      </x:c>
      <x:c r="D96" s="31" t="n">
        <x:v>1287.872477</x:v>
      </x:c>
      <x:c r="E96" s="32" t="n">
        <x:v>0.589</x:v>
      </x:c>
      <x:c r="F96" s="32" t="n">
        <x:v>0.137376237623762</x:v>
      </x:c>
      <x:c r="G96" s="32" t="n">
        <x:v>2.86158337652924</x:v>
      </x:c>
      <x:c r="H96" s="32" t="n">
        <x:v>3.072920026</x:v>
      </x:c>
      <x:c r="I96" s="32" t="n">
        <x:v>0.8418214842761048</x:v>
      </x:c>
      <x:c r="J96" s="32" t="n">
        <x:v>0.011630873998998087</x:v>
      </x:c>
      <x:c r="K96" s="32" t="n">
        <x:v>0.2915613796547897</x:v>
      </x:c>
      <x:c r="L96" s="32" t="n">
        <x:v>0.784461751</x:v>
      </x:c>
      <x:c r="M96" s="32" t="n">
        <x:v>0.767198923</x:v>
      </x:c>
      <x:c r="N96" s="32" t="n">
        <x:v>49160</x:v>
      </x:c>
      <x:c r="O96" s="32" t="n">
        <x:v>0.8702</x:v>
      </x:c>
      <x:c r="P96" s="32" t="n">
        <x:v>2278.6651692708333</x:v>
      </x:c>
      <x:c r="Q96" s="32" t="n">
        <x:v>77.4346331278483</x:v>
      </x:c>
      <x:c r="R96" s="32" t="n">
        <x:v>4.807559941548861</x:v>
      </x:c>
      <x:c r="S96" s="32" t="n">
        <x:v>0.10545472197509377</x:v>
      </x:c>
      <x:c r="T96" s="32" t="n">
        <x:v>72.1</x:v>
      </x:c>
      <x:c r="U96" s="32" t="n">
        <x:v>211.4154781728841</x:v>
      </x:c>
      <x:c r="V96" s="32" t="n">
        <x:v>325.42757789465</x:v>
      </x:c>
      <x:c r="W96" s="33" t="n">
        <x:f>IF(ISNUMBER(E96),100*MAX(0,MIN(1,('Anchors'!$H$6-E96)/('Anchors'!$H$6-'Anchors'!$G$6))),"")</x:f>
        <x:v>44.42857142857144</x:v>
      </x:c>
      <x:c r="X96" s="33" t="n">
        <x:f>IF(ISNUMBER(F96),100*MAX(0,MIN(1,('Anchors'!$H$7-F96)/('Anchors'!$H$7-'Anchors'!$G$7))),"")</x:f>
        <x:v>94.66053748231971</x:v>
      </x:c>
      <x:c r="Y96" s="33" t="n">
        <x:f>IF(ISNUMBER(G96),100*MAX(0,MIN(1,('Anchors'!$H$8-G96)/('Anchors'!$H$8-'Anchors'!$G$8))),"")</x:f>
        <x:v>37.947220782358656</x:v>
      </x:c>
      <x:c r="Z96" s="33" t="n">
        <x:f>IF(ISNUMBER(H96),100*MAX(0,MIN(1,('Anchors'!$H$9-H96)/('Anchors'!$H$9-'Anchors'!$G$9))),"")</x:f>
        <x:v>30.90266580000001</x:v>
      </x:c>
      <x:c r="AA96" s="33" t="n">
        <x:f>IF(ISNUMBER(I96),100*MAX(0,MIN(1,(I96-'Anchors'!$H$10)/('Anchors'!$G$10-'Anchors'!$H$10))),"")</x:f>
        <x:v>81.07143620220614</x:v>
      </x:c>
      <x:c r="AB96" s="33" t="n">
        <x:f>IF(ISNUMBER(J96),100*MAX(0,MIN(1,('Anchors'!$H$11-J96)/('Anchors'!$H$11-'Anchors'!$G$11))),"")</x:f>
        <x:v>95.34765040040077</x:v>
      </x:c>
      <x:c r="AC96" s="33" t="n">
        <x:f>IF(ISNUMBER(K96),100*MAX(0,MIN(1,('Anchors'!$H$12-K96)/('Anchors'!$H$12-'Anchors'!$G$12))),"")</x:f>
        <x:v>27.10965508630259</x:v>
      </x:c>
      <x:c r="AD96" s="33" t="n">
        <x:f>IF(ISNUMBER(L96),100*MAX(0,MIN(1,(L96-'Anchors'!$H$13)/('Anchors'!$G$13-'Anchors'!$H$13))),"")</x:f>
        <x:v>83.49453585714286</x:v>
      </x:c>
      <x:c r="AE96" s="33" t="n">
        <x:f>IF(ISNUMBER(M96),100*MAX(0,MIN(1,(M96-'Anchors'!$H$14)/('Anchors'!$G$14-'Anchors'!$H$14))),"")</x:f>
        <x:v>83.399865375</x:v>
      </x:c>
      <x:c r="AF96" s="33" t="n">
        <x:f>IF(ISNUMBER(N96),100*MAX(0,MIN(1,(LN(1+N96)-LN(1+'Anchors'!$H$15))/(LN(1+'Anchors'!$G$15)-LN(1+'Anchors'!$H$15)))),"")</x:f>
        <x:v>74.15930852314594</x:v>
      </x:c>
      <x:c r="AG96" s="33" t="n">
        <x:f>IF(ISNUMBER(O96),100*MAX(0,MIN(1,('Anchors'!$H$16-O96)/('Anchors'!$H$16-'Anchors'!$G$16))),"")</x:f>
        <x:v>8.866666666666665</x:v>
      </x:c>
      <x:c r="AH96" s="33" t="n">
        <x:f>IF(ISNUMBER(P96),100*MAX(0,MIN(1,('Anchors'!$H$17-P96)/('Anchors'!$H$17-'Anchors'!$G$17))),"")</x:f>
        <x:v>0</x:v>
      </x:c>
      <x:c r="AI96" s="33" t="n">
        <x:f>IF(ISNUMBER(Q96),100*MAX(0,MIN(1,('Anchors'!$H$18-Q96)/('Anchors'!$H$18-'Anchors'!$G$18))),"")</x:f>
        <x:v>0</x:v>
      </x:c>
      <x:c r="AJ96" s="33" t="n">
        <x:f>IF(ISNUMBER(R96),100*MAX(0,MIN(1,('Anchors'!$H$19-R96)/('Anchors'!$H$19-'Anchors'!$G$19))),"")</x:f>
        <x:v>100</x:v>
      </x:c>
      <x:c r="AK96" s="33" t="n">
        <x:f>IF(ISNUMBER(S96),100*MAX(0,MIN(1,('Anchors'!$H$20-S96)/('Anchors'!$H$20-'Anchors'!$G$20))),"")</x:f>
        <x:v>100</x:v>
      </x:c>
      <x:c r="AL96" s="33" t="n">
        <x:f>IF(ISNUMBER(T96),100*MAX(0,MIN(1,('Anchors'!$H$21-T96)/('Anchors'!$H$21-'Anchors'!$G$21))),"")</x:f>
        <x:v>87.0909090909091</x:v>
      </x:c>
      <x:c r="AM96" s="33" t="n">
        <x:f>IF(ISNUMBER(U96),100*MAX(0,MIN(1,('Anchors'!$H$22-U96)/('Anchors'!$H$22-'Anchors'!$G$22))),"")</x:f>
        <x:v>44.29226091355795</x:v>
      </x:c>
      <x:c r="AN96" s="33" t="n">
        <x:f>IF(ISNUMBER(V96),100*MAX(0,MIN(1,('Anchors'!$H$23-V96)/('Anchors'!$H$23-'Anchors'!$G$23))),"")</x:f>
        <x:v>68.6431055263375</x:v>
      </x:c>
      <x:c r="AO96" s="27" t="n">
        <x:f>IF(ISNUMBER(W96),IF('Scoring Setup'!$L$9=1,1-'Scoring Setup'!$B$5*(1-MAX(0,MIN(1,(W96-'Scoring Setup'!$K$9)/(100-'Scoring Setup'!$K$9)))),1),"")</x:f>
        <x:v>0.8888571428571429</x:v>
      </x:c>
      <x:c r="AP96" s="27" t="n">
        <x:f>IF(ISNUMBER(X96),IF('Scoring Setup'!$L$10=1,1-'Scoring Setup'!$B$5*(1-MAX(0,MIN(1,(X96-'Scoring Setup'!$K$10)/(100-'Scoring Setup'!$K$10)))),1),"")</x:f>
        <x:v>0.9893210749646394</x:v>
      </x:c>
      <x:c r="AQ96" s="27" t="n">
        <x:f>IF(ISNUMBER(Y96),IF('Scoring Setup'!$L$11=1,1-'Scoring Setup'!$B$5*(1-MAX(0,MIN(1,(Y96-'Scoring Setup'!$K$11)/(100-'Scoring Setup'!$K$11)))),1),"")</x:f>
        <x:v>0.8758944415647173</x:v>
      </x:c>
      <x:c r="AR96" s="27" t="n">
        <x:f>IF(ISNUMBER(Z96),IF('Scoring Setup'!$L$12=1,1-'Scoring Setup'!$B$5*(1-MAX(0,MIN(1,(Z96-'Scoring Setup'!$K$12)/(100-'Scoring Setup'!$K$12)))),1),"")</x:f>
        <x:v>0.8618053316000001</x:v>
      </x:c>
      <x:c r="AS96" s="27" t="n">
        <x:f>IF(ISNUMBER(AA96),IF('Scoring Setup'!$L$13=1,1-'Scoring Setup'!$B$5*(1-MAX(0,MIN(1,(AA96-'Scoring Setup'!$K$13)/(100-'Scoring Setup'!$K$13)))),1),"")</x:f>
        <x:v>0.9621428724044123</x:v>
      </x:c>
      <x:c r="AT96" s="27" t="n">
        <x:f>IF(ISNUMBER(AB96),IF('Scoring Setup'!$L$14=1,1-'Scoring Setup'!$B$5*(1-MAX(0,MIN(1,(AB96-'Scoring Setup'!$K$14)/(100-'Scoring Setup'!$K$14)))),1),"")</x:f>
        <x:v>0.9906953008008015</x:v>
      </x:c>
      <x:c r="AU96" s="27" t="n">
        <x:f>IF(ISNUMBER(AC96),IF('Scoring Setup'!$L$15=1,1-'Scoring Setup'!$B$5*(1-MAX(0,MIN(1,(AC96-'Scoring Setup'!$K$15)/(100-'Scoring Setup'!$K$15)))),1),"")</x:f>
        <x:v>0.8542193101726052</x:v>
      </x:c>
      <x:c r="AV96" s="27" t="n">
        <x:f>IF(ISNUMBER(AD96),IF('Scoring Setup'!$L$16=1,1-'Scoring Setup'!$B$5*(1-MAX(0,MIN(1,(AD96-'Scoring Setup'!$K$16)/(100-'Scoring Setup'!$K$16)))),1),"")</x:f>
        <x:v>0.9669890717142857</x:v>
      </x:c>
      <x:c r="AW96" s="27" t="n">
        <x:f>IF(ISNUMBER(AE96),IF('Scoring Setup'!$L$17=1,1-'Scoring Setup'!$B$5*(1-MAX(0,MIN(1,(AE96-'Scoring Setup'!$K$17)/(100-'Scoring Setup'!$K$17)))),1),"")</x:f>
        <x:v>0.96679973075</x:v>
      </x:c>
      <x:c r="AX96" s="27" t="n">
        <x:f>IF(ISNUMBER(AF96),IF('Scoring Setup'!$L$18=1,1-'Scoring Setup'!$B$5*(1-MAX(0,MIN(1,(AF96-'Scoring Setup'!$K$18)/(100-'Scoring Setup'!$K$18)))),1),"")</x:f>
        <x:v>0.9483186170462918</x:v>
      </x:c>
      <x:c r="AY96" s="27" t="n">
        <x:f>IF(ISNUMBER(AG96),IF('Scoring Setup'!$L$19=1,1-'Scoring Setup'!$B$5*(1-MAX(0,MIN(1,(AG96-'Scoring Setup'!$K$19)/(100-'Scoring Setup'!$K$19)))),1),"")</x:f>
        <x:v>0.8177333333333333</x:v>
      </x:c>
      <x:c r="AZ96" s="27" t="n">
        <x:f>IF(ISNUMBER(AH96),IF('Scoring Setup'!$L$20=1,1-'Scoring Setup'!$B$5*(1-MAX(0,MIN(1,(AH96-'Scoring Setup'!$K$20)/(100-'Scoring Setup'!$K$20)))),1),"")</x:f>
        <x:v>0.8</x:v>
      </x:c>
      <x:c r="BA96" s="27" t="n">
        <x:f>IF(ISNUMBER(AI96),IF('Scoring Setup'!$L$21=1,1-'Scoring Setup'!$B$5*(1-MAX(0,MIN(1,(AI96-'Scoring Setup'!$K$21)/(100-'Scoring Setup'!$K$21)))),1),"")</x:f>
        <x:v>0.8</x:v>
      </x:c>
      <x:c r="BB96" s="27" t="n">
        <x:f>IF(ISNUMBER(AJ96),IF('Scoring Setup'!$L$22=1,1-'Scoring Setup'!$B$5*(1-MAX(0,MIN(1,(AJ96-'Scoring Setup'!$K$22)/(100-'Scoring Setup'!$K$22)))),1),"")</x:f>
        <x:v>1</x:v>
      </x:c>
      <x:c r="BC96" s="27" t="n">
        <x:f>IF(ISNUMBER(AK96),IF('Scoring Setup'!$L$23=1,1-'Scoring Setup'!$B$5*(1-MAX(0,MIN(1,(AK96-'Scoring Setup'!$K$23)/(100-'Scoring Setup'!$K$23)))),1),"")</x:f>
        <x:v>1</x:v>
      </x:c>
      <x:c r="BD96" s="27" t="n">
        <x:f>IF(ISNUMBER(AL96),IF('Scoring Setup'!$L$24=1,1-'Scoring Setup'!$B$5*(1-MAX(0,MIN(1,(AL96-'Scoring Setup'!$K$24)/(100-'Scoring Setup'!$K$24)))),1),"")</x:f>
        <x:v>0.9741818181818181</x:v>
      </x:c>
      <x:c r="BE96" s="27" t="n">
        <x:f>IF(ISNUMBER(AM96),IF('Scoring Setup'!$L$25=1,1-'Scoring Setup'!$B$5*(1-MAX(0,MIN(1,(AM96-'Scoring Setup'!$K$25)/(100-'Scoring Setup'!$K$25)))),1),"")</x:f>
        <x:v>0.8885845218271159</x:v>
      </x:c>
      <x:c r="BF96" s="27" t="n">
        <x:f>IF(ISNUMBER(AN96),IF('Scoring Setup'!$L$26=1,1-'Scoring Setup'!$B$5*(1-MAX(0,MIN(1,(AN96-'Scoring Setup'!$K$26)/(100-'Scoring Setup'!$K$26)))),1),"")</x:f>
        <x:v>0.937286211052675</x:v>
      </x:c>
      <x:c r="BG96" s="34" t="n">
        <x:f>IF(COUNT(W96,X96)=2,AVERAGE(W96,X96),"")</x:f>
        <x:v>69.54455445544558</x:v>
      </x:c>
      <x:c r="BH96" s="34" t="n">
        <x:f>IF(COUNT(Y96,Z96)=2,AVERAGE(Y96,Z96),"")</x:f>
        <x:v>34.42494329117933</x:v>
      </x:c>
      <x:c r="BI96" s="34" t="n">
        <x:f>IF(COUNT(AA96,AB96,AC96)=3,AVERAGE(AA96,AB96,AC96),"")</x:f>
        <x:v>67.84291389630316</x:v>
      </x:c>
      <x:c r="BJ96" s="34" t="n">
        <x:f>IF(COUNT(AD96,AE96)=2,AVERAGE(AD96,AE96),"")</x:f>
        <x:v>83.44720061607143</x:v>
      </x:c>
      <x:c r="BK96" s="34" t="n">
        <x:f>IF(COUNT(AF96,AG96)=2,AVERAGE(AF96,AG96),"")</x:f>
        <x:v>41.5129875949063</x:v>
      </x:c>
      <x:c r="BL96" s="34" t="n">
        <x:f>IF(COUNT(AH96,AI96)=2,AVERAGE(AH96,AI96),"")</x:f>
        <x:v>0</x:v>
      </x:c>
      <x:c r="BM96" s="34" t="n">
        <x:f>IF(COUNT(AJ96,AK96)=2,AVERAGE(AJ96,AK96),"")</x:f>
        <x:v>100</x:v>
      </x:c>
      <x:c r="BN96" s="34" t="n">
        <x:f>IF(COUNT(AL96,AM96,AN96)=3,AVERAGE(AL96,AM96,AN96),"")</x:f>
        <x:v>66.67542517693484</x:v>
      </x:c>
      <x:c r="BO96" s="35" t="n">
        <x:f>IF(AND(COUNT(BG96:BN96)=8,ABS('Scoring Setup'!$C$17-1)&lt;0.000001),BG96*'Scoring Setup'!$C$9+BH96*'Scoring Setup'!$C$10+BI96*'Scoring Setup'!$C$11+BJ96*'Scoring Setup'!$C$12+BK96*'Scoring Setup'!$C$13+BL96*'Scoring Setup'!$C$14+BM96*'Scoring Setup'!$C$15+BN96*'Scoring Setup'!$C$16,"")</x:f>
        <x:v>58.12238186758896</x:v>
      </x:c>
      <x:c r="BP96" s="36" t="n">
        <x:f>IF(COUNT(AO96:BF96)=18,MIN(AO96:BF96),"")</x:f>
        <x:v>0.8</x:v>
      </x:c>
      <x:c r="BQ96" s="35" t="n">
        <x:f>IF(AND(ISNUMBER(BO96),ISNUMBER(BP96)),BO96*BP96,"")</x:f>
        <x:v>46.497905494071176</x:v>
      </x:c>
      <x:c r="BR96" s="17" t="str">
        <x:f>IF(COUNT(AO96:BF96)=18,INDEX('Scoring Setup'!$F$9:$F$26,MATCH(MIN(AO96:BF96),AO96:BF96,0),1),"")</x:f>
        <x:v>历史CDD65</x:v>
      </x:c>
    </x:row>
    <x:row r="97">
      <x:c r="A97" s="28" t="str">
        <x:v>13187</x:v>
      </x:c>
      <x:c r="B97" s="28" t="str">
        <x:v>Lumpkin County</x:v>
      </x:c>
      <x:c r="C97" s="28" t="str">
        <x:v>GA</x:v>
      </x:c>
      <x:c r="D97" s="31" t="n">
        <x:v>732.820611</x:v>
      </x:c>
      <x:c r="E97" s="32" t="n">
        <x:v>0.729</x:v>
      </x:c>
      <x:c r="F97" s="32" t="n">
        <x:v>0.62345297029703</x:v>
      </x:c>
      <x:c r="G97" s="32" t="n">
        <x:v>2.8545000404733587</x:v>
      </x:c>
      <x:c r="H97" s="32" t="n">
        <x:v>2.640055828845137</x:v>
      </x:c>
      <x:c r="I97" s="32" t="n">
        <x:v>0.9471333238537463</x:v>
      </x:c>
      <x:c r="J97" s="32" t="n">
        <x:v>0.10282222595938054</x:v>
      </x:c>
      <x:c r="K97" s="32" t="n">
        <x:v>0.00039961362510848407</x:v>
      </x:c>
      <x:c r="L97" s="32" t="n">
        <x:v>0.687191307</x:v>
      </x:c>
      <x:c r="M97" s="32" t="n">
        <x:v>0.687191307</x:v>
      </x:c>
      <x:c r="N97" s="32" t="n">
        <x:v>16788</x:v>
      </x:c>
      <x:c r="O97" s="32" t="n">
        <x:v>0.3608</x:v>
      </x:c>
      <x:c r="P97" s="32" t="n">
        <x:v>949.979833984375</x:v>
      </x:c>
      <x:c r="Q97" s="32" t="n">
        <x:v>11.859264945983886</x:v>
      </x:c>
      <x:c r="R97" s="32" t="n">
        <x:v>33.56756493180035</x:v>
      </x:c>
      <x:c r="S97" s="32" t="n">
        <x:v>31.775974221775634</x:v>
      </x:c>
      <x:c r="T97" s="32" t="n">
        <x:v>72.1</x:v>
      </x:c>
      <x:c r="U97" s="32" t="n">
        <x:v>211.4154781728841</x:v>
      </x:c>
      <x:c r="V97" s="32" t="n">
        <x:v>325.42757789465</x:v>
      </x:c>
      <x:c r="W97" s="33" t="n">
        <x:f>IF(ISNUMBER(E97),100*MAX(0,MIN(1,('Anchors'!$H$6-E97)/('Anchors'!$H$6-'Anchors'!$G$6))),"")</x:f>
        <x:v>24.428571428571434</x:v>
      </x:c>
      <x:c r="X97" s="33" t="n">
        <x:f>IF(ISNUMBER(F97),100*MAX(0,MIN(1,('Anchors'!$H$7-F97)/('Anchors'!$H$7-'Anchors'!$G$7))),"")</x:f>
        <x:v>25.221004243281442</x:v>
      </x:c>
      <x:c r="Y97" s="33" t="n">
        <x:f>IF(ISNUMBER(G97),100*MAX(0,MIN(1,('Anchors'!$H$8-G97)/('Anchors'!$H$8-'Anchors'!$G$8))),"")</x:f>
        <x:v>38.183331984221375</x:v>
      </x:c>
      <x:c r="Z97" s="33" t="n">
        <x:f>IF(ISNUMBER(H97),100*MAX(0,MIN(1,('Anchors'!$H$9-H97)/('Anchors'!$H$9-'Anchors'!$G$9))),"")</x:f>
        <x:v>45.331472371828774</x:v>
      </x:c>
      <x:c r="AA97" s="33" t="n">
        <x:f>IF(ISNUMBER(I97),100*MAX(0,MIN(1,(I97-'Anchors'!$H$10)/('Anchors'!$G$10-'Anchors'!$H$10))),"")</x:f>
        <x:v>95.4977155964036</x:v>
      </x:c>
      <x:c r="AB97" s="33" t="n">
        <x:f>IF(ISNUMBER(J97),100*MAX(0,MIN(1,('Anchors'!$H$11-J97)/('Anchors'!$H$11-'Anchors'!$G$11))),"")</x:f>
        <x:v>58.871109616247786</x:v>
      </x:c>
      <x:c r="AC97" s="33" t="n">
        <x:f>IF(ISNUMBER(K97),100*MAX(0,MIN(1,('Anchors'!$H$12-K97)/('Anchors'!$H$12-'Anchors'!$G$12))),"")</x:f>
        <x:v>99.90009659372288</x:v>
      </x:c>
      <x:c r="AD97" s="33" t="n">
        <x:f>IF(ISNUMBER(L97),100*MAX(0,MIN(1,(L97-'Anchors'!$H$13)/('Anchors'!$G$13-'Anchors'!$H$13))),"")</x:f>
        <x:v>69.59875814285714</x:v>
      </x:c>
      <x:c r="AE97" s="33" t="n">
        <x:f>IF(ISNUMBER(M97),100*MAX(0,MIN(1,(M97-'Anchors'!$H$14)/('Anchors'!$G$14-'Anchors'!$H$14))),"")</x:f>
        <x:v>73.39891337499999</x:v>
      </x:c>
      <x:c r="AF97" s="33" t="n">
        <x:f>IF(ISNUMBER(N97),100*MAX(0,MIN(1,(LN(1+N97)-LN(1+'Anchors'!$H$15))/(LN(1+'Anchors'!$G$15)-LN(1+'Anchors'!$H$15)))),"")</x:f>
        <x:v>49.272165040559024</x:v>
      </x:c>
      <x:c r="AG97" s="33" t="n">
        <x:f>IF(ISNUMBER(O97),100*MAX(0,MIN(1,('Anchors'!$H$16-O97)/('Anchors'!$H$16-'Anchors'!$G$16))),"")</x:f>
        <x:v>65.46666666666667</x:v>
      </x:c>
      <x:c r="AH97" s="33" t="n">
        <x:f>IF(ISNUMBER(P97),100*MAX(0,MIN(1,('Anchors'!$H$17-P97)/('Anchors'!$H$17-'Anchors'!$G$17))),"")</x:f>
        <x:v>83.33467773437499</x:v>
      </x:c>
      <x:c r="AI97" s="33" t="n">
        <x:f>IF(ISNUMBER(Q97),100*MAX(0,MIN(1,('Anchors'!$H$18-Q97)/('Anchors'!$H$18-'Anchors'!$G$18))),"")</x:f>
        <x:v>90.20105007716587</x:v>
      </x:c>
      <x:c r="AJ97" s="33" t="n">
        <x:f>IF(ISNUMBER(R97),100*MAX(0,MIN(1,('Anchors'!$H$19-R97)/('Anchors'!$H$19-'Anchors'!$G$19))),"")</x:f>
        <x:v>36.51652237377701</x:v>
      </x:c>
      <x:c r="AK97" s="33" t="n">
        <x:f>IF(ISNUMBER(S97),100*MAX(0,MIN(1,('Anchors'!$H$20-S97)/('Anchors'!$H$20-'Anchors'!$G$20))),"")</x:f>
        <x:v>0</x:v>
      </x:c>
      <x:c r="AL97" s="33" t="n">
        <x:f>IF(ISNUMBER(T97),100*MAX(0,MIN(1,('Anchors'!$H$21-T97)/('Anchors'!$H$21-'Anchors'!$G$21))),"")</x:f>
        <x:v>87.0909090909091</x:v>
      </x:c>
      <x:c r="AM97" s="33" t="n">
        <x:f>IF(ISNUMBER(U97),100*MAX(0,MIN(1,('Anchors'!$H$22-U97)/('Anchors'!$H$22-'Anchors'!$G$22))),"")</x:f>
        <x:v>44.29226091355795</x:v>
      </x:c>
      <x:c r="AN97" s="33" t="n">
        <x:f>IF(ISNUMBER(V97),100*MAX(0,MIN(1,('Anchors'!$H$23-V97)/('Anchors'!$H$23-'Anchors'!$G$23))),"")</x:f>
        <x:v>68.6431055263375</x:v>
      </x:c>
      <x:c r="AO97" s="27" t="n">
        <x:f>IF(ISNUMBER(W97),IF('Scoring Setup'!$L$9=1,1-'Scoring Setup'!$B$5*(1-MAX(0,MIN(1,(W97-'Scoring Setup'!$K$9)/(100-'Scoring Setup'!$K$9)))),1),"")</x:f>
        <x:v>0.8488571428571429</x:v>
      </x:c>
      <x:c r="AP97" s="27" t="n">
        <x:f>IF(ISNUMBER(X97),IF('Scoring Setup'!$L$10=1,1-'Scoring Setup'!$B$5*(1-MAX(0,MIN(1,(X97-'Scoring Setup'!$K$10)/(100-'Scoring Setup'!$K$10)))),1),"")</x:f>
        <x:v>0.8504420084865629</x:v>
      </x:c>
      <x:c r="AQ97" s="27" t="n">
        <x:f>IF(ISNUMBER(Y97),IF('Scoring Setup'!$L$11=1,1-'Scoring Setup'!$B$5*(1-MAX(0,MIN(1,(Y97-'Scoring Setup'!$K$11)/(100-'Scoring Setup'!$K$11)))),1),"")</x:f>
        <x:v>0.8763666639684428</x:v>
      </x:c>
      <x:c r="AR97" s="27" t="n">
        <x:f>IF(ISNUMBER(Z97),IF('Scoring Setup'!$L$12=1,1-'Scoring Setup'!$B$5*(1-MAX(0,MIN(1,(Z97-'Scoring Setup'!$K$12)/(100-'Scoring Setup'!$K$12)))),1),"")</x:f>
        <x:v>0.8906629447436576</x:v>
      </x:c>
      <x:c r="AS97" s="27" t="n">
        <x:f>IF(ISNUMBER(AA97),IF('Scoring Setup'!$L$13=1,1-'Scoring Setup'!$B$5*(1-MAX(0,MIN(1,(AA97-'Scoring Setup'!$K$13)/(100-'Scoring Setup'!$K$13)))),1),"")</x:f>
        <x:v>0.9909954311928072</x:v>
      </x:c>
      <x:c r="AT97" s="27" t="n">
        <x:f>IF(ISNUMBER(AB97),IF('Scoring Setup'!$L$14=1,1-'Scoring Setup'!$B$5*(1-MAX(0,MIN(1,(AB97-'Scoring Setup'!$K$14)/(100-'Scoring Setup'!$K$14)))),1),"")</x:f>
        <x:v>0.9177422192324955</x:v>
      </x:c>
      <x:c r="AU97" s="27" t="n">
        <x:f>IF(ISNUMBER(AC97),IF('Scoring Setup'!$L$15=1,1-'Scoring Setup'!$B$5*(1-MAX(0,MIN(1,(AC97-'Scoring Setup'!$K$15)/(100-'Scoring Setup'!$K$15)))),1),"")</x:f>
        <x:v>0.9998001931874457</x:v>
      </x:c>
      <x:c r="AV97" s="27" t="n">
        <x:f>IF(ISNUMBER(AD97),IF('Scoring Setup'!$L$16=1,1-'Scoring Setup'!$B$5*(1-MAX(0,MIN(1,(AD97-'Scoring Setup'!$K$16)/(100-'Scoring Setup'!$K$16)))),1),"")</x:f>
        <x:v>0.9391975162857142</x:v>
      </x:c>
      <x:c r="AW97" s="27" t="n">
        <x:f>IF(ISNUMBER(AE97),IF('Scoring Setup'!$L$17=1,1-'Scoring Setup'!$B$5*(1-MAX(0,MIN(1,(AE97-'Scoring Setup'!$K$17)/(100-'Scoring Setup'!$K$17)))),1),"")</x:f>
        <x:v>0.94679782675</x:v>
      </x:c>
      <x:c r="AX97" s="27" t="n">
        <x:f>IF(ISNUMBER(AF97),IF('Scoring Setup'!$L$18=1,1-'Scoring Setup'!$B$5*(1-MAX(0,MIN(1,(AF97-'Scoring Setup'!$K$18)/(100-'Scoring Setup'!$K$18)))),1),"")</x:f>
        <x:v>0.898544330081118</x:v>
      </x:c>
      <x:c r="AY97" s="27" t="n">
        <x:f>IF(ISNUMBER(AG97),IF('Scoring Setup'!$L$19=1,1-'Scoring Setup'!$B$5*(1-MAX(0,MIN(1,(AG97-'Scoring Setup'!$K$19)/(100-'Scoring Setup'!$K$19)))),1),"")</x:f>
        <x:v>0.9309333333333334</x:v>
      </x:c>
      <x:c r="AZ97" s="27" t="n">
        <x:f>IF(ISNUMBER(AH97),IF('Scoring Setup'!$L$20=1,1-'Scoring Setup'!$B$5*(1-MAX(0,MIN(1,(AH97-'Scoring Setup'!$K$20)/(100-'Scoring Setup'!$K$20)))),1),"")</x:f>
        <x:v>0.96666935546875</x:v>
      </x:c>
      <x:c r="BA97" s="27" t="n">
        <x:f>IF(ISNUMBER(AI97),IF('Scoring Setup'!$L$21=1,1-'Scoring Setup'!$B$5*(1-MAX(0,MIN(1,(AI97-'Scoring Setup'!$K$21)/(100-'Scoring Setup'!$K$21)))),1),"")</x:f>
        <x:v>0.9804021001543317</x:v>
      </x:c>
      <x:c r="BB97" s="27" t="n">
        <x:f>IF(ISNUMBER(AJ97),IF('Scoring Setup'!$L$22=1,1-'Scoring Setup'!$B$5*(1-MAX(0,MIN(1,(AJ97-'Scoring Setup'!$K$22)/(100-'Scoring Setup'!$K$22)))),1),"")</x:f>
        <x:v>0.873033044747554</x:v>
      </x:c>
      <x:c r="BC97" s="27" t="n">
        <x:f>IF(ISNUMBER(AK97),IF('Scoring Setup'!$L$23=1,1-'Scoring Setup'!$B$5*(1-MAX(0,MIN(1,(AK97-'Scoring Setup'!$K$23)/(100-'Scoring Setup'!$K$23)))),1),"")</x:f>
        <x:v>0.8</x:v>
      </x:c>
      <x:c r="BD97" s="27" t="n">
        <x:f>IF(ISNUMBER(AL97),IF('Scoring Setup'!$L$24=1,1-'Scoring Setup'!$B$5*(1-MAX(0,MIN(1,(AL97-'Scoring Setup'!$K$24)/(100-'Scoring Setup'!$K$24)))),1),"")</x:f>
        <x:v>0.9741818181818181</x:v>
      </x:c>
      <x:c r="BE97" s="27" t="n">
        <x:f>IF(ISNUMBER(AM97),IF('Scoring Setup'!$L$25=1,1-'Scoring Setup'!$B$5*(1-MAX(0,MIN(1,(AM97-'Scoring Setup'!$K$25)/(100-'Scoring Setup'!$K$25)))),1),"")</x:f>
        <x:v>0.8885845218271159</x:v>
      </x:c>
      <x:c r="BF97" s="27" t="n">
        <x:f>IF(ISNUMBER(AN97),IF('Scoring Setup'!$L$26=1,1-'Scoring Setup'!$B$5*(1-MAX(0,MIN(1,(AN97-'Scoring Setup'!$K$26)/(100-'Scoring Setup'!$K$26)))),1),"")</x:f>
        <x:v>0.937286211052675</x:v>
      </x:c>
      <x:c r="BG97" s="34" t="n">
        <x:f>IF(COUNT(W97,X97)=2,AVERAGE(W97,X97),"")</x:f>
        <x:v>24.824787835926436</x:v>
      </x:c>
      <x:c r="BH97" s="34" t="n">
        <x:f>IF(COUNT(Y97,Z97)=2,AVERAGE(Y97,Z97),"")</x:f>
        <x:v>41.757402178025075</x:v>
      </x:c>
      <x:c r="BI97" s="34" t="n">
        <x:f>IF(COUNT(AA97,AB97,AC97)=3,AVERAGE(AA97,AB97,AC97),"")</x:f>
        <x:v>84.75630726879142</x:v>
      </x:c>
      <x:c r="BJ97" s="34" t="n">
        <x:f>IF(COUNT(AD97,AE97)=2,AVERAGE(AD97,AE97),"")</x:f>
        <x:v>71.49883575892856</x:v>
      </x:c>
      <x:c r="BK97" s="34" t="n">
        <x:f>IF(COUNT(AF97,AG97)=2,AVERAGE(AF97,AG97),"")</x:f>
        <x:v>57.36941585361285</x:v>
      </x:c>
      <x:c r="BL97" s="34" t="n">
        <x:f>IF(COUNT(AH97,AI97)=2,AVERAGE(AH97,AI97),"")</x:f>
        <x:v>86.76786390577044</x:v>
      </x:c>
      <x:c r="BM97" s="34" t="n">
        <x:f>IF(COUNT(AJ97,AK97)=2,AVERAGE(AJ97,AK97),"")</x:f>
        <x:v>18.258261186888504</x:v>
      </x:c>
      <x:c r="BN97" s="34" t="n">
        <x:f>IF(COUNT(AL97,AM97,AN97)=3,AVERAGE(AL97,AM97,AN97),"")</x:f>
        <x:v>66.67542517693484</x:v>
      </x:c>
      <x:c r="BO97" s="35" t="n">
        <x:f>IF(AND(COUNT(BG97:BN97)=8,ABS('Scoring Setup'!$C$17-1)&lt;0.000001),BG97*'Scoring Setup'!$C$9+BH97*'Scoring Setup'!$C$10+BI97*'Scoring Setup'!$C$11+BJ97*'Scoring Setup'!$C$12+BK97*'Scoring Setup'!$C$13+BL97*'Scoring Setup'!$C$14+BM97*'Scoring Setup'!$C$15+BN97*'Scoring Setup'!$C$16,"")</x:f>
        <x:v>57.450348915044344</x:v>
      </x:c>
      <x:c r="BP97" s="36" t="n">
        <x:f>IF(COUNT(AO97:BF97)=18,MIN(AO97:BF97),"")</x:f>
        <x:v>0.8</x:v>
      </x:c>
      <x:c r="BQ97" s="35" t="n">
        <x:f>IF(AND(ISNUMBER(BO97),ISNUMBER(BP97)),BO97*BP97,"")</x:f>
        <x:v>45.96027913203548</x:v>
      </x:c>
      <x:c r="BR97" s="17" t="str">
        <x:f>IF(COUNT(AO97:BF97)=18,INDEX('Scoring Setup'!$F$9:$F$26,MATCH(MIN(AO97:BF97),AO97:BF97,0),1),"")</x:f>
        <x:v>到铁路距离</x:v>
      </x:c>
    </x:row>
    <x:row r="98">
      <x:c r="A98" s="28" t="str">
        <x:v>13189</x:v>
      </x:c>
      <x:c r="B98" s="28" t="str">
        <x:v>McDuffie County</x:v>
      </x:c>
      <x:c r="C98" s="28" t="str">
        <x:v>GA</x:v>
      </x:c>
      <x:c r="D98" s="31" t="n">
        <x:v>666.608438</x:v>
      </x:c>
      <x:c r="E98" s="32" t="n">
        <x:v>0.624</x:v>
      </x:c>
      <x:c r="F98" s="32" t="n">
        <x:v>0.100866336633663</x:v>
      </x:c>
      <x:c r="G98" s="32" t="n">
        <x:v>2.9319263807808364</x:v>
      </x:c>
      <x:c r="H98" s="32" t="n">
        <x:v>2.735302759</x:v>
      </x:c>
      <x:c r="I98" s="32" t="n">
        <x:v>0.9056619997232347</x:v>
      </x:c>
      <x:c r="J98" s="32" t="n">
        <x:v>0.07709684056368794</x:v>
      </x:c>
      <x:c r="K98" s="32" t="n">
        <x:v>0.06226547164969576</x:v>
      </x:c>
      <x:c r="L98" s="32" t="n">
        <x:v>0.315143505</x:v>
      </x:c>
      <x:c r="M98" s="32" t="n">
        <x:v>0.313632931</x:v>
      </x:c>
      <x:c r="N98" s="32" t="n">
        <x:v>9256</x:v>
      </x:c>
      <x:c r="O98" s="32" t="n">
        <x:v>0.6567</x:v>
      </x:c>
      <x:c r="P98" s="32" t="n">
        <x:v>1704.916365559896</x:v>
      </x:c>
      <x:c r="Q98" s="32" t="n">
        <x:v>51.80126266479492</x:v>
      </x:c>
      <x:c r="R98" s="32" t="n">
        <x:v>3.6526568513842057</x:v>
      </x:c>
      <x:c r="S98" s="32" t="n">
        <x:v>1.802292093853971</x:v>
      </x:c>
      <x:c r="T98" s="32" t="n">
        <x:v>72.1</x:v>
      </x:c>
      <x:c r="U98" s="32" t="n">
        <x:v>211.4154781728841</x:v>
      </x:c>
      <x:c r="V98" s="32" t="n">
        <x:v>325.42757789465</x:v>
      </x:c>
      <x:c r="W98" s="33" t="n">
        <x:f>IF(ISNUMBER(E98),100*MAX(0,MIN(1,('Anchors'!$H$6-E98)/('Anchors'!$H$6-'Anchors'!$G$6))),"")</x:f>
        <x:v>39.42857142857144</x:v>
      </x:c>
      <x:c r="X98" s="33" t="n">
        <x:f>IF(ISNUMBER(F98),100*MAX(0,MIN(1,('Anchors'!$H$7-F98)/('Anchors'!$H$7-'Anchors'!$G$7))),"")</x:f>
        <x:v>99.87623762376244</x:v>
      </x:c>
      <x:c r="Y98" s="33" t="n">
        <x:f>IF(ISNUMBER(G98),100*MAX(0,MIN(1,('Anchors'!$H$8-G98)/('Anchors'!$H$8-'Anchors'!$G$8))),"")</x:f>
        <x:v>35.60245397397212</x:v>
      </x:c>
      <x:c r="Z98" s="33" t="n">
        <x:f>IF(ISNUMBER(H98),100*MAX(0,MIN(1,('Anchors'!$H$9-H98)/('Anchors'!$H$9-'Anchors'!$G$9))),"")</x:f>
        <x:v>42.1565747</x:v>
      </x:c>
      <x:c r="AA98" s="33" t="n">
        <x:f>IF(ISNUMBER(I98),100*MAX(0,MIN(1,(I98-'Anchors'!$H$10)/('Anchors'!$G$10-'Anchors'!$H$10))),"")</x:f>
        <x:v>89.81671229085407</x:v>
      </x:c>
      <x:c r="AB98" s="33" t="n">
        <x:f>IF(ISNUMBER(J98),100*MAX(0,MIN(1,('Anchors'!$H$11-J98)/('Anchors'!$H$11-'Anchors'!$G$11))),"")</x:f>
        <x:v>69.16126377452483</x:v>
      </x:c>
      <x:c r="AC98" s="33" t="n">
        <x:f>IF(ISNUMBER(K98),100*MAX(0,MIN(1,('Anchors'!$H$12-K98)/('Anchors'!$H$12-'Anchors'!$G$12))),"")</x:f>
        <x:v>84.43363208757606</x:v>
      </x:c>
      <x:c r="AD98" s="33" t="n">
        <x:f>IF(ISNUMBER(L98),100*MAX(0,MIN(1,(L98-'Anchors'!$H$13)/('Anchors'!$G$13-'Anchors'!$H$13))),"")</x:f>
        <x:v>16.44907214285714</x:v>
      </x:c>
      <x:c r="AE98" s="33" t="n">
        <x:f>IF(ISNUMBER(M98),100*MAX(0,MIN(1,(M98-'Anchors'!$H$14)/('Anchors'!$G$14-'Anchors'!$H$14))),"")</x:f>
        <x:v>26.704116374999998</x:v>
      </x:c>
      <x:c r="AF98" s="33" t="n">
        <x:f>IF(ISNUMBER(N98),100*MAX(0,MIN(1,(LN(1+N98)-LN(1+'Anchors'!$H$15))/(LN(1+'Anchors'!$G$15)-LN(1+'Anchors'!$H$15)))),"")</x:f>
        <x:v>35.4814633823183</x:v>
      </x:c>
      <x:c r="AG98" s="33" t="n">
        <x:f>IF(ISNUMBER(O98),100*MAX(0,MIN(1,('Anchors'!$H$16-O98)/('Anchors'!$H$16-'Anchors'!$G$16))),"")</x:f>
        <x:v>32.588888888888896</x:v>
      </x:c>
      <x:c r="AH98" s="33" t="n">
        <x:f>IF(ISNUMBER(P98),100*MAX(0,MIN(1,('Anchors'!$H$17-P98)/('Anchors'!$H$17-'Anchors'!$G$17))),"")</x:f>
        <x:v>33.00557562934027</x:v>
      </x:c>
      <x:c r="AI98" s="33" t="n">
        <x:f>IF(ISNUMBER(Q98),100*MAX(0,MIN(1,('Anchors'!$H$18-Q98)/('Anchors'!$H$18-'Anchors'!$G$18))),"")</x:f>
        <x:v>33.14105333600726</x:v>
      </x:c>
      <x:c r="AJ98" s="33" t="n">
        <x:f>IF(ISNUMBER(R98),100*MAX(0,MIN(1,('Anchors'!$H$19-R98)/('Anchors'!$H$19-'Anchors'!$G$19))),"")</x:f>
        <x:v>100</x:v>
      </x:c>
      <x:c r="AK98" s="33" t="n">
        <x:f>IF(ISNUMBER(S98),100*MAX(0,MIN(1,('Anchors'!$H$20-S98)/('Anchors'!$H$20-'Anchors'!$G$20))),"")</x:f>
        <x:v>95.77741003234752</x:v>
      </x:c>
      <x:c r="AL98" s="33" t="n">
        <x:f>IF(ISNUMBER(T98),100*MAX(0,MIN(1,('Anchors'!$H$21-T98)/('Anchors'!$H$21-'Anchors'!$G$21))),"")</x:f>
        <x:v>87.0909090909091</x:v>
      </x:c>
      <x:c r="AM98" s="33" t="n">
        <x:f>IF(ISNUMBER(U98),100*MAX(0,MIN(1,('Anchors'!$H$22-U98)/('Anchors'!$H$22-'Anchors'!$G$22))),"")</x:f>
        <x:v>44.29226091355795</x:v>
      </x:c>
      <x:c r="AN98" s="33" t="n">
        <x:f>IF(ISNUMBER(V98),100*MAX(0,MIN(1,('Anchors'!$H$23-V98)/('Anchors'!$H$23-'Anchors'!$G$23))),"")</x:f>
        <x:v>68.6431055263375</x:v>
      </x:c>
      <x:c r="AO98" s="27" t="n">
        <x:f>IF(ISNUMBER(W98),IF('Scoring Setup'!$L$9=1,1-'Scoring Setup'!$B$5*(1-MAX(0,MIN(1,(W98-'Scoring Setup'!$K$9)/(100-'Scoring Setup'!$K$9)))),1),"")</x:f>
        <x:v>0.8788571428571429</x:v>
      </x:c>
      <x:c r="AP98" s="27" t="n">
        <x:f>IF(ISNUMBER(X98),IF('Scoring Setup'!$L$10=1,1-'Scoring Setup'!$B$5*(1-MAX(0,MIN(1,(X98-'Scoring Setup'!$K$10)/(100-'Scoring Setup'!$K$10)))),1),"")</x:f>
        <x:v>0.9997524752475249</x:v>
      </x:c>
      <x:c r="AQ98" s="27" t="n">
        <x:f>IF(ISNUMBER(Y98),IF('Scoring Setup'!$L$11=1,1-'Scoring Setup'!$B$5*(1-MAX(0,MIN(1,(Y98-'Scoring Setup'!$K$11)/(100-'Scoring Setup'!$K$11)))),1),"")</x:f>
        <x:v>0.8712049079479443</x:v>
      </x:c>
      <x:c r="AR98" s="27" t="n">
        <x:f>IF(ISNUMBER(Z98),IF('Scoring Setup'!$L$12=1,1-'Scoring Setup'!$B$5*(1-MAX(0,MIN(1,(Z98-'Scoring Setup'!$K$12)/(100-'Scoring Setup'!$K$12)))),1),"")</x:f>
        <x:v>0.8843131494</x:v>
      </x:c>
      <x:c r="AS98" s="27" t="n">
        <x:f>IF(ISNUMBER(AA98),IF('Scoring Setup'!$L$13=1,1-'Scoring Setup'!$B$5*(1-MAX(0,MIN(1,(AA98-'Scoring Setup'!$K$13)/(100-'Scoring Setup'!$K$13)))),1),"")</x:f>
        <x:v>0.9796334245817081</x:v>
      </x:c>
      <x:c r="AT98" s="27" t="n">
        <x:f>IF(ISNUMBER(AB98),IF('Scoring Setup'!$L$14=1,1-'Scoring Setup'!$B$5*(1-MAX(0,MIN(1,(AB98-'Scoring Setup'!$K$14)/(100-'Scoring Setup'!$K$14)))),1),"")</x:f>
        <x:v>0.9383225275490497</x:v>
      </x:c>
      <x:c r="AU98" s="27" t="n">
        <x:f>IF(ISNUMBER(AC98),IF('Scoring Setup'!$L$15=1,1-'Scoring Setup'!$B$5*(1-MAX(0,MIN(1,(AC98-'Scoring Setup'!$K$15)/(100-'Scoring Setup'!$K$15)))),1),"")</x:f>
        <x:v>0.9688672641751521</x:v>
      </x:c>
      <x:c r="AV98" s="27" t="n">
        <x:f>IF(ISNUMBER(AD98),IF('Scoring Setup'!$L$16=1,1-'Scoring Setup'!$B$5*(1-MAX(0,MIN(1,(AD98-'Scoring Setup'!$K$16)/(100-'Scoring Setup'!$K$16)))),1),"")</x:f>
        <x:v>0.8328981442857143</x:v>
      </x:c>
      <x:c r="AW98" s="27" t="n">
        <x:f>IF(ISNUMBER(AE98),IF('Scoring Setup'!$L$17=1,1-'Scoring Setup'!$B$5*(1-MAX(0,MIN(1,(AE98-'Scoring Setup'!$K$17)/(100-'Scoring Setup'!$K$17)))),1),"")</x:f>
        <x:v>0.85340823275</x:v>
      </x:c>
      <x:c r="AX98" s="27" t="n">
        <x:f>IF(ISNUMBER(AF98),IF('Scoring Setup'!$L$18=1,1-'Scoring Setup'!$B$5*(1-MAX(0,MIN(1,(AF98-'Scoring Setup'!$K$18)/(100-'Scoring Setup'!$K$18)))),1),"")</x:f>
        <x:v>0.8709629267646366</x:v>
      </x:c>
      <x:c r="AY98" s="27" t="n">
        <x:f>IF(ISNUMBER(AG98),IF('Scoring Setup'!$L$19=1,1-'Scoring Setup'!$B$5*(1-MAX(0,MIN(1,(AG98-'Scoring Setup'!$K$19)/(100-'Scoring Setup'!$K$19)))),1),"")</x:f>
        <x:v>0.8651777777777778</x:v>
      </x:c>
      <x:c r="AZ98" s="27" t="n">
        <x:f>IF(ISNUMBER(AH98),IF('Scoring Setup'!$L$20=1,1-'Scoring Setup'!$B$5*(1-MAX(0,MIN(1,(AH98-'Scoring Setup'!$K$20)/(100-'Scoring Setup'!$K$20)))),1),"")</x:f>
        <x:v>0.8660111512586806</x:v>
      </x:c>
      <x:c r="BA98" s="27" t="n">
        <x:f>IF(ISNUMBER(AI98),IF('Scoring Setup'!$L$21=1,1-'Scoring Setup'!$B$5*(1-MAX(0,MIN(1,(AI98-'Scoring Setup'!$K$21)/(100-'Scoring Setup'!$K$21)))),1),"")</x:f>
        <x:v>0.8662821066720146</x:v>
      </x:c>
      <x:c r="BB98" s="27" t="n">
        <x:f>IF(ISNUMBER(AJ98),IF('Scoring Setup'!$L$22=1,1-'Scoring Setup'!$B$5*(1-MAX(0,MIN(1,(AJ98-'Scoring Setup'!$K$22)/(100-'Scoring Setup'!$K$22)))),1),"")</x:f>
        <x:v>1</x:v>
      </x:c>
      <x:c r="BC98" s="27" t="n">
        <x:f>IF(ISNUMBER(AK98),IF('Scoring Setup'!$L$23=1,1-'Scoring Setup'!$B$5*(1-MAX(0,MIN(1,(AK98-'Scoring Setup'!$K$23)/(100-'Scoring Setup'!$K$23)))),1),"")</x:f>
        <x:v>0.9915548200646951</x:v>
      </x:c>
      <x:c r="BD98" s="27" t="n">
        <x:f>IF(ISNUMBER(AL98),IF('Scoring Setup'!$L$24=1,1-'Scoring Setup'!$B$5*(1-MAX(0,MIN(1,(AL98-'Scoring Setup'!$K$24)/(100-'Scoring Setup'!$K$24)))),1),"")</x:f>
        <x:v>0.9741818181818181</x:v>
      </x:c>
      <x:c r="BE98" s="27" t="n">
        <x:f>IF(ISNUMBER(AM98),IF('Scoring Setup'!$L$25=1,1-'Scoring Setup'!$B$5*(1-MAX(0,MIN(1,(AM98-'Scoring Setup'!$K$25)/(100-'Scoring Setup'!$K$25)))),1),"")</x:f>
        <x:v>0.8885845218271159</x:v>
      </x:c>
      <x:c r="BF98" s="27" t="n">
        <x:f>IF(ISNUMBER(AN98),IF('Scoring Setup'!$L$26=1,1-'Scoring Setup'!$B$5*(1-MAX(0,MIN(1,(AN98-'Scoring Setup'!$K$26)/(100-'Scoring Setup'!$K$26)))),1),"")</x:f>
        <x:v>0.937286211052675</x:v>
      </x:c>
      <x:c r="BG98" s="34" t="n">
        <x:f>IF(COUNT(W98,X98)=2,AVERAGE(W98,X98),"")</x:f>
        <x:v>69.65240452616693</x:v>
      </x:c>
      <x:c r="BH98" s="34" t="n">
        <x:f>IF(COUNT(Y98,Z98)=2,AVERAGE(Y98,Z98),"")</x:f>
        <x:v>38.87951433698606</x:v>
      </x:c>
      <x:c r="BI98" s="34" t="n">
        <x:f>IF(COUNT(AA98,AB98,AC98)=3,AVERAGE(AA98,AB98,AC98),"")</x:f>
        <x:v>81.13720271765165</x:v>
      </x:c>
      <x:c r="BJ98" s="34" t="n">
        <x:f>IF(COUNT(AD98,AE98)=2,AVERAGE(AD98,AE98),"")</x:f>
        <x:v>21.57659425892857</x:v>
      </x:c>
      <x:c r="BK98" s="34" t="n">
        <x:f>IF(COUNT(AF98,AG98)=2,AVERAGE(AF98,AG98),"")</x:f>
        <x:v>34.0351761356036</x:v>
      </x:c>
      <x:c r="BL98" s="34" t="n">
        <x:f>IF(COUNT(AH98,AI98)=2,AVERAGE(AH98,AI98),"")</x:f>
        <x:v>33.073314482673766</x:v>
      </x:c>
      <x:c r="BM98" s="34" t="n">
        <x:f>IF(COUNT(AJ98,AK98)=2,AVERAGE(AJ98,AK98),"")</x:f>
        <x:v>97.88870501617376</x:v>
      </x:c>
      <x:c r="BN98" s="34" t="n">
        <x:f>IF(COUNT(AL98,AM98,AN98)=3,AVERAGE(AL98,AM98,AN98),"")</x:f>
        <x:v>66.67542517693484</x:v>
      </x:c>
      <x:c r="BO98" s="35" t="n">
        <x:f>IF(AND(COUNT(BG98:BN98)=8,ABS('Scoring Setup'!$C$17-1)&lt;0.000001),BG98*'Scoring Setup'!$C$9+BH98*'Scoring Setup'!$C$10+BI98*'Scoring Setup'!$C$11+BJ98*'Scoring Setup'!$C$12+BK98*'Scoring Setup'!$C$13+BL98*'Scoring Setup'!$C$14+BM98*'Scoring Setup'!$C$15+BN98*'Scoring Setup'!$C$16,"")</x:f>
        <x:v>54.966769159255115</x:v>
      </x:c>
      <x:c r="BP98" s="36" t="n">
        <x:f>IF(COUNT(AO98:BF98)=18,MIN(AO98:BF98),"")</x:f>
        <x:v>0.8328981442857143</x:v>
      </x:c>
      <x:c r="BQ98" s="35" t="n">
        <x:f>IF(AND(ISNUMBER(BO98),ISNUMBER(BP98)),BO98*BP98,"")</x:f>
        <x:v>45.781720030124816</x:v>
      </x:c>
      <x:c r="BR98" s="17" t="str">
        <x:f>IF(COUNT(AO98:BF98)=18,INDEX('Scoring Setup'!$F$9:$F$26,MATCH(MIN(AO98:BF98),AO98:BF98,0),1),"")</x:f>
        <x:v>商业光纤100/20覆盖率</x:v>
      </x:c>
    </x:row>
    <x:row r="99">
      <x:c r="A99" s="28" t="str">
        <x:v>13191</x:v>
      </x:c>
      <x:c r="B99" s="28" t="str">
        <x:v>McIntosh County</x:v>
      </x:c>
      <x:c r="C99" s="28" t="str">
        <x:v>GA</x:v>
      </x:c>
      <x:c r="D99" s="31" t="n">
        <x:v>1117.184399</x:v>
      </x:c>
      <x:c r="E99" s="32" t="n">
        <x:v>0.82</x:v>
      </x:c>
      <x:c r="F99" s="32" t="n">
        <x:v>0.110148514851485</x:v>
      </x:c>
      <x:c r="G99" s="32" t="n">
        <x:v>0.5992627606718346</x:v>
      </x:c>
      <x:c r="H99" s="32" t="n">
        <x:v>0.4646387112322539</x:v>
      </x:c>
      <x:c r="I99" s="32" t="n">
        <x:v>0.9602313617178535</x:v>
      </x:c>
      <x:c r="J99" s="32" t="n">
        <x:v>0.30964495688704874</x:v>
      </x:c>
      <x:c r="K99" s="32" t="n">
        <x:v>0.5816654672294297</x:v>
      </x:c>
      <x:c r="L99" s="32" t="n">
        <x:v>0.449296142</x:v>
      </x:c>
      <x:c r="M99" s="32" t="n">
        <x:v>0.449296142</x:v>
      </x:c>
      <x:c r="N99" s="32" t="n">
        <x:v>5141</x:v>
      </x:c>
      <x:c r="O99" s="32" t="n">
        <x:v>0.7098</x:v>
      </x:c>
      <x:c r="P99" s="32" t="n">
        <x:v>2378.26806640625</x:v>
      </x:c>
      <x:c r="Q99" s="32" t="n">
        <x:v>49.119938659667966</x:v>
      </x:c>
      <x:c r="R99" s="32" t="n">
        <x:v>7.098754168182833</x:v>
      </x:c>
      <x:c r="S99" s="32" t="n">
        <x:v>26.946894083698247</x:v>
      </x:c>
      <x:c r="T99" s="32" t="n">
        <x:v>72.1</x:v>
      </x:c>
      <x:c r="U99" s="32" t="n">
        <x:v>211.4154781728841</x:v>
      </x:c>
      <x:c r="V99" s="32" t="n">
        <x:v>325.42757789465</x:v>
      </x:c>
      <x:c r="W99" s="33" t="n">
        <x:f>IF(ISNUMBER(E99),100*MAX(0,MIN(1,('Anchors'!$H$6-E99)/('Anchors'!$H$6-'Anchors'!$G$6))),"")</x:f>
        <x:v>11.42857142857144</x:v>
      </x:c>
      <x:c r="X99" s="33" t="n">
        <x:f>IF(ISNUMBER(F99),100*MAX(0,MIN(1,('Anchors'!$H$7-F99)/('Anchors'!$H$7-'Anchors'!$G$7))),"")</x:f>
        <x:v>98.55021216407357</x:v>
      </x:c>
      <x:c r="Y99" s="33" t="n">
        <x:f>IF(ISNUMBER(G99),100*MAX(0,MIN(1,('Anchors'!$H$8-G99)/('Anchors'!$H$8-'Anchors'!$G$8))),"")</x:f>
        <x:v>100</x:v>
      </x:c>
      <x:c r="Z99" s="33" t="n">
        <x:f>IF(ISNUMBER(H99),100*MAX(0,MIN(1,('Anchors'!$H$9-H99)/('Anchors'!$H$9-'Anchors'!$G$9))),"")</x:f>
        <x:v>100</x:v>
      </x:c>
      <x:c r="AA99" s="33" t="n">
        <x:f>IF(ISNUMBER(I99),100*MAX(0,MIN(1,(I99-'Anchors'!$H$10)/('Anchors'!$G$10-'Anchors'!$H$10))),"")</x:f>
        <x:v>97.29196735861008</x:v>
      </x:c>
      <x:c r="AB99" s="33" t="n">
        <x:f>IF(ISNUMBER(J99),100*MAX(0,MIN(1,('Anchors'!$H$11-J99)/('Anchors'!$H$11-'Anchors'!$G$11))),"")</x:f>
        <x:v>0</x:v>
      </x:c>
      <x:c r="AC99" s="33" t="n">
        <x:f>IF(ISNUMBER(K99),100*MAX(0,MIN(1,('Anchors'!$H$12-K99)/('Anchors'!$H$12-'Anchors'!$G$12))),"")</x:f>
        <x:v>0</x:v>
      </x:c>
      <x:c r="AD99" s="33" t="n">
        <x:f>IF(ISNUMBER(L99),100*MAX(0,MIN(1,(L99-'Anchors'!$H$13)/('Anchors'!$G$13-'Anchors'!$H$13))),"")</x:f>
        <x:v>35.61373457142857</x:v>
      </x:c>
      <x:c r="AE99" s="33" t="n">
        <x:f>IF(ISNUMBER(M99),100*MAX(0,MIN(1,(M99-'Anchors'!$H$14)/('Anchors'!$G$14-'Anchors'!$H$14))),"")</x:f>
        <x:v>43.662017750000004</x:v>
      </x:c>
      <x:c r="AF99" s="33" t="n">
        <x:f>IF(ISNUMBER(N99),100*MAX(0,MIN(1,(LN(1+N99)-LN(1+'Anchors'!$H$15))/(LN(1+'Anchors'!$G$15)-LN(1+'Anchors'!$H$15)))),"")</x:f>
        <x:v>21.86231566126184</x:v>
      </x:c>
      <x:c r="AG99" s="33" t="n">
        <x:f>IF(ISNUMBER(O99),100*MAX(0,MIN(1,('Anchors'!$H$16-O99)/('Anchors'!$H$16-'Anchors'!$G$16))),"")</x:f>
        <x:v>26.68888888888889</x:v>
      </x:c>
      <x:c r="AH99" s="33" t="n">
        <x:f>IF(ISNUMBER(P99),100*MAX(0,MIN(1,('Anchors'!$H$17-P99)/('Anchors'!$H$17-'Anchors'!$G$17))),"")</x:f>
        <x:v>0</x:v>
      </x:c>
      <x:c r="AI99" s="33" t="n">
        <x:f>IF(ISNUMBER(Q99),100*MAX(0,MIN(1,('Anchors'!$H$18-Q99)/('Anchors'!$H$18-'Anchors'!$G$18))),"")</x:f>
        <x:v>36.97151620047433</x:v>
      </x:c>
      <x:c r="AJ99" s="33" t="n">
        <x:f>IF(ISNUMBER(R99),100*MAX(0,MIN(1,('Anchors'!$H$19-R99)/('Anchors'!$H$19-'Anchors'!$G$19))),"")</x:f>
        <x:v>95.33610184848258</x:v>
      </x:c>
      <x:c r="AK99" s="33" t="n">
        <x:f>IF(ISNUMBER(S99),100*MAX(0,MIN(1,('Anchors'!$H$20-S99)/('Anchors'!$H$20-'Anchors'!$G$20))),"")</x:f>
        <x:v>0</x:v>
      </x:c>
      <x:c r="AL99" s="33" t="n">
        <x:f>IF(ISNUMBER(T99),100*MAX(0,MIN(1,('Anchors'!$H$21-T99)/('Anchors'!$H$21-'Anchors'!$G$21))),"")</x:f>
        <x:v>87.0909090909091</x:v>
      </x:c>
      <x:c r="AM99" s="33" t="n">
        <x:f>IF(ISNUMBER(U99),100*MAX(0,MIN(1,('Anchors'!$H$22-U99)/('Anchors'!$H$22-'Anchors'!$G$22))),"")</x:f>
        <x:v>44.29226091355795</x:v>
      </x:c>
      <x:c r="AN99" s="33" t="n">
        <x:f>IF(ISNUMBER(V99),100*MAX(0,MIN(1,('Anchors'!$H$23-V99)/('Anchors'!$H$23-'Anchors'!$G$23))),"")</x:f>
        <x:v>68.6431055263375</x:v>
      </x:c>
      <x:c r="AO99" s="27" t="n">
        <x:f>IF(ISNUMBER(W99),IF('Scoring Setup'!$L$9=1,1-'Scoring Setup'!$B$5*(1-MAX(0,MIN(1,(W99-'Scoring Setup'!$K$9)/(100-'Scoring Setup'!$K$9)))),1),"")</x:f>
        <x:v>0.8228571428571428</x:v>
      </x:c>
      <x:c r="AP99" s="27" t="n">
        <x:f>IF(ISNUMBER(X99),IF('Scoring Setup'!$L$10=1,1-'Scoring Setup'!$B$5*(1-MAX(0,MIN(1,(X99-'Scoring Setup'!$K$10)/(100-'Scoring Setup'!$K$10)))),1),"")</x:f>
        <x:v>0.9971004243281472</x:v>
      </x:c>
      <x:c r="AQ99" s="27" t="n">
        <x:f>IF(ISNUMBER(Y99),IF('Scoring Setup'!$L$11=1,1-'Scoring Setup'!$B$5*(1-MAX(0,MIN(1,(Y99-'Scoring Setup'!$K$11)/(100-'Scoring Setup'!$K$11)))),1),"")</x:f>
        <x:v>1</x:v>
      </x:c>
      <x:c r="AR99" s="27" t="n">
        <x:f>IF(ISNUMBER(Z99),IF('Scoring Setup'!$L$12=1,1-'Scoring Setup'!$B$5*(1-MAX(0,MIN(1,(Z99-'Scoring Setup'!$K$12)/(100-'Scoring Setup'!$K$12)))),1),"")</x:f>
        <x:v>1</x:v>
      </x:c>
      <x:c r="AS99" s="27" t="n">
        <x:f>IF(ISNUMBER(AA99),IF('Scoring Setup'!$L$13=1,1-'Scoring Setup'!$B$5*(1-MAX(0,MIN(1,(AA99-'Scoring Setup'!$K$13)/(100-'Scoring Setup'!$K$13)))),1),"")</x:f>
        <x:v>0.9945839347172202</x:v>
      </x:c>
      <x:c r="AT99" s="27" t="n">
        <x:f>IF(ISNUMBER(AB99),IF('Scoring Setup'!$L$14=1,1-'Scoring Setup'!$B$5*(1-MAX(0,MIN(1,(AB99-'Scoring Setup'!$K$14)/(100-'Scoring Setup'!$K$14)))),1),"")</x:f>
        <x:v>0.8</x:v>
      </x:c>
      <x:c r="AU99" s="27" t="n">
        <x:f>IF(ISNUMBER(AC99),IF('Scoring Setup'!$L$15=1,1-'Scoring Setup'!$B$5*(1-MAX(0,MIN(1,(AC99-'Scoring Setup'!$K$15)/(100-'Scoring Setup'!$K$15)))),1),"")</x:f>
        <x:v>0.8</x:v>
      </x:c>
      <x:c r="AV99" s="27" t="n">
        <x:f>IF(ISNUMBER(AD99),IF('Scoring Setup'!$L$16=1,1-'Scoring Setup'!$B$5*(1-MAX(0,MIN(1,(AD99-'Scoring Setup'!$K$16)/(100-'Scoring Setup'!$K$16)))),1),"")</x:f>
        <x:v>0.8712274691428572</x:v>
      </x:c>
      <x:c r="AW99" s="27" t="n">
        <x:f>IF(ISNUMBER(AE99),IF('Scoring Setup'!$L$17=1,1-'Scoring Setup'!$B$5*(1-MAX(0,MIN(1,(AE99-'Scoring Setup'!$K$17)/(100-'Scoring Setup'!$K$17)))),1),"")</x:f>
        <x:v>0.8873240355</x:v>
      </x:c>
      <x:c r="AX99" s="27" t="n">
        <x:f>IF(ISNUMBER(AF99),IF('Scoring Setup'!$L$18=1,1-'Scoring Setup'!$B$5*(1-MAX(0,MIN(1,(AF99-'Scoring Setup'!$K$18)/(100-'Scoring Setup'!$K$18)))),1),"")</x:f>
        <x:v>0.8437246313225237</x:v>
      </x:c>
      <x:c r="AY99" s="27" t="n">
        <x:f>IF(ISNUMBER(AG99),IF('Scoring Setup'!$L$19=1,1-'Scoring Setup'!$B$5*(1-MAX(0,MIN(1,(AG99-'Scoring Setup'!$K$19)/(100-'Scoring Setup'!$K$19)))),1),"")</x:f>
        <x:v>0.8533777777777778</x:v>
      </x:c>
      <x:c r="AZ99" s="27" t="n">
        <x:f>IF(ISNUMBER(AH99),IF('Scoring Setup'!$L$20=1,1-'Scoring Setup'!$B$5*(1-MAX(0,MIN(1,(AH99-'Scoring Setup'!$K$20)/(100-'Scoring Setup'!$K$20)))),1),"")</x:f>
        <x:v>0.8</x:v>
      </x:c>
      <x:c r="BA99" s="27" t="n">
        <x:f>IF(ISNUMBER(AI99),IF('Scoring Setup'!$L$21=1,1-'Scoring Setup'!$B$5*(1-MAX(0,MIN(1,(AI99-'Scoring Setup'!$K$21)/(100-'Scoring Setup'!$K$21)))),1),"")</x:f>
        <x:v>0.8739430324009487</x:v>
      </x:c>
      <x:c r="BB99" s="27" t="n">
        <x:f>IF(ISNUMBER(AJ99),IF('Scoring Setup'!$L$22=1,1-'Scoring Setup'!$B$5*(1-MAX(0,MIN(1,(AJ99-'Scoring Setup'!$K$22)/(100-'Scoring Setup'!$K$22)))),1),"")</x:f>
        <x:v>0.9906722036969652</x:v>
      </x:c>
      <x:c r="BC99" s="27" t="n">
        <x:f>IF(ISNUMBER(AK99),IF('Scoring Setup'!$L$23=1,1-'Scoring Setup'!$B$5*(1-MAX(0,MIN(1,(AK99-'Scoring Setup'!$K$23)/(100-'Scoring Setup'!$K$23)))),1),"")</x:f>
        <x:v>0.8</x:v>
      </x:c>
      <x:c r="BD99" s="27" t="n">
        <x:f>IF(ISNUMBER(AL99),IF('Scoring Setup'!$L$24=1,1-'Scoring Setup'!$B$5*(1-MAX(0,MIN(1,(AL99-'Scoring Setup'!$K$24)/(100-'Scoring Setup'!$K$24)))),1),"")</x:f>
        <x:v>0.9741818181818181</x:v>
      </x:c>
      <x:c r="BE99" s="27" t="n">
        <x:f>IF(ISNUMBER(AM99),IF('Scoring Setup'!$L$25=1,1-'Scoring Setup'!$B$5*(1-MAX(0,MIN(1,(AM99-'Scoring Setup'!$K$25)/(100-'Scoring Setup'!$K$25)))),1),"")</x:f>
        <x:v>0.8885845218271159</x:v>
      </x:c>
      <x:c r="BF99" s="27" t="n">
        <x:f>IF(ISNUMBER(AN99),IF('Scoring Setup'!$L$26=1,1-'Scoring Setup'!$B$5*(1-MAX(0,MIN(1,(AN99-'Scoring Setup'!$K$26)/(100-'Scoring Setup'!$K$26)))),1),"")</x:f>
        <x:v>0.937286211052675</x:v>
      </x:c>
      <x:c r="BG99" s="34" t="n">
        <x:f>IF(COUNT(W99,X99)=2,AVERAGE(W99,X99),"")</x:f>
        <x:v>54.98939179632251</x:v>
      </x:c>
      <x:c r="BH99" s="34" t="n">
        <x:f>IF(COUNT(Y99,Z99)=2,AVERAGE(Y99,Z99),"")</x:f>
        <x:v>100</x:v>
      </x:c>
      <x:c r="BI99" s="34" t="n">
        <x:f>IF(COUNT(AA99,AB99,AC99)=3,AVERAGE(AA99,AB99,AC99),"")</x:f>
        <x:v>32.43065578620336</x:v>
      </x:c>
      <x:c r="BJ99" s="34" t="n">
        <x:f>IF(COUNT(AD99,AE99)=2,AVERAGE(AD99,AE99),"")</x:f>
        <x:v>39.637876160714285</x:v>
      </x:c>
      <x:c r="BK99" s="34" t="n">
        <x:f>IF(COUNT(AF99,AG99)=2,AVERAGE(AF99,AG99),"")</x:f>
        <x:v>24.275602275075364</x:v>
      </x:c>
      <x:c r="BL99" s="34" t="n">
        <x:f>IF(COUNT(AH99,AI99)=2,AVERAGE(AH99,AI99),"")</x:f>
        <x:v>18.485758100237167</x:v>
      </x:c>
      <x:c r="BM99" s="34" t="n">
        <x:f>IF(COUNT(AJ99,AK99)=2,AVERAGE(AJ99,AK99),"")</x:f>
        <x:v>47.66805092424129</x:v>
      </x:c>
      <x:c r="BN99" s="34" t="n">
        <x:f>IF(COUNT(AL99,AM99,AN99)=3,AVERAGE(AL99,AM99,AN99),"")</x:f>
        <x:v>66.67542517693484</x:v>
      </x:c>
      <x:c r="BO99" s="35" t="n">
        <x:f>IF(AND(COUNT(BG99:BN99)=8,ABS('Scoring Setup'!$C$17-1)&lt;0.000001),BG99*'Scoring Setup'!$C$9+BH99*'Scoring Setup'!$C$10+BI99*'Scoring Setup'!$C$11+BJ99*'Scoring Setup'!$C$12+BK99*'Scoring Setup'!$C$13+BL99*'Scoring Setup'!$C$14+BM99*'Scoring Setup'!$C$15+BN99*'Scoring Setup'!$C$16,"")</x:f>
        <x:v>58.44367060613593</x:v>
      </x:c>
      <x:c r="BP99" s="36" t="n">
        <x:f>IF(COUNT(AO99:BF99)=18,MIN(AO99:BF99),"")</x:f>
        <x:v>0.8</x:v>
      </x:c>
      <x:c r="BQ99" s="35" t="n">
        <x:f>IF(AND(ISNUMBER(BO99),ISNUMBER(BP99)),BO99*BP99,"")</x:f>
        <x:v>46.75493648490875</x:v>
      </x:c>
      <x:c r="BR99" s="17" t="str">
        <x:f>IF(COUNT(AO99:BF99)=18,INDEX('Scoring Setup'!$F$9:$F$26,MATCH(MIN(AO99:BF99),AO99:BF99,0),1),"")</x:f>
        <x:v>GAP1/2保护地比例</x:v>
      </x:c>
    </x:row>
    <x:row r="100">
      <x:c r="A100" s="28" t="str">
        <x:v>13193</x:v>
      </x:c>
      <x:c r="B100" s="28" t="str">
        <x:v>Macon County</x:v>
      </x:c>
      <x:c r="C100" s="28" t="str">
        <x:v>GA</x:v>
      </x:c>
      <x:c r="D100" s="31" t="n">
        <x:v>1037.709939</x:v>
      </x:c>
      <x:c r="E100" s="32" t="n">
        <x:v>0.518</x:v>
      </x:c>
      <x:c r="F100" s="32" t="n">
        <x:v>0.603032178217822</x:v>
      </x:c>
      <x:c r="G100" s="32" t="n">
        <x:v>1.2632656329353866</x:v>
      </x:c>
      <x:c r="H100" s="32" t="n">
        <x:v>1.2256087960412125</x:v>
      </x:c>
      <x:c r="I100" s="32" t="n">
        <x:v>0.9455378805978646</x:v>
      </x:c>
      <x:c r="J100" s="32" t="n">
        <x:v>0.003101094271021436</x:v>
      </x:c>
      <x:c r="K100" s="32" t="n">
        <x:v>0.17610249501247635</x:v>
      </x:c>
      <x:c r="L100" s="32" t="n">
        <x:v>0.76056338</x:v>
      </x:c>
      <x:c r="M100" s="32" t="n">
        <x:v>0.76056338</x:v>
      </x:c>
      <x:c r="N100" s="32" t="n">
        <x:v>4172</x:v>
      </x:c>
      <x:c r="O100" s="32" t="n">
        <x:v>0.9866</x:v>
      </x:c>
      <x:c r="P100" s="32" t="n">
        <x:v>1984.881925455729</x:v>
      </x:c>
      <x:c r="Q100" s="32" t="n">
        <x:v>61.708170827229814</x:v>
      </x:c>
      <x:c r="R100" s="32" t="n">
        <x:v>26.607121789704006</x:v>
      </x:c>
      <x:c r="S100" s="32" t="n">
        <x:v>4.711506644452833</x:v>
      </x:c>
      <x:c r="T100" s="32" t="n">
        <x:v>72.1</x:v>
      </x:c>
      <x:c r="U100" s="32" t="n">
        <x:v>211.4154781728841</x:v>
      </x:c>
      <x:c r="V100" s="32" t="n">
        <x:v>325.42757789465</x:v>
      </x:c>
      <x:c r="W100" s="33" t="n">
        <x:f>IF(ISNUMBER(E100),100*MAX(0,MIN(1,('Anchors'!$H$6-E100)/('Anchors'!$H$6-'Anchors'!$G$6))),"")</x:f>
        <x:v>54.57142857142857</x:v>
      </x:c>
      <x:c r="X100" s="33" t="n">
        <x:f>IF(ISNUMBER(F100),100*MAX(0,MIN(1,('Anchors'!$H$7-F100)/('Anchors'!$H$7-'Anchors'!$G$7))),"")</x:f>
        <x:v>28.13826025459687</x:v>
      </x:c>
      <x:c r="Y100" s="33" t="n">
        <x:f>IF(ISNUMBER(G100),100*MAX(0,MIN(1,('Anchors'!$H$8-G100)/('Anchors'!$H$8-'Anchors'!$G$8))),"")</x:f>
        <x:v>91.22447890215378</x:v>
      </x:c>
      <x:c r="Z100" s="33" t="n">
        <x:f>IF(ISNUMBER(H100),100*MAX(0,MIN(1,('Anchors'!$H$9-H100)/('Anchors'!$H$9-'Anchors'!$G$9))),"")</x:f>
        <x:v>92.47970679862624</x:v>
      </x:c>
      <x:c r="AA100" s="33" t="n">
        <x:f>IF(ISNUMBER(I100),100*MAX(0,MIN(1,(I100-'Anchors'!$H$10)/('Anchors'!$G$10-'Anchors'!$H$10))),"")</x:f>
        <x:v>95.27916172573487</x:v>
      </x:c>
      <x:c r="AB100" s="33" t="n">
        <x:f>IF(ISNUMBER(J100),100*MAX(0,MIN(1,('Anchors'!$H$11-J100)/('Anchors'!$H$11-'Anchors'!$G$11))),"")</x:f>
        <x:v>98.75956229159144</x:v>
      </x:c>
      <x:c r="AC100" s="33" t="n">
        <x:f>IF(ISNUMBER(K100),100*MAX(0,MIN(1,('Anchors'!$H$12-K100)/('Anchors'!$H$12-'Anchors'!$G$12))),"")</x:f>
        <x:v>55.97437624688092</x:v>
      </x:c>
      <x:c r="AD100" s="33" t="n">
        <x:f>IF(ISNUMBER(L100),100*MAX(0,MIN(1,(L100-'Anchors'!$H$13)/('Anchors'!$G$13-'Anchors'!$H$13))),"")</x:f>
        <x:v>80.08048285714287</x:v>
      </x:c>
      <x:c r="AE100" s="33" t="n">
        <x:f>IF(ISNUMBER(M100),100*MAX(0,MIN(1,(M100-'Anchors'!$H$14)/('Anchors'!$G$14-'Anchors'!$H$14))),"")</x:f>
        <x:v>82.57042249999999</x:v>
      </x:c>
      <x:c r="AF100" s="33" t="n">
        <x:f>IF(ISNUMBER(N100),100*MAX(0,MIN(1,(LN(1+N100)-LN(1+'Anchors'!$H$15))/(LN(1+'Anchors'!$G$15)-LN(1+'Anchors'!$H$15)))),"")</x:f>
        <x:v>17.02545780475355</x:v>
      </x:c>
      <x:c r="AG100" s="33" t="n">
        <x:f>IF(ISNUMBER(O100),100*MAX(0,MIN(1,('Anchors'!$H$16-O100)/('Anchors'!$H$16-'Anchors'!$G$16))),"")</x:f>
        <x:v>0</x:v>
      </x:c>
      <x:c r="AH100" s="33" t="n">
        <x:f>IF(ISNUMBER(P100),100*MAX(0,MIN(1,('Anchors'!$H$17-P100)/('Anchors'!$H$17-'Anchors'!$G$17))),"")</x:f>
        <x:v>14.341204969618063</x:v>
      </x:c>
      <x:c r="AI100" s="33" t="n">
        <x:f>IF(ISNUMBER(Q100),100*MAX(0,MIN(1,('Anchors'!$H$18-Q100)/('Anchors'!$H$18-'Anchors'!$G$18))),"")</x:f>
        <x:v>18.988327389671696</x:v>
      </x:c>
      <x:c r="AJ100" s="33" t="n">
        <x:f>IF(ISNUMBER(R100),100*MAX(0,MIN(1,('Anchors'!$H$19-R100)/('Anchors'!$H$19-'Anchors'!$G$19))),"")</x:f>
        <x:v>51.984173800657764</x:v>
      </x:c>
      <x:c r="AK100" s="33" t="n">
        <x:f>IF(ISNUMBER(S100),100*MAX(0,MIN(1,('Anchors'!$H$20-S100)/('Anchors'!$H$20-'Anchors'!$G$20))),"")</x:f>
        <x:v>80.46575450287983</x:v>
      </x:c>
      <x:c r="AL100" s="33" t="n">
        <x:f>IF(ISNUMBER(T100),100*MAX(0,MIN(1,('Anchors'!$H$21-T100)/('Anchors'!$H$21-'Anchors'!$G$21))),"")</x:f>
        <x:v>87.0909090909091</x:v>
      </x:c>
      <x:c r="AM100" s="33" t="n">
        <x:f>IF(ISNUMBER(U100),100*MAX(0,MIN(1,('Anchors'!$H$22-U100)/('Anchors'!$H$22-'Anchors'!$G$22))),"")</x:f>
        <x:v>44.29226091355795</x:v>
      </x:c>
      <x:c r="AN100" s="33" t="n">
        <x:f>IF(ISNUMBER(V100),100*MAX(0,MIN(1,('Anchors'!$H$23-V100)/('Anchors'!$H$23-'Anchors'!$G$23))),"")</x:f>
        <x:v>68.6431055263375</x:v>
      </x:c>
      <x:c r="AO100" s="27" t="n">
        <x:f>IF(ISNUMBER(W100),IF('Scoring Setup'!$L$9=1,1-'Scoring Setup'!$B$5*(1-MAX(0,MIN(1,(W100-'Scoring Setup'!$K$9)/(100-'Scoring Setup'!$K$9)))),1),"")</x:f>
        <x:v>0.9091428571428571</x:v>
      </x:c>
      <x:c r="AP100" s="27" t="n">
        <x:f>IF(ISNUMBER(X100),IF('Scoring Setup'!$L$10=1,1-'Scoring Setup'!$B$5*(1-MAX(0,MIN(1,(X100-'Scoring Setup'!$K$10)/(100-'Scoring Setup'!$K$10)))),1),"")</x:f>
        <x:v>0.8562765205091938</x:v>
      </x:c>
      <x:c r="AQ100" s="27" t="n">
        <x:f>IF(ISNUMBER(Y100),IF('Scoring Setup'!$L$11=1,1-'Scoring Setup'!$B$5*(1-MAX(0,MIN(1,(Y100-'Scoring Setup'!$K$11)/(100-'Scoring Setup'!$K$11)))),1),"")</x:f>
        <x:v>0.9824489578043075</x:v>
      </x:c>
      <x:c r="AR100" s="27" t="n">
        <x:f>IF(ISNUMBER(Z100),IF('Scoring Setup'!$L$12=1,1-'Scoring Setup'!$B$5*(1-MAX(0,MIN(1,(Z100-'Scoring Setup'!$K$12)/(100-'Scoring Setup'!$K$12)))),1),"")</x:f>
        <x:v>0.9849594135972525</x:v>
      </x:c>
      <x:c r="AS100" s="27" t="n">
        <x:f>IF(ISNUMBER(AA100),IF('Scoring Setup'!$L$13=1,1-'Scoring Setup'!$B$5*(1-MAX(0,MIN(1,(AA100-'Scoring Setup'!$K$13)/(100-'Scoring Setup'!$K$13)))),1),"")</x:f>
        <x:v>0.9905583234514698</x:v>
      </x:c>
      <x:c r="AT100" s="27" t="n">
        <x:f>IF(ISNUMBER(AB100),IF('Scoring Setup'!$L$14=1,1-'Scoring Setup'!$B$5*(1-MAX(0,MIN(1,(AB100-'Scoring Setup'!$K$14)/(100-'Scoring Setup'!$K$14)))),1),"")</x:f>
        <x:v>0.9975191245831829</x:v>
      </x:c>
      <x:c r="AU100" s="27" t="n">
        <x:f>IF(ISNUMBER(AC100),IF('Scoring Setup'!$L$15=1,1-'Scoring Setup'!$B$5*(1-MAX(0,MIN(1,(AC100-'Scoring Setup'!$K$15)/(100-'Scoring Setup'!$K$15)))),1),"")</x:f>
        <x:v>0.9119487524937618</x:v>
      </x:c>
      <x:c r="AV100" s="27" t="n">
        <x:f>IF(ISNUMBER(AD100),IF('Scoring Setup'!$L$16=1,1-'Scoring Setup'!$B$5*(1-MAX(0,MIN(1,(AD100-'Scoring Setup'!$K$16)/(100-'Scoring Setup'!$K$16)))),1),"")</x:f>
        <x:v>0.9601609657142858</x:v>
      </x:c>
      <x:c r="AW100" s="27" t="n">
        <x:f>IF(ISNUMBER(AE100),IF('Scoring Setup'!$L$17=1,1-'Scoring Setup'!$B$5*(1-MAX(0,MIN(1,(AE100-'Scoring Setup'!$K$17)/(100-'Scoring Setup'!$K$17)))),1),"")</x:f>
        <x:v>0.965140845</x:v>
      </x:c>
      <x:c r="AX100" s="27" t="n">
        <x:f>IF(ISNUMBER(AF100),IF('Scoring Setup'!$L$18=1,1-'Scoring Setup'!$B$5*(1-MAX(0,MIN(1,(AF100-'Scoring Setup'!$K$18)/(100-'Scoring Setup'!$K$18)))),1),"")</x:f>
        <x:v>0.8340509156095071</x:v>
      </x:c>
      <x:c r="AY100" s="27" t="n">
        <x:f>IF(ISNUMBER(AG100),IF('Scoring Setup'!$L$19=1,1-'Scoring Setup'!$B$5*(1-MAX(0,MIN(1,(AG100-'Scoring Setup'!$K$19)/(100-'Scoring Setup'!$K$19)))),1),"")</x:f>
        <x:v>0.8</x:v>
      </x:c>
      <x:c r="AZ100" s="27" t="n">
        <x:f>IF(ISNUMBER(AH100),IF('Scoring Setup'!$L$20=1,1-'Scoring Setup'!$B$5*(1-MAX(0,MIN(1,(AH100-'Scoring Setup'!$K$20)/(100-'Scoring Setup'!$K$20)))),1),"")</x:f>
        <x:v>0.8286824099392361</x:v>
      </x:c>
      <x:c r="BA100" s="27" t="n">
        <x:f>IF(ISNUMBER(AI100),IF('Scoring Setup'!$L$21=1,1-'Scoring Setup'!$B$5*(1-MAX(0,MIN(1,(AI100-'Scoring Setup'!$K$21)/(100-'Scoring Setup'!$K$21)))),1),"")</x:f>
        <x:v>0.8379766547793434</x:v>
      </x:c>
      <x:c r="BB100" s="27" t="n">
        <x:f>IF(ISNUMBER(AJ100),IF('Scoring Setup'!$L$22=1,1-'Scoring Setup'!$B$5*(1-MAX(0,MIN(1,(AJ100-'Scoring Setup'!$K$22)/(100-'Scoring Setup'!$K$22)))),1),"")</x:f>
        <x:v>0.9039683476013155</x:v>
      </x:c>
      <x:c r="BC100" s="27" t="n">
        <x:f>IF(ISNUMBER(AK100),IF('Scoring Setup'!$L$23=1,1-'Scoring Setup'!$B$5*(1-MAX(0,MIN(1,(AK100-'Scoring Setup'!$K$23)/(100-'Scoring Setup'!$K$23)))),1),"")</x:f>
        <x:v>0.9609315090057596</x:v>
      </x:c>
      <x:c r="BD100" s="27" t="n">
        <x:f>IF(ISNUMBER(AL100),IF('Scoring Setup'!$L$24=1,1-'Scoring Setup'!$B$5*(1-MAX(0,MIN(1,(AL100-'Scoring Setup'!$K$24)/(100-'Scoring Setup'!$K$24)))),1),"")</x:f>
        <x:v>0.9741818181818181</x:v>
      </x:c>
      <x:c r="BE100" s="27" t="n">
        <x:f>IF(ISNUMBER(AM100),IF('Scoring Setup'!$L$25=1,1-'Scoring Setup'!$B$5*(1-MAX(0,MIN(1,(AM100-'Scoring Setup'!$K$25)/(100-'Scoring Setup'!$K$25)))),1),"")</x:f>
        <x:v>0.8885845218271159</x:v>
      </x:c>
      <x:c r="BF100" s="27" t="n">
        <x:f>IF(ISNUMBER(AN100),IF('Scoring Setup'!$L$26=1,1-'Scoring Setup'!$B$5*(1-MAX(0,MIN(1,(AN100-'Scoring Setup'!$K$26)/(100-'Scoring Setup'!$K$26)))),1),"")</x:f>
        <x:v>0.937286211052675</x:v>
      </x:c>
      <x:c r="BG100" s="34" t="n">
        <x:f>IF(COUNT(W100,X100)=2,AVERAGE(W100,X100),"")</x:f>
        <x:v>41.35484441301272</x:v>
      </x:c>
      <x:c r="BH100" s="34" t="n">
        <x:f>IF(COUNT(Y100,Z100)=2,AVERAGE(Y100,Z100),"")</x:f>
        <x:v>91.85209285039001</x:v>
      </x:c>
      <x:c r="BI100" s="34" t="n">
        <x:f>IF(COUNT(AA100,AB100,AC100)=3,AVERAGE(AA100,AB100,AC100),"")</x:f>
        <x:v>83.33770008806907</x:v>
      </x:c>
      <x:c r="BJ100" s="34" t="n">
        <x:f>IF(COUNT(AD100,AE100)=2,AVERAGE(AD100,AE100),"")</x:f>
        <x:v>81.32545267857142</x:v>
      </x:c>
      <x:c r="BK100" s="34" t="n">
        <x:f>IF(COUNT(AF100,AG100)=2,AVERAGE(AF100,AG100),"")</x:f>
        <x:v>8.512728902376775</x:v>
      </x:c>
      <x:c r="BL100" s="34" t="n">
        <x:f>IF(COUNT(AH100,AI100)=2,AVERAGE(AH100,AI100),"")</x:f>
        <x:v>16.66476617964488</x:v>
      </x:c>
      <x:c r="BM100" s="34" t="n">
        <x:f>IF(COUNT(AJ100,AK100)=2,AVERAGE(AJ100,AK100),"")</x:f>
        <x:v>66.2249641517688</x:v>
      </x:c>
      <x:c r="BN100" s="34" t="n">
        <x:f>IF(COUNT(AL100,AM100,AN100)=3,AVERAGE(AL100,AM100,AN100),"")</x:f>
        <x:v>66.67542517693484</x:v>
      </x:c>
      <x:c r="BO100" s="35" t="n">
        <x:f>IF(AND(COUNT(BG100:BN100)=8,ABS('Scoring Setup'!$C$17-1)&lt;0.000001),BG100*'Scoring Setup'!$C$9+BH100*'Scoring Setup'!$C$10+BI100*'Scoring Setup'!$C$11+BJ100*'Scoring Setup'!$C$12+BK100*'Scoring Setup'!$C$13+BL100*'Scoring Setup'!$C$14+BM100*'Scoring Setup'!$C$15+BN100*'Scoring Setup'!$C$16,"")</x:f>
        <x:v>63.97060524793214</x:v>
      </x:c>
      <x:c r="BP100" s="36" t="n">
        <x:f>IF(COUNT(AO100:BF100)=18,MIN(AO100:BF100),"")</x:f>
        <x:v>0.8</x:v>
      </x:c>
      <x:c r="BQ100" s="35" t="n">
        <x:f>IF(AND(ISNUMBER(BO100),ISNUMBER(BP100)),BO100*BP100,"")</x:f>
        <x:v>51.17648419834572</x:v>
      </x:c>
      <x:c r="BR100" s="17" t="str">
        <x:f>IF(COUNT(AO100:BF100)=18,INDEX('Scoring Setup'!$F$9:$F$26,MATCH(MIN(AO100:BF100),AO100:BF100,0),1),"")</x:f>
        <x:v>社会脆弱性百分位</x:v>
      </x:c>
    </x:row>
    <x:row r="101">
      <x:c r="A101" s="28" t="str">
        <x:v>13195</x:v>
      </x:c>
      <x:c r="B101" s="28" t="str">
        <x:v>Madison County</x:v>
      </x:c>
      <x:c r="C101" s="28" t="str">
        <x:v>GA</x:v>
      </x:c>
      <x:c r="D101" s="31" t="n">
        <x:v>731.214551</x:v>
      </x:c>
      <x:c r="E101" s="32" t="n">
        <x:v>0.546</x:v>
      </x:c>
      <x:c r="F101" s="32" t="n">
        <x:v>0.247524752475248</x:v>
      </x:c>
      <x:c r="G101" s="32" t="n">
        <x:v>2.875714755270377</x:v>
      </x:c>
      <x:c r="H101" s="32" t="n">
        <x:v>2.6795155593216986</x:v>
      </x:c>
      <x:c r="I101" s="32" t="n">
        <x:v>0.925714222658707</x:v>
      </x:c>
      <x:c r="J101" s="32" t="n">
        <x:v>0.0035860786165133334</x:v>
      </x:c>
      <x:c r="K101" s="32" t="n">
        <x:v>0.022627319284900693</x:v>
      </x:c>
      <x:c r="L101" s="32" t="n">
        <x:v>0.558660014</x:v>
      </x:c>
      <x:c r="M101" s="32" t="n">
        <x:v>0.558517463</x:v>
      </x:c>
      <x:c r="N101" s="32" t="n">
        <x:v>14373</x:v>
      </x:c>
      <x:c r="O101" s="32" t="n">
        <x:v>0.7423</x:v>
      </x:c>
      <x:c r="P101" s="32" t="n">
        <x:v>1553.5665568033853</x:v>
      </x:c>
      <x:c r="Q101" s="32" t="n">
        <x:v>39.24476699829101</x:v>
      </x:c>
      <x:c r="R101" s="32" t="n">
        <x:v>25.80059618487952</x:v>
      </x:c>
      <x:c r="S101" s="32" t="n">
        <x:v>8.591847192064229</x:v>
      </x:c>
      <x:c r="T101" s="32" t="n">
        <x:v>72.1</x:v>
      </x:c>
      <x:c r="U101" s="32" t="n">
        <x:v>211.4154781728841</x:v>
      </x:c>
      <x:c r="V101" s="32" t="n">
        <x:v>325.42757789465</x:v>
      </x:c>
      <x:c r="W101" s="33" t="n">
        <x:f>IF(ISNUMBER(E101),100*MAX(0,MIN(1,('Anchors'!$H$6-E101)/('Anchors'!$H$6-'Anchors'!$G$6))),"")</x:f>
        <x:v>50.57142857142857</x:v>
      </x:c>
      <x:c r="X101" s="33" t="n">
        <x:f>IF(ISNUMBER(F101),100*MAX(0,MIN(1,('Anchors'!$H$7-F101)/('Anchors'!$H$7-'Anchors'!$G$7))),"")</x:f>
        <x:v>78.92503536067886</x:v>
      </x:c>
      <x:c r="Y101" s="33" t="n">
        <x:f>IF(ISNUMBER(G101),100*MAX(0,MIN(1,('Anchors'!$H$8-G101)/('Anchors'!$H$8-'Anchors'!$G$8))),"")</x:f>
        <x:v>37.47617482432077</x:v>
      </x:c>
      <x:c r="Z101" s="33" t="n">
        <x:f>IF(ISNUMBER(H101),100*MAX(0,MIN(1,('Anchors'!$H$9-H101)/('Anchors'!$H$9-'Anchors'!$G$9))),"")</x:f>
        <x:v>44.01614802261005</x:v>
      </x:c>
      <x:c r="AA101" s="33" t="n">
        <x:f>IF(ISNUMBER(I101),100*MAX(0,MIN(1,(I101-'Anchors'!$H$10)/('Anchors'!$G$10-'Anchors'!$H$10))),"")</x:f>
        <x:v>92.56359214502835</x:v>
      </x:c>
      <x:c r="AB101" s="33" t="n">
        <x:f>IF(ISNUMBER(J101),100*MAX(0,MIN(1,('Anchors'!$H$11-J101)/('Anchors'!$H$11-'Anchors'!$G$11))),"")</x:f>
        <x:v>98.56556855339467</x:v>
      </x:c>
      <x:c r="AC101" s="33" t="n">
        <x:f>IF(ISNUMBER(K101),100*MAX(0,MIN(1,('Anchors'!$H$12-K101)/('Anchors'!$H$12-'Anchors'!$G$12))),"")</x:f>
        <x:v>94.34317017877483</x:v>
      </x:c>
      <x:c r="AD101" s="33" t="n">
        <x:f>IF(ISNUMBER(L101),100*MAX(0,MIN(1,(L101-'Anchors'!$H$13)/('Anchors'!$G$13-'Anchors'!$H$13))),"")</x:f>
        <x:v>51.23714485714286</x:v>
      </x:c>
      <x:c r="AE101" s="33" t="n">
        <x:f>IF(ISNUMBER(M101),100*MAX(0,MIN(1,(M101-'Anchors'!$H$14)/('Anchors'!$G$14-'Anchors'!$H$14))),"")</x:f>
        <x:v>57.314682875</x:v>
      </x:c>
      <x:c r="AF101" s="33" t="n">
        <x:f>IF(ISNUMBER(N101),100*MAX(0,MIN(1,(LN(1+N101)-LN(1+'Anchors'!$H$15))/(LN(1+'Anchors'!$G$15)-LN(1+'Anchors'!$H$15)))),"")</x:f>
        <x:v>45.67468822113699</x:v>
      </x:c>
      <x:c r="AG101" s="33" t="n">
        <x:f>IF(ISNUMBER(O101),100*MAX(0,MIN(1,('Anchors'!$H$16-O101)/('Anchors'!$H$16-'Anchors'!$G$16))),"")</x:f>
        <x:v>23.07777777777778</x:v>
      </x:c>
      <x:c r="AH101" s="33" t="n">
        <x:f>IF(ISNUMBER(P101),100*MAX(0,MIN(1,('Anchors'!$H$17-P101)/('Anchors'!$H$17-'Anchors'!$G$17))),"")</x:f>
        <x:v>43.09556287977431</x:v>
      </x:c>
      <x:c r="AI101" s="33" t="n">
        <x:f>IF(ISNUMBER(Q101),100*MAX(0,MIN(1,('Anchors'!$H$18-Q101)/('Anchors'!$H$18-'Anchors'!$G$18))),"")</x:f>
        <x:v>51.07890428815569</x:v>
      </x:c>
      <x:c r="AJ101" s="33" t="n">
        <x:f>IF(ISNUMBER(R101),100*MAX(0,MIN(1,('Anchors'!$H$19-R101)/('Anchors'!$H$19-'Anchors'!$G$19))),"")</x:f>
        <x:v>53.77645292248996</x:v>
      </x:c>
      <x:c r="AK101" s="33" t="n">
        <x:f>IF(ISNUMBER(S101),100*MAX(0,MIN(1,('Anchors'!$H$20-S101)/('Anchors'!$H$20-'Anchors'!$G$20))),"")</x:f>
        <x:v>60.04290951545143</x:v>
      </x:c>
      <x:c r="AL101" s="33" t="n">
        <x:f>IF(ISNUMBER(T101),100*MAX(0,MIN(1,('Anchors'!$H$21-T101)/('Anchors'!$H$21-'Anchors'!$G$21))),"")</x:f>
        <x:v>87.0909090909091</x:v>
      </x:c>
      <x:c r="AM101" s="33" t="n">
        <x:f>IF(ISNUMBER(U101),100*MAX(0,MIN(1,('Anchors'!$H$22-U101)/('Anchors'!$H$22-'Anchors'!$G$22))),"")</x:f>
        <x:v>44.29226091355795</x:v>
      </x:c>
      <x:c r="AN101" s="33" t="n">
        <x:f>IF(ISNUMBER(V101),100*MAX(0,MIN(1,('Anchors'!$H$23-V101)/('Anchors'!$H$23-'Anchors'!$G$23))),"")</x:f>
        <x:v>68.6431055263375</x:v>
      </x:c>
      <x:c r="AO101" s="27" t="n">
        <x:f>IF(ISNUMBER(W101),IF('Scoring Setup'!$L$9=1,1-'Scoring Setup'!$B$5*(1-MAX(0,MIN(1,(W101-'Scoring Setup'!$K$9)/(100-'Scoring Setup'!$K$9)))),1),"")</x:f>
        <x:v>0.9011428571428571</x:v>
      </x:c>
      <x:c r="AP101" s="27" t="n">
        <x:f>IF(ISNUMBER(X101),IF('Scoring Setup'!$L$10=1,1-'Scoring Setup'!$B$5*(1-MAX(0,MIN(1,(X101-'Scoring Setup'!$K$10)/(100-'Scoring Setup'!$K$10)))),1),"")</x:f>
        <x:v>0.9578500707213577</x:v>
      </x:c>
      <x:c r="AQ101" s="27" t="n">
        <x:f>IF(ISNUMBER(Y101),IF('Scoring Setup'!$L$11=1,1-'Scoring Setup'!$B$5*(1-MAX(0,MIN(1,(Y101-'Scoring Setup'!$K$11)/(100-'Scoring Setup'!$K$11)))),1),"")</x:f>
        <x:v>0.8749523496486415</x:v>
      </x:c>
      <x:c r="AR101" s="27" t="n">
        <x:f>IF(ISNUMBER(Z101),IF('Scoring Setup'!$L$12=1,1-'Scoring Setup'!$B$5*(1-MAX(0,MIN(1,(Z101-'Scoring Setup'!$K$12)/(100-'Scoring Setup'!$K$12)))),1),"")</x:f>
        <x:v>0.88803229604522</x:v>
      </x:c>
      <x:c r="AS101" s="27" t="n">
        <x:f>IF(ISNUMBER(AA101),IF('Scoring Setup'!$L$13=1,1-'Scoring Setup'!$B$5*(1-MAX(0,MIN(1,(AA101-'Scoring Setup'!$K$13)/(100-'Scoring Setup'!$K$13)))),1),"")</x:f>
        <x:v>0.9851271842900567</x:v>
      </x:c>
      <x:c r="AT101" s="27" t="n">
        <x:f>IF(ISNUMBER(AB101),IF('Scoring Setup'!$L$14=1,1-'Scoring Setup'!$B$5*(1-MAX(0,MIN(1,(AB101-'Scoring Setup'!$K$14)/(100-'Scoring Setup'!$K$14)))),1),"")</x:f>
        <x:v>0.9971311371067894</x:v>
      </x:c>
      <x:c r="AU101" s="27" t="n">
        <x:f>IF(ISNUMBER(AC101),IF('Scoring Setup'!$L$15=1,1-'Scoring Setup'!$B$5*(1-MAX(0,MIN(1,(AC101-'Scoring Setup'!$K$15)/(100-'Scoring Setup'!$K$15)))),1),"")</x:f>
        <x:v>0.9886863403575497</x:v>
      </x:c>
      <x:c r="AV101" s="27" t="n">
        <x:f>IF(ISNUMBER(AD101),IF('Scoring Setup'!$L$16=1,1-'Scoring Setup'!$B$5*(1-MAX(0,MIN(1,(AD101-'Scoring Setup'!$K$16)/(100-'Scoring Setup'!$K$16)))),1),"")</x:f>
        <x:v>0.9024742897142857</x:v>
      </x:c>
      <x:c r="AW101" s="27" t="n">
        <x:f>IF(ISNUMBER(AE101),IF('Scoring Setup'!$L$17=1,1-'Scoring Setup'!$B$5*(1-MAX(0,MIN(1,(AE101-'Scoring Setup'!$K$17)/(100-'Scoring Setup'!$K$17)))),1),"")</x:f>
        <x:v>0.91462936575</x:v>
      </x:c>
      <x:c r="AX101" s="27" t="n">
        <x:f>IF(ISNUMBER(AF101),IF('Scoring Setup'!$L$18=1,1-'Scoring Setup'!$B$5*(1-MAX(0,MIN(1,(AF101-'Scoring Setup'!$K$18)/(100-'Scoring Setup'!$K$18)))),1),"")</x:f>
        <x:v>0.891349376442274</x:v>
      </x:c>
      <x:c r="AY101" s="27" t="n">
        <x:f>IF(ISNUMBER(AG101),IF('Scoring Setup'!$L$19=1,1-'Scoring Setup'!$B$5*(1-MAX(0,MIN(1,(AG101-'Scoring Setup'!$K$19)/(100-'Scoring Setup'!$K$19)))),1),"")</x:f>
        <x:v>0.8461555555555555</x:v>
      </x:c>
      <x:c r="AZ101" s="27" t="n">
        <x:f>IF(ISNUMBER(AH101),IF('Scoring Setup'!$L$20=1,1-'Scoring Setup'!$B$5*(1-MAX(0,MIN(1,(AH101-'Scoring Setup'!$K$20)/(100-'Scoring Setup'!$K$20)))),1),"")</x:f>
        <x:v>0.8861911257595486</x:v>
      </x:c>
      <x:c r="BA101" s="27" t="n">
        <x:f>IF(ISNUMBER(AI101),IF('Scoring Setup'!$L$21=1,1-'Scoring Setup'!$B$5*(1-MAX(0,MIN(1,(AI101-'Scoring Setup'!$K$21)/(100-'Scoring Setup'!$K$21)))),1),"")</x:f>
        <x:v>0.9021578085763113</x:v>
      </x:c>
      <x:c r="BB101" s="27" t="n">
        <x:f>IF(ISNUMBER(AJ101),IF('Scoring Setup'!$L$22=1,1-'Scoring Setup'!$B$5*(1-MAX(0,MIN(1,(AJ101-'Scoring Setup'!$K$22)/(100-'Scoring Setup'!$K$22)))),1),"")</x:f>
        <x:v>0.9075529058449799</x:v>
      </x:c>
      <x:c r="BC101" s="27" t="n">
        <x:f>IF(ISNUMBER(AK101),IF('Scoring Setup'!$L$23=1,1-'Scoring Setup'!$B$5*(1-MAX(0,MIN(1,(AK101-'Scoring Setup'!$K$23)/(100-'Scoring Setup'!$K$23)))),1),"")</x:f>
        <x:v>0.9200858190309028</x:v>
      </x:c>
      <x:c r="BD101" s="27" t="n">
        <x:f>IF(ISNUMBER(AL101),IF('Scoring Setup'!$L$24=1,1-'Scoring Setup'!$B$5*(1-MAX(0,MIN(1,(AL101-'Scoring Setup'!$K$24)/(100-'Scoring Setup'!$K$24)))),1),"")</x:f>
        <x:v>0.9741818181818181</x:v>
      </x:c>
      <x:c r="BE101" s="27" t="n">
        <x:f>IF(ISNUMBER(AM101),IF('Scoring Setup'!$L$25=1,1-'Scoring Setup'!$B$5*(1-MAX(0,MIN(1,(AM101-'Scoring Setup'!$K$25)/(100-'Scoring Setup'!$K$25)))),1),"")</x:f>
        <x:v>0.8885845218271159</x:v>
      </x:c>
      <x:c r="BF101" s="27" t="n">
        <x:f>IF(ISNUMBER(AN101),IF('Scoring Setup'!$L$26=1,1-'Scoring Setup'!$B$5*(1-MAX(0,MIN(1,(AN101-'Scoring Setup'!$K$26)/(100-'Scoring Setup'!$K$26)))),1),"")</x:f>
        <x:v>0.937286211052675</x:v>
      </x:c>
      <x:c r="BG101" s="34" t="n">
        <x:f>IF(COUNT(W101,X101)=2,AVERAGE(W101,X101),"")</x:f>
        <x:v>64.74823196605371</x:v>
      </x:c>
      <x:c r="BH101" s="34" t="n">
        <x:f>IF(COUNT(Y101,Z101)=2,AVERAGE(Y101,Z101),"")</x:f>
        <x:v>40.74616142346541</x:v>
      </x:c>
      <x:c r="BI101" s="34" t="n">
        <x:f>IF(COUNT(AA101,AB101,AC101)=3,AVERAGE(AA101,AB101,AC101),"")</x:f>
        <x:v>95.15744362573263</x:v>
      </x:c>
      <x:c r="BJ101" s="34" t="n">
        <x:f>IF(COUNT(AD101,AE101)=2,AVERAGE(AD101,AE101),"")</x:f>
        <x:v>54.275913866071434</x:v>
      </x:c>
      <x:c r="BK101" s="34" t="n">
        <x:f>IF(COUNT(AF101,AG101)=2,AVERAGE(AF101,AG101),"")</x:f>
        <x:v>34.376232999457386</x:v>
      </x:c>
      <x:c r="BL101" s="34" t="n">
        <x:f>IF(COUNT(AH101,AI101)=2,AVERAGE(AH101,AI101),"")</x:f>
        <x:v>47.087233583965</x:v>
      </x:c>
      <x:c r="BM101" s="34" t="n">
        <x:f>IF(COUNT(AJ101,AK101)=2,AVERAGE(AJ101,AK101),"")</x:f>
        <x:v>56.90968121897069</x:v>
      </x:c>
      <x:c r="BN101" s="34" t="n">
        <x:f>IF(COUNT(AL101,AM101,AN101)=3,AVERAGE(AL101,AM101,AN101),"")</x:f>
        <x:v>66.67542517693484</x:v>
      </x:c>
      <x:c r="BO101" s="35" t="n">
        <x:f>IF(AND(COUNT(BG101:BN101)=8,ABS('Scoring Setup'!$C$17-1)&lt;0.000001),BG101*'Scoring Setup'!$C$9+BH101*'Scoring Setup'!$C$10+BI101*'Scoring Setup'!$C$11+BJ101*'Scoring Setup'!$C$12+BK101*'Scoring Setup'!$C$13+BL101*'Scoring Setup'!$C$14+BM101*'Scoring Setup'!$C$15+BN101*'Scoring Setup'!$C$16,"")</x:f>
        <x:v>58.20748782365184</x:v>
      </x:c>
      <x:c r="BP101" s="36" t="n">
        <x:f>IF(COUNT(AO101:BF101)=18,MIN(AO101:BF101),"")</x:f>
        <x:v>0.8461555555555555</x:v>
      </x:c>
      <x:c r="BQ101" s="35" t="n">
        <x:f>IF(AND(ISNUMBER(BO101),ISNUMBER(BP101)),BO101*BP101,"")</x:f>
        <x:v>49.25258919691536</x:v>
      </x:c>
      <x:c r="BR101" s="17" t="str">
        <x:f>IF(COUNT(AO101:BF101)=18,INDEX('Scoring Setup'!$F$9:$F$26,MATCH(MIN(AO101:BF101),AO101:BF101,0),1),"")</x:f>
        <x:v>社会脆弱性百分位</x:v>
      </x:c>
    </x:row>
    <x:row r="102">
      <x:c r="A102" s="28" t="str">
        <x:v>13197</x:v>
      </x:c>
      <x:c r="B102" s="28" t="str">
        <x:v>Marion County</x:v>
      </x:c>
      <x:c r="C102" s="28" t="str">
        <x:v>GA</x:v>
      </x:c>
      <x:c r="D102" s="31" t="n">
        <x:v>947.213855</x:v>
      </x:c>
      <x:c r="E102" s="32" t="n">
        <x:v>0.565</x:v>
      </x:c>
      <x:c r="F102" s="32" t="n">
        <x:v>0.33075495049505</x:v>
      </x:c>
      <x:c r="G102" s="32" t="n">
        <x:v>0.8709973693930744</x:v>
      </x:c>
      <x:c r="H102" s="32" t="n">
        <x:v>0.848254171217815</x:v>
      </x:c>
      <x:c r="I102" s="32" t="n">
        <x:v>0.9515849503354991</x:v>
      </x:c>
      <x:c r="J102" s="32" t="n">
        <x:v>0.08695980985030465</x:v>
      </x:c>
      <x:c r="K102" s="32" t="n">
        <x:v>0.06675395406199938</x:v>
      </x:c>
      <x:c r="L102" s="32" t="n">
        <x:v>0.760760761</x:v>
      </x:c>
      <x:c r="M102" s="32" t="n">
        <x:v>0.760760761</x:v>
      </x:c>
      <x:c r="N102" s="32" t="n">
        <x:v>3129</x:v>
      </x:c>
      <x:c r="O102" s="32" t="n">
        <x:v>0.8877</x:v>
      </x:c>
      <x:c r="P102" s="32" t="n">
        <x:v>1875.9076009114583</x:v>
      </x:c>
      <x:c r="Q102" s="32" t="n">
        <x:v>53.417323684692384</x:v>
      </x:c>
      <x:c r="R102" s="32" t="n">
        <x:v>37.607121788303985</x:v>
      </x:c>
      <x:c r="S102" s="32" t="n">
        <x:v>4.795513770339847</x:v>
      </x:c>
      <x:c r="T102" s="32" t="n">
        <x:v>72.1</x:v>
      </x:c>
      <x:c r="U102" s="32" t="n">
        <x:v>211.4154781728841</x:v>
      </x:c>
      <x:c r="V102" s="32" t="n">
        <x:v>325.42757789465</x:v>
      </x:c>
      <x:c r="W102" s="33" t="n">
        <x:f>IF(ISNUMBER(E102),100*MAX(0,MIN(1,('Anchors'!$H$6-E102)/('Anchors'!$H$6-'Anchors'!$G$6))),"")</x:f>
        <x:v>47.85714285714287</x:v>
      </x:c>
      <x:c r="X102" s="33" t="n">
        <x:f>IF(ISNUMBER(F102),100*MAX(0,MIN(1,('Anchors'!$H$7-F102)/('Anchors'!$H$7-'Anchors'!$G$7))),"")</x:f>
        <x:v>67.03500707213571</x:v>
      </x:c>
      <x:c r="Y102" s="33" t="n">
        <x:f>IF(ISNUMBER(G102),100*MAX(0,MIN(1,('Anchors'!$H$8-G102)/('Anchors'!$H$8-'Anchors'!$G$8))),"")</x:f>
        <x:v>100</x:v>
      </x:c>
      <x:c r="Z102" s="33" t="n">
        <x:f>IF(ISNUMBER(H102),100*MAX(0,MIN(1,('Anchors'!$H$9-H102)/('Anchors'!$H$9-'Anchors'!$G$9))),"")</x:f>
        <x:v>100</x:v>
      </x:c>
      <x:c r="AA102" s="33" t="n">
        <x:f>IF(ISNUMBER(I102),100*MAX(0,MIN(1,(I102-'Anchors'!$H$10)/('Anchors'!$G$10-'Anchors'!$H$10))),"")</x:f>
        <x:v>96.10752744321906</x:v>
      </x:c>
      <x:c r="AB102" s="33" t="n">
        <x:f>IF(ISNUMBER(J102),100*MAX(0,MIN(1,('Anchors'!$H$11-J102)/('Anchors'!$H$11-'Anchors'!$G$11))),"")</x:f>
        <x:v>65.21607605987813</x:v>
      </x:c>
      <x:c r="AC102" s="33" t="n">
        <x:f>IF(ISNUMBER(K102),100*MAX(0,MIN(1,('Anchors'!$H$12-K102)/('Anchors'!$H$12-'Anchors'!$G$12))),"")</x:f>
        <x:v>83.31151148450017</x:v>
      </x:c>
      <x:c r="AD102" s="33" t="n">
        <x:f>IF(ISNUMBER(L102),100*MAX(0,MIN(1,(L102-'Anchors'!$H$13)/('Anchors'!$G$13-'Anchors'!$H$13))),"")</x:f>
        <x:v>80.10868014285715</x:v>
      </x:c>
      <x:c r="AE102" s="33" t="n">
        <x:f>IF(ISNUMBER(M102),100*MAX(0,MIN(1,(M102-'Anchors'!$H$14)/('Anchors'!$G$14-'Anchors'!$H$14))),"")</x:f>
        <x:v>82.595095125</x:v>
      </x:c>
      <x:c r="AF102" s="33" t="n">
        <x:f>IF(ISNUMBER(N102),100*MAX(0,MIN(1,(LN(1+N102)-LN(1+'Anchors'!$H$15))/(LN(1+'Anchors'!$G$15)-LN(1+'Anchors'!$H$15)))),"")</x:f>
        <x:v>10.363365229314523</x:v>
      </x:c>
      <x:c r="AG102" s="33" t="n">
        <x:f>IF(ISNUMBER(O102),100*MAX(0,MIN(1,('Anchors'!$H$16-O102)/('Anchors'!$H$16-'Anchors'!$G$16))),"")</x:f>
        <x:v>6.922222222222213</x:v>
      </x:c>
      <x:c r="AH102" s="33" t="n">
        <x:f>IF(ISNUMBER(P102),100*MAX(0,MIN(1,('Anchors'!$H$17-P102)/('Anchors'!$H$17-'Anchors'!$G$17))),"")</x:f>
        <x:v>21.606159939236115</x:v>
      </x:c>
      <x:c r="AI102" s="33" t="n">
        <x:f>IF(ISNUMBER(Q102),100*MAX(0,MIN(1,('Anchors'!$H$18-Q102)/('Anchors'!$H$18-'Anchors'!$G$18))),"")</x:f>
        <x:v>30.832394736153734</x:v>
      </x:c>
      <x:c r="AJ102" s="33" t="n">
        <x:f>IF(ISNUMBER(R102),100*MAX(0,MIN(1,('Anchors'!$H$19-R102)/('Anchors'!$H$19-'Anchors'!$G$19))),"")</x:f>
        <x:v>27.53972935932448</x:v>
      </x:c>
      <x:c r="AK102" s="33" t="n">
        <x:f>IF(ISNUMBER(S102),100*MAX(0,MIN(1,('Anchors'!$H$20-S102)/('Anchors'!$H$20-'Anchors'!$G$20))),"")</x:f>
        <x:v>80.02361173505344</x:v>
      </x:c>
      <x:c r="AL102" s="33" t="n">
        <x:f>IF(ISNUMBER(T102),100*MAX(0,MIN(1,('Anchors'!$H$21-T102)/('Anchors'!$H$21-'Anchors'!$G$21))),"")</x:f>
        <x:v>87.0909090909091</x:v>
      </x:c>
      <x:c r="AM102" s="33" t="n">
        <x:f>IF(ISNUMBER(U102),100*MAX(0,MIN(1,('Anchors'!$H$22-U102)/('Anchors'!$H$22-'Anchors'!$G$22))),"")</x:f>
        <x:v>44.29226091355795</x:v>
      </x:c>
      <x:c r="AN102" s="33" t="n">
        <x:f>IF(ISNUMBER(V102),100*MAX(0,MIN(1,('Anchors'!$H$23-V102)/('Anchors'!$H$23-'Anchors'!$G$23))),"")</x:f>
        <x:v>68.6431055263375</x:v>
      </x:c>
      <x:c r="AO102" s="27" t="n">
        <x:f>IF(ISNUMBER(W102),IF('Scoring Setup'!$L$9=1,1-'Scoring Setup'!$B$5*(1-MAX(0,MIN(1,(W102-'Scoring Setup'!$K$9)/(100-'Scoring Setup'!$K$9)))),1),"")</x:f>
        <x:v>0.8957142857142857</x:v>
      </x:c>
      <x:c r="AP102" s="27" t="n">
        <x:f>IF(ISNUMBER(X102),IF('Scoring Setup'!$L$10=1,1-'Scoring Setup'!$B$5*(1-MAX(0,MIN(1,(X102-'Scoring Setup'!$K$10)/(100-'Scoring Setup'!$K$10)))),1),"")</x:f>
        <x:v>0.9340700141442714</x:v>
      </x:c>
      <x:c r="AQ102" s="27" t="n">
        <x:f>IF(ISNUMBER(Y102),IF('Scoring Setup'!$L$11=1,1-'Scoring Setup'!$B$5*(1-MAX(0,MIN(1,(Y102-'Scoring Setup'!$K$11)/(100-'Scoring Setup'!$K$11)))),1),"")</x:f>
        <x:v>1</x:v>
      </x:c>
      <x:c r="AR102" s="27" t="n">
        <x:f>IF(ISNUMBER(Z102),IF('Scoring Setup'!$L$12=1,1-'Scoring Setup'!$B$5*(1-MAX(0,MIN(1,(Z102-'Scoring Setup'!$K$12)/(100-'Scoring Setup'!$K$12)))),1),"")</x:f>
        <x:v>1</x:v>
      </x:c>
      <x:c r="AS102" s="27" t="n">
        <x:f>IF(ISNUMBER(AA102),IF('Scoring Setup'!$L$13=1,1-'Scoring Setup'!$B$5*(1-MAX(0,MIN(1,(AA102-'Scoring Setup'!$K$13)/(100-'Scoring Setup'!$K$13)))),1),"")</x:f>
        <x:v>0.9922150548864381</x:v>
      </x:c>
      <x:c r="AT102" s="27" t="n">
        <x:f>IF(ISNUMBER(AB102),IF('Scoring Setup'!$L$14=1,1-'Scoring Setup'!$B$5*(1-MAX(0,MIN(1,(AB102-'Scoring Setup'!$K$14)/(100-'Scoring Setup'!$K$14)))),1),"")</x:f>
        <x:v>0.9304321521197563</x:v>
      </x:c>
      <x:c r="AU102" s="27" t="n">
        <x:f>IF(ISNUMBER(AC102),IF('Scoring Setup'!$L$15=1,1-'Scoring Setup'!$B$5*(1-MAX(0,MIN(1,(AC102-'Scoring Setup'!$K$15)/(100-'Scoring Setup'!$K$15)))),1),"")</x:f>
        <x:v>0.9666230229690004</x:v>
      </x:c>
      <x:c r="AV102" s="27" t="n">
        <x:f>IF(ISNUMBER(AD102),IF('Scoring Setup'!$L$16=1,1-'Scoring Setup'!$B$5*(1-MAX(0,MIN(1,(AD102-'Scoring Setup'!$K$16)/(100-'Scoring Setup'!$K$16)))),1),"")</x:f>
        <x:v>0.9602173602857144</x:v>
      </x:c>
      <x:c r="AW102" s="27" t="n">
        <x:f>IF(ISNUMBER(AE102),IF('Scoring Setup'!$L$17=1,1-'Scoring Setup'!$B$5*(1-MAX(0,MIN(1,(AE102-'Scoring Setup'!$K$17)/(100-'Scoring Setup'!$K$17)))),1),"")</x:f>
        <x:v>0.96519019025</x:v>
      </x:c>
      <x:c r="AX102" s="27" t="n">
        <x:f>IF(ISNUMBER(AF102),IF('Scoring Setup'!$L$18=1,1-'Scoring Setup'!$B$5*(1-MAX(0,MIN(1,(AF102-'Scoring Setup'!$K$18)/(100-'Scoring Setup'!$K$18)))),1),"")</x:f>
        <x:v>0.820726730458629</x:v>
      </x:c>
      <x:c r="AY102" s="27" t="n">
        <x:f>IF(ISNUMBER(AG102),IF('Scoring Setup'!$L$19=1,1-'Scoring Setup'!$B$5*(1-MAX(0,MIN(1,(AG102-'Scoring Setup'!$K$19)/(100-'Scoring Setup'!$K$19)))),1),"")</x:f>
        <x:v>0.8138444444444444</x:v>
      </x:c>
      <x:c r="AZ102" s="27" t="n">
        <x:f>IF(ISNUMBER(AH102),IF('Scoring Setup'!$L$20=1,1-'Scoring Setup'!$B$5*(1-MAX(0,MIN(1,(AH102-'Scoring Setup'!$K$20)/(100-'Scoring Setup'!$K$20)))),1),"")</x:f>
        <x:v>0.8432123198784722</x:v>
      </x:c>
      <x:c r="BA102" s="27" t="n">
        <x:f>IF(ISNUMBER(AI102),IF('Scoring Setup'!$L$21=1,1-'Scoring Setup'!$B$5*(1-MAX(0,MIN(1,(AI102-'Scoring Setup'!$K$21)/(100-'Scoring Setup'!$K$21)))),1),"")</x:f>
        <x:v>0.8616647894723075</x:v>
      </x:c>
      <x:c r="BB102" s="27" t="n">
        <x:f>IF(ISNUMBER(AJ102),IF('Scoring Setup'!$L$22=1,1-'Scoring Setup'!$B$5*(1-MAX(0,MIN(1,(AJ102-'Scoring Setup'!$K$22)/(100-'Scoring Setup'!$K$22)))),1),"")</x:f>
        <x:v>0.855079458718649</x:v>
      </x:c>
      <x:c r="BC102" s="27" t="n">
        <x:f>IF(ISNUMBER(AK102),IF('Scoring Setup'!$L$23=1,1-'Scoring Setup'!$B$5*(1-MAX(0,MIN(1,(AK102-'Scoring Setup'!$K$23)/(100-'Scoring Setup'!$K$23)))),1),"")</x:f>
        <x:v>0.9600472234701068</x:v>
      </x:c>
      <x:c r="BD102" s="27" t="n">
        <x:f>IF(ISNUMBER(AL102),IF('Scoring Setup'!$L$24=1,1-'Scoring Setup'!$B$5*(1-MAX(0,MIN(1,(AL102-'Scoring Setup'!$K$24)/(100-'Scoring Setup'!$K$24)))),1),"")</x:f>
        <x:v>0.9741818181818181</x:v>
      </x:c>
      <x:c r="BE102" s="27" t="n">
        <x:f>IF(ISNUMBER(AM102),IF('Scoring Setup'!$L$25=1,1-'Scoring Setup'!$B$5*(1-MAX(0,MIN(1,(AM102-'Scoring Setup'!$K$25)/(100-'Scoring Setup'!$K$25)))),1),"")</x:f>
        <x:v>0.8885845218271159</x:v>
      </x:c>
      <x:c r="BF102" s="27" t="n">
        <x:f>IF(ISNUMBER(AN102),IF('Scoring Setup'!$L$26=1,1-'Scoring Setup'!$B$5*(1-MAX(0,MIN(1,(AN102-'Scoring Setup'!$K$26)/(100-'Scoring Setup'!$K$26)))),1),"")</x:f>
        <x:v>0.937286211052675</x:v>
      </x:c>
      <x:c r="BG102" s="34" t="n">
        <x:f>IF(COUNT(W102,X102)=2,AVERAGE(W102,X102),"")</x:f>
        <x:v>57.446074964639294</x:v>
      </x:c>
      <x:c r="BH102" s="34" t="n">
        <x:f>IF(COUNT(Y102,Z102)=2,AVERAGE(Y102,Z102),"")</x:f>
        <x:v>100</x:v>
      </x:c>
      <x:c r="BI102" s="34" t="n">
        <x:f>IF(COUNT(AA102,AB102,AC102)=3,AVERAGE(AA102,AB102,AC102),"")</x:f>
        <x:v>81.54503832919913</x:v>
      </x:c>
      <x:c r="BJ102" s="34" t="n">
        <x:f>IF(COUNT(AD102,AE102)=2,AVERAGE(AD102,AE102),"")</x:f>
        <x:v>81.35188763392858</x:v>
      </x:c>
      <x:c r="BK102" s="34" t="n">
        <x:f>IF(COUNT(AF102,AG102)=2,AVERAGE(AF102,AG102),"")</x:f>
        <x:v>8.642793725768367</x:v>
      </x:c>
      <x:c r="BL102" s="34" t="n">
        <x:f>IF(COUNT(AH102,AI102)=2,AVERAGE(AH102,AI102),"")</x:f>
        <x:v>26.219277337694926</x:v>
      </x:c>
      <x:c r="BM102" s="34" t="n">
        <x:f>IF(COUNT(AJ102,AK102)=2,AVERAGE(AJ102,AK102),"")</x:f>
        <x:v>53.78167054718896</x:v>
      </x:c>
      <x:c r="BN102" s="34" t="n">
        <x:f>IF(COUNT(AL102,AM102,AN102)=3,AVERAGE(AL102,AM102,AN102),"")</x:f>
        <x:v>66.67542517693484</x:v>
      </x:c>
      <x:c r="BO102" s="35" t="n">
        <x:f>IF(AND(COUNT(BG102:BN102)=8,ABS('Scoring Setup'!$C$17-1)&lt;0.000001),BG102*'Scoring Setup'!$C$9+BH102*'Scoring Setup'!$C$10+BI102*'Scoring Setup'!$C$11+BJ102*'Scoring Setup'!$C$12+BK102*'Scoring Setup'!$C$13+BL102*'Scoring Setup'!$C$14+BM102*'Scoring Setup'!$C$15+BN102*'Scoring Setup'!$C$16,"")</x:f>
        <x:v>66.90125441267818</x:v>
      </x:c>
      <x:c r="BP102" s="36" t="n">
        <x:f>IF(COUNT(AO102:BF102)=18,MIN(AO102:BF102),"")</x:f>
        <x:v>0.8138444444444444</x:v>
      </x:c>
      <x:c r="BQ102" s="35" t="n">
        <x:f>IF(AND(ISNUMBER(BO102),ISNUMBER(BP102)),BO102*BP102,"")</x:f>
        <x:v>54.44721423012251</x:v>
      </x:c>
      <x:c r="BR102" s="17" t="str">
        <x:f>IF(COUNT(AO102:BF102)=18,INDEX('Scoring Setup'!$F$9:$F$26,MATCH(MIN(AO102:BF102),AO102:BF102,0),1),"")</x:f>
        <x:v>社会脆弱性百分位</x:v>
      </x:c>
    </x:row>
    <x:row r="103">
      <x:c r="A103" s="28" t="str">
        <x:v>13199</x:v>
      </x:c>
      <x:c r="B103" s="28" t="str">
        <x:v>Meriwether County</x:v>
      </x:c>
      <x:c r="C103" s="28" t="str">
        <x:v>GA</x:v>
      </x:c>
      <x:c r="D103" s="31" t="n">
        <x:v>1297.342088</x:v>
      </x:c>
      <x:c r="E103" s="32" t="n">
        <x:v>0.692</x:v>
      </x:c>
      <x:c r="F103" s="32" t="n">
        <x:v>0.188118811881188</x:v>
      </x:c>
      <x:c r="G103" s="32" t="n">
        <x:v>1.5450395041209528</x:v>
      </x:c>
      <x:c r="H103" s="32" t="n">
        <x:v>1.4707782118175745</x:v>
      </x:c>
      <x:c r="I103" s="32" t="n">
        <x:v>0.9473520917361274</x:v>
      </x:c>
      <x:c r="J103" s="32" t="n">
        <x:v>0.022820834826869172</x:v>
      </x:c>
      <x:c r="K103" s="32" t="n">
        <x:v>0.06988001313213131</x:v>
      </x:c>
      <x:c r="L103" s="32" t="n">
        <x:v>0.420203228</x:v>
      </x:c>
      <x:c r="M103" s="32" t="n">
        <x:v>0.420203228</x:v>
      </x:c>
      <x:c r="N103" s="32" t="n">
        <x:v>8694</x:v>
      </x:c>
      <x:c r="O103" s="32" t="n">
        <x:v>0.9074</x:v>
      </x:c>
      <x:c r="P103" s="32" t="n">
        <x:v>1656.8031209309895</x:v>
      </x:c>
      <x:c r="Q103" s="32" t="n">
        <x:v>43.243171310424806</x:v>
      </x:c>
      <x:c r="R103" s="32" t="n">
        <x:v>23.670743998543067</x:v>
      </x:c>
      <x:c r="S103" s="32" t="n">
        <x:v>9.617973024401389</x:v>
      </x:c>
      <x:c r="T103" s="32" t="n">
        <x:v>72.1</x:v>
      </x:c>
      <x:c r="U103" s="32" t="n">
        <x:v>211.4154781728841</x:v>
      </x:c>
      <x:c r="V103" s="32" t="n">
        <x:v>325.42757789465</x:v>
      </x:c>
      <x:c r="W103" s="33" t="n">
        <x:f>IF(ISNUMBER(E103),100*MAX(0,MIN(1,('Anchors'!$H$6-E103)/('Anchors'!$H$6-'Anchors'!$G$6))),"")</x:f>
        <x:v>29.714285714285726</x:v>
      </x:c>
      <x:c r="X103" s="33" t="n">
        <x:f>IF(ISNUMBER(F103),100*MAX(0,MIN(1,('Anchors'!$H$7-F103)/('Anchors'!$H$7-'Anchors'!$G$7))),"")</x:f>
        <x:v>87.41159830268742</x:v>
      </x:c>
      <x:c r="Y103" s="33" t="n">
        <x:f>IF(ISNUMBER(G103),100*MAX(0,MIN(1,('Anchors'!$H$8-G103)/('Anchors'!$H$8-'Anchors'!$G$8))),"")</x:f>
        <x:v>81.83201652930157</x:v>
      </x:c>
      <x:c r="Z103" s="33" t="n">
        <x:f>IF(ISNUMBER(H103),100*MAX(0,MIN(1,('Anchors'!$H$9-H103)/('Anchors'!$H$9-'Anchors'!$G$9))),"")</x:f>
        <x:v>84.3073929394142</x:v>
      </x:c>
      <x:c r="AA103" s="33" t="n">
        <x:f>IF(ISNUMBER(I103),100*MAX(0,MIN(1,(I103-'Anchors'!$H$10)/('Anchors'!$G$10-'Anchors'!$H$10))),"")</x:f>
        <x:v>95.52768379946951</x:v>
      </x:c>
      <x:c r="AB103" s="33" t="n">
        <x:f>IF(ISNUMBER(J103),100*MAX(0,MIN(1,('Anchors'!$H$11-J103)/('Anchors'!$H$11-'Anchors'!$G$11))),"")</x:f>
        <x:v>90.87166606925233</x:v>
      </x:c>
      <x:c r="AC103" s="33" t="n">
        <x:f>IF(ISNUMBER(K103),100*MAX(0,MIN(1,('Anchors'!$H$12-K103)/('Anchors'!$H$12-'Anchors'!$G$12))),"")</x:f>
        <x:v>82.52999671696716</x:v>
      </x:c>
      <x:c r="AD103" s="33" t="n">
        <x:f>IF(ISNUMBER(L103),100*MAX(0,MIN(1,(L103-'Anchors'!$H$13)/('Anchors'!$G$13-'Anchors'!$H$13))),"")</x:f>
        <x:v>31.457604</x:v>
      </x:c>
      <x:c r="AE103" s="33" t="n">
        <x:f>IF(ISNUMBER(M103),100*MAX(0,MIN(1,(M103-'Anchors'!$H$14)/('Anchors'!$G$14-'Anchors'!$H$14))),"")</x:f>
        <x:v>40.0254035</x:v>
      </x:c>
      <x:c r="AF103" s="33" t="n">
        <x:f>IF(ISNUMBER(N103),100*MAX(0,MIN(1,(LN(1+N103)-LN(1+'Anchors'!$H$15))/(LN(1+'Anchors'!$G$15)-LN(1+'Anchors'!$H$15)))),"")</x:f>
        <x:v>34.030642251992916</x:v>
      </x:c>
      <x:c r="AG103" s="33" t="n">
        <x:f>IF(ISNUMBER(O103),100*MAX(0,MIN(1,('Anchors'!$H$16-O103)/('Anchors'!$H$16-'Anchors'!$G$16))),"")</x:f>
        <x:v>4.733333333333331</x:v>
      </x:c>
      <x:c r="AH103" s="33" t="n">
        <x:f>IF(ISNUMBER(P103),100*MAX(0,MIN(1,('Anchors'!$H$17-P103)/('Anchors'!$H$17-'Anchors'!$G$17))),"")</x:f>
        <x:v>36.213125271267366</x:v>
      </x:c>
      <x:c r="AI103" s="33" t="n">
        <x:f>IF(ISNUMBER(Q103),100*MAX(0,MIN(1,('Anchors'!$H$18-Q103)/('Anchors'!$H$18-'Anchors'!$G$18))),"")</x:f>
        <x:v>45.36689812796456</x:v>
      </x:c>
      <x:c r="AJ103" s="33" t="n">
        <x:f>IF(ISNUMBER(R103),100*MAX(0,MIN(1,('Anchors'!$H$19-R103)/('Anchors'!$H$19-'Anchors'!$G$19))),"")</x:f>
        <x:v>58.509457781015406</x:v>
      </x:c>
      <x:c r="AK103" s="33" t="n">
        <x:f>IF(ISNUMBER(S103),100*MAX(0,MIN(1,('Anchors'!$H$20-S103)/('Anchors'!$H$20-'Anchors'!$G$20))),"")</x:f>
        <x:v>54.64224723999269</x:v>
      </x:c>
      <x:c r="AL103" s="33" t="n">
        <x:f>IF(ISNUMBER(T103),100*MAX(0,MIN(1,('Anchors'!$H$21-T103)/('Anchors'!$H$21-'Anchors'!$G$21))),"")</x:f>
        <x:v>87.0909090909091</x:v>
      </x:c>
      <x:c r="AM103" s="33" t="n">
        <x:f>IF(ISNUMBER(U103),100*MAX(0,MIN(1,('Anchors'!$H$22-U103)/('Anchors'!$H$22-'Anchors'!$G$22))),"")</x:f>
        <x:v>44.29226091355795</x:v>
      </x:c>
      <x:c r="AN103" s="33" t="n">
        <x:f>IF(ISNUMBER(V103),100*MAX(0,MIN(1,('Anchors'!$H$23-V103)/('Anchors'!$H$23-'Anchors'!$G$23))),"")</x:f>
        <x:v>68.6431055263375</x:v>
      </x:c>
      <x:c r="AO103" s="27" t="n">
        <x:f>IF(ISNUMBER(W103),IF('Scoring Setup'!$L$9=1,1-'Scoring Setup'!$B$5*(1-MAX(0,MIN(1,(W103-'Scoring Setup'!$K$9)/(100-'Scoring Setup'!$K$9)))),1),"")</x:f>
        <x:v>0.8594285714285714</x:v>
      </x:c>
      <x:c r="AP103" s="27" t="n">
        <x:f>IF(ISNUMBER(X103),IF('Scoring Setup'!$L$10=1,1-'Scoring Setup'!$B$5*(1-MAX(0,MIN(1,(X103-'Scoring Setup'!$K$10)/(100-'Scoring Setup'!$K$10)))),1),"")</x:f>
        <x:v>0.9748231966053749</x:v>
      </x:c>
      <x:c r="AQ103" s="27" t="n">
        <x:f>IF(ISNUMBER(Y103),IF('Scoring Setup'!$L$11=1,1-'Scoring Setup'!$B$5*(1-MAX(0,MIN(1,(Y103-'Scoring Setup'!$K$11)/(100-'Scoring Setup'!$K$11)))),1),"")</x:f>
        <x:v>0.9636640330586032</x:v>
      </x:c>
      <x:c r="AR103" s="27" t="n">
        <x:f>IF(ISNUMBER(Z103),IF('Scoring Setup'!$L$12=1,1-'Scoring Setup'!$B$5*(1-MAX(0,MIN(1,(Z103-'Scoring Setup'!$K$12)/(100-'Scoring Setup'!$K$12)))),1),"")</x:f>
        <x:v>0.9686147858788284</x:v>
      </x:c>
      <x:c r="AS103" s="27" t="n">
        <x:f>IF(ISNUMBER(AA103),IF('Scoring Setup'!$L$13=1,1-'Scoring Setup'!$B$5*(1-MAX(0,MIN(1,(AA103-'Scoring Setup'!$K$13)/(100-'Scoring Setup'!$K$13)))),1),"")</x:f>
        <x:v>0.991055367598939</x:v>
      </x:c>
      <x:c r="AT103" s="27" t="n">
        <x:f>IF(ISNUMBER(AB103),IF('Scoring Setup'!$L$14=1,1-'Scoring Setup'!$B$5*(1-MAX(0,MIN(1,(AB103-'Scoring Setup'!$K$14)/(100-'Scoring Setup'!$K$14)))),1),"")</x:f>
        <x:v>0.9817433321385046</x:v>
      </x:c>
      <x:c r="AU103" s="27" t="n">
        <x:f>IF(ISNUMBER(AC103),IF('Scoring Setup'!$L$15=1,1-'Scoring Setup'!$B$5*(1-MAX(0,MIN(1,(AC103-'Scoring Setup'!$K$15)/(100-'Scoring Setup'!$K$15)))),1),"")</x:f>
        <x:v>0.9650599934339343</x:v>
      </x:c>
      <x:c r="AV103" s="27" t="n">
        <x:f>IF(ISNUMBER(AD103),IF('Scoring Setup'!$L$16=1,1-'Scoring Setup'!$B$5*(1-MAX(0,MIN(1,(AD103-'Scoring Setup'!$K$16)/(100-'Scoring Setup'!$K$16)))),1),"")</x:f>
        <x:v>0.862915208</x:v>
      </x:c>
      <x:c r="AW103" s="27" t="n">
        <x:f>IF(ISNUMBER(AE103),IF('Scoring Setup'!$L$17=1,1-'Scoring Setup'!$B$5*(1-MAX(0,MIN(1,(AE103-'Scoring Setup'!$K$17)/(100-'Scoring Setup'!$K$17)))),1),"")</x:f>
        <x:v>0.8800508069999999</x:v>
      </x:c>
      <x:c r="AX103" s="27" t="n">
        <x:f>IF(ISNUMBER(AF103),IF('Scoring Setup'!$L$18=1,1-'Scoring Setup'!$B$5*(1-MAX(0,MIN(1,(AF103-'Scoring Setup'!$K$18)/(100-'Scoring Setup'!$K$18)))),1),"")</x:f>
        <x:v>0.8680612845039858</x:v>
      </x:c>
      <x:c r="AY103" s="27" t="n">
        <x:f>IF(ISNUMBER(AG103),IF('Scoring Setup'!$L$19=1,1-'Scoring Setup'!$B$5*(1-MAX(0,MIN(1,(AG103-'Scoring Setup'!$K$19)/(100-'Scoring Setup'!$K$19)))),1),"")</x:f>
        <x:v>0.8094666666666667</x:v>
      </x:c>
      <x:c r="AZ103" s="27" t="n">
        <x:f>IF(ISNUMBER(AH103),IF('Scoring Setup'!$L$20=1,1-'Scoring Setup'!$B$5*(1-MAX(0,MIN(1,(AH103-'Scoring Setup'!$K$20)/(100-'Scoring Setup'!$K$20)))),1),"")</x:f>
        <x:v>0.8724262505425348</x:v>
      </x:c>
      <x:c r="BA103" s="27" t="n">
        <x:f>IF(ISNUMBER(AI103),IF('Scoring Setup'!$L$21=1,1-'Scoring Setup'!$B$5*(1-MAX(0,MIN(1,(AI103-'Scoring Setup'!$K$21)/(100-'Scoring Setup'!$K$21)))),1),"")</x:f>
        <x:v>0.8907337962559291</x:v>
      </x:c>
      <x:c r="BB103" s="27" t="n">
        <x:f>IF(ISNUMBER(AJ103),IF('Scoring Setup'!$L$22=1,1-'Scoring Setup'!$B$5*(1-MAX(0,MIN(1,(AJ103-'Scoring Setup'!$K$22)/(100-'Scoring Setup'!$K$22)))),1),"")</x:f>
        <x:v>0.9170189155620307</x:v>
      </x:c>
      <x:c r="BC103" s="27" t="n">
        <x:f>IF(ISNUMBER(AK103),IF('Scoring Setup'!$L$23=1,1-'Scoring Setup'!$B$5*(1-MAX(0,MIN(1,(AK103-'Scoring Setup'!$K$23)/(100-'Scoring Setup'!$K$23)))),1),"")</x:f>
        <x:v>0.9092844944799854</x:v>
      </x:c>
      <x:c r="BD103" s="27" t="n">
        <x:f>IF(ISNUMBER(AL103),IF('Scoring Setup'!$L$24=1,1-'Scoring Setup'!$B$5*(1-MAX(0,MIN(1,(AL103-'Scoring Setup'!$K$24)/(100-'Scoring Setup'!$K$24)))),1),"")</x:f>
        <x:v>0.9741818181818181</x:v>
      </x:c>
      <x:c r="BE103" s="27" t="n">
        <x:f>IF(ISNUMBER(AM103),IF('Scoring Setup'!$L$25=1,1-'Scoring Setup'!$B$5*(1-MAX(0,MIN(1,(AM103-'Scoring Setup'!$K$25)/(100-'Scoring Setup'!$K$25)))),1),"")</x:f>
        <x:v>0.8885845218271159</x:v>
      </x:c>
      <x:c r="BF103" s="27" t="n">
        <x:f>IF(ISNUMBER(AN103),IF('Scoring Setup'!$L$26=1,1-'Scoring Setup'!$B$5*(1-MAX(0,MIN(1,(AN103-'Scoring Setup'!$K$26)/(100-'Scoring Setup'!$K$26)))),1),"")</x:f>
        <x:v>0.937286211052675</x:v>
      </x:c>
      <x:c r="BG103" s="34" t="n">
        <x:f>IF(COUNT(W103,X103)=2,AVERAGE(W103,X103),"")</x:f>
        <x:v>58.56294200848657</x:v>
      </x:c>
      <x:c r="BH103" s="34" t="n">
        <x:f>IF(COUNT(Y103,Z103)=2,AVERAGE(Y103,Z103),"")</x:f>
        <x:v>83.06970473435788</x:v>
      </x:c>
      <x:c r="BI103" s="34" t="n">
        <x:f>IF(COUNT(AA103,AB103,AC103)=3,AVERAGE(AA103,AB103,AC103),"")</x:f>
        <x:v>89.643115528563</x:v>
      </x:c>
      <x:c r="BJ103" s="34" t="n">
        <x:f>IF(COUNT(AD103,AE103)=2,AVERAGE(AD103,AE103),"")</x:f>
        <x:v>35.74150375</x:v>
      </x:c>
      <x:c r="BK103" s="34" t="n">
        <x:f>IF(COUNT(AF103,AG103)=2,AVERAGE(AF103,AG103),"")</x:f>
        <x:v>19.381987792663125</x:v>
      </x:c>
      <x:c r="BL103" s="34" t="n">
        <x:f>IF(COUNT(AH103,AI103)=2,AVERAGE(AH103,AI103),"")</x:f>
        <x:v>40.79001169961596</x:v>
      </x:c>
      <x:c r="BM103" s="34" t="n">
        <x:f>IF(COUNT(AJ103,AK103)=2,AVERAGE(AJ103,AK103),"")</x:f>
        <x:v>56.57585251050405</x:v>
      </x:c>
      <x:c r="BN103" s="34" t="n">
        <x:f>IF(COUNT(AL103,AM103,AN103)=3,AVERAGE(AL103,AM103,AN103),"")</x:f>
        <x:v>66.67542517693484</x:v>
      </x:c>
      <x:c r="BO103" s="35" t="n">
        <x:f>IF(AND(COUNT(BG103:BN103)=8,ABS('Scoring Setup'!$C$17-1)&lt;0.000001),BG103*'Scoring Setup'!$C$9+BH103*'Scoring Setup'!$C$10+BI103*'Scoring Setup'!$C$11+BJ103*'Scoring Setup'!$C$12+BK103*'Scoring Setup'!$C$13+BL103*'Scoring Setup'!$C$14+BM103*'Scoring Setup'!$C$15+BN103*'Scoring Setup'!$C$16,"")</x:f>
        <x:v>61.817816618429305</x:v>
      </x:c>
      <x:c r="BP103" s="36" t="n">
        <x:f>IF(COUNT(AO103:BF103)=18,MIN(AO103:BF103),"")</x:f>
        <x:v>0.8094666666666667</x:v>
      </x:c>
      <x:c r="BQ103" s="35" t="n">
        <x:f>IF(AND(ISNUMBER(BO103),ISNUMBER(BP103)),BO103*BP103,"")</x:f>
        <x:v>50.039461958731245</x:v>
      </x:c>
      <x:c r="BR103" s="17" t="str">
        <x:f>IF(COUNT(AO103:BF103)=18,INDEX('Scoring Setup'!$F$9:$F$26,MATCH(MIN(AO103:BF103),AO103:BF103,0),1),"")</x:f>
        <x:v>社会脆弱性百分位</x:v>
      </x:c>
    </x:row>
    <x:row r="104">
      <x:c r="A104" s="28" t="str">
        <x:v>13201</x:v>
      </x:c>
      <x:c r="B104" s="28" t="str">
        <x:v>Miller County</x:v>
      </x:c>
      <x:c r="C104" s="28" t="str">
        <x:v>GA</x:v>
      </x:c>
      <x:c r="D104" s="31" t="n">
        <x:v>731.471756</x:v>
      </x:c>
      <x:c r="E104" s="32" t="n">
        <x:v>0.445</x:v>
      </x:c>
      <x:c r="F104" s="32" t="n">
        <x:v>0.662128712871287</x:v>
      </x:c>
      <x:c r="G104" s="32" t="n">
        <x:v>1.1652933984148754</x:v>
      </x:c>
      <x:c r="H104" s="32" t="n">
        <x:v>1.134330805</x:v>
      </x:c>
      <x:c r="I104" s="32" t="n">
        <x:v>0.9453513921790778</x:v>
      </x:c>
      <x:c r="J104" s="32" t="n">
        <x:v>0.038782272477973945</x:v>
      </x:c>
      <x:c r="K104" s="32" t="n">
        <x:v>0.17712824134700744</x:v>
      </x:c>
      <x:c r="L104" s="32" t="n">
        <x:v>0.794924757</x:v>
      </x:c>
      <x:c r="M104" s="32" t="n">
        <x:v>0.794924757</x:v>
      </x:c>
      <x:c r="N104" s="32" t="n">
        <x:v>2687</x:v>
      </x:c>
      <x:c r="O104" s="32" t="n">
        <x:v>0.945</x:v>
      </x:c>
      <x:c r="P104" s="32" t="n">
        <x:v>2308.7960530598957</x:v>
      </x:c>
      <x:c r="Q104" s="32" t="n">
        <x:v>80.61361592610677</x:v>
      </x:c>
      <x:c r="R104" s="32" t="n">
        <x:v>60.20640319566311</x:v>
      </x:c>
      <x:c r="S104" s="32" t="n">
        <x:v>0.9304817210113921</x:v>
      </x:c>
      <x:c r="T104" s="32" t="n">
        <x:v>72.1</x:v>
      </x:c>
      <x:c r="U104" s="32" t="n">
        <x:v>211.4154781728841</x:v>
      </x:c>
      <x:c r="V104" s="32" t="n">
        <x:v>325.42757789465</x:v>
      </x:c>
      <x:c r="W104" s="33" t="n">
        <x:f>IF(ISNUMBER(E104),100*MAX(0,MIN(1,('Anchors'!$H$6-E104)/('Anchors'!$H$6-'Anchors'!$G$6))),"")</x:f>
        <x:v>65</x:v>
      </x:c>
      <x:c r="X104" s="33" t="n">
        <x:f>IF(ISNUMBER(F104),100*MAX(0,MIN(1,('Anchors'!$H$7-F104)/('Anchors'!$H$7-'Anchors'!$G$7))),"")</x:f>
        <x:v>19.695898161244713</x:v>
      </x:c>
      <x:c r="Y104" s="33" t="n">
        <x:f>IF(ISNUMBER(G104),100*MAX(0,MIN(1,('Anchors'!$H$8-G104)/('Anchors'!$H$8-'Anchors'!$G$8))),"")</x:f>
        <x:v>94.49022005283749</x:v>
      </x:c>
      <x:c r="Z104" s="33" t="n">
        <x:f>IF(ISNUMBER(H104),100*MAX(0,MIN(1,('Anchors'!$H$9-H104)/('Anchors'!$H$9-'Anchors'!$G$9))),"")</x:f>
        <x:v>95.52230649999998</x:v>
      </x:c>
      <x:c r="AA104" s="33" t="n">
        <x:f>IF(ISNUMBER(I104),100*MAX(0,MIN(1,(I104-'Anchors'!$H$10)/('Anchors'!$G$10-'Anchors'!$H$10))),"")</x:f>
        <x:v>95.25361536699697</x:v>
      </x:c>
      <x:c r="AB104" s="33" t="n">
        <x:f>IF(ISNUMBER(J104),100*MAX(0,MIN(1,('Anchors'!$H$11-J104)/('Anchors'!$H$11-'Anchors'!$G$11))),"")</x:f>
        <x:v>84.48709100881042</x:v>
      </x:c>
      <x:c r="AC104" s="33" t="n">
        <x:f>IF(ISNUMBER(K104),100*MAX(0,MIN(1,('Anchors'!$H$12-K104)/('Anchors'!$H$12-'Anchors'!$G$12))),"")</x:f>
        <x:v>55.71793966324814</x:v>
      </x:c>
      <x:c r="AD104" s="33" t="n">
        <x:f>IF(ISNUMBER(L104),100*MAX(0,MIN(1,(L104-'Anchors'!$H$13)/('Anchors'!$G$13-'Anchors'!$H$13))),"")</x:f>
        <x:v>84.98925100000001</x:v>
      </x:c>
      <x:c r="AE104" s="33" t="n">
        <x:f>IF(ISNUMBER(M104),100*MAX(0,MIN(1,(M104-'Anchors'!$H$14)/('Anchors'!$G$14-'Anchors'!$H$14))),"")</x:f>
        <x:v>86.865594625</x:v>
      </x:c>
      <x:c r="AF104" s="33" t="n">
        <x:f>IF(ISNUMBER(N104),100*MAX(0,MIN(1,(LN(1+N104)-LN(1+'Anchors'!$H$15))/(LN(1+'Anchors'!$G$15)-LN(1+'Anchors'!$H$15)))),"")</x:f>
        <x:v>6.83694036117461</x:v>
      </x:c>
      <x:c r="AG104" s="33" t="n">
        <x:f>IF(ISNUMBER(O104),100*MAX(0,MIN(1,('Anchors'!$H$16-O104)/('Anchors'!$H$16-'Anchors'!$G$16))),"")</x:f>
        <x:v>0.5555555555555561</x:v>
      </x:c>
      <x:c r="AH104" s="33" t="n">
        <x:f>IF(ISNUMBER(P104),100*MAX(0,MIN(1,('Anchors'!$H$17-P104)/('Anchors'!$H$17-'Anchors'!$G$17))),"")</x:f>
        <x:v>0</x:v>
      </x:c>
      <x:c r="AI104" s="33" t="n">
        <x:f>IF(ISNUMBER(Q104),100*MAX(0,MIN(1,('Anchors'!$H$18-Q104)/('Anchors'!$H$18-'Anchors'!$G$18))),"")</x:f>
        <x:v>0</x:v>
      </x:c>
      <x:c r="AJ104" s="33" t="n">
        <x:f>IF(ISNUMBER(R104),100*MAX(0,MIN(1,('Anchors'!$H$19-R104)/('Anchors'!$H$19-'Anchors'!$G$19))),"")</x:f>
        <x:v>0</x:v>
      </x:c>
      <x:c r="AK104" s="33" t="n">
        <x:f>IF(ISNUMBER(S104),100*MAX(0,MIN(1,('Anchors'!$H$20-S104)/('Anchors'!$H$20-'Anchors'!$G$20))),"")</x:f>
        <x:v>100</x:v>
      </x:c>
      <x:c r="AL104" s="33" t="n">
        <x:f>IF(ISNUMBER(T104),100*MAX(0,MIN(1,('Anchors'!$H$21-T104)/('Anchors'!$H$21-'Anchors'!$G$21))),"")</x:f>
        <x:v>87.0909090909091</x:v>
      </x:c>
      <x:c r="AM104" s="33" t="n">
        <x:f>IF(ISNUMBER(U104),100*MAX(0,MIN(1,('Anchors'!$H$22-U104)/('Anchors'!$H$22-'Anchors'!$G$22))),"")</x:f>
        <x:v>44.29226091355795</x:v>
      </x:c>
      <x:c r="AN104" s="33" t="n">
        <x:f>IF(ISNUMBER(V104),100*MAX(0,MIN(1,('Anchors'!$H$23-V104)/('Anchors'!$H$23-'Anchors'!$G$23))),"")</x:f>
        <x:v>68.6431055263375</x:v>
      </x:c>
      <x:c r="AO104" s="27" t="n">
        <x:f>IF(ISNUMBER(W104),IF('Scoring Setup'!$L$9=1,1-'Scoring Setup'!$B$5*(1-MAX(0,MIN(1,(W104-'Scoring Setup'!$K$9)/(100-'Scoring Setup'!$K$9)))),1),"")</x:f>
        <x:v>0.93</x:v>
      </x:c>
      <x:c r="AP104" s="27" t="n">
        <x:f>IF(ISNUMBER(X104),IF('Scoring Setup'!$L$10=1,1-'Scoring Setup'!$B$5*(1-MAX(0,MIN(1,(X104-'Scoring Setup'!$K$10)/(100-'Scoring Setup'!$K$10)))),1),"")</x:f>
        <x:v>0.8393917963224894</x:v>
      </x:c>
      <x:c r="AQ104" s="27" t="n">
        <x:f>IF(ISNUMBER(Y104),IF('Scoring Setup'!$L$11=1,1-'Scoring Setup'!$B$5*(1-MAX(0,MIN(1,(Y104-'Scoring Setup'!$K$11)/(100-'Scoring Setup'!$K$11)))),1),"")</x:f>
        <x:v>0.988980440105675</x:v>
      </x:c>
      <x:c r="AR104" s="27" t="n">
        <x:f>IF(ISNUMBER(Z104),IF('Scoring Setup'!$L$12=1,1-'Scoring Setup'!$B$5*(1-MAX(0,MIN(1,(Z104-'Scoring Setup'!$K$12)/(100-'Scoring Setup'!$K$12)))),1),"")</x:f>
        <x:v>0.991044613</x:v>
      </x:c>
      <x:c r="AS104" s="27" t="n">
        <x:f>IF(ISNUMBER(AA104),IF('Scoring Setup'!$L$13=1,1-'Scoring Setup'!$B$5*(1-MAX(0,MIN(1,(AA104-'Scoring Setup'!$K$13)/(100-'Scoring Setup'!$K$13)))),1),"")</x:f>
        <x:v>0.9905072307339939</x:v>
      </x:c>
      <x:c r="AT104" s="27" t="n">
        <x:f>IF(ISNUMBER(AB104),IF('Scoring Setup'!$L$14=1,1-'Scoring Setup'!$B$5*(1-MAX(0,MIN(1,(AB104-'Scoring Setup'!$K$14)/(100-'Scoring Setup'!$K$14)))),1),"")</x:f>
        <x:v>0.9689741820176209</x:v>
      </x:c>
      <x:c r="AU104" s="27" t="n">
        <x:f>IF(ISNUMBER(AC104),IF('Scoring Setup'!$L$15=1,1-'Scoring Setup'!$B$5*(1-MAX(0,MIN(1,(AC104-'Scoring Setup'!$K$15)/(100-'Scoring Setup'!$K$15)))),1),"")</x:f>
        <x:v>0.9114358793264963</x:v>
      </x:c>
      <x:c r="AV104" s="27" t="n">
        <x:f>IF(ISNUMBER(AD104),IF('Scoring Setup'!$L$16=1,1-'Scoring Setup'!$B$5*(1-MAX(0,MIN(1,(AD104-'Scoring Setup'!$K$16)/(100-'Scoring Setup'!$K$16)))),1),"")</x:f>
        <x:v>0.969978502</x:v>
      </x:c>
      <x:c r="AW104" s="27" t="n">
        <x:f>IF(ISNUMBER(AE104),IF('Scoring Setup'!$L$17=1,1-'Scoring Setup'!$B$5*(1-MAX(0,MIN(1,(AE104-'Scoring Setup'!$K$17)/(100-'Scoring Setup'!$K$17)))),1),"")</x:f>
        <x:v>0.97373118925</x:v>
      </x:c>
      <x:c r="AX104" s="27" t="n">
        <x:f>IF(ISNUMBER(AF104),IF('Scoring Setup'!$L$18=1,1-'Scoring Setup'!$B$5*(1-MAX(0,MIN(1,(AF104-'Scoring Setup'!$K$18)/(100-'Scoring Setup'!$K$18)))),1),"")</x:f>
        <x:v>0.8136738807223493</x:v>
      </x:c>
      <x:c r="AY104" s="27" t="n">
        <x:f>IF(ISNUMBER(AG104),IF('Scoring Setup'!$L$19=1,1-'Scoring Setup'!$B$5*(1-MAX(0,MIN(1,(AG104-'Scoring Setup'!$K$19)/(100-'Scoring Setup'!$K$19)))),1),"")</x:f>
        <x:v>0.8011111111111111</x:v>
      </x:c>
      <x:c r="AZ104" s="27" t="n">
        <x:f>IF(ISNUMBER(AH104),IF('Scoring Setup'!$L$20=1,1-'Scoring Setup'!$B$5*(1-MAX(0,MIN(1,(AH104-'Scoring Setup'!$K$20)/(100-'Scoring Setup'!$K$20)))),1),"")</x:f>
        <x:v>0.8</x:v>
      </x:c>
      <x:c r="BA104" s="27" t="n">
        <x:f>IF(ISNUMBER(AI104),IF('Scoring Setup'!$L$21=1,1-'Scoring Setup'!$B$5*(1-MAX(0,MIN(1,(AI104-'Scoring Setup'!$K$21)/(100-'Scoring Setup'!$K$21)))),1),"")</x:f>
        <x:v>0.8</x:v>
      </x:c>
      <x:c r="BB104" s="27" t="n">
        <x:f>IF(ISNUMBER(AJ104),IF('Scoring Setup'!$L$22=1,1-'Scoring Setup'!$B$5*(1-MAX(0,MIN(1,(AJ104-'Scoring Setup'!$K$22)/(100-'Scoring Setup'!$K$22)))),1),"")</x:f>
        <x:v>0.8</x:v>
      </x:c>
      <x:c r="BC104" s="27" t="n">
        <x:f>IF(ISNUMBER(AK104),IF('Scoring Setup'!$L$23=1,1-'Scoring Setup'!$B$5*(1-MAX(0,MIN(1,(AK104-'Scoring Setup'!$K$23)/(100-'Scoring Setup'!$K$23)))),1),"")</x:f>
        <x:v>1</x:v>
      </x:c>
      <x:c r="BD104" s="27" t="n">
        <x:f>IF(ISNUMBER(AL104),IF('Scoring Setup'!$L$24=1,1-'Scoring Setup'!$B$5*(1-MAX(0,MIN(1,(AL104-'Scoring Setup'!$K$24)/(100-'Scoring Setup'!$K$24)))),1),"")</x:f>
        <x:v>0.9741818181818181</x:v>
      </x:c>
      <x:c r="BE104" s="27" t="n">
        <x:f>IF(ISNUMBER(AM104),IF('Scoring Setup'!$L$25=1,1-'Scoring Setup'!$B$5*(1-MAX(0,MIN(1,(AM104-'Scoring Setup'!$K$25)/(100-'Scoring Setup'!$K$25)))),1),"")</x:f>
        <x:v>0.8885845218271159</x:v>
      </x:c>
      <x:c r="BF104" s="27" t="n">
        <x:f>IF(ISNUMBER(AN104),IF('Scoring Setup'!$L$26=1,1-'Scoring Setup'!$B$5*(1-MAX(0,MIN(1,(AN104-'Scoring Setup'!$K$26)/(100-'Scoring Setup'!$K$26)))),1),"")</x:f>
        <x:v>0.937286211052675</x:v>
      </x:c>
      <x:c r="BG104" s="34" t="n">
        <x:f>IF(COUNT(W104,X104)=2,AVERAGE(W104,X104),"")</x:f>
        <x:v>42.34794908062236</x:v>
      </x:c>
      <x:c r="BH104" s="34" t="n">
        <x:f>IF(COUNT(Y104,Z104)=2,AVERAGE(Y104,Z104),"")</x:f>
        <x:v>95.00626327641874</x:v>
      </x:c>
      <x:c r="BI104" s="34" t="n">
        <x:f>IF(COUNT(AA104,AB104,AC104)=3,AVERAGE(AA104,AB104,AC104),"")</x:f>
        <x:v>78.48621534635184</x:v>
      </x:c>
      <x:c r="BJ104" s="34" t="n">
        <x:f>IF(COUNT(AD104,AE104)=2,AVERAGE(AD104,AE104),"")</x:f>
        <x:v>85.9274228125</x:v>
      </x:c>
      <x:c r="BK104" s="34" t="n">
        <x:f>IF(COUNT(AF104,AG104)=2,AVERAGE(AF104,AG104),"")</x:f>
        <x:v>3.696247958365083</x:v>
      </x:c>
      <x:c r="BL104" s="34" t="n">
        <x:f>IF(COUNT(AH104,AI104)=2,AVERAGE(AH104,AI104),"")</x:f>
        <x:v>0</x:v>
      </x:c>
      <x:c r="BM104" s="34" t="n">
        <x:f>IF(COUNT(AJ104,AK104)=2,AVERAGE(AJ104,AK104),"")</x:f>
        <x:v>50</x:v>
      </x:c>
      <x:c r="BN104" s="34" t="n">
        <x:f>IF(COUNT(AL104,AM104,AN104)=3,AVERAGE(AL104,AM104,AN104),"")</x:f>
        <x:v>66.67542517693484</x:v>
      </x:c>
      <x:c r="BO104" s="35" t="n">
        <x:f>IF(AND(COUNT(BG104:BN104)=8,ABS('Scoring Setup'!$C$17-1)&lt;0.000001),BG104*'Scoring Setup'!$C$9+BH104*'Scoring Setup'!$C$10+BI104*'Scoring Setup'!$C$11+BJ104*'Scoring Setup'!$C$12+BK104*'Scoring Setup'!$C$13+BL104*'Scoring Setup'!$C$14+BM104*'Scoring Setup'!$C$15+BN104*'Scoring Setup'!$C$16,"")</x:f>
        <x:v>62.54966372814813</x:v>
      </x:c>
      <x:c r="BP104" s="36" t="n">
        <x:f>IF(COUNT(AO104:BF104)=18,MIN(AO104:BF104),"")</x:f>
        <x:v>0.8</x:v>
      </x:c>
      <x:c r="BQ104" s="35" t="n">
        <x:f>IF(AND(ISNUMBER(BO104),ISNUMBER(BP104)),BO104*BP104,"")</x:f>
        <x:v>50.039730982518506</x:v>
      </x:c>
      <x:c r="BR104" s="17" t="str">
        <x:f>IF(COUNT(AO104:BF104)=18,INDEX('Scoring Setup'!$F$9:$F$26,MATCH(MIN(AO104:BF104),AO104:BF104,0),1),"")</x:f>
        <x:v>历史CDD65</x:v>
      </x:c>
    </x:row>
    <x:row r="105">
      <x:c r="A105" s="28" t="str">
        <x:v>13205</x:v>
      </x:c>
      <x:c r="B105" s="28" t="str">
        <x:v>Mitchell County</x:v>
      </x:c>
      <x:c r="C105" s="28" t="str">
        <x:v>GA</x:v>
      </x:c>
      <x:c r="D105" s="31" t="n">
        <x:v>1326.483082</x:v>
      </x:c>
      <x:c r="E105" s="32" t="n">
        <x:v>0.486</x:v>
      </x:c>
      <x:c r="F105" s="32" t="n">
        <x:v>0.6875</x:v>
      </x:c>
      <x:c r="G105" s="32" t="n">
        <x:v>1.4444435813248822</x:v>
      </x:c>
      <x:c r="H105" s="32" t="n">
        <x:v>1.435033708370401</x:v>
      </x:c>
      <x:c r="I105" s="32" t="n">
        <x:v>0.9346603278496997</x:v>
      </x:c>
      <x:c r="J105" s="32" t="n">
        <x:v>0.0004098492298149293</x:v>
      </x:c>
      <x:c r="K105" s="32" t="n">
        <x:v>0.10234757665234116</x:v>
      </x:c>
      <x:c r="L105" s="32" t="n">
        <x:v>0.612135922</x:v>
      </x:c>
      <x:c r="M105" s="32" t="n">
        <x:v>0.605728155</x:v>
      </x:c>
      <x:c r="N105" s="32" t="n">
        <x:v>8589</x:v>
      </x:c>
      <x:c r="O105" s="32" t="n">
        <x:v>0.9914</x:v>
      </x:c>
      <x:c r="P105" s="32" t="n">
        <x:v>2304.7809488932294</x:v>
      </x:c>
      <x:c r="Q105" s="32" t="n">
        <x:v>76.23566233317057</x:v>
      </x:c>
      <x:c r="R105" s="32" t="n">
        <x:v>67.47810892349928</x:v>
      </x:c>
      <x:c r="S105" s="32" t="n">
        <x:v>0.8409909954873056</x:v>
      </x:c>
      <x:c r="T105" s="32" t="n">
        <x:v>72.1</x:v>
      </x:c>
      <x:c r="U105" s="32" t="n">
        <x:v>211.4154781728841</x:v>
      </x:c>
      <x:c r="V105" s="32" t="n">
        <x:v>325.42757789465</x:v>
      </x:c>
      <x:c r="W105" s="33" t="n">
        <x:f>IF(ISNUMBER(E105),100*MAX(0,MIN(1,('Anchors'!$H$6-E105)/('Anchors'!$H$6-'Anchors'!$G$6))),"")</x:f>
        <x:v>59.14285714285715</x:v>
      </x:c>
      <x:c r="X105" s="33" t="n">
        <x:f>IF(ISNUMBER(F105),100*MAX(0,MIN(1,('Anchors'!$H$7-F105)/('Anchors'!$H$7-'Anchors'!$G$7))),"")</x:f>
        <x:v>16.071428571428577</x:v>
      </x:c>
      <x:c r="Y105" s="33" t="n">
        <x:f>IF(ISNUMBER(G105),100*MAX(0,MIN(1,('Anchors'!$H$8-G105)/('Anchors'!$H$8-'Anchors'!$G$8))),"")</x:f>
        <x:v>85.18521395583726</x:v>
      </x:c>
      <x:c r="Z105" s="33" t="n">
        <x:f>IF(ISNUMBER(H105),100*MAX(0,MIN(1,('Anchors'!$H$9-H105)/('Anchors'!$H$9-'Anchors'!$G$9))),"")</x:f>
        <x:v>85.49887638765328</x:v>
      </x:c>
      <x:c r="AA105" s="33" t="n">
        <x:f>IF(ISNUMBER(I105),100*MAX(0,MIN(1,(I105-'Anchors'!$H$10)/('Anchors'!$G$10-'Anchors'!$H$10))),"")</x:f>
        <x:v>93.78908600680818</x:v>
      </x:c>
      <x:c r="AB105" s="33" t="n">
        <x:f>IF(ISNUMBER(J105),100*MAX(0,MIN(1,('Anchors'!$H$11-J105)/('Anchors'!$H$11-'Anchors'!$G$11))),"")</x:f>
        <x:v>99.83606030807402</x:v>
      </x:c>
      <x:c r="AC105" s="33" t="n">
        <x:f>IF(ISNUMBER(K105),100*MAX(0,MIN(1,('Anchors'!$H$12-K105)/('Anchors'!$H$12-'Anchors'!$G$12))),"")</x:f>
        <x:v>74.41310583691471</x:v>
      </x:c>
      <x:c r="AD105" s="33" t="n">
        <x:f>IF(ISNUMBER(L105),100*MAX(0,MIN(1,(L105-'Anchors'!$H$13)/('Anchors'!$G$13-'Anchors'!$H$13))),"")</x:f>
        <x:v>58.876560285714284</x:v>
      </x:c>
      <x:c r="AE105" s="33" t="n">
        <x:f>IF(ISNUMBER(M105),100*MAX(0,MIN(1,(M105-'Anchors'!$H$14)/('Anchors'!$G$14-'Anchors'!$H$14))),"")</x:f>
        <x:v>63.216019375</x:v>
      </x:c>
      <x:c r="AF105" s="33" t="n">
        <x:f>IF(ISNUMBER(N105),100*MAX(0,MIN(1,(LN(1+N105)-LN(1+'Anchors'!$H$15))/(LN(1+'Anchors'!$G$15)-LN(1+'Anchors'!$H$15)))),"")</x:f>
        <x:v>33.749210096591966</x:v>
      </x:c>
      <x:c r="AG105" s="33" t="n">
        <x:f>IF(ISNUMBER(O105),100*MAX(0,MIN(1,('Anchors'!$H$16-O105)/('Anchors'!$H$16-'Anchors'!$G$16))),"")</x:f>
        <x:v>0</x:v>
      </x:c>
      <x:c r="AH105" s="33" t="n">
        <x:f>IF(ISNUMBER(P105),100*MAX(0,MIN(1,('Anchors'!$H$17-P105)/('Anchors'!$H$17-'Anchors'!$G$17))),"")</x:f>
        <x:v>0</x:v>
      </x:c>
      <x:c r="AI105" s="33" t="n">
        <x:f>IF(ISNUMBER(Q105),100*MAX(0,MIN(1,('Anchors'!$H$18-Q105)/('Anchors'!$H$18-'Anchors'!$G$18))),"")</x:f>
        <x:v>0</x:v>
      </x:c>
      <x:c r="AJ105" s="33" t="n">
        <x:f>IF(ISNUMBER(R105),100*MAX(0,MIN(1,('Anchors'!$H$19-R105)/('Anchors'!$H$19-'Anchors'!$G$19))),"")</x:f>
        <x:v>0</x:v>
      </x:c>
      <x:c r="AK105" s="33" t="n">
        <x:f>IF(ISNUMBER(S105),100*MAX(0,MIN(1,('Anchors'!$H$20-S105)/('Anchors'!$H$20-'Anchors'!$G$20))),"")</x:f>
        <x:v>100</x:v>
      </x:c>
      <x:c r="AL105" s="33" t="n">
        <x:f>IF(ISNUMBER(T105),100*MAX(0,MIN(1,('Anchors'!$H$21-T105)/('Anchors'!$H$21-'Anchors'!$G$21))),"")</x:f>
        <x:v>87.0909090909091</x:v>
      </x:c>
      <x:c r="AM105" s="33" t="n">
        <x:f>IF(ISNUMBER(U105),100*MAX(0,MIN(1,('Anchors'!$H$22-U105)/('Anchors'!$H$22-'Anchors'!$G$22))),"")</x:f>
        <x:v>44.29226091355795</x:v>
      </x:c>
      <x:c r="AN105" s="33" t="n">
        <x:f>IF(ISNUMBER(V105),100*MAX(0,MIN(1,('Anchors'!$H$23-V105)/('Anchors'!$H$23-'Anchors'!$G$23))),"")</x:f>
        <x:v>68.6431055263375</x:v>
      </x:c>
      <x:c r="AO105" s="27" t="n">
        <x:f>IF(ISNUMBER(W105),IF('Scoring Setup'!$L$9=1,1-'Scoring Setup'!$B$5*(1-MAX(0,MIN(1,(W105-'Scoring Setup'!$K$9)/(100-'Scoring Setup'!$K$9)))),1),"")</x:f>
        <x:v>0.9182857142857143</x:v>
      </x:c>
      <x:c r="AP105" s="27" t="n">
        <x:f>IF(ISNUMBER(X105),IF('Scoring Setup'!$L$10=1,1-'Scoring Setup'!$B$5*(1-MAX(0,MIN(1,(X105-'Scoring Setup'!$K$10)/(100-'Scoring Setup'!$K$10)))),1),"")</x:f>
        <x:v>0.8321428571428572</x:v>
      </x:c>
      <x:c r="AQ105" s="27" t="n">
        <x:f>IF(ISNUMBER(Y105),IF('Scoring Setup'!$L$11=1,1-'Scoring Setup'!$B$5*(1-MAX(0,MIN(1,(Y105-'Scoring Setup'!$K$11)/(100-'Scoring Setup'!$K$11)))),1),"")</x:f>
        <x:v>0.9703704279116745</x:v>
      </x:c>
      <x:c r="AR105" s="27" t="n">
        <x:f>IF(ISNUMBER(Z105),IF('Scoring Setup'!$L$12=1,1-'Scoring Setup'!$B$5*(1-MAX(0,MIN(1,(Z105-'Scoring Setup'!$K$12)/(100-'Scoring Setup'!$K$12)))),1),"")</x:f>
        <x:v>0.9709977527753065</x:v>
      </x:c>
      <x:c r="AS105" s="27" t="n">
        <x:f>IF(ISNUMBER(AA105),IF('Scoring Setup'!$L$13=1,1-'Scoring Setup'!$B$5*(1-MAX(0,MIN(1,(AA105-'Scoring Setup'!$K$13)/(100-'Scoring Setup'!$K$13)))),1),"")</x:f>
        <x:v>0.9875781720136163</x:v>
      </x:c>
      <x:c r="AT105" s="27" t="n">
        <x:f>IF(ISNUMBER(AB105),IF('Scoring Setup'!$L$14=1,1-'Scoring Setup'!$B$5*(1-MAX(0,MIN(1,(AB105-'Scoring Setup'!$K$14)/(100-'Scoring Setup'!$K$14)))),1),"")</x:f>
        <x:v>0.9996721206161481</x:v>
      </x:c>
      <x:c r="AU105" s="27" t="n">
        <x:f>IF(ISNUMBER(AC105),IF('Scoring Setup'!$L$15=1,1-'Scoring Setup'!$B$5*(1-MAX(0,MIN(1,(AC105-'Scoring Setup'!$K$15)/(100-'Scoring Setup'!$K$15)))),1),"")</x:f>
        <x:v>0.9488262116738294</x:v>
      </x:c>
      <x:c r="AV105" s="27" t="n">
        <x:f>IF(ISNUMBER(AD105),IF('Scoring Setup'!$L$16=1,1-'Scoring Setup'!$B$5*(1-MAX(0,MIN(1,(AD105-'Scoring Setup'!$K$16)/(100-'Scoring Setup'!$K$16)))),1),"")</x:f>
        <x:v>0.9177531205714285</x:v>
      </x:c>
      <x:c r="AW105" s="27" t="n">
        <x:f>IF(ISNUMBER(AE105),IF('Scoring Setup'!$L$17=1,1-'Scoring Setup'!$B$5*(1-MAX(0,MIN(1,(AE105-'Scoring Setup'!$K$17)/(100-'Scoring Setup'!$K$17)))),1),"")</x:f>
        <x:v>0.92643203875</x:v>
      </x:c>
      <x:c r="AX105" s="27" t="n">
        <x:f>IF(ISNUMBER(AF105),IF('Scoring Setup'!$L$18=1,1-'Scoring Setup'!$B$5*(1-MAX(0,MIN(1,(AF105-'Scoring Setup'!$K$18)/(100-'Scoring Setup'!$K$18)))),1),"")</x:f>
        <x:v>0.8674984201931839</x:v>
      </x:c>
      <x:c r="AY105" s="27" t="n">
        <x:f>IF(ISNUMBER(AG105),IF('Scoring Setup'!$L$19=1,1-'Scoring Setup'!$B$5*(1-MAX(0,MIN(1,(AG105-'Scoring Setup'!$K$19)/(100-'Scoring Setup'!$K$19)))),1),"")</x:f>
        <x:v>0.8</x:v>
      </x:c>
      <x:c r="AZ105" s="27" t="n">
        <x:f>IF(ISNUMBER(AH105),IF('Scoring Setup'!$L$20=1,1-'Scoring Setup'!$B$5*(1-MAX(0,MIN(1,(AH105-'Scoring Setup'!$K$20)/(100-'Scoring Setup'!$K$20)))),1),"")</x:f>
        <x:v>0.8</x:v>
      </x:c>
      <x:c r="BA105" s="27" t="n">
        <x:f>IF(ISNUMBER(AI105),IF('Scoring Setup'!$L$21=1,1-'Scoring Setup'!$B$5*(1-MAX(0,MIN(1,(AI105-'Scoring Setup'!$K$21)/(100-'Scoring Setup'!$K$21)))),1),"")</x:f>
        <x:v>0.8</x:v>
      </x:c>
      <x:c r="BB105" s="27" t="n">
        <x:f>IF(ISNUMBER(AJ105),IF('Scoring Setup'!$L$22=1,1-'Scoring Setup'!$B$5*(1-MAX(0,MIN(1,(AJ105-'Scoring Setup'!$K$22)/(100-'Scoring Setup'!$K$22)))),1),"")</x:f>
        <x:v>0.8</x:v>
      </x:c>
      <x:c r="BC105" s="27" t="n">
        <x:f>IF(ISNUMBER(AK105),IF('Scoring Setup'!$L$23=1,1-'Scoring Setup'!$B$5*(1-MAX(0,MIN(1,(AK105-'Scoring Setup'!$K$23)/(100-'Scoring Setup'!$K$23)))),1),"")</x:f>
        <x:v>1</x:v>
      </x:c>
      <x:c r="BD105" s="27" t="n">
        <x:f>IF(ISNUMBER(AL105),IF('Scoring Setup'!$L$24=1,1-'Scoring Setup'!$B$5*(1-MAX(0,MIN(1,(AL105-'Scoring Setup'!$K$24)/(100-'Scoring Setup'!$K$24)))),1),"")</x:f>
        <x:v>0.9741818181818181</x:v>
      </x:c>
      <x:c r="BE105" s="27" t="n">
        <x:f>IF(ISNUMBER(AM105),IF('Scoring Setup'!$L$25=1,1-'Scoring Setup'!$B$5*(1-MAX(0,MIN(1,(AM105-'Scoring Setup'!$K$25)/(100-'Scoring Setup'!$K$25)))),1),"")</x:f>
        <x:v>0.8885845218271159</x:v>
      </x:c>
      <x:c r="BF105" s="27" t="n">
        <x:f>IF(ISNUMBER(AN105),IF('Scoring Setup'!$L$26=1,1-'Scoring Setup'!$B$5*(1-MAX(0,MIN(1,(AN105-'Scoring Setup'!$K$26)/(100-'Scoring Setup'!$K$26)))),1),"")</x:f>
        <x:v>0.937286211052675</x:v>
      </x:c>
      <x:c r="BG105" s="34" t="n">
        <x:f>IF(COUNT(W105,X105)=2,AVERAGE(W105,X105),"")</x:f>
        <x:v>37.60714285714286</x:v>
      </x:c>
      <x:c r="BH105" s="34" t="n">
        <x:f>IF(COUNT(Y105,Z105)=2,AVERAGE(Y105,Z105),"")</x:f>
        <x:v>85.34204517174527</x:v>
      </x:c>
      <x:c r="BI105" s="34" t="n">
        <x:f>IF(COUNT(AA105,AB105,AC105)=3,AVERAGE(AA105,AB105,AC105),"")</x:f>
        <x:v>89.34608405059898</x:v>
      </x:c>
      <x:c r="BJ105" s="34" t="n">
        <x:f>IF(COUNT(AD105,AE105)=2,AVERAGE(AD105,AE105),"")</x:f>
        <x:v>61.04628983035714</x:v>
      </x:c>
      <x:c r="BK105" s="34" t="n">
        <x:f>IF(COUNT(AF105,AG105)=2,AVERAGE(AF105,AG105),"")</x:f>
        <x:v>16.874605048295983</x:v>
      </x:c>
      <x:c r="BL105" s="34" t="n">
        <x:f>IF(COUNT(AH105,AI105)=2,AVERAGE(AH105,AI105),"")</x:f>
        <x:v>0</x:v>
      </x:c>
      <x:c r="BM105" s="34" t="n">
        <x:f>IF(COUNT(AJ105,AK105)=2,AVERAGE(AJ105,AK105),"")</x:f>
        <x:v>50</x:v>
      </x:c>
      <x:c r="BN105" s="34" t="n">
        <x:f>IF(COUNT(AL105,AM105,AN105)=3,AVERAGE(AL105,AM105,AN105),"")</x:f>
        <x:v>66.67542517693484</x:v>
      </x:c>
      <x:c r="BO105" s="35" t="n">
        <x:f>IF(AND(COUNT(BG105:BN105)=8,ABS('Scoring Setup'!$C$17-1)&lt;0.000001),BG105*'Scoring Setup'!$C$9+BH105*'Scoring Setup'!$C$10+BI105*'Scoring Setup'!$C$11+BJ105*'Scoring Setup'!$C$12+BK105*'Scoring Setup'!$C$13+BL105*'Scoring Setup'!$C$14+BM105*'Scoring Setup'!$C$15+BN105*'Scoring Setup'!$C$16,"")</x:f>
        <x:v>60.058448766069</x:v>
      </x:c>
      <x:c r="BP105" s="36" t="n">
        <x:f>IF(COUNT(AO105:BF105)=18,MIN(AO105:BF105),"")</x:f>
        <x:v>0.8</x:v>
      </x:c>
      <x:c r="BQ105" s="35" t="n">
        <x:f>IF(AND(ISNUMBER(BO105),ISNUMBER(BP105)),BO105*BP105,"")</x:f>
        <x:v>48.046759012855205</x:v>
      </x:c>
      <x:c r="BR105" s="17" t="str">
        <x:f>IF(COUNT(AO105:BF105)=18,INDEX('Scoring Setup'!$F$9:$F$26,MATCH(MIN(AO105:BF105),AO105:BF105,0),1),"")</x:f>
        <x:v>社会脆弱性百分位</x:v>
      </x:c>
    </x:row>
    <x:row r="106">
      <x:c r="A106" s="28" t="str">
        <x:v>13207</x:v>
      </x:c>
      <x:c r="B106" s="28" t="str">
        <x:v>Monroe County</x:v>
      </x:c>
      <x:c r="C106" s="28" t="str">
        <x:v>GA</x:v>
      </x:c>
      <x:c r="D106" s="31" t="n">
        <x:v>1025.872454</x:v>
      </x:c>
      <x:c r="E106" s="32" t="n">
        <x:v>0.66</x:v>
      </x:c>
      <x:c r="F106" s="32" t="n">
        <x:v>0.295792079207921</x:v>
      </x:c>
      <x:c r="G106" s="32" t="n">
        <x:v>2.5714012754952695</x:v>
      </x:c>
      <x:c r="H106" s="32" t="n">
        <x:v>2.4486085323762152</x:v>
      </x:c>
      <x:c r="I106" s="32" t="n">
        <x:v>0.9248422583319041</x:v>
      </x:c>
      <x:c r="J106" s="32" t="n">
        <x:v>0.04485039309755963</x:v>
      </x:c>
      <x:c r="K106" s="32" t="n">
        <x:v>0.034689768764648715</x:v>
      </x:c>
      <x:c r="L106" s="32" t="n">
        <x:v>0.897026557</x:v>
      </x:c>
      <x:c r="M106" s="32" t="n">
        <x:v>0.897026557</x:v>
      </x:c>
      <x:c r="N106" s="32" t="n">
        <x:v>14446</x:v>
      </x:c>
      <x:c r="O106" s="32" t="n">
        <x:v>0.329</x:v>
      </x:c>
      <x:c r="P106" s="32" t="n">
        <x:v>1776.751729329427</x:v>
      </x:c>
      <x:c r="Q106" s="32" t="n">
        <x:v>52.50535545349121</x:v>
      </x:c>
      <x:c r="R106" s="32" t="n">
        <x:v>1.4637133225771009</x:v>
      </x:c>
      <x:c r="S106" s="32" t="n">
        <x:v>0.5639806525004973</x:v>
      </x:c>
      <x:c r="T106" s="32" t="n">
        <x:v>72.1</x:v>
      </x:c>
      <x:c r="U106" s="32" t="n">
        <x:v>211.4154781728841</x:v>
      </x:c>
      <x:c r="V106" s="32" t="n">
        <x:v>325.42757789465</x:v>
      </x:c>
      <x:c r="W106" s="33" t="n">
        <x:f>IF(ISNUMBER(E106),100*MAX(0,MIN(1,('Anchors'!$H$6-E106)/('Anchors'!$H$6-'Anchors'!$G$6))),"")</x:f>
        <x:v>34.285714285714285</x:v>
      </x:c>
      <x:c r="X106" s="33" t="n">
        <x:f>IF(ISNUMBER(F106),100*MAX(0,MIN(1,('Anchors'!$H$7-F106)/('Anchors'!$H$7-'Anchors'!$G$7))),"")</x:f>
        <x:v>72.02970297029701</x:v>
      </x:c>
      <x:c r="Y106" s="33" t="n">
        <x:f>IF(ISNUMBER(G106),100*MAX(0,MIN(1,('Anchors'!$H$8-G106)/('Anchors'!$H$8-'Anchors'!$G$8))),"")</x:f>
        <x:v>47.619957483491014</x:v>
      </x:c>
      <x:c r="Z106" s="33" t="n">
        <x:f>IF(ISNUMBER(H106),100*MAX(0,MIN(1,('Anchors'!$H$9-H106)/('Anchors'!$H$9-'Anchors'!$G$9))),"")</x:f>
        <x:v>51.71304892079283</x:v>
      </x:c>
      <x:c r="AA106" s="33" t="n">
        <x:f>IF(ISNUMBER(I106),100*MAX(0,MIN(1,(I106-'Anchors'!$H$10)/('Anchors'!$G$10-'Anchors'!$H$10))),"")</x:f>
        <x:v>92.44414497697318</x:v>
      </x:c>
      <x:c r="AB106" s="33" t="n">
        <x:f>IF(ISNUMBER(J106),100*MAX(0,MIN(1,('Anchors'!$H$11-J106)/('Anchors'!$H$11-'Anchors'!$G$11))),"")</x:f>
        <x:v>82.05984276097615</x:v>
      </x:c>
      <x:c r="AC106" s="33" t="n">
        <x:f>IF(ISNUMBER(K106),100*MAX(0,MIN(1,('Anchors'!$H$12-K106)/('Anchors'!$H$12-'Anchors'!$G$12))),"")</x:f>
        <x:v>91.32755780883784</x:v>
      </x:c>
      <x:c r="AD106" s="33" t="n">
        <x:f>IF(ISNUMBER(L106),100*MAX(0,MIN(1,(L106-'Anchors'!$H$13)/('Anchors'!$G$13-'Anchors'!$H$13))),"")</x:f>
        <x:v>99.57522242857144</x:v>
      </x:c>
      <x:c r="AE106" s="33" t="n">
        <x:f>IF(ISNUMBER(M106),100*MAX(0,MIN(1,(M106-'Anchors'!$H$14)/('Anchors'!$G$14-'Anchors'!$H$14))),"")</x:f>
        <x:v>99.62831962499999</x:v>
      </x:c>
      <x:c r="AF106" s="33" t="n">
        <x:f>IF(ISNUMBER(N106),100*MAX(0,MIN(1,(LN(1+N106)-LN(1+'Anchors'!$H$15))/(LN(1+'Anchors'!$G$15)-LN(1+'Anchors'!$H$15)))),"")</x:f>
        <x:v>45.79203284656065</x:v>
      </x:c>
      <x:c r="AG106" s="33" t="n">
        <x:f>IF(ISNUMBER(O106),100*MAX(0,MIN(1,('Anchors'!$H$16-O106)/('Anchors'!$H$16-'Anchors'!$G$16))),"")</x:f>
        <x:v>69</x:v>
      </x:c>
      <x:c r="AH106" s="33" t="n">
        <x:f>IF(ISNUMBER(P106),100*MAX(0,MIN(1,('Anchors'!$H$17-P106)/('Anchors'!$H$17-'Anchors'!$G$17))),"")</x:f>
        <x:v>28.2165513780382</x:v>
      </x:c>
      <x:c r="AI106" s="33" t="n">
        <x:f>IF(ISNUMBER(Q106),100*MAX(0,MIN(1,('Anchors'!$H$18-Q106)/('Anchors'!$H$18-'Anchors'!$G$18))),"")</x:f>
        <x:v>32.135206495012554</x:v>
      </x:c>
      <x:c r="AJ106" s="33" t="n">
        <x:f>IF(ISNUMBER(R106),100*MAX(0,MIN(1,('Anchors'!$H$19-R106)/('Anchors'!$H$19-'Anchors'!$G$19))),"")</x:f>
        <x:v>100</x:v>
      </x:c>
      <x:c r="AK106" s="33" t="n">
        <x:f>IF(ISNUMBER(S106),100*MAX(0,MIN(1,('Anchors'!$H$20-S106)/('Anchors'!$H$20-'Anchors'!$G$20))),"")</x:f>
        <x:v>100</x:v>
      </x:c>
      <x:c r="AL106" s="33" t="n">
        <x:f>IF(ISNUMBER(T106),100*MAX(0,MIN(1,('Anchors'!$H$21-T106)/('Anchors'!$H$21-'Anchors'!$G$21))),"")</x:f>
        <x:v>87.0909090909091</x:v>
      </x:c>
      <x:c r="AM106" s="33" t="n">
        <x:f>IF(ISNUMBER(U106),100*MAX(0,MIN(1,('Anchors'!$H$22-U106)/('Anchors'!$H$22-'Anchors'!$G$22))),"")</x:f>
        <x:v>44.29226091355795</x:v>
      </x:c>
      <x:c r="AN106" s="33" t="n">
        <x:f>IF(ISNUMBER(V106),100*MAX(0,MIN(1,('Anchors'!$H$23-V106)/('Anchors'!$H$23-'Anchors'!$G$23))),"")</x:f>
        <x:v>68.6431055263375</x:v>
      </x:c>
      <x:c r="AO106" s="27" t="n">
        <x:f>IF(ISNUMBER(W106),IF('Scoring Setup'!$L$9=1,1-'Scoring Setup'!$B$5*(1-MAX(0,MIN(1,(W106-'Scoring Setup'!$K$9)/(100-'Scoring Setup'!$K$9)))),1),"")</x:f>
        <x:v>0.8685714285714285</x:v>
      </x:c>
      <x:c r="AP106" s="27" t="n">
        <x:f>IF(ISNUMBER(X106),IF('Scoring Setup'!$L$10=1,1-'Scoring Setup'!$B$5*(1-MAX(0,MIN(1,(X106-'Scoring Setup'!$K$10)/(100-'Scoring Setup'!$K$10)))),1),"")</x:f>
        <x:v>0.944059405940594</x:v>
      </x:c>
      <x:c r="AQ106" s="27" t="n">
        <x:f>IF(ISNUMBER(Y106),IF('Scoring Setup'!$L$11=1,1-'Scoring Setup'!$B$5*(1-MAX(0,MIN(1,(Y106-'Scoring Setup'!$K$11)/(100-'Scoring Setup'!$K$11)))),1),"")</x:f>
        <x:v>0.8952399149669821</x:v>
      </x:c>
      <x:c r="AR106" s="27" t="n">
        <x:f>IF(ISNUMBER(Z106),IF('Scoring Setup'!$L$12=1,1-'Scoring Setup'!$B$5*(1-MAX(0,MIN(1,(Z106-'Scoring Setup'!$K$12)/(100-'Scoring Setup'!$K$12)))),1),"")</x:f>
        <x:v>0.9034260978415857</x:v>
      </x:c>
      <x:c r="AS106" s="27" t="n">
        <x:f>IF(ISNUMBER(AA106),IF('Scoring Setup'!$L$13=1,1-'Scoring Setup'!$B$5*(1-MAX(0,MIN(1,(AA106-'Scoring Setup'!$K$13)/(100-'Scoring Setup'!$K$13)))),1),"")</x:f>
        <x:v>0.9848882899539464</x:v>
      </x:c>
      <x:c r="AT106" s="27" t="n">
        <x:f>IF(ISNUMBER(AB106),IF('Scoring Setup'!$L$14=1,1-'Scoring Setup'!$B$5*(1-MAX(0,MIN(1,(AB106-'Scoring Setup'!$K$14)/(100-'Scoring Setup'!$K$14)))),1),"")</x:f>
        <x:v>0.9641196855219523</x:v>
      </x:c>
      <x:c r="AU106" s="27" t="n">
        <x:f>IF(ISNUMBER(AC106),IF('Scoring Setup'!$L$15=1,1-'Scoring Setup'!$B$5*(1-MAX(0,MIN(1,(AC106-'Scoring Setup'!$K$15)/(100-'Scoring Setup'!$K$15)))),1),"")</x:f>
        <x:v>0.9826551156176757</x:v>
      </x:c>
      <x:c r="AV106" s="27" t="n">
        <x:f>IF(ISNUMBER(AD106),IF('Scoring Setup'!$L$16=1,1-'Scoring Setup'!$B$5*(1-MAX(0,MIN(1,(AD106-'Scoring Setup'!$K$16)/(100-'Scoring Setup'!$K$16)))),1),"")</x:f>
        <x:v>0.9991504448571429</x:v>
      </x:c>
      <x:c r="AW106" s="27" t="n">
        <x:f>IF(ISNUMBER(AE106),IF('Scoring Setup'!$L$17=1,1-'Scoring Setup'!$B$5*(1-MAX(0,MIN(1,(AE106-'Scoring Setup'!$K$17)/(100-'Scoring Setup'!$K$17)))),1),"")</x:f>
        <x:v>0.99925663925</x:v>
      </x:c>
      <x:c r="AX106" s="27" t="n">
        <x:f>IF(ISNUMBER(AF106),IF('Scoring Setup'!$L$18=1,1-'Scoring Setup'!$B$5*(1-MAX(0,MIN(1,(AF106-'Scoring Setup'!$K$18)/(100-'Scoring Setup'!$K$18)))),1),"")</x:f>
        <x:v>0.8915840656931213</x:v>
      </x:c>
      <x:c r="AY106" s="27" t="n">
        <x:f>IF(ISNUMBER(AG106),IF('Scoring Setup'!$L$19=1,1-'Scoring Setup'!$B$5*(1-MAX(0,MIN(1,(AG106-'Scoring Setup'!$K$19)/(100-'Scoring Setup'!$K$19)))),1),"")</x:f>
        <x:v>0.938</x:v>
      </x:c>
      <x:c r="AZ106" s="27" t="n">
        <x:f>IF(ISNUMBER(AH106),IF('Scoring Setup'!$L$20=1,1-'Scoring Setup'!$B$5*(1-MAX(0,MIN(1,(AH106-'Scoring Setup'!$K$20)/(100-'Scoring Setup'!$K$20)))),1),"")</x:f>
        <x:v>0.8564331027560764</x:v>
      </x:c>
      <x:c r="BA106" s="27" t="n">
        <x:f>IF(ISNUMBER(AI106),IF('Scoring Setup'!$L$21=1,1-'Scoring Setup'!$B$5*(1-MAX(0,MIN(1,(AI106-'Scoring Setup'!$K$21)/(100-'Scoring Setup'!$K$21)))),1),"")</x:f>
        <x:v>0.8642704129900252</x:v>
      </x:c>
      <x:c r="BB106" s="27" t="n">
        <x:f>IF(ISNUMBER(AJ106),IF('Scoring Setup'!$L$22=1,1-'Scoring Setup'!$B$5*(1-MAX(0,MIN(1,(AJ106-'Scoring Setup'!$K$22)/(100-'Scoring Setup'!$K$22)))),1),"")</x:f>
        <x:v>1</x:v>
      </x:c>
      <x:c r="BC106" s="27" t="n">
        <x:f>IF(ISNUMBER(AK106),IF('Scoring Setup'!$L$23=1,1-'Scoring Setup'!$B$5*(1-MAX(0,MIN(1,(AK106-'Scoring Setup'!$K$23)/(100-'Scoring Setup'!$K$23)))),1),"")</x:f>
        <x:v>1</x:v>
      </x:c>
      <x:c r="BD106" s="27" t="n">
        <x:f>IF(ISNUMBER(AL106),IF('Scoring Setup'!$L$24=1,1-'Scoring Setup'!$B$5*(1-MAX(0,MIN(1,(AL106-'Scoring Setup'!$K$24)/(100-'Scoring Setup'!$K$24)))),1),"")</x:f>
        <x:v>0.9741818181818181</x:v>
      </x:c>
      <x:c r="BE106" s="27" t="n">
        <x:f>IF(ISNUMBER(AM106),IF('Scoring Setup'!$L$25=1,1-'Scoring Setup'!$B$5*(1-MAX(0,MIN(1,(AM106-'Scoring Setup'!$K$25)/(100-'Scoring Setup'!$K$25)))),1),"")</x:f>
        <x:v>0.8885845218271159</x:v>
      </x:c>
      <x:c r="BF106" s="27" t="n">
        <x:f>IF(ISNUMBER(AN106),IF('Scoring Setup'!$L$26=1,1-'Scoring Setup'!$B$5*(1-MAX(0,MIN(1,(AN106-'Scoring Setup'!$K$26)/(100-'Scoring Setup'!$K$26)))),1),"")</x:f>
        <x:v>0.937286211052675</x:v>
      </x:c>
      <x:c r="BG106" s="34" t="n">
        <x:f>IF(COUNT(W106,X106)=2,AVERAGE(W106,X106),"")</x:f>
        <x:v>53.15770862800565</x:v>
      </x:c>
      <x:c r="BH106" s="34" t="n">
        <x:f>IF(COUNT(Y106,Z106)=2,AVERAGE(Y106,Z106),"")</x:f>
        <x:v>49.666503202141925</x:v>
      </x:c>
      <x:c r="BI106" s="34" t="n">
        <x:f>IF(COUNT(AA106,AB106,AC106)=3,AVERAGE(AA106,AB106,AC106),"")</x:f>
        <x:v>88.6105151822624</x:v>
      </x:c>
      <x:c r="BJ106" s="34" t="n">
        <x:f>IF(COUNT(AD106,AE106)=2,AVERAGE(AD106,AE106),"")</x:f>
        <x:v>99.60177102678571</x:v>
      </x:c>
      <x:c r="BK106" s="34" t="n">
        <x:f>IF(COUNT(AF106,AG106)=2,AVERAGE(AF106,AG106),"")</x:f>
        <x:v>57.39601642328033</x:v>
      </x:c>
      <x:c r="BL106" s="34" t="n">
        <x:f>IF(COUNT(AH106,AI106)=2,AVERAGE(AH106,AI106),"")</x:f>
        <x:v>30.17587893652538</x:v>
      </x:c>
      <x:c r="BM106" s="34" t="n">
        <x:f>IF(COUNT(AJ106,AK106)=2,AVERAGE(AJ106,AK106),"")</x:f>
        <x:v>100</x:v>
      </x:c>
      <x:c r="BN106" s="34" t="n">
        <x:f>IF(COUNT(AL106,AM106,AN106)=3,AVERAGE(AL106,AM106,AN106),"")</x:f>
        <x:v>66.67542517693484</x:v>
      </x:c>
      <x:c r="BO106" s="35" t="n">
        <x:f>IF(AND(COUNT(BG106:BN106)=8,ABS('Scoring Setup'!$C$17-1)&lt;0.000001),BG106*'Scoring Setup'!$C$9+BH106*'Scoring Setup'!$C$10+BI106*'Scoring Setup'!$C$11+BJ106*'Scoring Setup'!$C$12+BK106*'Scoring Setup'!$C$13+BL106*'Scoring Setup'!$C$14+BM106*'Scoring Setup'!$C$15+BN106*'Scoring Setup'!$C$16,"")</x:f>
        <x:v>66.32132326636852</x:v>
      </x:c>
      <x:c r="BP106" s="36" t="n">
        <x:f>IF(COUNT(AO106:BF106)=18,MIN(AO106:BF106),"")</x:f>
        <x:v>0.8564331027560764</x:v>
      </x:c>
      <x:c r="BQ106" s="35" t="n">
        <x:f>IF(AND(ISNUMBER(BO106),ISNUMBER(BP106)),BO106*BP106,"")</x:f>
        <x:v>56.79977666390476</x:v>
      </x:c>
      <x:c r="BR106" s="17" t="str">
        <x:f>IF(COUNT(AO106:BF106)=18,INDEX('Scoring Setup'!$F$9:$F$26,MATCH(MIN(AO106:BF106),AO106:BF106,0),1),"")</x:f>
        <x:v>历史CDD65</x:v>
      </x:c>
    </x:row>
    <x:row r="107">
      <x:c r="A107" s="28" t="str">
        <x:v>13209</x:v>
      </x:c>
      <x:c r="B107" s="28" t="str">
        <x:v>Montgomery County</x:v>
      </x:c>
      <x:c r="C107" s="28" t="str">
        <x:v>GA</x:v>
      </x:c>
      <x:c r="D107" s="31" t="n">
        <x:v>624.563059</x:v>
      </x:c>
      <x:c r="E107" s="32" t="n">
        <x:v>0.553</x:v>
      </x:c>
      <x:c r="F107" s="32" t="n">
        <x:v>0.526918316831683</x:v>
      </x:c>
      <x:c r="G107" s="32" t="n">
        <x:v>1.5430541873763026</x:v>
      </x:c>
      <x:c r="H107" s="32" t="n">
        <x:v>1.4120826661768857</x:v>
      </x:c>
      <x:c r="I107" s="32" t="n">
        <x:v>0.9357196743808422</x:v>
      </x:c>
      <x:c r="J107" s="32" t="n">
        <x:v>0.010869892933433427</x:v>
      </x:c>
      <x:c r="K107" s="32" t="n">
        <x:v>0.2903154884646611</x:v>
      </x:c>
      <x:c r="L107" s="32" t="n">
        <x:v>0.944266055</x:v>
      </x:c>
      <x:c r="M107" s="32" t="n">
        <x:v>0.944266055</x:v>
      </x:c>
      <x:c r="N107" s="32" t="n">
        <x:v>3354</x:v>
      </x:c>
      <x:c r="O107" s="32" t="n">
        <x:v>0.7547</x:v>
      </x:c>
      <x:c r="P107" s="32" t="n">
        <x:v>2156.596142578125</x:v>
      </x:c>
      <x:c r="Q107" s="32" t="n">
        <x:v>74.79854863484701</x:v>
      </x:c>
      <x:c r="R107" s="32" t="n">
        <x:v>28.112897422899234</x:v>
      </x:c>
      <x:c r="S107" s="32" t="n">
        <x:v>1.6961598403303493</x:v>
      </x:c>
      <x:c r="T107" s="32" t="n">
        <x:v>72.1</x:v>
      </x:c>
      <x:c r="U107" s="32" t="n">
        <x:v>211.4154781728841</x:v>
      </x:c>
      <x:c r="V107" s="32" t="n">
        <x:v>325.42757789465</x:v>
      </x:c>
      <x:c r="W107" s="33" t="n">
        <x:f>IF(ISNUMBER(E107),100*MAX(0,MIN(1,('Anchors'!$H$6-E107)/('Anchors'!$H$6-'Anchors'!$G$6))),"")</x:f>
        <x:v>49.57142857142857</x:v>
      </x:c>
      <x:c r="X107" s="33" t="n">
        <x:f>IF(ISNUMBER(F107),100*MAX(0,MIN(1,('Anchors'!$H$7-F107)/('Anchors'!$H$7-'Anchors'!$G$7))),"")</x:f>
        <x:v>39.01166902404529</x:v>
      </x:c>
      <x:c r="Y107" s="33" t="n">
        <x:f>IF(ISNUMBER(G107),100*MAX(0,MIN(1,('Anchors'!$H$8-G107)/('Anchors'!$H$8-'Anchors'!$G$8))),"")</x:f>
        <x:v>81.89819375412326</x:v>
      </x:c>
      <x:c r="Z107" s="33" t="n">
        <x:f>IF(ISNUMBER(H107),100*MAX(0,MIN(1,('Anchors'!$H$9-H107)/('Anchors'!$H$9-'Anchors'!$G$9))),"")</x:f>
        <x:v>86.26391112743713</x:v>
      </x:c>
      <x:c r="AA107" s="33" t="n">
        <x:f>IF(ISNUMBER(I107),100*MAX(0,MIN(1,(I107-'Anchors'!$H$10)/('Anchors'!$G$10-'Anchors'!$H$10))),"")</x:f>
        <x:v>93.93420196997839</x:v>
      </x:c>
      <x:c r="AB107" s="33" t="n">
        <x:f>IF(ISNUMBER(J107),100*MAX(0,MIN(1,('Anchors'!$H$11-J107)/('Anchors'!$H$11-'Anchors'!$G$11))),"")</x:f>
        <x:v>95.65204282662663</x:v>
      </x:c>
      <x:c r="AC107" s="33" t="n">
        <x:f>IF(ISNUMBER(K107),100*MAX(0,MIN(1,('Anchors'!$H$12-K107)/('Anchors'!$H$12-'Anchors'!$G$12))),"")</x:f>
        <x:v>27.42112788383473</x:v>
      </x:c>
      <x:c r="AD107" s="33" t="n">
        <x:f>IF(ISNUMBER(L107),100*MAX(0,MIN(1,(L107-'Anchors'!$H$13)/('Anchors'!$G$13-'Anchors'!$H$13))),"")</x:f>
        <x:v>100</x:v>
      </x:c>
      <x:c r="AE107" s="33" t="n">
        <x:f>IF(ISNUMBER(M107),100*MAX(0,MIN(1,(M107-'Anchors'!$H$14)/('Anchors'!$G$14-'Anchors'!$H$14))),"")</x:f>
        <x:v>100</x:v>
      </x:c>
      <x:c r="AF107" s="33" t="n">
        <x:f>IF(ISNUMBER(N107),100*MAX(0,MIN(1,(LN(1+N107)-LN(1+'Anchors'!$H$15))/(LN(1+'Anchors'!$G$15)-LN(1+'Anchors'!$H$15)))),"")</x:f>
        <x:v>11.971399693032447</x:v>
      </x:c>
      <x:c r="AG107" s="33" t="n">
        <x:f>IF(ISNUMBER(O107),100*MAX(0,MIN(1,('Anchors'!$H$16-O107)/('Anchors'!$H$16-'Anchors'!$G$16))),"")</x:f>
        <x:v>21.699999999999996</x:v>
      </x:c>
      <x:c r="AH107" s="33" t="n">
        <x:f>IF(ISNUMBER(P107),100*MAX(0,MIN(1,('Anchors'!$H$17-P107)/('Anchors'!$H$17-'Anchors'!$G$17))),"")</x:f>
        <x:v>2.8935904947916544</x:v>
      </x:c>
      <x:c r="AI107" s="33" t="n">
        <x:f>IF(ISNUMBER(Q107),100*MAX(0,MIN(1,('Anchors'!$H$18-Q107)/('Anchors'!$H$18-'Anchors'!$G$18))),"")</x:f>
        <x:v>0.28778766450427284</x:v>
      </x:c>
      <x:c r="AJ107" s="33" t="n">
        <x:f>IF(ISNUMBER(R107),100*MAX(0,MIN(1,('Anchors'!$H$19-R107)/('Anchors'!$H$19-'Anchors'!$G$19))),"")</x:f>
        <x:v>48.63800572689059</x:v>
      </x:c>
      <x:c r="AK107" s="33" t="n">
        <x:f>IF(ISNUMBER(S107),100*MAX(0,MIN(1,('Anchors'!$H$20-S107)/('Anchors'!$H$20-'Anchors'!$G$20))),"")</x:f>
        <x:v>96.33600084036658</x:v>
      </x:c>
      <x:c r="AL107" s="33" t="n">
        <x:f>IF(ISNUMBER(T107),100*MAX(0,MIN(1,('Anchors'!$H$21-T107)/('Anchors'!$H$21-'Anchors'!$G$21))),"")</x:f>
        <x:v>87.0909090909091</x:v>
      </x:c>
      <x:c r="AM107" s="33" t="n">
        <x:f>IF(ISNUMBER(U107),100*MAX(0,MIN(1,('Anchors'!$H$22-U107)/('Anchors'!$H$22-'Anchors'!$G$22))),"")</x:f>
        <x:v>44.29226091355795</x:v>
      </x:c>
      <x:c r="AN107" s="33" t="n">
        <x:f>IF(ISNUMBER(V107),100*MAX(0,MIN(1,('Anchors'!$H$23-V107)/('Anchors'!$H$23-'Anchors'!$G$23))),"")</x:f>
        <x:v>68.6431055263375</x:v>
      </x:c>
      <x:c r="AO107" s="27" t="n">
        <x:f>IF(ISNUMBER(W107),IF('Scoring Setup'!$L$9=1,1-'Scoring Setup'!$B$5*(1-MAX(0,MIN(1,(W107-'Scoring Setup'!$K$9)/(100-'Scoring Setup'!$K$9)))),1),"")</x:f>
        <x:v>0.8991428571428571</x:v>
      </x:c>
      <x:c r="AP107" s="27" t="n">
        <x:f>IF(ISNUMBER(X107),IF('Scoring Setup'!$L$10=1,1-'Scoring Setup'!$B$5*(1-MAX(0,MIN(1,(X107-'Scoring Setup'!$K$10)/(100-'Scoring Setup'!$K$10)))),1),"")</x:f>
        <x:v>0.8780233380480906</x:v>
      </x:c>
      <x:c r="AQ107" s="27" t="n">
        <x:f>IF(ISNUMBER(Y107),IF('Scoring Setup'!$L$11=1,1-'Scoring Setup'!$B$5*(1-MAX(0,MIN(1,(Y107-'Scoring Setup'!$K$11)/(100-'Scoring Setup'!$K$11)))),1),"")</x:f>
        <x:v>0.9637963875082465</x:v>
      </x:c>
      <x:c r="AR107" s="27" t="n">
        <x:f>IF(ISNUMBER(Z107),IF('Scoring Setup'!$L$12=1,1-'Scoring Setup'!$B$5*(1-MAX(0,MIN(1,(Z107-'Scoring Setup'!$K$12)/(100-'Scoring Setup'!$K$12)))),1),"")</x:f>
        <x:v>0.9725278222548742</x:v>
      </x:c>
      <x:c r="AS107" s="27" t="n">
        <x:f>IF(ISNUMBER(AA107),IF('Scoring Setup'!$L$13=1,1-'Scoring Setup'!$B$5*(1-MAX(0,MIN(1,(AA107-'Scoring Setup'!$K$13)/(100-'Scoring Setup'!$K$13)))),1),"")</x:f>
        <x:v>0.9878684039399568</x:v>
      </x:c>
      <x:c r="AT107" s="27" t="n">
        <x:f>IF(ISNUMBER(AB107),IF('Scoring Setup'!$L$14=1,1-'Scoring Setup'!$B$5*(1-MAX(0,MIN(1,(AB107-'Scoring Setup'!$K$14)/(100-'Scoring Setup'!$K$14)))),1),"")</x:f>
        <x:v>0.9913040856532532</x:v>
      </x:c>
      <x:c r="AU107" s="27" t="n">
        <x:f>IF(ISNUMBER(AC107),IF('Scoring Setup'!$L$15=1,1-'Scoring Setup'!$B$5*(1-MAX(0,MIN(1,(AC107-'Scoring Setup'!$K$15)/(100-'Scoring Setup'!$K$15)))),1),"")</x:f>
        <x:v>0.8548422557676695</x:v>
      </x:c>
      <x:c r="AV107" s="27" t="n">
        <x:f>IF(ISNUMBER(AD107),IF('Scoring Setup'!$L$16=1,1-'Scoring Setup'!$B$5*(1-MAX(0,MIN(1,(AD107-'Scoring Setup'!$K$16)/(100-'Scoring Setup'!$K$16)))),1),"")</x:f>
        <x:v>1</x:v>
      </x:c>
      <x:c r="AW107" s="27" t="n">
        <x:f>IF(ISNUMBER(AE107),IF('Scoring Setup'!$L$17=1,1-'Scoring Setup'!$B$5*(1-MAX(0,MIN(1,(AE107-'Scoring Setup'!$K$17)/(100-'Scoring Setup'!$K$17)))),1),"")</x:f>
        <x:v>1</x:v>
      </x:c>
      <x:c r="AX107" s="27" t="n">
        <x:f>IF(ISNUMBER(AF107),IF('Scoring Setup'!$L$18=1,1-'Scoring Setup'!$B$5*(1-MAX(0,MIN(1,(AF107-'Scoring Setup'!$K$18)/(100-'Scoring Setup'!$K$18)))),1),"")</x:f>
        <x:v>0.8239427993860649</x:v>
      </x:c>
      <x:c r="AY107" s="27" t="n">
        <x:f>IF(ISNUMBER(AG107),IF('Scoring Setup'!$L$19=1,1-'Scoring Setup'!$B$5*(1-MAX(0,MIN(1,(AG107-'Scoring Setup'!$K$19)/(100-'Scoring Setup'!$K$19)))),1),"")</x:f>
        <x:v>0.8433999999999999</x:v>
      </x:c>
      <x:c r="AZ107" s="27" t="n">
        <x:f>IF(ISNUMBER(AH107),IF('Scoring Setup'!$L$20=1,1-'Scoring Setup'!$B$5*(1-MAX(0,MIN(1,(AH107-'Scoring Setup'!$K$20)/(100-'Scoring Setup'!$K$20)))),1),"")</x:f>
        <x:v>0.8057871809895834</x:v>
      </x:c>
      <x:c r="BA107" s="27" t="n">
        <x:f>IF(ISNUMBER(AI107),IF('Scoring Setup'!$L$21=1,1-'Scoring Setup'!$B$5*(1-MAX(0,MIN(1,(AI107-'Scoring Setup'!$K$21)/(100-'Scoring Setup'!$K$21)))),1),"")</x:f>
        <x:v>0.8005755753290085</x:v>
      </x:c>
      <x:c r="BB107" s="27" t="n">
        <x:f>IF(ISNUMBER(AJ107),IF('Scoring Setup'!$L$22=1,1-'Scoring Setup'!$B$5*(1-MAX(0,MIN(1,(AJ107-'Scoring Setup'!$K$22)/(100-'Scoring Setup'!$K$22)))),1),"")</x:f>
        <x:v>0.8972760114537812</x:v>
      </x:c>
      <x:c r="BC107" s="27" t="n">
        <x:f>IF(ISNUMBER(AK107),IF('Scoring Setup'!$L$23=1,1-'Scoring Setup'!$B$5*(1-MAX(0,MIN(1,(AK107-'Scoring Setup'!$K$23)/(100-'Scoring Setup'!$K$23)))),1),"")</x:f>
        <x:v>0.9926720016807331</x:v>
      </x:c>
      <x:c r="BD107" s="27" t="n">
        <x:f>IF(ISNUMBER(AL107),IF('Scoring Setup'!$L$24=1,1-'Scoring Setup'!$B$5*(1-MAX(0,MIN(1,(AL107-'Scoring Setup'!$K$24)/(100-'Scoring Setup'!$K$24)))),1),"")</x:f>
        <x:v>0.9741818181818181</x:v>
      </x:c>
      <x:c r="BE107" s="27" t="n">
        <x:f>IF(ISNUMBER(AM107),IF('Scoring Setup'!$L$25=1,1-'Scoring Setup'!$B$5*(1-MAX(0,MIN(1,(AM107-'Scoring Setup'!$K$25)/(100-'Scoring Setup'!$K$25)))),1),"")</x:f>
        <x:v>0.8885845218271159</x:v>
      </x:c>
      <x:c r="BF107" s="27" t="n">
        <x:f>IF(ISNUMBER(AN107),IF('Scoring Setup'!$L$26=1,1-'Scoring Setup'!$B$5*(1-MAX(0,MIN(1,(AN107-'Scoring Setup'!$K$26)/(100-'Scoring Setup'!$K$26)))),1),"")</x:f>
        <x:v>0.937286211052675</x:v>
      </x:c>
      <x:c r="BG107" s="34" t="n">
        <x:f>IF(COUNT(W107,X107)=2,AVERAGE(W107,X107),"")</x:f>
        <x:v>44.29154879773693</x:v>
      </x:c>
      <x:c r="BH107" s="34" t="n">
        <x:f>IF(COUNT(Y107,Z107)=2,AVERAGE(Y107,Z107),"")</x:f>
        <x:v>84.08105244078018</x:v>
      </x:c>
      <x:c r="BI107" s="34" t="n">
        <x:f>IF(COUNT(AA107,AB107,AC107)=3,AVERAGE(AA107,AB107,AC107),"")</x:f>
        <x:v>72.33579089347991</x:v>
      </x:c>
      <x:c r="BJ107" s="34" t="n">
        <x:f>IF(COUNT(AD107,AE107)=2,AVERAGE(AD107,AE107),"")</x:f>
        <x:v>100</x:v>
      </x:c>
      <x:c r="BK107" s="34" t="n">
        <x:f>IF(COUNT(AF107,AG107)=2,AVERAGE(AF107,AG107),"")</x:f>
        <x:v>16.83569984651622</x:v>
      </x:c>
      <x:c r="BL107" s="34" t="n">
        <x:f>IF(COUNT(AH107,AI107)=2,AVERAGE(AH107,AI107),"")</x:f>
        <x:v>1.5906890796479636</x:v>
      </x:c>
      <x:c r="BM107" s="34" t="n">
        <x:f>IF(COUNT(AJ107,AK107)=2,AVERAGE(AJ107,AK107),"")</x:f>
        <x:v>72.48700328362858</x:v>
      </x:c>
      <x:c r="BN107" s="34" t="n">
        <x:f>IF(COUNT(AL107,AM107,AN107)=3,AVERAGE(AL107,AM107,AN107),"")</x:f>
        <x:v>66.67542517693484</x:v>
      </x:c>
      <x:c r="BO107" s="35" t="n">
        <x:f>IF(AND(COUNT(BG107:BN107)=8,ABS('Scoring Setup'!$C$17-1)&lt;0.000001),BG107*'Scoring Setup'!$C$9+BH107*'Scoring Setup'!$C$10+BI107*'Scoring Setup'!$C$11+BJ107*'Scoring Setup'!$C$12+BK107*'Scoring Setup'!$C$13+BL107*'Scoring Setup'!$C$14+BM107*'Scoring Setup'!$C$15+BN107*'Scoring Setup'!$C$16,"")</x:f>
        <x:v>63.86902661317362</x:v>
      </x:c>
      <x:c r="BP107" s="36" t="n">
        <x:f>IF(COUNT(AO107:BF107)=18,MIN(AO107:BF107),"")</x:f>
        <x:v>0.8005755753290085</x:v>
      </x:c>
      <x:c r="BQ107" s="35" t="n">
        <x:f>IF(AND(ISNUMBER(BO107),ISNUMBER(BP107)),BO107*BP107,"")</x:f>
        <x:v>51.131982726545225</x:v>
      </x:c>
      <x:c r="BR107" s="17" t="str">
        <x:f>IF(COUNT(AO107:BF107)=18,INDEX('Scoring Setup'!$F$9:$F$26,MATCH(MIN(AO107:BF107),AO107:BF107,0),1),"")</x:f>
        <x:v>历史&gt;90°F天数</x:v>
      </x:c>
    </x:row>
    <x:row r="108">
      <x:c r="A108" s="28" t="str">
        <x:v>13211</x:v>
      </x:c>
      <x:c r="B108" s="28" t="str">
        <x:v>Morgan County</x:v>
      </x:c>
      <x:c r="C108" s="28" t="str">
        <x:v>GA</x:v>
      </x:c>
      <x:c r="D108" s="31" t="n">
        <x:v>899.791082</x:v>
      </x:c>
      <x:c r="E108" s="32" t="n">
        <x:v>0.579</x:v>
      </x:c>
      <x:c r="F108" s="32" t="n">
        <x:v>0.562190594059406</x:v>
      </x:c>
      <x:c r="G108" s="32" t="n">
        <x:v>2.101601868026963</x:v>
      </x:c>
      <x:c r="H108" s="32" t="n">
        <x:v>1.909171031</x:v>
      </x:c>
      <x:c r="I108" s="32" t="n">
        <x:v>0.9389963618065568</x:v>
      </x:c>
      <x:c r="J108" s="32" t="n">
        <x:v>0.030181323136145997</x:v>
      </x:c>
      <x:c r="K108" s="32" t="n">
        <x:v>0.05595868993087033</x:v>
      </x:c>
      <x:c r="L108" s="32" t="n">
        <x:v>0.783010773</x:v>
      </x:c>
      <x:c r="M108" s="32" t="n">
        <x:v>0.783010773</x:v>
      </x:c>
      <x:c r="N108" s="32" t="n">
        <x:v>10809</x:v>
      </x:c>
      <x:c r="O108" s="32" t="n">
        <x:v>0.266</x:v>
      </x:c>
      <x:c r="P108" s="32" t="n">
        <x:v>1745.269608561198</x:v>
      </x:c>
      <x:c r="Q108" s="32" t="n">
        <x:v>50.02244186401367</x:v>
      </x:c>
      <x:c r="R108" s="32" t="n">
        <x:v>3.6093691181226513</x:v>
      </x:c>
      <x:c r="S108" s="32" t="n">
        <x:v>0.7498191197912025</x:v>
      </x:c>
      <x:c r="T108" s="32" t="n">
        <x:v>72.1</x:v>
      </x:c>
      <x:c r="U108" s="32" t="n">
        <x:v>211.4154781728841</x:v>
      </x:c>
      <x:c r="V108" s="32" t="n">
        <x:v>325.42757789465</x:v>
      </x:c>
      <x:c r="W108" s="33" t="n">
        <x:f>IF(ISNUMBER(E108),100*MAX(0,MIN(1,('Anchors'!$H$6-E108)/('Anchors'!$H$6-'Anchors'!$G$6))),"")</x:f>
        <x:v>45.85714285714287</x:v>
      </x:c>
      <x:c r="X108" s="33" t="n">
        <x:f>IF(ISNUMBER(F108),100*MAX(0,MIN(1,('Anchors'!$H$7-F108)/('Anchors'!$H$7-'Anchors'!$G$7))),"")</x:f>
        <x:v>33.97277227722772</x:v>
      </x:c>
      <x:c r="Y108" s="33" t="n">
        <x:f>IF(ISNUMBER(G108),100*MAX(0,MIN(1,('Anchors'!$H$8-G108)/('Anchors'!$H$8-'Anchors'!$G$8))),"")</x:f>
        <x:v>63.279937732434576</x:v>
      </x:c>
      <x:c r="Z108" s="33" t="n">
        <x:f>IF(ISNUMBER(H108),100*MAX(0,MIN(1,('Anchors'!$H$9-H108)/('Anchors'!$H$9-'Anchors'!$G$9))),"")</x:f>
        <x:v>69.69429896666666</x:v>
      </x:c>
      <x:c r="AA108" s="33" t="n">
        <x:f>IF(ISNUMBER(I108),100*MAX(0,MIN(1,(I108-'Anchors'!$H$10)/('Anchors'!$G$10-'Anchors'!$H$10))),"")</x:f>
        <x:v>94.38306326117217</x:v>
      </x:c>
      <x:c r="AB108" s="33" t="n">
        <x:f>IF(ISNUMBER(J108),100*MAX(0,MIN(1,('Anchors'!$H$11-J108)/('Anchors'!$H$11-'Anchors'!$G$11))),"")</x:f>
        <x:v>87.9274707455416</x:v>
      </x:c>
      <x:c r="AC108" s="33" t="n">
        <x:f>IF(ISNUMBER(K108),100*MAX(0,MIN(1,('Anchors'!$H$12-K108)/('Anchors'!$H$12-'Anchors'!$G$12))),"")</x:f>
        <x:v>86.01032751728242</x:v>
      </x:c>
      <x:c r="AD108" s="33" t="n">
        <x:f>IF(ISNUMBER(L108),100*MAX(0,MIN(1,(L108-'Anchors'!$H$13)/('Anchors'!$G$13-'Anchors'!$H$13))),"")</x:f>
        <x:v>83.28725328571429</x:v>
      </x:c>
      <x:c r="AE108" s="33" t="n">
        <x:f>IF(ISNUMBER(M108),100*MAX(0,MIN(1,(M108-'Anchors'!$H$14)/('Anchors'!$G$14-'Anchors'!$H$14))),"")</x:f>
        <x:v>85.376346625</x:v>
      </x:c>
      <x:c r="AF108" s="33" t="n">
        <x:f>IF(ISNUMBER(N108),100*MAX(0,MIN(1,(LN(1+N108)-LN(1+'Anchors'!$H$15))/(LN(1+'Anchors'!$G$15)-LN(1+'Anchors'!$H$15)))),"")</x:f>
        <x:v>39.074046023113546</x:v>
      </x:c>
      <x:c r="AG108" s="33" t="n">
        <x:f>IF(ISNUMBER(O108),100*MAX(0,MIN(1,('Anchors'!$H$16-O108)/('Anchors'!$H$16-'Anchors'!$G$16))),"")</x:f>
        <x:v>76</x:v>
      </x:c>
      <x:c r="AH108" s="33" t="n">
        <x:f>IF(ISNUMBER(P108),100*MAX(0,MIN(1,('Anchors'!$H$17-P108)/('Anchors'!$H$17-'Anchors'!$G$17))),"")</x:f>
        <x:v>30.315359429253462</x:v>
      </x:c>
      <x:c r="AI108" s="33" t="n">
        <x:f>IF(ISNUMBER(Q108),100*MAX(0,MIN(1,('Anchors'!$H$18-Q108)/('Anchors'!$H$18-'Anchors'!$G$18))),"")</x:f>
        <x:v>35.68222590855189</x:v>
      </x:c>
      <x:c r="AJ108" s="33" t="n">
        <x:f>IF(ISNUMBER(R108),100*MAX(0,MIN(1,('Anchors'!$H$19-R108)/('Anchors'!$H$19-'Anchors'!$G$19))),"")</x:f>
        <x:v>100</x:v>
      </x:c>
      <x:c r="AK108" s="33" t="n">
        <x:f>IF(ISNUMBER(S108),100*MAX(0,MIN(1,('Anchors'!$H$20-S108)/('Anchors'!$H$20-'Anchors'!$G$20))),"")</x:f>
        <x:v>100</x:v>
      </x:c>
      <x:c r="AL108" s="33" t="n">
        <x:f>IF(ISNUMBER(T108),100*MAX(0,MIN(1,('Anchors'!$H$21-T108)/('Anchors'!$H$21-'Anchors'!$G$21))),"")</x:f>
        <x:v>87.0909090909091</x:v>
      </x:c>
      <x:c r="AM108" s="33" t="n">
        <x:f>IF(ISNUMBER(U108),100*MAX(0,MIN(1,('Anchors'!$H$22-U108)/('Anchors'!$H$22-'Anchors'!$G$22))),"")</x:f>
        <x:v>44.29226091355795</x:v>
      </x:c>
      <x:c r="AN108" s="33" t="n">
        <x:f>IF(ISNUMBER(V108),100*MAX(0,MIN(1,('Anchors'!$H$23-V108)/('Anchors'!$H$23-'Anchors'!$G$23))),"")</x:f>
        <x:v>68.6431055263375</x:v>
      </x:c>
      <x:c r="AO108" s="27" t="n">
        <x:f>IF(ISNUMBER(W108),IF('Scoring Setup'!$L$9=1,1-'Scoring Setup'!$B$5*(1-MAX(0,MIN(1,(W108-'Scoring Setup'!$K$9)/(100-'Scoring Setup'!$K$9)))),1),"")</x:f>
        <x:v>0.8917142857142857</x:v>
      </x:c>
      <x:c r="AP108" s="27" t="n">
        <x:f>IF(ISNUMBER(X108),IF('Scoring Setup'!$L$10=1,1-'Scoring Setup'!$B$5*(1-MAX(0,MIN(1,(X108-'Scoring Setup'!$K$10)/(100-'Scoring Setup'!$K$10)))),1),"")</x:f>
        <x:v>0.8679455445544555</x:v>
      </x:c>
      <x:c r="AQ108" s="27" t="n">
        <x:f>IF(ISNUMBER(Y108),IF('Scoring Setup'!$L$11=1,1-'Scoring Setup'!$B$5*(1-MAX(0,MIN(1,(Y108-'Scoring Setup'!$K$11)/(100-'Scoring Setup'!$K$11)))),1),"")</x:f>
        <x:v>0.9265598754648692</x:v>
      </x:c>
      <x:c r="AR108" s="27" t="n">
        <x:f>IF(ISNUMBER(Z108),IF('Scoring Setup'!$L$12=1,1-'Scoring Setup'!$B$5*(1-MAX(0,MIN(1,(Z108-'Scoring Setup'!$K$12)/(100-'Scoring Setup'!$K$12)))),1),"")</x:f>
        <x:v>0.9393885979333333</x:v>
      </x:c>
      <x:c r="AS108" s="27" t="n">
        <x:f>IF(ISNUMBER(AA108),IF('Scoring Setup'!$L$13=1,1-'Scoring Setup'!$B$5*(1-MAX(0,MIN(1,(AA108-'Scoring Setup'!$K$13)/(100-'Scoring Setup'!$K$13)))),1),"")</x:f>
        <x:v>0.9887661265223443</x:v>
      </x:c>
      <x:c r="AT108" s="27" t="n">
        <x:f>IF(ISNUMBER(AB108),IF('Scoring Setup'!$L$14=1,1-'Scoring Setup'!$B$5*(1-MAX(0,MIN(1,(AB108-'Scoring Setup'!$K$14)/(100-'Scoring Setup'!$K$14)))),1),"")</x:f>
        <x:v>0.9758549414910832</x:v>
      </x:c>
      <x:c r="AU108" s="27" t="n">
        <x:f>IF(ISNUMBER(AC108),IF('Scoring Setup'!$L$15=1,1-'Scoring Setup'!$B$5*(1-MAX(0,MIN(1,(AC108-'Scoring Setup'!$K$15)/(100-'Scoring Setup'!$K$15)))),1),"")</x:f>
        <x:v>0.9720206550345648</x:v>
      </x:c>
      <x:c r="AV108" s="27" t="n">
        <x:f>IF(ISNUMBER(AD108),IF('Scoring Setup'!$L$16=1,1-'Scoring Setup'!$B$5*(1-MAX(0,MIN(1,(AD108-'Scoring Setup'!$K$16)/(100-'Scoring Setup'!$K$16)))),1),"")</x:f>
        <x:v>0.9665745065714286</x:v>
      </x:c>
      <x:c r="AW108" s="27" t="n">
        <x:f>IF(ISNUMBER(AE108),IF('Scoring Setup'!$L$17=1,1-'Scoring Setup'!$B$5*(1-MAX(0,MIN(1,(AE108-'Scoring Setup'!$K$17)/(100-'Scoring Setup'!$K$17)))),1),"")</x:f>
        <x:v>0.97075269325</x:v>
      </x:c>
      <x:c r="AX108" s="27" t="n">
        <x:f>IF(ISNUMBER(AF108),IF('Scoring Setup'!$L$18=1,1-'Scoring Setup'!$B$5*(1-MAX(0,MIN(1,(AF108-'Scoring Setup'!$K$18)/(100-'Scoring Setup'!$K$18)))),1),"")</x:f>
        <x:v>0.8781480920462271</x:v>
      </x:c>
      <x:c r="AY108" s="27" t="n">
        <x:f>IF(ISNUMBER(AG108),IF('Scoring Setup'!$L$19=1,1-'Scoring Setup'!$B$5*(1-MAX(0,MIN(1,(AG108-'Scoring Setup'!$K$19)/(100-'Scoring Setup'!$K$19)))),1),"")</x:f>
        <x:v>0.952</x:v>
      </x:c>
      <x:c r="AZ108" s="27" t="n">
        <x:f>IF(ISNUMBER(AH108),IF('Scoring Setup'!$L$20=1,1-'Scoring Setup'!$B$5*(1-MAX(0,MIN(1,(AH108-'Scoring Setup'!$K$20)/(100-'Scoring Setup'!$K$20)))),1),"")</x:f>
        <x:v>0.860630718858507</x:v>
      </x:c>
      <x:c r="BA108" s="27" t="n">
        <x:f>IF(ISNUMBER(AI108),IF('Scoring Setup'!$L$21=1,1-'Scoring Setup'!$B$5*(1-MAX(0,MIN(1,(AI108-'Scoring Setup'!$K$21)/(100-'Scoring Setup'!$K$21)))),1),"")</x:f>
        <x:v>0.8713644518171038</x:v>
      </x:c>
      <x:c r="BB108" s="27" t="n">
        <x:f>IF(ISNUMBER(AJ108),IF('Scoring Setup'!$L$22=1,1-'Scoring Setup'!$B$5*(1-MAX(0,MIN(1,(AJ108-'Scoring Setup'!$K$22)/(100-'Scoring Setup'!$K$22)))),1),"")</x:f>
        <x:v>1</x:v>
      </x:c>
      <x:c r="BC108" s="27" t="n">
        <x:f>IF(ISNUMBER(AK108),IF('Scoring Setup'!$L$23=1,1-'Scoring Setup'!$B$5*(1-MAX(0,MIN(1,(AK108-'Scoring Setup'!$K$23)/(100-'Scoring Setup'!$K$23)))),1),"")</x:f>
        <x:v>1</x:v>
      </x:c>
      <x:c r="BD108" s="27" t="n">
        <x:f>IF(ISNUMBER(AL108),IF('Scoring Setup'!$L$24=1,1-'Scoring Setup'!$B$5*(1-MAX(0,MIN(1,(AL108-'Scoring Setup'!$K$24)/(100-'Scoring Setup'!$K$24)))),1),"")</x:f>
        <x:v>0.9741818181818181</x:v>
      </x:c>
      <x:c r="BE108" s="27" t="n">
        <x:f>IF(ISNUMBER(AM108),IF('Scoring Setup'!$L$25=1,1-'Scoring Setup'!$B$5*(1-MAX(0,MIN(1,(AM108-'Scoring Setup'!$K$25)/(100-'Scoring Setup'!$K$25)))),1),"")</x:f>
        <x:v>0.8885845218271159</x:v>
      </x:c>
      <x:c r="BF108" s="27" t="n">
        <x:f>IF(ISNUMBER(AN108),IF('Scoring Setup'!$L$26=1,1-'Scoring Setup'!$B$5*(1-MAX(0,MIN(1,(AN108-'Scoring Setup'!$K$26)/(100-'Scoring Setup'!$K$26)))),1),"")</x:f>
        <x:v>0.937286211052675</x:v>
      </x:c>
      <x:c r="BG108" s="34" t="n">
        <x:f>IF(COUNT(W108,X108)=2,AVERAGE(W108,X108),"")</x:f>
        <x:v>39.9149575671853</x:v>
      </x:c>
      <x:c r="BH108" s="34" t="n">
        <x:f>IF(COUNT(Y108,Z108)=2,AVERAGE(Y108,Z108),"")</x:f>
        <x:v>66.48711834955063</x:v>
      </x:c>
      <x:c r="BI108" s="34" t="n">
        <x:f>IF(COUNT(AA108,AB108,AC108)=3,AVERAGE(AA108,AB108,AC108),"")</x:f>
        <x:v>89.4402871746654</x:v>
      </x:c>
      <x:c r="BJ108" s="34" t="n">
        <x:f>IF(COUNT(AD108,AE108)=2,AVERAGE(AD108,AE108),"")</x:f>
        <x:v>84.33179995535714</x:v>
      </x:c>
      <x:c r="BK108" s="34" t="n">
        <x:f>IF(COUNT(AF108,AG108)=2,AVERAGE(AF108,AG108),"")</x:f>
        <x:v>57.53702301155677</x:v>
      </x:c>
      <x:c r="BL108" s="34" t="n">
        <x:f>IF(COUNT(AH108,AI108)=2,AVERAGE(AH108,AI108),"")</x:f>
        <x:v>32.99879266890268</x:v>
      </x:c>
      <x:c r="BM108" s="34" t="n">
        <x:f>IF(COUNT(AJ108,AK108)=2,AVERAGE(AJ108,AK108),"")</x:f>
        <x:v>100</x:v>
      </x:c>
      <x:c r="BN108" s="34" t="n">
        <x:f>IF(COUNT(AL108,AM108,AN108)=3,AVERAGE(AL108,AM108,AN108),"")</x:f>
        <x:v>66.67542517693484</x:v>
      </x:c>
      <x:c r="BO108" s="35" t="n">
        <x:f>IF(AND(COUNT(BG108:BN108)=8,ABS('Scoring Setup'!$C$17-1)&lt;0.000001),BG108*'Scoring Setup'!$C$9+BH108*'Scoring Setup'!$C$10+BI108*'Scoring Setup'!$C$11+BJ108*'Scoring Setup'!$C$12+BK108*'Scoring Setup'!$C$13+BL108*'Scoring Setup'!$C$14+BM108*'Scoring Setup'!$C$15+BN108*'Scoring Setup'!$C$16,"")</x:f>
        <x:v>67.07239762731217</x:v>
      </x:c>
      <x:c r="BP108" s="36" t="n">
        <x:f>IF(COUNT(AO108:BF108)=18,MIN(AO108:BF108),"")</x:f>
        <x:v>0.860630718858507</x:v>
      </x:c>
      <x:c r="BQ108" s="35" t="n">
        <x:f>IF(AND(ISNUMBER(BO108),ISNUMBER(BP108)),BO108*BP108,"")</x:f>
        <x:v>57.72456578555729</x:v>
      </x:c>
      <x:c r="BR108" s="17" t="str">
        <x:f>IF(COUNT(AO108:BF108)=18,INDEX('Scoring Setup'!$F$9:$F$26,MATCH(MIN(AO108:BF108),AO108:BF108,0),1),"")</x:f>
        <x:v>历史CDD65</x:v>
      </x:c>
    </x:row>
    <x:row r="109">
      <x:c r="A109" s="28" t="str">
        <x:v>13213</x:v>
      </x:c>
      <x:c r="B109" s="28" t="str">
        <x:v>Murray County</x:v>
      </x:c>
      <x:c r="C109" s="28" t="str">
        <x:v>GA</x:v>
      </x:c>
      <x:c r="D109" s="31" t="n">
        <x:v>892.23559</x:v>
      </x:c>
      <x:c r="E109" s="32" t="n">
        <x:v>0.703</x:v>
      </x:c>
      <x:c r="F109" s="32" t="n">
        <x:v>0.466584158415842</x:v>
      </x:c>
      <x:c r="G109" s="32" t="n">
        <x:v>2.5806215362076927</x:v>
      </x:c>
      <x:c r="H109" s="32" t="n">
        <x:v>2.390022019</x:v>
      </x:c>
      <x:c r="I109" s="32" t="n">
        <x:v>0.9159004955000506</x:v>
      </x:c>
      <x:c r="J109" s="32" t="n">
        <x:v>0.2535727224774215</x:v>
      </x:c>
      <x:c r="K109" s="32" t="n">
        <x:v>0.009402366265547578</x:v>
      </x:c>
      <x:c r="L109" s="32" t="n">
        <x:v>0.262658764</x:v>
      </x:c>
      <x:c r="M109" s="32" t="n">
        <x:v>0.262658764</x:v>
      </x:c>
      <x:c r="N109" s="32" t="n">
        <x:v>18764</x:v>
      </x:c>
      <x:c r="O109" s="32" t="n">
        <x:v>0.6847</x:v>
      </x:c>
      <x:c r="P109" s="32" t="n">
        <x:v>1278.9733968098958</x:v>
      </x:c>
      <x:c r="Q109" s="32" t="n">
        <x:v>26.08835620880127</x:v>
      </x:c>
      <x:c r="R109" s="32" t="n">
        <x:v>24.06720303255587</x:v>
      </x:c>
      <x:c r="S109" s="32" t="n">
        <x:v>2.9807312443146095</x:v>
      </x:c>
      <x:c r="T109" s="32" t="n">
        <x:v>72.1</x:v>
      </x:c>
      <x:c r="U109" s="32" t="n">
        <x:v>211.4154781728841</x:v>
      </x:c>
      <x:c r="V109" s="32" t="n">
        <x:v>325.42757789465</x:v>
      </x:c>
      <x:c r="W109" s="33" t="n">
        <x:f>IF(ISNUMBER(E109),100*MAX(0,MIN(1,('Anchors'!$H$6-E109)/('Anchors'!$H$6-'Anchors'!$G$6))),"")</x:f>
        <x:v>28.142857142857153</x:v>
      </x:c>
      <x:c r="X109" s="33" t="n">
        <x:f>IF(ISNUMBER(F109),100*MAX(0,MIN(1,('Anchors'!$H$7-F109)/('Anchors'!$H$7-'Anchors'!$G$7))),"")</x:f>
        <x:v>47.630834512022574</x:v>
      </x:c>
      <x:c r="Y109" s="33" t="n">
        <x:f>IF(ISNUMBER(G109),100*MAX(0,MIN(1,('Anchors'!$H$8-G109)/('Anchors'!$H$8-'Anchors'!$G$8))),"")</x:f>
        <x:v>47.312615459743576</x:v>
      </x:c>
      <x:c r="Z109" s="33" t="n">
        <x:f>IF(ISNUMBER(H109),100*MAX(0,MIN(1,('Anchors'!$H$9-H109)/('Anchors'!$H$9-'Anchors'!$G$9))),"")</x:f>
        <x:v>53.665932700000006</x:v>
      </x:c>
      <x:c r="AA109" s="33" t="n">
        <x:f>IF(ISNUMBER(I109),100*MAX(0,MIN(1,(I109-'Anchors'!$H$10)/('Anchors'!$G$10-'Anchors'!$H$10))),"")</x:f>
        <x:v>91.21924595891105</x:v>
      </x:c>
      <x:c r="AB109" s="33" t="n">
        <x:f>IF(ISNUMBER(J109),100*MAX(0,MIN(1,('Anchors'!$H$11-J109)/('Anchors'!$H$11-'Anchors'!$G$11))),"")</x:f>
        <x:v>0</x:v>
      </x:c>
      <x:c r="AC109" s="33" t="n">
        <x:f>IF(ISNUMBER(K109),100*MAX(0,MIN(1,('Anchors'!$H$12-K109)/('Anchors'!$H$12-'Anchors'!$G$12))),"")</x:f>
        <x:v>97.6494084336131</x:v>
      </x:c>
      <x:c r="AD109" s="33" t="n">
        <x:f>IF(ISNUMBER(L109),100*MAX(0,MIN(1,(L109-'Anchors'!$H$13)/('Anchors'!$G$13-'Anchors'!$H$13))),"")</x:f>
        <x:v>8.951251999999997</x:v>
      </x:c>
      <x:c r="AE109" s="33" t="n">
        <x:f>IF(ISNUMBER(M109),100*MAX(0,MIN(1,(M109-'Anchors'!$H$14)/('Anchors'!$G$14-'Anchors'!$H$14))),"")</x:f>
        <x:v>20.332345499999995</x:v>
      </x:c>
      <x:c r="AF109" s="33" t="n">
        <x:f>IF(ISNUMBER(N109),100*MAX(0,MIN(1,(LN(1+N109)-LN(1+'Anchors'!$H$15))/(LN(1+'Anchors'!$G$15)-LN(1+'Anchors'!$H$15)))),"")</x:f>
        <x:v>51.84964138643716</x:v>
      </x:c>
      <x:c r="AG109" s="33" t="n">
        <x:f>IF(ISNUMBER(O109),100*MAX(0,MIN(1,('Anchors'!$H$16-O109)/('Anchors'!$H$16-'Anchors'!$G$16))),"")</x:f>
        <x:v>29.47777777777778</x:v>
      </x:c>
      <x:c r="AH109" s="33" t="n">
        <x:f>IF(ISNUMBER(P109),100*MAX(0,MIN(1,('Anchors'!$H$17-P109)/('Anchors'!$H$17-'Anchors'!$G$17))),"")</x:f>
        <x:v>61.40177354600694</x:v>
      </x:c>
      <x:c r="AI109" s="33" t="n">
        <x:f>IF(ISNUMBER(Q109),100*MAX(0,MIN(1,('Anchors'!$H$18-Q109)/('Anchors'!$H$18-'Anchors'!$G$18))),"")</x:f>
        <x:v>69.87377684456962</x:v>
      </x:c>
      <x:c r="AJ109" s="33" t="n">
        <x:f>IF(ISNUMBER(R109),100*MAX(0,MIN(1,('Anchors'!$H$19-R109)/('Anchors'!$H$19-'Anchors'!$G$19))),"")</x:f>
        <x:v>57.6284377054314</x:v>
      </x:c>
      <x:c r="AK109" s="33" t="n">
        <x:f>IF(ISNUMBER(S109),100*MAX(0,MIN(1,('Anchors'!$H$20-S109)/('Anchors'!$H$20-'Anchors'!$G$20))),"")</x:f>
        <x:v>89.57509871413365</x:v>
      </x:c>
      <x:c r="AL109" s="33" t="n">
        <x:f>IF(ISNUMBER(T109),100*MAX(0,MIN(1,('Anchors'!$H$21-T109)/('Anchors'!$H$21-'Anchors'!$G$21))),"")</x:f>
        <x:v>87.0909090909091</x:v>
      </x:c>
      <x:c r="AM109" s="33" t="n">
        <x:f>IF(ISNUMBER(U109),100*MAX(0,MIN(1,('Anchors'!$H$22-U109)/('Anchors'!$H$22-'Anchors'!$G$22))),"")</x:f>
        <x:v>44.29226091355795</x:v>
      </x:c>
      <x:c r="AN109" s="33" t="n">
        <x:f>IF(ISNUMBER(V109),100*MAX(0,MIN(1,('Anchors'!$H$23-V109)/('Anchors'!$H$23-'Anchors'!$G$23))),"")</x:f>
        <x:v>68.6431055263375</x:v>
      </x:c>
      <x:c r="AO109" s="27" t="n">
        <x:f>IF(ISNUMBER(W109),IF('Scoring Setup'!$L$9=1,1-'Scoring Setup'!$B$5*(1-MAX(0,MIN(1,(W109-'Scoring Setup'!$K$9)/(100-'Scoring Setup'!$K$9)))),1),"")</x:f>
        <x:v>0.8562857142857143</x:v>
      </x:c>
      <x:c r="AP109" s="27" t="n">
        <x:f>IF(ISNUMBER(X109),IF('Scoring Setup'!$L$10=1,1-'Scoring Setup'!$B$5*(1-MAX(0,MIN(1,(X109-'Scoring Setup'!$K$10)/(100-'Scoring Setup'!$K$10)))),1),"")</x:f>
        <x:v>0.8952616690240451</x:v>
      </x:c>
      <x:c r="AQ109" s="27" t="n">
        <x:f>IF(ISNUMBER(Y109),IF('Scoring Setup'!$L$11=1,1-'Scoring Setup'!$B$5*(1-MAX(0,MIN(1,(Y109-'Scoring Setup'!$K$11)/(100-'Scoring Setup'!$K$11)))),1),"")</x:f>
        <x:v>0.8946252309194871</x:v>
      </x:c>
      <x:c r="AR109" s="27" t="n">
        <x:f>IF(ISNUMBER(Z109),IF('Scoring Setup'!$L$12=1,1-'Scoring Setup'!$B$5*(1-MAX(0,MIN(1,(Z109-'Scoring Setup'!$K$12)/(100-'Scoring Setup'!$K$12)))),1),"")</x:f>
        <x:v>0.9073318654</x:v>
      </x:c>
      <x:c r="AS109" s="27" t="n">
        <x:f>IF(ISNUMBER(AA109),IF('Scoring Setup'!$L$13=1,1-'Scoring Setup'!$B$5*(1-MAX(0,MIN(1,(AA109-'Scoring Setup'!$K$13)/(100-'Scoring Setup'!$K$13)))),1),"")</x:f>
        <x:v>0.9824384919178221</x:v>
      </x:c>
      <x:c r="AT109" s="27" t="n">
        <x:f>IF(ISNUMBER(AB109),IF('Scoring Setup'!$L$14=1,1-'Scoring Setup'!$B$5*(1-MAX(0,MIN(1,(AB109-'Scoring Setup'!$K$14)/(100-'Scoring Setup'!$K$14)))),1),"")</x:f>
        <x:v>0.8</x:v>
      </x:c>
      <x:c r="AU109" s="27" t="n">
        <x:f>IF(ISNUMBER(AC109),IF('Scoring Setup'!$L$15=1,1-'Scoring Setup'!$B$5*(1-MAX(0,MIN(1,(AC109-'Scoring Setup'!$K$15)/(100-'Scoring Setup'!$K$15)))),1),"")</x:f>
        <x:v>0.9952988168672262</x:v>
      </x:c>
      <x:c r="AV109" s="27" t="n">
        <x:f>IF(ISNUMBER(AD109),IF('Scoring Setup'!$L$16=1,1-'Scoring Setup'!$B$5*(1-MAX(0,MIN(1,(AD109-'Scoring Setup'!$K$16)/(100-'Scoring Setup'!$K$16)))),1),"")</x:f>
        <x:v>0.817902504</x:v>
      </x:c>
      <x:c r="AW109" s="27" t="n">
        <x:f>IF(ISNUMBER(AE109),IF('Scoring Setup'!$L$17=1,1-'Scoring Setup'!$B$5*(1-MAX(0,MIN(1,(AE109-'Scoring Setup'!$K$17)/(100-'Scoring Setup'!$K$17)))),1),"")</x:f>
        <x:v>0.840664691</x:v>
      </x:c>
      <x:c r="AX109" s="27" t="n">
        <x:f>IF(ISNUMBER(AF109),IF('Scoring Setup'!$L$18=1,1-'Scoring Setup'!$B$5*(1-MAX(0,MIN(1,(AF109-'Scoring Setup'!$K$18)/(100-'Scoring Setup'!$K$18)))),1),"")</x:f>
        <x:v>0.9036992827728743</x:v>
      </x:c>
      <x:c r="AY109" s="27" t="n">
        <x:f>IF(ISNUMBER(AG109),IF('Scoring Setup'!$L$19=1,1-'Scoring Setup'!$B$5*(1-MAX(0,MIN(1,(AG109-'Scoring Setup'!$K$19)/(100-'Scoring Setup'!$K$19)))),1),"")</x:f>
        <x:v>0.8589555555555556</x:v>
      </x:c>
      <x:c r="AZ109" s="27" t="n">
        <x:f>IF(ISNUMBER(AH109),IF('Scoring Setup'!$L$20=1,1-'Scoring Setup'!$B$5*(1-MAX(0,MIN(1,(AH109-'Scoring Setup'!$K$20)/(100-'Scoring Setup'!$K$20)))),1),"")</x:f>
        <x:v>0.9228035470920138</x:v>
      </x:c>
      <x:c r="BA109" s="27" t="n">
        <x:f>IF(ISNUMBER(AI109),IF('Scoring Setup'!$L$21=1,1-'Scoring Setup'!$B$5*(1-MAX(0,MIN(1,(AI109-'Scoring Setup'!$K$21)/(100-'Scoring Setup'!$K$21)))),1),"")</x:f>
        <x:v>0.9397475536891392</x:v>
      </x:c>
      <x:c r="BB109" s="27" t="n">
        <x:f>IF(ISNUMBER(AJ109),IF('Scoring Setup'!$L$22=1,1-'Scoring Setup'!$B$5*(1-MAX(0,MIN(1,(AJ109-'Scoring Setup'!$K$22)/(100-'Scoring Setup'!$K$22)))),1),"")</x:f>
        <x:v>0.9152568754108628</x:v>
      </x:c>
      <x:c r="BC109" s="27" t="n">
        <x:f>IF(ISNUMBER(AK109),IF('Scoring Setup'!$L$23=1,1-'Scoring Setup'!$B$5*(1-MAX(0,MIN(1,(AK109-'Scoring Setup'!$K$23)/(100-'Scoring Setup'!$K$23)))),1),"")</x:f>
        <x:v>0.9791501974282673</x:v>
      </x:c>
      <x:c r="BD109" s="27" t="n">
        <x:f>IF(ISNUMBER(AL109),IF('Scoring Setup'!$L$24=1,1-'Scoring Setup'!$B$5*(1-MAX(0,MIN(1,(AL109-'Scoring Setup'!$K$24)/(100-'Scoring Setup'!$K$24)))),1),"")</x:f>
        <x:v>0.9741818181818181</x:v>
      </x:c>
      <x:c r="BE109" s="27" t="n">
        <x:f>IF(ISNUMBER(AM109),IF('Scoring Setup'!$L$25=1,1-'Scoring Setup'!$B$5*(1-MAX(0,MIN(1,(AM109-'Scoring Setup'!$K$25)/(100-'Scoring Setup'!$K$25)))),1),"")</x:f>
        <x:v>0.8885845218271159</x:v>
      </x:c>
      <x:c r="BF109" s="27" t="n">
        <x:f>IF(ISNUMBER(AN109),IF('Scoring Setup'!$L$26=1,1-'Scoring Setup'!$B$5*(1-MAX(0,MIN(1,(AN109-'Scoring Setup'!$K$26)/(100-'Scoring Setup'!$K$26)))),1),"")</x:f>
        <x:v>0.937286211052675</x:v>
      </x:c>
      <x:c r="BG109" s="34" t="n">
        <x:f>IF(COUNT(W109,X109)=2,AVERAGE(W109,X109),"")</x:f>
        <x:v>37.88684582743986</x:v>
      </x:c>
      <x:c r="BH109" s="34" t="n">
        <x:f>IF(COUNT(Y109,Z109)=2,AVERAGE(Y109,Z109),"")</x:f>
        <x:v>50.48927407987179</x:v>
      </x:c>
      <x:c r="BI109" s="34" t="n">
        <x:f>IF(COUNT(AA109,AB109,AC109)=3,AVERAGE(AA109,AB109,AC109),"")</x:f>
        <x:v>62.956218130841386</x:v>
      </x:c>
      <x:c r="BJ109" s="34" t="n">
        <x:f>IF(COUNT(AD109,AE109)=2,AVERAGE(AD109,AE109),"")</x:f>
        <x:v>14.641798749999996</x:v>
      </x:c>
      <x:c r="BK109" s="34" t="n">
        <x:f>IF(COUNT(AF109,AG109)=2,AVERAGE(AF109,AG109),"")</x:f>
        <x:v>40.66370958210747</x:v>
      </x:c>
      <x:c r="BL109" s="34" t="n">
        <x:f>IF(COUNT(AH109,AI109)=2,AVERAGE(AH109,AI109),"")</x:f>
        <x:v>65.63777519528828</x:v>
      </x:c>
      <x:c r="BM109" s="34" t="n">
        <x:f>IF(COUNT(AJ109,AK109)=2,AVERAGE(AJ109,AK109),"")</x:f>
        <x:v>73.60176820978252</x:v>
      </x:c>
      <x:c r="BN109" s="34" t="n">
        <x:f>IF(COUNT(AL109,AM109,AN109)=3,AVERAGE(AL109,AM109,AN109),"")</x:f>
        <x:v>66.67542517693484</x:v>
      </x:c>
      <x:c r="BO109" s="35" t="n">
        <x:f>IF(AND(COUNT(BG109:BN109)=8,ABS('Scoring Setup'!$C$17-1)&lt;0.000001),BG109*'Scoring Setup'!$C$9+BH109*'Scoring Setup'!$C$10+BI109*'Scoring Setup'!$C$11+BJ109*'Scoring Setup'!$C$12+BK109*'Scoring Setup'!$C$13+BL109*'Scoring Setup'!$C$14+BM109*'Scoring Setup'!$C$15+BN109*'Scoring Setup'!$C$16,"")</x:f>
        <x:v>52.67731676834722</x:v>
      </x:c>
      <x:c r="BP109" s="36" t="n">
        <x:f>IF(COUNT(AO109:BF109)=18,MIN(AO109:BF109),"")</x:f>
        <x:v>0.8</x:v>
      </x:c>
      <x:c r="BQ109" s="35" t="n">
        <x:f>IF(AND(ISNUMBER(BO109),ISNUMBER(BP109)),BO109*BP109,"")</x:f>
        <x:v>42.141853414677776</x:v>
      </x:c>
      <x:c r="BR109" s="17" t="str">
        <x:f>IF(COUNT(AO109:BF109)=18,INDEX('Scoring Setup'!$F$9:$F$26,MATCH(MIN(AO109:BF109),AO109:BF109,0),1),"")</x:f>
        <x:v>GAP1/2保护地比例</x:v>
      </x:c>
    </x:row>
    <x:row r="110">
      <x:c r="A110" s="28" t="str">
        <x:v>13215</x:v>
      </x:c>
      <x:c r="B110" s="28" t="str">
        <x:v>Muscogee County</x:v>
      </x:c>
      <x:c r="C110" s="28" t="str">
        <x:v>GA</x:v>
      </x:c>
      <x:c r="D110" s="31" t="n">
        <x:v>560.731677</x:v>
      </x:c>
      <x:c r="E110" s="32" t="n">
        <x:v>0.634</x:v>
      </x:c>
      <x:c r="F110" s="32" t="n">
        <x:v>0.337252475247525</x:v>
      </x:c>
      <x:c r="G110" s="32" t="n">
        <x:v>1.3409550252031035</x:v>
      </x:c>
      <x:c r="H110" s="32" t="n">
        <x:v>1.2435750964986774</x:v>
      </x:c>
      <x:c r="I110" s="32" t="n">
        <x:v>0.6191154460147484</x:v>
      </x:c>
      <x:c r="J110" s="32" t="n">
        <x:v>0.018990454608087667</x:v>
      </x:c>
      <x:c r="K110" s="32" t="n">
        <x:v>0.06923770680239409</x:v>
      </x:c>
      <x:c r="L110" s="32" t="n">
        <x:v>0.396200696</x:v>
      </x:c>
      <x:c r="M110" s="32" t="n">
        <x:v>0.374429621</x:v>
      </x:c>
      <x:c r="N110" s="32" t="n">
        <x:v>82276</x:v>
      </x:c>
      <x:c r="O110" s="32" t="n">
        <x:v>0.9446</x:v>
      </x:c>
      <x:c r="P110" s="32" t="n">
        <x:v>2095.515592447917</x:v>
      </x:c>
      <x:c r="Q110" s="32" t="n">
        <x:v>61.630753962198895</x:v>
      </x:c>
      <x:c r="R110" s="32" t="n">
        <x:v>6.674801394317607</x:v>
      </x:c>
      <x:c r="S110" s="32" t="n">
        <x:v>0.034015328476838046</x:v>
      </x:c>
      <x:c r="T110" s="32" t="n">
        <x:v>72.1</x:v>
      </x:c>
      <x:c r="U110" s="32" t="n">
        <x:v>211.4154781728841</x:v>
      </x:c>
      <x:c r="V110" s="32" t="n">
        <x:v>325.42757789465</x:v>
      </x:c>
      <x:c r="W110" s="33" t="n">
        <x:f>IF(ISNUMBER(E110),100*MAX(0,MIN(1,('Anchors'!$H$6-E110)/('Anchors'!$H$6-'Anchors'!$G$6))),"")</x:f>
        <x:v>38.00000000000001</x:v>
      </x:c>
      <x:c r="X110" s="33" t="n">
        <x:f>IF(ISNUMBER(F110),100*MAX(0,MIN(1,('Anchors'!$H$7-F110)/('Anchors'!$H$7-'Anchors'!$G$7))),"")</x:f>
        <x:v>66.10678925035357</x:v>
      </x:c>
      <x:c r="Y110" s="33" t="n">
        <x:f>IF(ISNUMBER(G110),100*MAX(0,MIN(1,('Anchors'!$H$8-G110)/('Anchors'!$H$8-'Anchors'!$G$8))),"")</x:f>
        <x:v>88.63483249322988</x:v>
      </x:c>
      <x:c r="Z110" s="33" t="n">
        <x:f>IF(ISNUMBER(H110),100*MAX(0,MIN(1,('Anchors'!$H$9-H110)/('Anchors'!$H$9-'Anchors'!$G$9))),"")</x:f>
        <x:v>91.88083011671075</x:v>
      </x:c>
      <x:c r="AA110" s="33" t="n">
        <x:f>IF(ISNUMBER(I110),100*MAX(0,MIN(1,(I110-'Anchors'!$H$10)/('Anchors'!$G$10-'Anchors'!$H$10))),"")</x:f>
        <x:v>50.56375972804773</x:v>
      </x:c>
      <x:c r="AB110" s="33" t="n">
        <x:f>IF(ISNUMBER(J110),100*MAX(0,MIN(1,('Anchors'!$H$11-J110)/('Anchors'!$H$11-'Anchors'!$G$11))),"")</x:f>
        <x:v>92.40381815676493</x:v>
      </x:c>
      <x:c r="AC110" s="33" t="n">
        <x:f>IF(ISNUMBER(K110),100*MAX(0,MIN(1,('Anchors'!$H$12-K110)/('Anchors'!$H$12-'Anchors'!$G$12))),"")</x:f>
        <x:v>82.69057329940146</x:v>
      </x:c>
      <x:c r="AD110" s="33" t="n">
        <x:f>IF(ISNUMBER(L110),100*MAX(0,MIN(1,(L110-'Anchors'!$H$13)/('Anchors'!$G$13-'Anchors'!$H$13))),"")</x:f>
        <x:v>28.028670857142863</x:v>
      </x:c>
      <x:c r="AE110" s="33" t="n">
        <x:f>IF(ISNUMBER(M110),100*MAX(0,MIN(1,(M110-'Anchors'!$H$14)/('Anchors'!$G$14-'Anchors'!$H$14))),"")</x:f>
        <x:v>34.303702625</x:v>
      </x:c>
      <x:c r="AF110" s="33" t="n">
        <x:f>IF(ISNUMBER(N110),100*MAX(0,MIN(1,(LN(1+N110)-LN(1+'Anchors'!$H$15))/(LN(1+'Anchors'!$G$15)-LN(1+'Anchors'!$H$15)))),"")</x:f>
        <x:v>86.08869431902552</x:v>
      </x:c>
      <x:c r="AG110" s="33" t="n">
        <x:f>IF(ISNUMBER(O110),100*MAX(0,MIN(1,('Anchors'!$H$16-O110)/('Anchors'!$H$16-'Anchors'!$G$16))),"")</x:f>
        <x:v>0.5999999999999956</x:v>
      </x:c>
      <x:c r="AH110" s="33" t="n">
        <x:f>IF(ISNUMBER(P110),100*MAX(0,MIN(1,('Anchors'!$H$17-P110)/('Anchors'!$H$17-'Anchors'!$G$17))),"")</x:f>
        <x:v>6.965627170138881</x:v>
      </x:c>
      <x:c r="AI110" s="33" t="n">
        <x:f>IF(ISNUMBER(Q110),100*MAX(0,MIN(1,('Anchors'!$H$18-Q110)/('Anchors'!$H$18-'Anchors'!$G$18))),"")</x:f>
        <x:v>19.098922911144438</x:v>
      </x:c>
      <x:c r="AJ110" s="33" t="n">
        <x:f>IF(ISNUMBER(R110),100*MAX(0,MIN(1,('Anchors'!$H$19-R110)/('Anchors'!$H$19-'Anchors'!$G$19))),"")</x:f>
        <x:v>96.27821912373865</x:v>
      </x:c>
      <x:c r="AK110" s="33" t="n">
        <x:f>IF(ISNUMBER(S110),100*MAX(0,MIN(1,('Anchors'!$H$20-S110)/('Anchors'!$H$20-'Anchors'!$G$20))),"")</x:f>
        <x:v>100</x:v>
      </x:c>
      <x:c r="AL110" s="33" t="n">
        <x:f>IF(ISNUMBER(T110),100*MAX(0,MIN(1,('Anchors'!$H$21-T110)/('Anchors'!$H$21-'Anchors'!$G$21))),"")</x:f>
        <x:v>87.0909090909091</x:v>
      </x:c>
      <x:c r="AM110" s="33" t="n">
        <x:f>IF(ISNUMBER(U110),100*MAX(0,MIN(1,('Anchors'!$H$22-U110)/('Anchors'!$H$22-'Anchors'!$G$22))),"")</x:f>
        <x:v>44.29226091355795</x:v>
      </x:c>
      <x:c r="AN110" s="33" t="n">
        <x:f>IF(ISNUMBER(V110),100*MAX(0,MIN(1,('Anchors'!$H$23-V110)/('Anchors'!$H$23-'Anchors'!$G$23))),"")</x:f>
        <x:v>68.6431055263375</x:v>
      </x:c>
      <x:c r="AO110" s="27" t="n">
        <x:f>IF(ISNUMBER(W110),IF('Scoring Setup'!$L$9=1,1-'Scoring Setup'!$B$5*(1-MAX(0,MIN(1,(W110-'Scoring Setup'!$K$9)/(100-'Scoring Setup'!$K$9)))),1),"")</x:f>
        <x:v>0.876</x:v>
      </x:c>
      <x:c r="AP110" s="27" t="n">
        <x:f>IF(ISNUMBER(X110),IF('Scoring Setup'!$L$10=1,1-'Scoring Setup'!$B$5*(1-MAX(0,MIN(1,(X110-'Scoring Setup'!$K$10)/(100-'Scoring Setup'!$K$10)))),1),"")</x:f>
        <x:v>0.9322135785007072</x:v>
      </x:c>
      <x:c r="AQ110" s="27" t="n">
        <x:f>IF(ISNUMBER(Y110),IF('Scoring Setup'!$L$11=1,1-'Scoring Setup'!$B$5*(1-MAX(0,MIN(1,(Y110-'Scoring Setup'!$K$11)/(100-'Scoring Setup'!$K$11)))),1),"")</x:f>
        <x:v>0.9772696649864597</x:v>
      </x:c>
      <x:c r="AR110" s="27" t="n">
        <x:f>IF(ISNUMBER(Z110),IF('Scoring Setup'!$L$12=1,1-'Scoring Setup'!$B$5*(1-MAX(0,MIN(1,(Z110-'Scoring Setup'!$K$12)/(100-'Scoring Setup'!$K$12)))),1),"")</x:f>
        <x:v>0.9837616602334215</x:v>
      </x:c>
      <x:c r="AS110" s="27" t="n">
        <x:f>IF(ISNUMBER(AA110),IF('Scoring Setup'!$L$13=1,1-'Scoring Setup'!$B$5*(1-MAX(0,MIN(1,(AA110-'Scoring Setup'!$K$13)/(100-'Scoring Setup'!$K$13)))),1),"")</x:f>
        <x:v>0.9011275194560955</x:v>
      </x:c>
      <x:c r="AT110" s="27" t="n">
        <x:f>IF(ISNUMBER(AB110),IF('Scoring Setup'!$L$14=1,1-'Scoring Setup'!$B$5*(1-MAX(0,MIN(1,(AB110-'Scoring Setup'!$K$14)/(100-'Scoring Setup'!$K$14)))),1),"")</x:f>
        <x:v>0.9848076363135299</x:v>
      </x:c>
      <x:c r="AU110" s="27" t="n">
        <x:f>IF(ISNUMBER(AC110),IF('Scoring Setup'!$L$15=1,1-'Scoring Setup'!$B$5*(1-MAX(0,MIN(1,(AC110-'Scoring Setup'!$K$15)/(100-'Scoring Setup'!$K$15)))),1),"")</x:f>
        <x:v>0.9653811465988029</x:v>
      </x:c>
      <x:c r="AV110" s="27" t="n">
        <x:f>IF(ISNUMBER(AD110),IF('Scoring Setup'!$L$16=1,1-'Scoring Setup'!$B$5*(1-MAX(0,MIN(1,(AD110-'Scoring Setup'!$K$16)/(100-'Scoring Setup'!$K$16)))),1),"")</x:f>
        <x:v>0.8560573417142857</x:v>
      </x:c>
      <x:c r="AW110" s="27" t="n">
        <x:f>IF(ISNUMBER(AE110),IF('Scoring Setup'!$L$17=1,1-'Scoring Setup'!$B$5*(1-MAX(0,MIN(1,(AE110-'Scoring Setup'!$K$17)/(100-'Scoring Setup'!$K$17)))),1),"")</x:f>
        <x:v>0.86860740525</x:v>
      </x:c>
      <x:c r="AX110" s="27" t="n">
        <x:f>IF(ISNUMBER(AF110),IF('Scoring Setup'!$L$18=1,1-'Scoring Setup'!$B$5*(1-MAX(0,MIN(1,(AF110-'Scoring Setup'!$K$18)/(100-'Scoring Setup'!$K$18)))),1),"")</x:f>
        <x:v>0.972177388638051</x:v>
      </x:c>
      <x:c r="AY110" s="27" t="n">
        <x:f>IF(ISNUMBER(AG110),IF('Scoring Setup'!$L$19=1,1-'Scoring Setup'!$B$5*(1-MAX(0,MIN(1,(AG110-'Scoring Setup'!$K$19)/(100-'Scoring Setup'!$K$19)))),1),"")</x:f>
        <x:v>0.8012</x:v>
      </x:c>
      <x:c r="AZ110" s="27" t="n">
        <x:f>IF(ISNUMBER(AH110),IF('Scoring Setup'!$L$20=1,1-'Scoring Setup'!$B$5*(1-MAX(0,MIN(1,(AH110-'Scoring Setup'!$K$20)/(100-'Scoring Setup'!$K$20)))),1),"")</x:f>
        <x:v>0.8139312543402777</x:v>
      </x:c>
      <x:c r="BA110" s="27" t="n">
        <x:f>IF(ISNUMBER(AI110),IF('Scoring Setup'!$L$21=1,1-'Scoring Setup'!$B$5*(1-MAX(0,MIN(1,(AI110-'Scoring Setup'!$K$21)/(100-'Scoring Setup'!$K$21)))),1),"")</x:f>
        <x:v>0.8381978458222888</x:v>
      </x:c>
      <x:c r="BB110" s="27" t="n">
        <x:f>IF(ISNUMBER(AJ110),IF('Scoring Setup'!$L$22=1,1-'Scoring Setup'!$B$5*(1-MAX(0,MIN(1,(AJ110-'Scoring Setup'!$K$22)/(100-'Scoring Setup'!$K$22)))),1),"")</x:f>
        <x:v>0.9925564382474773</x:v>
      </x:c>
      <x:c r="BC110" s="27" t="n">
        <x:f>IF(ISNUMBER(AK110),IF('Scoring Setup'!$L$23=1,1-'Scoring Setup'!$B$5*(1-MAX(0,MIN(1,(AK110-'Scoring Setup'!$K$23)/(100-'Scoring Setup'!$K$23)))),1),"")</x:f>
        <x:v>1</x:v>
      </x:c>
      <x:c r="BD110" s="27" t="n">
        <x:f>IF(ISNUMBER(AL110),IF('Scoring Setup'!$L$24=1,1-'Scoring Setup'!$B$5*(1-MAX(0,MIN(1,(AL110-'Scoring Setup'!$K$24)/(100-'Scoring Setup'!$K$24)))),1),"")</x:f>
        <x:v>0.9741818181818181</x:v>
      </x:c>
      <x:c r="BE110" s="27" t="n">
        <x:f>IF(ISNUMBER(AM110),IF('Scoring Setup'!$L$25=1,1-'Scoring Setup'!$B$5*(1-MAX(0,MIN(1,(AM110-'Scoring Setup'!$K$25)/(100-'Scoring Setup'!$K$25)))),1),"")</x:f>
        <x:v>0.8885845218271159</x:v>
      </x:c>
      <x:c r="BF110" s="27" t="n">
        <x:f>IF(ISNUMBER(AN110),IF('Scoring Setup'!$L$26=1,1-'Scoring Setup'!$B$5*(1-MAX(0,MIN(1,(AN110-'Scoring Setup'!$K$26)/(100-'Scoring Setup'!$K$26)))),1),"")</x:f>
        <x:v>0.937286211052675</x:v>
      </x:c>
      <x:c r="BG110" s="34" t="n">
        <x:f>IF(COUNT(W110,X110)=2,AVERAGE(W110,X110),"")</x:f>
        <x:v>52.05339462517679</x:v>
      </x:c>
      <x:c r="BH110" s="34" t="n">
        <x:f>IF(COUNT(Y110,Z110)=2,AVERAGE(Y110,Z110),"")</x:f>
        <x:v>90.25783130497032</x:v>
      </x:c>
      <x:c r="BI110" s="34" t="n">
        <x:f>IF(COUNT(AA110,AB110,AC110)=3,AVERAGE(AA110,AB110,AC110),"")</x:f>
        <x:v>75.21938372807138</x:v>
      </x:c>
      <x:c r="BJ110" s="34" t="n">
        <x:f>IF(COUNT(AD110,AE110)=2,AVERAGE(AD110,AE110),"")</x:f>
        <x:v>31.16618674107143</x:v>
      </x:c>
      <x:c r="BK110" s="34" t="n">
        <x:f>IF(COUNT(AF110,AG110)=2,AVERAGE(AF110,AG110),"")</x:f>
        <x:v>43.34434715951276</x:v>
      </x:c>
      <x:c r="BL110" s="34" t="n">
        <x:f>IF(COUNT(AH110,AI110)=2,AVERAGE(AH110,AI110),"")</x:f>
        <x:v>13.03227504064166</x:v>
      </x:c>
      <x:c r="BM110" s="34" t="n">
        <x:f>IF(COUNT(AJ110,AK110)=2,AVERAGE(AJ110,AK110),"")</x:f>
        <x:v>98.13910956186933</x:v>
      </x:c>
      <x:c r="BN110" s="34" t="n">
        <x:f>IF(COUNT(AL110,AM110,AN110)=3,AVERAGE(AL110,AM110,AN110),"")</x:f>
        <x:v>66.67542517693484</x:v>
      </x:c>
      <x:c r="BO110" s="35" t="n">
        <x:f>IF(AND(COUNT(BG110:BN110)=8,ABS('Scoring Setup'!$C$17-1)&lt;0.000001),BG110*'Scoring Setup'!$C$9+BH110*'Scoring Setup'!$C$10+BI110*'Scoring Setup'!$C$11+BJ110*'Scoring Setup'!$C$12+BK110*'Scoring Setup'!$C$13+BL110*'Scoring Setup'!$C$14+BM110*'Scoring Setup'!$C$15+BN110*'Scoring Setup'!$C$16,"")</x:f>
        <x:v>63.7910942695833</x:v>
      </x:c>
      <x:c r="BP110" s="36" t="n">
        <x:f>IF(COUNT(AO110:BF110)=18,MIN(AO110:BF110),"")</x:f>
        <x:v>0.8012</x:v>
      </x:c>
      <x:c r="BQ110" s="35" t="n">
        <x:f>IF(AND(ISNUMBER(BO110),ISNUMBER(BP110)),BO110*BP110,"")</x:f>
        <x:v>51.10942472879014</x:v>
      </x:c>
      <x:c r="BR110" s="17" t="str">
        <x:f>IF(COUNT(AO110:BF110)=18,INDEX('Scoring Setup'!$F$9:$F$26,MATCH(MIN(AO110:BF110),AO110:BF110,0),1),"")</x:f>
        <x:v>社会脆弱性百分位</x:v>
      </x:c>
    </x:row>
    <x:row r="111">
      <x:c r="A111" s="28" t="str">
        <x:v>13217</x:v>
      </x:c>
      <x:c r="B111" s="28" t="str">
        <x:v>Newton County</x:v>
      </x:c>
      <x:c r="C111" s="28" t="str">
        <x:v>GA</x:v>
      </x:c>
      <x:c r="D111" s="31" t="n">
        <x:v>709.175872</x:v>
      </x:c>
      <x:c r="E111" s="32" t="n">
        <x:v>0.518</x:v>
      </x:c>
      <x:c r="F111" s="32" t="n">
        <x:v>0.357673267326733</x:v>
      </x:c>
      <x:c r="G111" s="32" t="n">
        <x:v>2.9261053811729116</x:v>
      </x:c>
      <x:c r="H111" s="32" t="n">
        <x:v>2.8144396245604733</x:v>
      </x:c>
      <x:c r="I111" s="32" t="n">
        <x:v>0.8099900729838281</x:v>
      </x:c>
      <x:c r="J111" s="32" t="n">
        <x:v>0.0025979599901955913</x:v>
      </x:c>
      <x:c r="K111" s="32" t="n">
        <x:v>0.05033908863913777</x:v>
      </x:c>
      <x:c r="L111" s="32" t="n">
        <x:v>0.457025435</x:v>
      </x:c>
      <x:c r="M111" s="32" t="n">
        <x:v>0.456606068</x:v>
      </x:c>
      <x:c r="N111" s="32" t="n">
        <x:v>60661</x:v>
      </x:c>
      <x:c r="O111" s="32" t="n">
        <x:v>0.6577</x:v>
      </x:c>
      <x:c r="P111" s="32" t="n">
        <x:v>1657.7520060221354</x:v>
      </x:c>
      <x:c r="Q111" s="32" t="n">
        <x:v>41.684600321451825</x:v>
      </x:c>
      <x:c r="R111" s="32" t="n">
        <x:v>6.415918901938913</x:v>
      </x:c>
      <x:c r="S111" s="32" t="n">
        <x:v>1.0865055242951953</x:v>
      </x:c>
      <x:c r="T111" s="32" t="n">
        <x:v>72.1</x:v>
      </x:c>
      <x:c r="U111" s="32" t="n">
        <x:v>211.4154781728841</x:v>
      </x:c>
      <x:c r="V111" s="32" t="n">
        <x:v>325.42757789465</x:v>
      </x:c>
      <x:c r="W111" s="33" t="n">
        <x:f>IF(ISNUMBER(E111),100*MAX(0,MIN(1,('Anchors'!$H$6-E111)/('Anchors'!$H$6-'Anchors'!$G$6))),"")</x:f>
        <x:v>54.57142857142857</x:v>
      </x:c>
      <x:c r="X111" s="33" t="n">
        <x:f>IF(ISNUMBER(F111),100*MAX(0,MIN(1,('Anchors'!$H$7-F111)/('Anchors'!$H$7-'Anchors'!$G$7))),"")</x:f>
        <x:v>63.18953323903814</x:v>
      </x:c>
      <x:c r="Y111" s="33" t="n">
        <x:f>IF(ISNUMBER(G111),100*MAX(0,MIN(1,('Anchors'!$H$8-G111)/('Anchors'!$H$8-'Anchors'!$G$8))),"")</x:f>
        <x:v>35.79648729423628</x:v>
      </x:c>
      <x:c r="Z111" s="33" t="n">
        <x:f>IF(ISNUMBER(H111),100*MAX(0,MIN(1,('Anchors'!$H$9-H111)/('Anchors'!$H$9-'Anchors'!$G$9))),"")</x:f>
        <x:v>39.51867918131756</x:v>
      </x:c>
      <x:c r="AA111" s="33" t="n">
        <x:f>IF(ISNUMBER(I111),100*MAX(0,MIN(1,(I111-'Anchors'!$H$10)/('Anchors'!$G$10-'Anchors'!$H$10))),"")</x:f>
        <x:v>76.71096890189426</x:v>
      </x:c>
      <x:c r="AB111" s="33" t="n">
        <x:f>IF(ISNUMBER(J111),100*MAX(0,MIN(1,('Anchors'!$H$11-J111)/('Anchors'!$H$11-'Anchors'!$G$11))),"")</x:f>
        <x:v>98.96081600392176</x:v>
      </x:c>
      <x:c r="AC111" s="33" t="n">
        <x:f>IF(ISNUMBER(K111),100*MAX(0,MIN(1,('Anchors'!$H$12-K111)/('Anchors'!$H$12-'Anchors'!$G$12))),"")</x:f>
        <x:v>87.41522784021556</x:v>
      </x:c>
      <x:c r="AD111" s="33" t="n">
        <x:f>IF(ISNUMBER(L111),100*MAX(0,MIN(1,(L111-'Anchors'!$H$13)/('Anchors'!$G$13-'Anchors'!$H$13))),"")</x:f>
        <x:v>36.71791928571429</x:v>
      </x:c>
      <x:c r="AE111" s="33" t="n">
        <x:f>IF(ISNUMBER(M111),100*MAX(0,MIN(1,(M111-'Anchors'!$H$14)/('Anchors'!$G$14-'Anchors'!$H$14))),"")</x:f>
        <x:v>44.57575849999999</x:v>
      </x:c>
      <x:c r="AF111" s="33" t="n">
        <x:f>IF(ISNUMBER(N111),100*MAX(0,MIN(1,(LN(1+N111)-LN(1+'Anchors'!$H$15))/(LN(1+'Anchors'!$G$15)-LN(1+'Anchors'!$H$15)))),"")</x:f>
        <x:v>79.02882657355144</x:v>
      </x:c>
      <x:c r="AG111" s="33" t="n">
        <x:f>IF(ISNUMBER(O111),100*MAX(0,MIN(1,('Anchors'!$H$16-O111)/('Anchors'!$H$16-'Anchors'!$G$16))),"")</x:f>
        <x:v>32.47777777777778</x:v>
      </x:c>
      <x:c r="AH111" s="33" t="n">
        <x:f>IF(ISNUMBER(P111),100*MAX(0,MIN(1,('Anchors'!$H$17-P111)/('Anchors'!$H$17-'Anchors'!$G$17))),"")</x:f>
        <x:v>36.14986626519097</x:v>
      </x:c>
      <x:c r="AI111" s="33" t="n">
        <x:f>IF(ISNUMBER(Q111),100*MAX(0,MIN(1,('Anchors'!$H$18-Q111)/('Anchors'!$H$18-'Anchors'!$G$18))),"")</x:f>
        <x:v>47.593428112211676</x:v>
      </x:c>
      <x:c r="AJ111" s="33" t="n">
        <x:f>IF(ISNUMBER(R111),100*MAX(0,MIN(1,('Anchors'!$H$19-R111)/('Anchors'!$H$19-'Anchors'!$G$19))),"")</x:f>
        <x:v>96.85351355124685</x:v>
      </x:c>
      <x:c r="AK111" s="33" t="n">
        <x:f>IF(ISNUMBER(S111),100*MAX(0,MIN(1,('Anchors'!$H$20-S111)/('Anchors'!$H$20-'Anchors'!$G$20))),"")</x:f>
        <x:v>99.5447077668674</x:v>
      </x:c>
      <x:c r="AL111" s="33" t="n">
        <x:f>IF(ISNUMBER(T111),100*MAX(0,MIN(1,('Anchors'!$H$21-T111)/('Anchors'!$H$21-'Anchors'!$G$21))),"")</x:f>
        <x:v>87.0909090909091</x:v>
      </x:c>
      <x:c r="AM111" s="33" t="n">
        <x:f>IF(ISNUMBER(U111),100*MAX(0,MIN(1,('Anchors'!$H$22-U111)/('Anchors'!$H$22-'Anchors'!$G$22))),"")</x:f>
        <x:v>44.29226091355795</x:v>
      </x:c>
      <x:c r="AN111" s="33" t="n">
        <x:f>IF(ISNUMBER(V111),100*MAX(0,MIN(1,('Anchors'!$H$23-V111)/('Anchors'!$H$23-'Anchors'!$G$23))),"")</x:f>
        <x:v>68.6431055263375</x:v>
      </x:c>
      <x:c r="AO111" s="27" t="n">
        <x:f>IF(ISNUMBER(W111),IF('Scoring Setup'!$L$9=1,1-'Scoring Setup'!$B$5*(1-MAX(0,MIN(1,(W111-'Scoring Setup'!$K$9)/(100-'Scoring Setup'!$K$9)))),1),"")</x:f>
        <x:v>0.9091428571428571</x:v>
      </x:c>
      <x:c r="AP111" s="27" t="n">
        <x:f>IF(ISNUMBER(X111),IF('Scoring Setup'!$L$10=1,1-'Scoring Setup'!$B$5*(1-MAX(0,MIN(1,(X111-'Scoring Setup'!$K$10)/(100-'Scoring Setup'!$K$10)))),1),"")</x:f>
        <x:v>0.9263790664780763</x:v>
      </x:c>
      <x:c r="AQ111" s="27" t="n">
        <x:f>IF(ISNUMBER(Y111),IF('Scoring Setup'!$L$11=1,1-'Scoring Setup'!$B$5*(1-MAX(0,MIN(1,(Y111-'Scoring Setup'!$K$11)/(100-'Scoring Setup'!$K$11)))),1),"")</x:f>
        <x:v>0.8715929745884725</x:v>
      </x:c>
      <x:c r="AR111" s="27" t="n">
        <x:f>IF(ISNUMBER(Z111),IF('Scoring Setup'!$L$12=1,1-'Scoring Setup'!$B$5*(1-MAX(0,MIN(1,(Z111-'Scoring Setup'!$K$12)/(100-'Scoring Setup'!$K$12)))),1),"")</x:f>
        <x:v>0.8790373583626351</x:v>
      </x:c>
      <x:c r="AS111" s="27" t="n">
        <x:f>IF(ISNUMBER(AA111),IF('Scoring Setup'!$L$13=1,1-'Scoring Setup'!$B$5*(1-MAX(0,MIN(1,(AA111-'Scoring Setup'!$K$13)/(100-'Scoring Setup'!$K$13)))),1),"")</x:f>
        <x:v>0.9534219378037885</x:v>
      </x:c>
      <x:c r="AT111" s="27" t="n">
        <x:f>IF(ISNUMBER(AB111),IF('Scoring Setup'!$L$14=1,1-'Scoring Setup'!$B$5*(1-MAX(0,MIN(1,(AB111-'Scoring Setup'!$K$14)/(100-'Scoring Setup'!$K$14)))),1),"")</x:f>
        <x:v>0.9979216320078436</x:v>
      </x:c>
      <x:c r="AU111" s="27" t="n">
        <x:f>IF(ISNUMBER(AC111),IF('Scoring Setup'!$L$15=1,1-'Scoring Setup'!$B$5*(1-MAX(0,MIN(1,(AC111-'Scoring Setup'!$K$15)/(100-'Scoring Setup'!$K$15)))),1),"")</x:f>
        <x:v>0.9748304556804311</x:v>
      </x:c>
      <x:c r="AV111" s="27" t="n">
        <x:f>IF(ISNUMBER(AD111),IF('Scoring Setup'!$L$16=1,1-'Scoring Setup'!$B$5*(1-MAX(0,MIN(1,(AD111-'Scoring Setup'!$K$16)/(100-'Scoring Setup'!$K$16)))),1),"")</x:f>
        <x:v>0.8734358385714286</x:v>
      </x:c>
      <x:c r="AW111" s="27" t="n">
        <x:f>IF(ISNUMBER(AE111),IF('Scoring Setup'!$L$17=1,1-'Scoring Setup'!$B$5*(1-MAX(0,MIN(1,(AE111-'Scoring Setup'!$K$17)/(100-'Scoring Setup'!$K$17)))),1),"")</x:f>
        <x:v>0.889151517</x:v>
      </x:c>
      <x:c r="AX111" s="27" t="n">
        <x:f>IF(ISNUMBER(AF111),IF('Scoring Setup'!$L$18=1,1-'Scoring Setup'!$B$5*(1-MAX(0,MIN(1,(AF111-'Scoring Setup'!$K$18)/(100-'Scoring Setup'!$K$18)))),1),"")</x:f>
        <x:v>0.9580576531471029</x:v>
      </x:c>
      <x:c r="AY111" s="27" t="n">
        <x:f>IF(ISNUMBER(AG111),IF('Scoring Setup'!$L$19=1,1-'Scoring Setup'!$B$5*(1-MAX(0,MIN(1,(AG111-'Scoring Setup'!$K$19)/(100-'Scoring Setup'!$K$19)))),1),"")</x:f>
        <x:v>0.8649555555555556</x:v>
      </x:c>
      <x:c r="AZ111" s="27" t="n">
        <x:f>IF(ISNUMBER(AH111),IF('Scoring Setup'!$L$20=1,1-'Scoring Setup'!$B$5*(1-MAX(0,MIN(1,(AH111-'Scoring Setup'!$K$20)/(100-'Scoring Setup'!$K$20)))),1),"")</x:f>
        <x:v>0.872299732530382</x:v>
      </x:c>
      <x:c r="BA111" s="27" t="n">
        <x:f>IF(ISNUMBER(AI111),IF('Scoring Setup'!$L$21=1,1-'Scoring Setup'!$B$5*(1-MAX(0,MIN(1,(AI111-'Scoring Setup'!$K$21)/(100-'Scoring Setup'!$K$21)))),1),"")</x:f>
        <x:v>0.8951868562244234</x:v>
      </x:c>
      <x:c r="BB111" s="27" t="n">
        <x:f>IF(ISNUMBER(AJ111),IF('Scoring Setup'!$L$22=1,1-'Scoring Setup'!$B$5*(1-MAX(0,MIN(1,(AJ111-'Scoring Setup'!$K$22)/(100-'Scoring Setup'!$K$22)))),1),"")</x:f>
        <x:v>0.9937070271024937</x:v>
      </x:c>
      <x:c r="BC111" s="27" t="n">
        <x:f>IF(ISNUMBER(AK111),IF('Scoring Setup'!$L$23=1,1-'Scoring Setup'!$B$5*(1-MAX(0,MIN(1,(AK111-'Scoring Setup'!$K$23)/(100-'Scoring Setup'!$K$23)))),1),"")</x:f>
        <x:v>0.9990894155337348</x:v>
      </x:c>
      <x:c r="BD111" s="27" t="n">
        <x:f>IF(ISNUMBER(AL111),IF('Scoring Setup'!$L$24=1,1-'Scoring Setup'!$B$5*(1-MAX(0,MIN(1,(AL111-'Scoring Setup'!$K$24)/(100-'Scoring Setup'!$K$24)))),1),"")</x:f>
        <x:v>0.9741818181818181</x:v>
      </x:c>
      <x:c r="BE111" s="27" t="n">
        <x:f>IF(ISNUMBER(AM111),IF('Scoring Setup'!$L$25=1,1-'Scoring Setup'!$B$5*(1-MAX(0,MIN(1,(AM111-'Scoring Setup'!$K$25)/(100-'Scoring Setup'!$K$25)))),1),"")</x:f>
        <x:v>0.8885845218271159</x:v>
      </x:c>
      <x:c r="BF111" s="27" t="n">
        <x:f>IF(ISNUMBER(AN111),IF('Scoring Setup'!$L$26=1,1-'Scoring Setup'!$B$5*(1-MAX(0,MIN(1,(AN111-'Scoring Setup'!$K$26)/(100-'Scoring Setup'!$K$26)))),1),"")</x:f>
        <x:v>0.937286211052675</x:v>
      </x:c>
      <x:c r="BG111" s="34" t="n">
        <x:f>IF(COUNT(W111,X111)=2,AVERAGE(W111,X111),"")</x:f>
        <x:v>58.880480905233355</x:v>
      </x:c>
      <x:c r="BH111" s="34" t="n">
        <x:f>IF(COUNT(Y111,Z111)=2,AVERAGE(Y111,Z111),"")</x:f>
        <x:v>37.65758323777692</x:v>
      </x:c>
      <x:c r="BI111" s="34" t="n">
        <x:f>IF(COUNT(AA111,AB111,AC111)=3,AVERAGE(AA111,AB111,AC111),"")</x:f>
        <x:v>87.69567091534385</x:v>
      </x:c>
      <x:c r="BJ111" s="34" t="n">
        <x:f>IF(COUNT(AD111,AE111)=2,AVERAGE(AD111,AE111),"")</x:f>
        <x:v>40.64683889285714</x:v>
      </x:c>
      <x:c r="BK111" s="34" t="n">
        <x:f>IF(COUNT(AF111,AG111)=2,AVERAGE(AF111,AG111),"")</x:f>
        <x:v>55.753302175664615</x:v>
      </x:c>
      <x:c r="BL111" s="34" t="n">
        <x:f>IF(COUNT(AH111,AI111)=2,AVERAGE(AH111,AI111),"")</x:f>
        <x:v>41.871647188701324</x:v>
      </x:c>
      <x:c r="BM111" s="34" t="n">
        <x:f>IF(COUNT(AJ111,AK111)=2,AVERAGE(AJ111,AK111),"")</x:f>
        <x:v>98.19911065905713</x:v>
      </x:c>
      <x:c r="BN111" s="34" t="n">
        <x:f>IF(COUNT(AL111,AM111,AN111)=3,AVERAGE(AL111,AM111,AN111),"")</x:f>
        <x:v>66.67542517693484</x:v>
      </x:c>
      <x:c r="BO111" s="35" t="n">
        <x:f>IF(AND(COUNT(BG111:BN111)=8,ABS('Scoring Setup'!$C$17-1)&lt;0.000001),BG111*'Scoring Setup'!$C$9+BH111*'Scoring Setup'!$C$10+BI111*'Scoring Setup'!$C$11+BJ111*'Scoring Setup'!$C$12+BK111*'Scoring Setup'!$C$13+BL111*'Scoring Setup'!$C$14+BM111*'Scoring Setup'!$C$15+BN111*'Scoring Setup'!$C$16,"")</x:f>
        <x:v>58.83531138193366</x:v>
      </x:c>
      <x:c r="BP111" s="36" t="n">
        <x:f>IF(COUNT(AO111:BF111)=18,MIN(AO111:BF111),"")</x:f>
        <x:v>0.8649555555555556</x:v>
      </x:c>
      <x:c r="BQ111" s="35" t="n">
        <x:f>IF(AND(ISNUMBER(BO111),ISNUMBER(BP111)),BO111*BP111,"")</x:f>
        <x:v>50.88992944264453</x:v>
      </x:c>
      <x:c r="BR111" s="17" t="str">
        <x:f>IF(COUNT(AO111:BF111)=18,INDEX('Scoring Setup'!$F$9:$F$26,MATCH(MIN(AO111:BF111),AO111:BF111,0),1),"")</x:f>
        <x:v>社会脆弱性百分位</x:v>
      </x:c>
    </x:row>
    <x:row r="112">
      <x:c r="A112" s="28" t="str">
        <x:v>13219</x:v>
      </x:c>
      <x:c r="B112" s="28" t="str">
        <x:v>Oconee County</x:v>
      </x:c>
      <x:c r="C112" s="28" t="str">
        <x:v>GA</x:v>
      </x:c>
      <x:c r="D112" s="31" t="n">
        <x:v>477.461794</x:v>
      </x:c>
      <x:c r="E112" s="32" t="n">
        <x:v>0.549</x:v>
      </x:c>
      <x:c r="F112" s="32" t="n">
        <x:v>0.475556930693069</x:v>
      </x:c>
      <x:c r="G112" s="32" t="n">
        <x:v>2.101601868026963</x:v>
      </x:c>
      <x:c r="H112" s="32" t="n">
        <x:v>1.909171031</x:v>
      </x:c>
      <x:c r="I112" s="32" t="n">
        <x:v>0.8690940085385335</x:v>
      </x:c>
      <x:c r="J112" s="32" t="n">
        <x:v>0.00343132769063377</x:v>
      </x:c>
      <x:c r="K112" s="32" t="n">
        <x:v>0.03547875432994715</x:v>
      </x:c>
      <x:c r="L112" s="32" t="n">
        <x:v>0.466140587</x:v>
      </x:c>
      <x:c r="M112" s="32" t="n">
        <x:v>0.466140587</x:v>
      </x:c>
      <x:c r="N112" s="32" t="n">
        <x:v>22037</x:v>
      </x:c>
      <x:c r="O112" s="32" t="n">
        <x:v>0.0137</x:v>
      </x:c>
      <x:c r="P112" s="32" t="n">
        <x:v>1699.5707194010415</x:v>
      </x:c>
      <x:c r="Q112" s="32" t="n">
        <x:v>47.44086545308431</x:v>
      </x:c>
      <x:c r="R112" s="32" t="n">
        <x:v>29.82803575541123</x:v>
      </x:c>
      <x:c r="S112" s="32" t="n">
        <x:v>0.7934414410860876</x:v>
      </x:c>
      <x:c r="T112" s="32" t="n">
        <x:v>72.1</x:v>
      </x:c>
      <x:c r="U112" s="32" t="n">
        <x:v>211.4154781728841</x:v>
      </x:c>
      <x:c r="V112" s="32" t="n">
        <x:v>325.42757789465</x:v>
      </x:c>
      <x:c r="W112" s="33" t="n">
        <x:f>IF(ISNUMBER(E112),100*MAX(0,MIN(1,('Anchors'!$H$6-E112)/('Anchors'!$H$6-'Anchors'!$G$6))),"")</x:f>
        <x:v>50.142857142857146</x:v>
      </x:c>
      <x:c r="X112" s="33" t="n">
        <x:f>IF(ISNUMBER(F112),100*MAX(0,MIN(1,('Anchors'!$H$7-F112)/('Anchors'!$H$7-'Anchors'!$G$7))),"")</x:f>
        <x:v>46.34900990099015</x:v>
      </x:c>
      <x:c r="Y112" s="33" t="n">
        <x:f>IF(ISNUMBER(G112),100*MAX(0,MIN(1,('Anchors'!$H$8-G112)/('Anchors'!$H$8-'Anchors'!$G$8))),"")</x:f>
        <x:v>63.279937732434576</x:v>
      </x:c>
      <x:c r="Z112" s="33" t="n">
        <x:f>IF(ISNUMBER(H112),100*MAX(0,MIN(1,('Anchors'!$H$9-H112)/('Anchors'!$H$9-'Anchors'!$G$9))),"")</x:f>
        <x:v>69.69429896666666</x:v>
      </x:c>
      <x:c r="AA112" s="33" t="n">
        <x:f>IF(ISNUMBER(I112),100*MAX(0,MIN(1,(I112-'Anchors'!$H$10)/('Anchors'!$G$10-'Anchors'!$H$10))),"")</x:f>
        <x:v>84.8073984299361</x:v>
      </x:c>
      <x:c r="AB112" s="33" t="n">
        <x:f>IF(ISNUMBER(J112),100*MAX(0,MIN(1,('Anchors'!$H$11-J112)/('Anchors'!$H$11-'Anchors'!$G$11))),"")</x:f>
        <x:v>98.62746892374649</x:v>
      </x:c>
      <x:c r="AC112" s="33" t="n">
        <x:f>IF(ISNUMBER(K112),100*MAX(0,MIN(1,('Anchors'!$H$12-K112)/('Anchors'!$H$12-'Anchors'!$G$12))),"")</x:f>
        <x:v>91.13031141751323</x:v>
      </x:c>
      <x:c r="AD112" s="33" t="n">
        <x:f>IF(ISNUMBER(L112),100*MAX(0,MIN(1,(L112-'Anchors'!$H$13)/('Anchors'!$G$13-'Anchors'!$H$13))),"")</x:f>
        <x:v>38.02008385714286</x:v>
      </x:c>
      <x:c r="AE112" s="33" t="n">
        <x:f>IF(ISNUMBER(M112),100*MAX(0,MIN(1,(M112-'Anchors'!$H$14)/('Anchors'!$G$14-'Anchors'!$H$14))),"")</x:f>
        <x:v>45.76757337499999</x:v>
      </x:c>
      <x:c r="AF112" s="33" t="n">
        <x:f>IF(ISNUMBER(N112),100*MAX(0,MIN(1,(LN(1+N112)-LN(1+'Anchors'!$H$15))/(LN(1+'Anchors'!$G$15)-LN(1+'Anchors'!$H$15)))),"")</x:f>
        <x:v>55.57387101865676</x:v>
      </x:c>
      <x:c r="AG112" s="33" t="n">
        <x:f>IF(ISNUMBER(O112),100*MAX(0,MIN(1,('Anchors'!$H$16-O112)/('Anchors'!$H$16-'Anchors'!$G$16))),"")</x:f>
        <x:v>100</x:v>
      </x:c>
      <x:c r="AH112" s="33" t="n">
        <x:f>IF(ISNUMBER(P112),100*MAX(0,MIN(1,('Anchors'!$H$17-P112)/('Anchors'!$H$17-'Anchors'!$G$17))),"")</x:f>
        <x:v>33.361952039930564</x:v>
      </x:c>
      <x:c r="AI112" s="33" t="n">
        <x:f>IF(ISNUMBER(Q112),100*MAX(0,MIN(1,('Anchors'!$H$18-Q112)/('Anchors'!$H$18-'Anchors'!$G$18))),"")</x:f>
        <x:v>39.37019220987956</x:v>
      </x:c>
      <x:c r="AJ112" s="33" t="n">
        <x:f>IF(ISNUMBER(R112),100*MAX(0,MIN(1,('Anchors'!$H$19-R112)/('Anchors'!$H$19-'Anchors'!$G$19))),"")</x:f>
        <x:v>44.826587210197275</x:v>
      </x:c>
      <x:c r="AK112" s="33" t="n">
        <x:f>IF(ISNUMBER(S112),100*MAX(0,MIN(1,('Anchors'!$H$20-S112)/('Anchors'!$H$20-'Anchors'!$G$20))),"")</x:f>
        <x:v>100</x:v>
      </x:c>
      <x:c r="AL112" s="33" t="n">
        <x:f>IF(ISNUMBER(T112),100*MAX(0,MIN(1,('Anchors'!$H$21-T112)/('Anchors'!$H$21-'Anchors'!$G$21))),"")</x:f>
        <x:v>87.0909090909091</x:v>
      </x:c>
      <x:c r="AM112" s="33" t="n">
        <x:f>IF(ISNUMBER(U112),100*MAX(0,MIN(1,('Anchors'!$H$22-U112)/('Anchors'!$H$22-'Anchors'!$G$22))),"")</x:f>
        <x:v>44.29226091355795</x:v>
      </x:c>
      <x:c r="AN112" s="33" t="n">
        <x:f>IF(ISNUMBER(V112),100*MAX(0,MIN(1,('Anchors'!$H$23-V112)/('Anchors'!$H$23-'Anchors'!$G$23))),"")</x:f>
        <x:v>68.6431055263375</x:v>
      </x:c>
      <x:c r="AO112" s="27" t="n">
        <x:f>IF(ISNUMBER(W112),IF('Scoring Setup'!$L$9=1,1-'Scoring Setup'!$B$5*(1-MAX(0,MIN(1,(W112-'Scoring Setup'!$K$9)/(100-'Scoring Setup'!$K$9)))),1),"")</x:f>
        <x:v>0.9002857142857142</x:v>
      </x:c>
      <x:c r="AP112" s="27" t="n">
        <x:f>IF(ISNUMBER(X112),IF('Scoring Setup'!$L$10=1,1-'Scoring Setup'!$B$5*(1-MAX(0,MIN(1,(X112-'Scoring Setup'!$K$10)/(100-'Scoring Setup'!$K$10)))),1),"")</x:f>
        <x:v>0.8926980198019803</x:v>
      </x:c>
      <x:c r="AQ112" s="27" t="n">
        <x:f>IF(ISNUMBER(Y112),IF('Scoring Setup'!$L$11=1,1-'Scoring Setup'!$B$5*(1-MAX(0,MIN(1,(Y112-'Scoring Setup'!$K$11)/(100-'Scoring Setup'!$K$11)))),1),"")</x:f>
        <x:v>0.9265598754648692</x:v>
      </x:c>
      <x:c r="AR112" s="27" t="n">
        <x:f>IF(ISNUMBER(Z112),IF('Scoring Setup'!$L$12=1,1-'Scoring Setup'!$B$5*(1-MAX(0,MIN(1,(Z112-'Scoring Setup'!$K$12)/(100-'Scoring Setup'!$K$12)))),1),"")</x:f>
        <x:v>0.9393885979333333</x:v>
      </x:c>
      <x:c r="AS112" s="27" t="n">
        <x:f>IF(ISNUMBER(AA112),IF('Scoring Setup'!$L$13=1,1-'Scoring Setup'!$B$5*(1-MAX(0,MIN(1,(AA112-'Scoring Setup'!$K$13)/(100-'Scoring Setup'!$K$13)))),1),"")</x:f>
        <x:v>0.9696147968598722</x:v>
      </x:c>
      <x:c r="AT112" s="27" t="n">
        <x:f>IF(ISNUMBER(AB112),IF('Scoring Setup'!$L$14=1,1-'Scoring Setup'!$B$5*(1-MAX(0,MIN(1,(AB112-'Scoring Setup'!$K$14)/(100-'Scoring Setup'!$K$14)))),1),"")</x:f>
        <x:v>0.997254937847493</x:v>
      </x:c>
      <x:c r="AU112" s="27" t="n">
        <x:f>IF(ISNUMBER(AC112),IF('Scoring Setup'!$L$15=1,1-'Scoring Setup'!$B$5*(1-MAX(0,MIN(1,(AC112-'Scoring Setup'!$K$15)/(100-'Scoring Setup'!$K$15)))),1),"")</x:f>
        <x:v>0.9822606228350265</x:v>
      </x:c>
      <x:c r="AV112" s="27" t="n">
        <x:f>IF(ISNUMBER(AD112),IF('Scoring Setup'!$L$16=1,1-'Scoring Setup'!$B$5*(1-MAX(0,MIN(1,(AD112-'Scoring Setup'!$K$16)/(100-'Scoring Setup'!$K$16)))),1),"")</x:f>
        <x:v>0.8760401677142857</x:v>
      </x:c>
      <x:c r="AW112" s="27" t="n">
        <x:f>IF(ISNUMBER(AE112),IF('Scoring Setup'!$L$17=1,1-'Scoring Setup'!$B$5*(1-MAX(0,MIN(1,(AE112-'Scoring Setup'!$K$17)/(100-'Scoring Setup'!$K$17)))),1),"")</x:f>
        <x:v>0.89153514675</x:v>
      </x:c>
      <x:c r="AX112" s="27" t="n">
        <x:f>IF(ISNUMBER(AF112),IF('Scoring Setup'!$L$18=1,1-'Scoring Setup'!$B$5*(1-MAX(0,MIN(1,(AF112-'Scoring Setup'!$K$18)/(100-'Scoring Setup'!$K$18)))),1),"")</x:f>
        <x:v>0.9111477420373135</x:v>
      </x:c>
      <x:c r="AY112" s="27" t="n">
        <x:f>IF(ISNUMBER(AG112),IF('Scoring Setup'!$L$19=1,1-'Scoring Setup'!$B$5*(1-MAX(0,MIN(1,(AG112-'Scoring Setup'!$K$19)/(100-'Scoring Setup'!$K$19)))),1),"")</x:f>
        <x:v>1</x:v>
      </x:c>
      <x:c r="AZ112" s="27" t="n">
        <x:f>IF(ISNUMBER(AH112),IF('Scoring Setup'!$L$20=1,1-'Scoring Setup'!$B$5*(1-MAX(0,MIN(1,(AH112-'Scoring Setup'!$K$20)/(100-'Scoring Setup'!$K$20)))),1),"")</x:f>
        <x:v>0.8667239040798611</x:v>
      </x:c>
      <x:c r="BA112" s="27" t="n">
        <x:f>IF(ISNUMBER(AI112),IF('Scoring Setup'!$L$21=1,1-'Scoring Setup'!$B$5*(1-MAX(0,MIN(1,(AI112-'Scoring Setup'!$K$21)/(100-'Scoring Setup'!$K$21)))),1),"")</x:f>
        <x:v>0.8787403844197591</x:v>
      </x:c>
      <x:c r="BB112" s="27" t="n">
        <x:f>IF(ISNUMBER(AJ112),IF('Scoring Setup'!$L$22=1,1-'Scoring Setup'!$B$5*(1-MAX(0,MIN(1,(AJ112-'Scoring Setup'!$K$22)/(100-'Scoring Setup'!$K$22)))),1),"")</x:f>
        <x:v>0.8896531744203946</x:v>
      </x:c>
      <x:c r="BC112" s="27" t="n">
        <x:f>IF(ISNUMBER(AK112),IF('Scoring Setup'!$L$23=1,1-'Scoring Setup'!$B$5*(1-MAX(0,MIN(1,(AK112-'Scoring Setup'!$K$23)/(100-'Scoring Setup'!$K$23)))),1),"")</x:f>
        <x:v>1</x:v>
      </x:c>
      <x:c r="BD112" s="27" t="n">
        <x:f>IF(ISNUMBER(AL112),IF('Scoring Setup'!$L$24=1,1-'Scoring Setup'!$B$5*(1-MAX(0,MIN(1,(AL112-'Scoring Setup'!$K$24)/(100-'Scoring Setup'!$K$24)))),1),"")</x:f>
        <x:v>0.9741818181818181</x:v>
      </x:c>
      <x:c r="BE112" s="27" t="n">
        <x:f>IF(ISNUMBER(AM112),IF('Scoring Setup'!$L$25=1,1-'Scoring Setup'!$B$5*(1-MAX(0,MIN(1,(AM112-'Scoring Setup'!$K$25)/(100-'Scoring Setup'!$K$25)))),1),"")</x:f>
        <x:v>0.8885845218271159</x:v>
      </x:c>
      <x:c r="BF112" s="27" t="n">
        <x:f>IF(ISNUMBER(AN112),IF('Scoring Setup'!$L$26=1,1-'Scoring Setup'!$B$5*(1-MAX(0,MIN(1,(AN112-'Scoring Setup'!$K$26)/(100-'Scoring Setup'!$K$26)))),1),"")</x:f>
        <x:v>0.937286211052675</x:v>
      </x:c>
      <x:c r="BG112" s="34" t="n">
        <x:f>IF(COUNT(W112,X112)=2,AVERAGE(W112,X112),"")</x:f>
        <x:v>48.24593352192365</x:v>
      </x:c>
      <x:c r="BH112" s="34" t="n">
        <x:f>IF(COUNT(Y112,Z112)=2,AVERAGE(Y112,Z112),"")</x:f>
        <x:v>66.48711834955063</x:v>
      </x:c>
      <x:c r="BI112" s="34" t="n">
        <x:f>IF(COUNT(AA112,AB112,AC112)=3,AVERAGE(AA112,AB112,AC112),"")</x:f>
        <x:v>91.52172625706527</x:v>
      </x:c>
      <x:c r="BJ112" s="34" t="n">
        <x:f>IF(COUNT(AD112,AE112)=2,AVERAGE(AD112,AE112),"")</x:f>
        <x:v>41.893828616071424</x:v>
      </x:c>
      <x:c r="BK112" s="34" t="n">
        <x:f>IF(COUNT(AF112,AG112)=2,AVERAGE(AF112,AG112),"")</x:f>
        <x:v>77.78693550932837</x:v>
      </x:c>
      <x:c r="BL112" s="34" t="n">
        <x:f>IF(COUNT(AH112,AI112)=2,AVERAGE(AH112,AI112),"")</x:f>
        <x:v>36.36607212490506</x:v>
      </x:c>
      <x:c r="BM112" s="34" t="n">
        <x:f>IF(COUNT(AJ112,AK112)=2,AVERAGE(AJ112,AK112),"")</x:f>
        <x:v>72.41329360509863</x:v>
      </x:c>
      <x:c r="BN112" s="34" t="n">
        <x:f>IF(COUNT(AL112,AM112,AN112)=3,AVERAGE(AL112,AM112,AN112),"")</x:f>
        <x:v>66.67542517693484</x:v>
      </x:c>
      <x:c r="BO112" s="35" t="n">
        <x:f>IF(AND(COUNT(BG112:BN112)=8,ABS('Scoring Setup'!$C$17-1)&lt;0.000001),BG112*'Scoring Setup'!$C$9+BH112*'Scoring Setup'!$C$10+BI112*'Scoring Setup'!$C$11+BJ112*'Scoring Setup'!$C$12+BK112*'Scoring Setup'!$C$13+BL112*'Scoring Setup'!$C$14+BM112*'Scoring Setup'!$C$15+BN112*'Scoring Setup'!$C$16,"")</x:f>
        <x:v>64.68386189992964</x:v>
      </x:c>
      <x:c r="BP112" s="36" t="n">
        <x:f>IF(COUNT(AO112:BF112)=18,MIN(AO112:BF112),"")</x:f>
        <x:v>0.8667239040798611</x:v>
      </x:c>
      <x:c r="BQ112" s="35" t="n">
        <x:f>IF(AND(ISNUMBER(BO112),ISNUMBER(BP112)),BO112*BP112,"")</x:f>
        <x:v>56.0630493168696</x:v>
      </x:c>
      <x:c r="BR112" s="17" t="str">
        <x:f>IF(COUNT(AO112:BF112)=18,INDEX('Scoring Setup'!$F$9:$F$26,MATCH(MIN(AO112:BF112),AO112:BF112,0),1),"")</x:f>
        <x:v>历史CDD65</x:v>
      </x:c>
    </x:row>
    <x:row r="113">
      <x:c r="A113" s="28" t="str">
        <x:v>13221</x:v>
      </x:c>
      <x:c r="B113" s="28" t="str">
        <x:v>Oglethorpe County</x:v>
      </x:c>
      <x:c r="C113" s="28" t="str">
        <x:v>GA</x:v>
      </x:c>
      <x:c r="D113" s="31" t="n">
        <x:v>1137.165329</x:v>
      </x:c>
      <x:c r="E113" s="32" t="n">
        <x:v>0.62</x:v>
      </x:c>
      <x:c r="F113" s="32" t="n">
        <x:v>0.231126237623762</x:v>
      </x:c>
      <x:c r="G113" s="32" t="n">
        <x:v>2.777591918550559</x:v>
      </x:c>
      <x:c r="H113" s="32" t="n">
        <x:v>2.5818681881595804</x:v>
      </x:c>
      <x:c r="I113" s="32" t="n">
        <x:v>0.9629404233122046</x:v>
      </x:c>
      <x:c r="J113" s="32" t="n">
        <x:v>0.015709406736905334</x:v>
      </x:c>
      <x:c r="K113" s="32" t="n">
        <x:v>0.05106223226846656</x:v>
      </x:c>
      <x:c r="L113" s="32" t="n">
        <x:v>0.672501026</x:v>
      </x:c>
      <x:c r="M113" s="32" t="n">
        <x:v>0.672501026</x:v>
      </x:c>
      <x:c r="N113" s="32" t="n">
        <x:v>7699</x:v>
      </x:c>
      <x:c r="O113" s="32" t="n">
        <x:v>0.4645</x:v>
      </x:c>
      <x:c r="P113" s="32" t="n">
        <x:v>1662.53603515625</x:v>
      </x:c>
      <x:c r="Q113" s="32" t="n">
        <x:v>44.86394640604655</x:v>
      </x:c>
      <x:c r="R113" s="32" t="n">
        <x:v>35.177474825817654</x:v>
      </x:c>
      <x:c r="S113" s="32" t="n">
        <x:v>19.38577212895769</x:v>
      </x:c>
      <x:c r="T113" s="32" t="n">
        <x:v>72.1</x:v>
      </x:c>
      <x:c r="U113" s="32" t="n">
        <x:v>211.4154781728841</x:v>
      </x:c>
      <x:c r="V113" s="32" t="n">
        <x:v>325.42757789465</x:v>
      </x:c>
      <x:c r="W113" s="33" t="n">
        <x:f>IF(ISNUMBER(E113),100*MAX(0,MIN(1,('Anchors'!$H$6-E113)/('Anchors'!$H$6-'Anchors'!$G$6))),"")</x:f>
        <x:v>40.00000000000001</x:v>
      </x:c>
      <x:c r="X113" s="33" t="n">
        <x:f>IF(ISNUMBER(F113),100*MAX(0,MIN(1,('Anchors'!$H$7-F113)/('Anchors'!$H$7-'Anchors'!$G$7))),"")</x:f>
        <x:v>81.26768033946257</x:v>
      </x:c>
      <x:c r="Y113" s="33" t="n">
        <x:f>IF(ISNUMBER(G113),100*MAX(0,MIN(1,('Anchors'!$H$8-G113)/('Anchors'!$H$8-'Anchors'!$G$8))),"")</x:f>
        <x:v>40.7469360483147</x:v>
      </x:c>
      <x:c r="Z113" s="33" t="n">
        <x:f>IF(ISNUMBER(H113),100*MAX(0,MIN(1,('Anchors'!$H$9-H113)/('Anchors'!$H$9-'Anchors'!$G$9))),"")</x:f>
        <x:v>47.27106039468065</x:v>
      </x:c>
      <x:c r="AA113" s="33" t="n">
        <x:f>IF(ISNUMBER(I113),100*MAX(0,MIN(1,(I113-'Anchors'!$H$10)/('Anchors'!$G$10-'Anchors'!$H$10))),"")</x:f>
        <x:v>97.66307168660337</x:v>
      </x:c>
      <x:c r="AB113" s="33" t="n">
        <x:f>IF(ISNUMBER(J113),100*MAX(0,MIN(1,('Anchors'!$H$11-J113)/('Anchors'!$H$11-'Anchors'!$G$11))),"")</x:f>
        <x:v>93.71623730523787</x:v>
      </x:c>
      <x:c r="AC113" s="33" t="n">
        <x:f>IF(ISNUMBER(K113),100*MAX(0,MIN(1,('Anchors'!$H$12-K113)/('Anchors'!$H$12-'Anchors'!$G$12))),"")</x:f>
        <x:v>87.23444193288336</x:v>
      </x:c>
      <x:c r="AD113" s="33" t="n">
        <x:f>IF(ISNUMBER(L113),100*MAX(0,MIN(1,(L113-'Anchors'!$H$13)/('Anchors'!$G$13-'Anchors'!$H$13))),"")</x:f>
        <x:v>67.50014657142856</x:v>
      </x:c>
      <x:c r="AE113" s="33" t="n">
        <x:f>IF(ISNUMBER(M113),100*MAX(0,MIN(1,(M113-'Anchors'!$H$14)/('Anchors'!$G$14-'Anchors'!$H$14))),"")</x:f>
        <x:v>71.56262824999999</x:v>
      </x:c>
      <x:c r="AF113" s="33" t="n">
        <x:f>IF(ISNUMBER(N113),100*MAX(0,MIN(1,(LN(1+N113)-LN(1+'Anchors'!$H$15))/(LN(1+'Anchors'!$G$15)-LN(1+'Anchors'!$H$15)))),"")</x:f>
        <x:v>31.215540042770108</x:v>
      </x:c>
      <x:c r="AG113" s="33" t="n">
        <x:f>IF(ISNUMBER(O113),100*MAX(0,MIN(1,('Anchors'!$H$16-O113)/('Anchors'!$H$16-'Anchors'!$G$16))),"")</x:f>
        <x:v>53.94444444444444</x:v>
      </x:c>
      <x:c r="AH113" s="33" t="n">
        <x:f>IF(ISNUMBER(P113),100*MAX(0,MIN(1,('Anchors'!$H$17-P113)/('Anchors'!$H$17-'Anchors'!$G$17))),"")</x:f>
        <x:v>35.83093098958334</x:v>
      </x:c>
      <x:c r="AI113" s="33" t="n">
        <x:f>IF(ISNUMBER(Q113),100*MAX(0,MIN(1,('Anchors'!$H$18-Q113)/('Anchors'!$H$18-'Anchors'!$G$18))),"")</x:f>
        <x:v>43.05150513421921</x:v>
      </x:c>
      <x:c r="AJ113" s="33" t="n">
        <x:f>IF(ISNUMBER(R113),100*MAX(0,MIN(1,('Anchors'!$H$19-R113)/('Anchors'!$H$19-'Anchors'!$G$19))),"")</x:f>
        <x:v>32.938944831516324</x:v>
      </x:c>
      <x:c r="AK113" s="33" t="n">
        <x:f>IF(ISNUMBER(S113),100*MAX(0,MIN(1,('Anchors'!$H$20-S113)/('Anchors'!$H$20-'Anchors'!$G$20))),"")</x:f>
        <x:v>3.2327782686437363</x:v>
      </x:c>
      <x:c r="AL113" s="33" t="n">
        <x:f>IF(ISNUMBER(T113),100*MAX(0,MIN(1,('Anchors'!$H$21-T113)/('Anchors'!$H$21-'Anchors'!$G$21))),"")</x:f>
        <x:v>87.0909090909091</x:v>
      </x:c>
      <x:c r="AM113" s="33" t="n">
        <x:f>IF(ISNUMBER(U113),100*MAX(0,MIN(1,('Anchors'!$H$22-U113)/('Anchors'!$H$22-'Anchors'!$G$22))),"")</x:f>
        <x:v>44.29226091355795</x:v>
      </x:c>
      <x:c r="AN113" s="33" t="n">
        <x:f>IF(ISNUMBER(V113),100*MAX(0,MIN(1,('Anchors'!$H$23-V113)/('Anchors'!$H$23-'Anchors'!$G$23))),"")</x:f>
        <x:v>68.6431055263375</x:v>
      </x:c>
      <x:c r="AO113" s="27" t="n">
        <x:f>IF(ISNUMBER(W113),IF('Scoring Setup'!$L$9=1,1-'Scoring Setup'!$B$5*(1-MAX(0,MIN(1,(W113-'Scoring Setup'!$K$9)/(100-'Scoring Setup'!$K$9)))),1),"")</x:f>
        <x:v>0.88</x:v>
      </x:c>
      <x:c r="AP113" s="27" t="n">
        <x:f>IF(ISNUMBER(X113),IF('Scoring Setup'!$L$10=1,1-'Scoring Setup'!$B$5*(1-MAX(0,MIN(1,(X113-'Scoring Setup'!$K$10)/(100-'Scoring Setup'!$K$10)))),1),"")</x:f>
        <x:v>0.9625353606789251</x:v>
      </x:c>
      <x:c r="AQ113" s="27" t="n">
        <x:f>IF(ISNUMBER(Y113),IF('Scoring Setup'!$L$11=1,1-'Scoring Setup'!$B$5*(1-MAX(0,MIN(1,(Y113-'Scoring Setup'!$K$11)/(100-'Scoring Setup'!$K$11)))),1),"")</x:f>
        <x:v>0.8814938720966294</x:v>
      </x:c>
      <x:c r="AR113" s="27" t="n">
        <x:f>IF(ISNUMBER(Z113),IF('Scoring Setup'!$L$12=1,1-'Scoring Setup'!$B$5*(1-MAX(0,MIN(1,(Z113-'Scoring Setup'!$K$12)/(100-'Scoring Setup'!$K$12)))),1),"")</x:f>
        <x:v>0.8945421207893614</x:v>
      </x:c>
      <x:c r="AS113" s="27" t="n">
        <x:f>IF(ISNUMBER(AA113),IF('Scoring Setup'!$L$13=1,1-'Scoring Setup'!$B$5*(1-MAX(0,MIN(1,(AA113-'Scoring Setup'!$K$13)/(100-'Scoring Setup'!$K$13)))),1),"")</x:f>
        <x:v>0.9953261433732068</x:v>
      </x:c>
      <x:c r="AT113" s="27" t="n">
        <x:f>IF(ISNUMBER(AB113),IF('Scoring Setup'!$L$14=1,1-'Scoring Setup'!$B$5*(1-MAX(0,MIN(1,(AB113-'Scoring Setup'!$K$14)/(100-'Scoring Setup'!$K$14)))),1),"")</x:f>
        <x:v>0.9874324746104758</x:v>
      </x:c>
      <x:c r="AU113" s="27" t="n">
        <x:f>IF(ISNUMBER(AC113),IF('Scoring Setup'!$L$15=1,1-'Scoring Setup'!$B$5*(1-MAX(0,MIN(1,(AC113-'Scoring Setup'!$K$15)/(100-'Scoring Setup'!$K$15)))),1),"")</x:f>
        <x:v>0.9744688838657667</x:v>
      </x:c>
      <x:c r="AV113" s="27" t="n">
        <x:f>IF(ISNUMBER(AD113),IF('Scoring Setup'!$L$16=1,1-'Scoring Setup'!$B$5*(1-MAX(0,MIN(1,(AD113-'Scoring Setup'!$K$16)/(100-'Scoring Setup'!$K$16)))),1),"")</x:f>
        <x:v>0.9350002931428572</x:v>
      </x:c>
      <x:c r="AW113" s="27" t="n">
        <x:f>IF(ISNUMBER(AE113),IF('Scoring Setup'!$L$17=1,1-'Scoring Setup'!$B$5*(1-MAX(0,MIN(1,(AE113-'Scoring Setup'!$K$17)/(100-'Scoring Setup'!$K$17)))),1),"")</x:f>
        <x:v>0.9431252565</x:v>
      </x:c>
      <x:c r="AX113" s="27" t="n">
        <x:f>IF(ISNUMBER(AF113),IF('Scoring Setup'!$L$18=1,1-'Scoring Setup'!$B$5*(1-MAX(0,MIN(1,(AF113-'Scoring Setup'!$K$18)/(100-'Scoring Setup'!$K$18)))),1),"")</x:f>
        <x:v>0.8624310800855401</x:v>
      </x:c>
      <x:c r="AY113" s="27" t="n">
        <x:f>IF(ISNUMBER(AG113),IF('Scoring Setup'!$L$19=1,1-'Scoring Setup'!$B$5*(1-MAX(0,MIN(1,(AG113-'Scoring Setup'!$K$19)/(100-'Scoring Setup'!$K$19)))),1),"")</x:f>
        <x:v>0.9078888888888889</x:v>
      </x:c>
      <x:c r="AZ113" s="27" t="n">
        <x:f>IF(ISNUMBER(AH113),IF('Scoring Setup'!$L$20=1,1-'Scoring Setup'!$B$5*(1-MAX(0,MIN(1,(AH113-'Scoring Setup'!$K$20)/(100-'Scoring Setup'!$K$20)))),1),"")</x:f>
        <x:v>0.8716618619791667</x:v>
      </x:c>
      <x:c r="BA113" s="27" t="n">
        <x:f>IF(ISNUMBER(AI113),IF('Scoring Setup'!$L$21=1,1-'Scoring Setup'!$B$5*(1-MAX(0,MIN(1,(AI113-'Scoring Setup'!$K$21)/(100-'Scoring Setup'!$K$21)))),1),"")</x:f>
        <x:v>0.8861030102684384</x:v>
      </x:c>
      <x:c r="BB113" s="27" t="n">
        <x:f>IF(ISNUMBER(AJ113),IF('Scoring Setup'!$L$22=1,1-'Scoring Setup'!$B$5*(1-MAX(0,MIN(1,(AJ113-'Scoring Setup'!$K$22)/(100-'Scoring Setup'!$K$22)))),1),"")</x:f>
        <x:v>0.8658778896630326</x:v>
      </x:c>
      <x:c r="BC113" s="27" t="n">
        <x:f>IF(ISNUMBER(AK113),IF('Scoring Setup'!$L$23=1,1-'Scoring Setup'!$B$5*(1-MAX(0,MIN(1,(AK113-'Scoring Setup'!$K$23)/(100-'Scoring Setup'!$K$23)))),1),"")</x:f>
        <x:v>0.8064655565372875</x:v>
      </x:c>
      <x:c r="BD113" s="27" t="n">
        <x:f>IF(ISNUMBER(AL113),IF('Scoring Setup'!$L$24=1,1-'Scoring Setup'!$B$5*(1-MAX(0,MIN(1,(AL113-'Scoring Setup'!$K$24)/(100-'Scoring Setup'!$K$24)))),1),"")</x:f>
        <x:v>0.9741818181818181</x:v>
      </x:c>
      <x:c r="BE113" s="27" t="n">
        <x:f>IF(ISNUMBER(AM113),IF('Scoring Setup'!$L$25=1,1-'Scoring Setup'!$B$5*(1-MAX(0,MIN(1,(AM113-'Scoring Setup'!$K$25)/(100-'Scoring Setup'!$K$25)))),1),"")</x:f>
        <x:v>0.8885845218271159</x:v>
      </x:c>
      <x:c r="BF113" s="27" t="n">
        <x:f>IF(ISNUMBER(AN113),IF('Scoring Setup'!$L$26=1,1-'Scoring Setup'!$B$5*(1-MAX(0,MIN(1,(AN113-'Scoring Setup'!$K$26)/(100-'Scoring Setup'!$K$26)))),1),"")</x:f>
        <x:v>0.937286211052675</x:v>
      </x:c>
      <x:c r="BG113" s="34" t="n">
        <x:f>IF(COUNT(W113,X113)=2,AVERAGE(W113,X113),"")</x:f>
        <x:v>60.633840169731286</x:v>
      </x:c>
      <x:c r="BH113" s="34" t="n">
        <x:f>IF(COUNT(Y113,Z113)=2,AVERAGE(Y113,Z113),"")</x:f>
        <x:v>44.00899822149768</x:v>
      </x:c>
      <x:c r="BI113" s="34" t="n">
        <x:f>IF(COUNT(AA113,AB113,AC113)=3,AVERAGE(AA113,AB113,AC113),"")</x:f>
        <x:v>92.87125030824154</x:v>
      </x:c>
      <x:c r="BJ113" s="34" t="n">
        <x:f>IF(COUNT(AD113,AE113)=2,AVERAGE(AD113,AE113),"")</x:f>
        <x:v>69.53138741071427</x:v>
      </x:c>
      <x:c r="BK113" s="34" t="n">
        <x:f>IF(COUNT(AF113,AG113)=2,AVERAGE(AF113,AG113),"")</x:f>
        <x:v>42.57999224360728</x:v>
      </x:c>
      <x:c r="BL113" s="34" t="n">
        <x:f>IF(COUNT(AH113,AI113)=2,AVERAGE(AH113,AI113),"")</x:f>
        <x:v>39.441218061901274</x:v>
      </x:c>
      <x:c r="BM113" s="34" t="n">
        <x:f>IF(COUNT(AJ113,AK113)=2,AVERAGE(AJ113,AK113),"")</x:f>
        <x:v>18.08586155008003</x:v>
      </x:c>
      <x:c r="BN113" s="34" t="n">
        <x:f>IF(COUNT(AL113,AM113,AN113)=3,AVERAGE(AL113,AM113,AN113),"")</x:f>
        <x:v>66.67542517693484</x:v>
      </x:c>
      <x:c r="BO113" s="35" t="n">
        <x:f>IF(AND(COUNT(BG113:BN113)=8,ABS('Scoring Setup'!$C$17-1)&lt;0.000001),BG113*'Scoring Setup'!$C$9+BH113*'Scoring Setup'!$C$10+BI113*'Scoring Setup'!$C$11+BJ113*'Scoring Setup'!$C$12+BK113*'Scoring Setup'!$C$13+BL113*'Scoring Setup'!$C$14+BM113*'Scoring Setup'!$C$15+BN113*'Scoring Setup'!$C$16,"")</x:f>
        <x:v>58.24242819120849</x:v>
      </x:c>
      <x:c r="BP113" s="36" t="n">
        <x:f>IF(COUNT(AO113:BF113)=18,MIN(AO113:BF113),"")</x:f>
        <x:v>0.8064655565372875</x:v>
      </x:c>
      <x:c r="BQ113" s="35" t="n">
        <x:f>IF(AND(ISNUMBER(BO113),ISNUMBER(BP113)),BO113*BP113,"")</x:f>
        <x:v>46.970512265305956</x:v>
      </x:c>
      <x:c r="BR113" s="17" t="str">
        <x:f>IF(COUNT(AO113:BF113)=18,INDEX('Scoring Setup'!$F$9:$F$26,MATCH(MIN(AO113:BF113),AO113:BF113,0),1),"")</x:f>
        <x:v>到铁路距离</x:v>
      </x:c>
    </x:row>
    <x:row r="114">
      <x:c r="A114" s="28" t="str">
        <x:v>13223</x:v>
      </x:c>
      <x:c r="B114" s="28" t="str">
        <x:v>Paulding County</x:v>
      </x:c>
      <x:c r="C114" s="28" t="str">
        <x:v>GA</x:v>
      </x:c>
      <x:c r="D114" s="31" t="n">
        <x:v>809.073023</x:v>
      </x:c>
      <x:c r="E114" s="32" t="n">
        <x:v>0.763</x:v>
      </x:c>
      <x:c r="F114" s="32" t="n">
        <x:v>0.512066831683168</x:v>
      </x:c>
      <x:c r="G114" s="32" t="n">
        <x:v>3.246521394805304</x:v>
      </x:c>
      <x:c r="H114" s="32" t="n">
        <x:v>2.9893402295230613</x:v>
      </x:c>
      <x:c r="I114" s="32" t="n">
        <x:v>0.7880741032645601</x:v>
      </x:c>
      <x:c r="J114" s="32" t="n">
        <x:v>0.14512198075270688</x:v>
      </x:c>
      <x:c r="K114" s="32" t="n">
        <x:v>0.020973735241797412</x:v>
      </x:c>
      <x:c r="L114" s="32" t="n">
        <x:v>0.716395758</x:v>
      </x:c>
      <x:c r="M114" s="32" t="n">
        <x:v>0.715343824</x:v>
      </x:c>
      <x:c r="N114" s="32" t="n">
        <x:v>92748</x:v>
      </x:c>
      <x:c r="O114" s="32" t="n">
        <x:v>0.1429</x:v>
      </x:c>
      <x:c r="P114" s="32" t="n">
        <x:v>1378.0279663085937</x:v>
      </x:c>
      <x:c r="Q114" s="32" t="n">
        <x:v>31.20554370880127</x:v>
      </x:c>
      <x:c r="R114" s="32" t="n">
        <x:v>21.972778627639855</x:v>
      </x:c>
      <x:c r="S114" s="32" t="n">
        <x:v>0.6280822849567391</x:v>
      </x:c>
      <x:c r="T114" s="32" t="n">
        <x:v>72.1</x:v>
      </x:c>
      <x:c r="U114" s="32" t="n">
        <x:v>211.4154781728841</x:v>
      </x:c>
      <x:c r="V114" s="32" t="n">
        <x:v>325.42757789465</x:v>
      </x:c>
      <x:c r="W114" s="33" t="n">
        <x:f>IF(ISNUMBER(E114),100*MAX(0,MIN(1,('Anchors'!$H$6-E114)/('Anchors'!$H$6-'Anchors'!$G$6))),"")</x:f>
        <x:v>19.571428571428573</x:v>
      </x:c>
      <x:c r="X114" s="33" t="n">
        <x:f>IF(ISNUMBER(F114),100*MAX(0,MIN(1,('Anchors'!$H$7-F114)/('Anchors'!$H$7-'Anchors'!$G$7))),"")</x:f>
        <x:v>41.13330975954742</x:v>
      </x:c>
      <x:c r="Y114" s="33" t="n">
        <x:f>IF(ISNUMBER(G114),100*MAX(0,MIN(1,('Anchors'!$H$8-G114)/('Anchors'!$H$8-'Anchors'!$G$8))),"")</x:f>
        <x:v>25.11595350648987</x:v>
      </x:c>
      <x:c r="Z114" s="33" t="n">
        <x:f>IF(ISNUMBER(H114),100*MAX(0,MIN(1,('Anchors'!$H$9-H114)/('Anchors'!$H$9-'Anchors'!$G$9))),"")</x:f>
        <x:v>33.688659015897954</x:v>
      </x:c>
      <x:c r="AA114" s="33" t="n">
        <x:f>IF(ISNUMBER(I114),100*MAX(0,MIN(1,(I114-'Anchors'!$H$10)/('Anchors'!$G$10-'Anchors'!$H$10))),"")</x:f>
        <x:v>73.70878126911782</x:v>
      </x:c>
      <x:c r="AB114" s="33" t="n">
        <x:f>IF(ISNUMBER(J114),100*MAX(0,MIN(1,('Anchors'!$H$11-J114)/('Anchors'!$H$11-'Anchors'!$G$11))),"")</x:f>
        <x:v>41.951207698917244</x:v>
      </x:c>
      <x:c r="AC114" s="33" t="n">
        <x:f>IF(ISNUMBER(K114),100*MAX(0,MIN(1,('Anchors'!$H$12-K114)/('Anchors'!$H$12-'Anchors'!$G$12))),"")</x:f>
        <x:v>94.75656618955065</x:v>
      </x:c>
      <x:c r="AD114" s="33" t="n">
        <x:f>IF(ISNUMBER(L114),100*MAX(0,MIN(1,(L114-'Anchors'!$H$13)/('Anchors'!$G$13-'Anchors'!$H$13))),"")</x:f>
        <x:v>73.77082257142858</x:v>
      </x:c>
      <x:c r="AE114" s="33" t="n">
        <x:f>IF(ISNUMBER(M114),100*MAX(0,MIN(1,(M114-'Anchors'!$H$14)/('Anchors'!$G$14-'Anchors'!$H$14))),"")</x:f>
        <x:v>76.917978</x:v>
      </x:c>
      <x:c r="AF114" s="33" t="n">
        <x:f>IF(ISNUMBER(N114),100*MAX(0,MIN(1,(LN(1+N114)-LN(1+'Anchors'!$H$15))/(LN(1+'Anchors'!$G$15)-LN(1+'Anchors'!$H$15)))),"")</x:f>
        <x:v>88.86389603077498</x:v>
      </x:c>
      <x:c r="AG114" s="33" t="n">
        <x:f>IF(ISNUMBER(O114),100*MAX(0,MIN(1,('Anchors'!$H$16-O114)/('Anchors'!$H$16-'Anchors'!$G$16))),"")</x:f>
        <x:v>89.67777777777778</x:v>
      </x:c>
      <x:c r="AH114" s="33" t="n">
        <x:f>IF(ISNUMBER(P114),100*MAX(0,MIN(1,('Anchors'!$H$17-P114)/('Anchors'!$H$17-'Anchors'!$G$17))),"")</x:f>
        <x:v>54.79813557942709</x:v>
      </x:c>
      <x:c r="AI114" s="33" t="n">
        <x:f>IF(ISNUMBER(Q114),100*MAX(0,MIN(1,('Anchors'!$H$18-Q114)/('Anchors'!$H$18-'Anchors'!$G$18))),"")</x:f>
        <x:v>62.56350898742675</x:v>
      </x:c>
      <x:c r="AJ114" s="33" t="n">
        <x:f>IF(ISNUMBER(R114),100*MAX(0,MIN(1,('Anchors'!$H$19-R114)/('Anchors'!$H$19-'Anchors'!$G$19))),"")</x:f>
        <x:v>62.282714160800325</x:v>
      </x:c>
      <x:c r="AK114" s="33" t="n">
        <x:f>IF(ISNUMBER(S114),100*MAX(0,MIN(1,('Anchors'!$H$20-S114)/('Anchors'!$H$20-'Anchors'!$G$20))),"")</x:f>
        <x:v>100</x:v>
      </x:c>
      <x:c r="AL114" s="33" t="n">
        <x:f>IF(ISNUMBER(T114),100*MAX(0,MIN(1,('Anchors'!$H$21-T114)/('Anchors'!$H$21-'Anchors'!$G$21))),"")</x:f>
        <x:v>87.0909090909091</x:v>
      </x:c>
      <x:c r="AM114" s="33" t="n">
        <x:f>IF(ISNUMBER(U114),100*MAX(0,MIN(1,('Anchors'!$H$22-U114)/('Anchors'!$H$22-'Anchors'!$G$22))),"")</x:f>
        <x:v>44.29226091355795</x:v>
      </x:c>
      <x:c r="AN114" s="33" t="n">
        <x:f>IF(ISNUMBER(V114),100*MAX(0,MIN(1,('Anchors'!$H$23-V114)/('Anchors'!$H$23-'Anchors'!$G$23))),"")</x:f>
        <x:v>68.6431055263375</x:v>
      </x:c>
      <x:c r="AO114" s="27" t="n">
        <x:f>IF(ISNUMBER(W114),IF('Scoring Setup'!$L$9=1,1-'Scoring Setup'!$B$5*(1-MAX(0,MIN(1,(W114-'Scoring Setup'!$K$9)/(100-'Scoring Setup'!$K$9)))),1),"")</x:f>
        <x:v>0.8391428571428572</x:v>
      </x:c>
      <x:c r="AP114" s="27" t="n">
        <x:f>IF(ISNUMBER(X114),IF('Scoring Setup'!$L$10=1,1-'Scoring Setup'!$B$5*(1-MAX(0,MIN(1,(X114-'Scoring Setup'!$K$10)/(100-'Scoring Setup'!$K$10)))),1),"")</x:f>
        <x:v>0.8822666195190948</x:v>
      </x:c>
      <x:c r="AQ114" s="27" t="n">
        <x:f>IF(ISNUMBER(Y114),IF('Scoring Setup'!$L$11=1,1-'Scoring Setup'!$B$5*(1-MAX(0,MIN(1,(Y114-'Scoring Setup'!$K$11)/(100-'Scoring Setup'!$K$11)))),1),"")</x:f>
        <x:v>0.8502319070129798</x:v>
      </x:c>
      <x:c r="AR114" s="27" t="n">
        <x:f>IF(ISNUMBER(Z114),IF('Scoring Setup'!$L$12=1,1-'Scoring Setup'!$B$5*(1-MAX(0,MIN(1,(Z114-'Scoring Setup'!$K$12)/(100-'Scoring Setup'!$K$12)))),1),"")</x:f>
        <x:v>0.8673773180317959</x:v>
      </x:c>
      <x:c r="AS114" s="27" t="n">
        <x:f>IF(ISNUMBER(AA114),IF('Scoring Setup'!$L$13=1,1-'Scoring Setup'!$B$5*(1-MAX(0,MIN(1,(AA114-'Scoring Setup'!$K$13)/(100-'Scoring Setup'!$K$13)))),1),"")</x:f>
        <x:v>0.9474175625382356</x:v>
      </x:c>
      <x:c r="AT114" s="27" t="n">
        <x:f>IF(ISNUMBER(AB114),IF('Scoring Setup'!$L$14=1,1-'Scoring Setup'!$B$5*(1-MAX(0,MIN(1,(AB114-'Scoring Setup'!$K$14)/(100-'Scoring Setup'!$K$14)))),1),"")</x:f>
        <x:v>0.8839024153978345</x:v>
      </x:c>
      <x:c r="AU114" s="27" t="n">
        <x:f>IF(ISNUMBER(AC114),IF('Scoring Setup'!$L$15=1,1-'Scoring Setup'!$B$5*(1-MAX(0,MIN(1,(AC114-'Scoring Setup'!$K$15)/(100-'Scoring Setup'!$K$15)))),1),"")</x:f>
        <x:v>0.9895131323791013</x:v>
      </x:c>
      <x:c r="AV114" s="27" t="n">
        <x:f>IF(ISNUMBER(AD114),IF('Scoring Setup'!$L$16=1,1-'Scoring Setup'!$B$5*(1-MAX(0,MIN(1,(AD114-'Scoring Setup'!$K$16)/(100-'Scoring Setup'!$K$16)))),1),"")</x:f>
        <x:v>0.9475416451428572</x:v>
      </x:c>
      <x:c r="AW114" s="27" t="n">
        <x:f>IF(ISNUMBER(AE114),IF('Scoring Setup'!$L$17=1,1-'Scoring Setup'!$B$5*(1-MAX(0,MIN(1,(AE114-'Scoring Setup'!$K$17)/(100-'Scoring Setup'!$K$17)))),1),"")</x:f>
        <x:v>0.953835956</x:v>
      </x:c>
      <x:c r="AX114" s="27" t="n">
        <x:f>IF(ISNUMBER(AF114),IF('Scoring Setup'!$L$18=1,1-'Scoring Setup'!$B$5*(1-MAX(0,MIN(1,(AF114-'Scoring Setup'!$K$18)/(100-'Scoring Setup'!$K$18)))),1),"")</x:f>
        <x:v>0.9777277920615499</x:v>
      </x:c>
      <x:c r="AY114" s="27" t="n">
        <x:f>IF(ISNUMBER(AG114),IF('Scoring Setup'!$L$19=1,1-'Scoring Setup'!$B$5*(1-MAX(0,MIN(1,(AG114-'Scoring Setup'!$K$19)/(100-'Scoring Setup'!$K$19)))),1),"")</x:f>
        <x:v>0.9793555555555555</x:v>
      </x:c>
      <x:c r="AZ114" s="27" t="n">
        <x:f>IF(ISNUMBER(AH114),IF('Scoring Setup'!$L$20=1,1-'Scoring Setup'!$B$5*(1-MAX(0,MIN(1,(AH114-'Scoring Setup'!$K$20)/(100-'Scoring Setup'!$K$20)))),1),"")</x:f>
        <x:v>0.9095962711588541</x:v>
      </x:c>
      <x:c r="BA114" s="27" t="n">
        <x:f>IF(ISNUMBER(AI114),IF('Scoring Setup'!$L$21=1,1-'Scoring Setup'!$B$5*(1-MAX(0,MIN(1,(AI114-'Scoring Setup'!$K$21)/(100-'Scoring Setup'!$K$21)))),1),"")</x:f>
        <x:v>0.9251270179748535</x:v>
      </x:c>
      <x:c r="BB114" s="27" t="n">
        <x:f>IF(ISNUMBER(AJ114),IF('Scoring Setup'!$L$22=1,1-'Scoring Setup'!$B$5*(1-MAX(0,MIN(1,(AJ114-'Scoring Setup'!$K$22)/(100-'Scoring Setup'!$K$22)))),1),"")</x:f>
        <x:v>0.9245654283216006</x:v>
      </x:c>
      <x:c r="BC114" s="27" t="n">
        <x:f>IF(ISNUMBER(AK114),IF('Scoring Setup'!$L$23=1,1-'Scoring Setup'!$B$5*(1-MAX(0,MIN(1,(AK114-'Scoring Setup'!$K$23)/(100-'Scoring Setup'!$K$23)))),1),"")</x:f>
        <x:v>1</x:v>
      </x:c>
      <x:c r="BD114" s="27" t="n">
        <x:f>IF(ISNUMBER(AL114),IF('Scoring Setup'!$L$24=1,1-'Scoring Setup'!$B$5*(1-MAX(0,MIN(1,(AL114-'Scoring Setup'!$K$24)/(100-'Scoring Setup'!$K$24)))),1),"")</x:f>
        <x:v>0.9741818181818181</x:v>
      </x:c>
      <x:c r="BE114" s="27" t="n">
        <x:f>IF(ISNUMBER(AM114),IF('Scoring Setup'!$L$25=1,1-'Scoring Setup'!$B$5*(1-MAX(0,MIN(1,(AM114-'Scoring Setup'!$K$25)/(100-'Scoring Setup'!$K$25)))),1),"")</x:f>
        <x:v>0.8885845218271159</x:v>
      </x:c>
      <x:c r="BF114" s="27" t="n">
        <x:f>IF(ISNUMBER(AN114),IF('Scoring Setup'!$L$26=1,1-'Scoring Setup'!$B$5*(1-MAX(0,MIN(1,(AN114-'Scoring Setup'!$K$26)/(100-'Scoring Setup'!$K$26)))),1),"")</x:f>
        <x:v>0.937286211052675</x:v>
      </x:c>
      <x:c r="BG114" s="34" t="n">
        <x:f>IF(COUNT(W114,X114)=2,AVERAGE(W114,X114),"")</x:f>
        <x:v>30.352369165488</x:v>
      </x:c>
      <x:c r="BH114" s="34" t="n">
        <x:f>IF(COUNT(Y114,Z114)=2,AVERAGE(Y114,Z114),"")</x:f>
        <x:v>29.402306261193914</x:v>
      </x:c>
      <x:c r="BI114" s="34" t="n">
        <x:f>IF(COUNT(AA114,AB114,AC114)=3,AVERAGE(AA114,AB114,AC114),"")</x:f>
        <x:v>70.13885171919524</x:v>
      </x:c>
      <x:c r="BJ114" s="34" t="n">
        <x:f>IF(COUNT(AD114,AE114)=2,AVERAGE(AD114,AE114),"")</x:f>
        <x:v>75.3444002857143</x:v>
      </x:c>
      <x:c r="BK114" s="34" t="n">
        <x:f>IF(COUNT(AF114,AG114)=2,AVERAGE(AF114,AG114),"")</x:f>
        <x:v>89.27083690427638</x:v>
      </x:c>
      <x:c r="BL114" s="34" t="n">
        <x:f>IF(COUNT(AH114,AI114)=2,AVERAGE(AH114,AI114),"")</x:f>
        <x:v>58.68082228342692</x:v>
      </x:c>
      <x:c r="BM114" s="34" t="n">
        <x:f>IF(COUNT(AJ114,AK114)=2,AVERAGE(AJ114,AK114),"")</x:f>
        <x:v>81.14135708040016</x:v>
      </x:c>
      <x:c r="BN114" s="34" t="n">
        <x:f>IF(COUNT(AL114,AM114,AN114)=3,AVERAGE(AL114,AM114,AN114),"")</x:f>
        <x:v>66.67542517693484</x:v>
      </x:c>
      <x:c r="BO114" s="35" t="n">
        <x:f>IF(AND(COUNT(BG114:BN114)=8,ABS('Scoring Setup'!$C$17-1)&lt;0.000001),BG114*'Scoring Setup'!$C$9+BH114*'Scoring Setup'!$C$10+BI114*'Scoring Setup'!$C$11+BJ114*'Scoring Setup'!$C$12+BK114*'Scoring Setup'!$C$13+BL114*'Scoring Setup'!$C$14+BM114*'Scoring Setup'!$C$15+BN114*'Scoring Setup'!$C$16,"")</x:f>
        <x:v>59.38484358097798</x:v>
      </x:c>
      <x:c r="BP114" s="36" t="n">
        <x:f>IF(COUNT(AO114:BF114)=18,MIN(AO114:BF114),"")</x:f>
        <x:v>0.8391428571428572</x:v>
      </x:c>
      <x:c r="BQ114" s="35" t="n">
        <x:f>IF(AND(ISNUMBER(BO114),ISNUMBER(BP114)),BO114*BP114,"")</x:f>
        <x:v>49.83236731352353</x:v>
      </x:c>
      <x:c r="BR114" s="17" t="str">
        <x:f>IF(COUNT(AO114:BF114)=18,INDEX('Scoring Setup'!$F$9:$F$26,MATCH(MIN(AO114:BF114),AO114:BF114,0),1),"")</x:f>
        <x:v>野火全国百分位</x:v>
      </x:c>
    </x:row>
    <x:row r="115">
      <x:c r="A115" s="28" t="str">
        <x:v>13225</x:v>
      </x:c>
      <x:c r="B115" s="28" t="str">
        <x:v>Peach County</x:v>
      </x:c>
      <x:c r="C115" s="28" t="str">
        <x:v>GA</x:v>
      </x:c>
      <x:c r="D115" s="31" t="n">
        <x:v>389.233786</x:v>
      </x:c>
      <x:c r="E115" s="32" t="n">
        <x:v>0.502</x:v>
      </x:c>
      <x:c r="F115" s="32" t="n">
        <x:v>0.0631188118811881</x:v>
      </x:c>
      <x:c r="G115" s="32" t="n">
        <x:v>2.5076309612627012</x:v>
      </x:c>
      <x:c r="H115" s="32" t="n">
        <x:v>2.3892944120492245</x:v>
      </x:c>
      <x:c r="I115" s="32" t="n">
        <x:v>0.850098128071547</x:v>
      </x:c>
      <x:c r="J115" s="32" t="n">
        <x:v>0.0017148249906340537</x:v>
      </x:c>
      <x:c r="K115" s="32" t="n">
        <x:v>0.0800821923494697</x:v>
      </x:c>
      <x:c r="L115" s="32" t="n">
        <x:v>0.518898605</x:v>
      </x:c>
      <x:c r="M115" s="32" t="n">
        <x:v>0.518898605</x:v>
      </x:c>
      <x:c r="N115" s="32" t="n">
        <x:v>12744</x:v>
      </x:c>
      <x:c r="O115" s="32" t="n">
        <x:v>0.8772</x:v>
      </x:c>
      <x:c r="P115" s="32" t="n">
        <x:v>1936.285196940104</x:v>
      </x:c>
      <x:c r="Q115" s="32" t="n">
        <x:v>60.32554295857747</x:v>
      </x:c>
      <x:c r="R115" s="32" t="n">
        <x:v>8.26188643269699</x:v>
      </x:c>
      <x:c r="S115" s="32" t="n">
        <x:v>0.8170309207204787</x:v>
      </x:c>
      <x:c r="T115" s="32" t="n">
        <x:v>72.1</x:v>
      </x:c>
      <x:c r="U115" s="32" t="n">
        <x:v>211.4154781728841</x:v>
      </x:c>
      <x:c r="V115" s="32" t="n">
        <x:v>325.42757789465</x:v>
      </x:c>
      <x:c r="W115" s="33" t="n">
        <x:f>IF(ISNUMBER(E115),100*MAX(0,MIN(1,('Anchors'!$H$6-E115)/('Anchors'!$H$6-'Anchors'!$G$6))),"")</x:f>
        <x:v>56.85714285714286</x:v>
      </x:c>
      <x:c r="X115" s="33" t="n">
        <x:f>IF(ISNUMBER(F115),100*MAX(0,MIN(1,('Anchors'!$H$7-F115)/('Anchors'!$H$7-'Anchors'!$G$7))),"")</x:f>
        <x:v>100</x:v>
      </x:c>
      <x:c r="Y115" s="33" t="n">
        <x:f>IF(ISNUMBER(G115),100*MAX(0,MIN(1,('Anchors'!$H$8-G115)/('Anchors'!$H$8-'Anchors'!$G$8))),"")</x:f>
        <x:v>49.745634624576624</x:v>
      </x:c>
      <x:c r="Z115" s="33" t="n">
        <x:f>IF(ISNUMBER(H115),100*MAX(0,MIN(1,('Anchors'!$H$9-H115)/('Anchors'!$H$9-'Anchors'!$G$9))),"")</x:f>
        <x:v>53.69018626502585</x:v>
      </x:c>
      <x:c r="AA115" s="33" t="n">
        <x:f>IF(ISNUMBER(I115),100*MAX(0,MIN(1,(I115-'Anchors'!$H$10)/('Anchors'!$G$10-'Anchors'!$H$10))),"")</x:f>
        <x:v>82.2052230234996</x:v>
      </x:c>
      <x:c r="AB115" s="33" t="n">
        <x:f>IF(ISNUMBER(J115),100*MAX(0,MIN(1,('Anchors'!$H$11-J115)/('Anchors'!$H$11-'Anchors'!$G$11))),"")</x:f>
        <x:v>99.31407000374638</x:v>
      </x:c>
      <x:c r="AC115" s="33" t="n">
        <x:f>IF(ISNUMBER(K115),100*MAX(0,MIN(1,('Anchors'!$H$12-K115)/('Anchors'!$H$12-'Anchors'!$G$12))),"")</x:f>
        <x:v>79.97945191263258</x:v>
      </x:c>
      <x:c r="AD115" s="33" t="n">
        <x:f>IF(ISNUMBER(L115),100*MAX(0,MIN(1,(L115-'Anchors'!$H$13)/('Anchors'!$G$13-'Anchors'!$H$13))),"")</x:f>
        <x:v>45.55694357142856</x:v>
      </x:c>
      <x:c r="AE115" s="33" t="n">
        <x:f>IF(ISNUMBER(M115),100*MAX(0,MIN(1,(M115-'Anchors'!$H$14)/('Anchors'!$G$14-'Anchors'!$H$14))),"")</x:f>
        <x:v>52.362325625</x:v>
      </x:c>
      <x:c r="AF115" s="33" t="n">
        <x:f>IF(ISNUMBER(N115),100*MAX(0,MIN(1,(LN(1+N115)-LN(1+'Anchors'!$H$15))/(LN(1+'Anchors'!$G$15)-LN(1+'Anchors'!$H$15)))),"")</x:f>
        <x:v>42.88844492316636</x:v>
      </x:c>
      <x:c r="AG115" s="33" t="n">
        <x:f>IF(ISNUMBER(O115),100*MAX(0,MIN(1,('Anchors'!$H$16-O115)/('Anchors'!$H$16-'Anchors'!$G$16))),"")</x:f>
        <x:v>8.088888888888887</x:v>
      </x:c>
      <x:c r="AH115" s="33" t="n">
        <x:f>IF(ISNUMBER(P115),100*MAX(0,MIN(1,('Anchors'!$H$17-P115)/('Anchors'!$H$17-'Anchors'!$G$17))),"")</x:f>
        <x:v>17.580986870659732</x:v>
      </x:c>
      <x:c r="AI115" s="33" t="n">
        <x:f>IF(ISNUMBER(Q115),100*MAX(0,MIN(1,('Anchors'!$H$18-Q115)/('Anchors'!$H$18-'Anchors'!$G$18))),"")</x:f>
        <x:v>20.96351005917504</x:v>
      </x:c>
      <x:c r="AJ115" s="33" t="n">
        <x:f>IF(ISNUMBER(R115),100*MAX(0,MIN(1,('Anchors'!$H$19-R115)/('Anchors'!$H$19-'Anchors'!$G$19))),"")</x:f>
        <x:v>92.75136348289557</x:v>
      </x:c>
      <x:c r="AK115" s="33" t="n">
        <x:f>IF(ISNUMBER(S115),100*MAX(0,MIN(1,('Anchors'!$H$20-S115)/('Anchors'!$H$20-'Anchors'!$G$20))),"")</x:f>
        <x:v>100</x:v>
      </x:c>
      <x:c r="AL115" s="33" t="n">
        <x:f>IF(ISNUMBER(T115),100*MAX(0,MIN(1,('Anchors'!$H$21-T115)/('Anchors'!$H$21-'Anchors'!$G$21))),"")</x:f>
        <x:v>87.0909090909091</x:v>
      </x:c>
      <x:c r="AM115" s="33" t="n">
        <x:f>IF(ISNUMBER(U115),100*MAX(0,MIN(1,('Anchors'!$H$22-U115)/('Anchors'!$H$22-'Anchors'!$G$22))),"")</x:f>
        <x:v>44.29226091355795</x:v>
      </x:c>
      <x:c r="AN115" s="33" t="n">
        <x:f>IF(ISNUMBER(V115),100*MAX(0,MIN(1,('Anchors'!$H$23-V115)/('Anchors'!$H$23-'Anchors'!$G$23))),"")</x:f>
        <x:v>68.6431055263375</x:v>
      </x:c>
      <x:c r="AO115" s="27" t="n">
        <x:f>IF(ISNUMBER(W115),IF('Scoring Setup'!$L$9=1,1-'Scoring Setup'!$B$5*(1-MAX(0,MIN(1,(W115-'Scoring Setup'!$K$9)/(100-'Scoring Setup'!$K$9)))),1),"")</x:f>
        <x:v>0.9137142857142857</x:v>
      </x:c>
      <x:c r="AP115" s="27" t="n">
        <x:f>IF(ISNUMBER(X115),IF('Scoring Setup'!$L$10=1,1-'Scoring Setup'!$B$5*(1-MAX(0,MIN(1,(X115-'Scoring Setup'!$K$10)/(100-'Scoring Setup'!$K$10)))),1),"")</x:f>
        <x:v>1</x:v>
      </x:c>
      <x:c r="AQ115" s="27" t="n">
        <x:f>IF(ISNUMBER(Y115),IF('Scoring Setup'!$L$11=1,1-'Scoring Setup'!$B$5*(1-MAX(0,MIN(1,(Y115-'Scoring Setup'!$K$11)/(100-'Scoring Setup'!$K$11)))),1),"")</x:f>
        <x:v>0.8994912692491532</x:v>
      </x:c>
      <x:c r="AR115" s="27" t="n">
        <x:f>IF(ISNUMBER(Z115),IF('Scoring Setup'!$L$12=1,1-'Scoring Setup'!$B$5*(1-MAX(0,MIN(1,(Z115-'Scoring Setup'!$K$12)/(100-'Scoring Setup'!$K$12)))),1),"")</x:f>
        <x:v>0.9073803725300517</x:v>
      </x:c>
      <x:c r="AS115" s="27" t="n">
        <x:f>IF(ISNUMBER(AA115),IF('Scoring Setup'!$L$13=1,1-'Scoring Setup'!$B$5*(1-MAX(0,MIN(1,(AA115-'Scoring Setup'!$K$13)/(100-'Scoring Setup'!$K$13)))),1),"")</x:f>
        <x:v>0.9644104460469992</x:v>
      </x:c>
      <x:c r="AT115" s="27" t="n">
        <x:f>IF(ISNUMBER(AB115),IF('Scoring Setup'!$L$14=1,1-'Scoring Setup'!$B$5*(1-MAX(0,MIN(1,(AB115-'Scoring Setup'!$K$14)/(100-'Scoring Setup'!$K$14)))),1),"")</x:f>
        <x:v>0.9986281400074928</x:v>
      </x:c>
      <x:c r="AU115" s="27" t="n">
        <x:f>IF(ISNUMBER(AC115),IF('Scoring Setup'!$L$15=1,1-'Scoring Setup'!$B$5*(1-MAX(0,MIN(1,(AC115-'Scoring Setup'!$K$15)/(100-'Scoring Setup'!$K$15)))),1),"")</x:f>
        <x:v>0.9599589038252652</x:v>
      </x:c>
      <x:c r="AV115" s="27" t="n">
        <x:f>IF(ISNUMBER(AD115),IF('Scoring Setup'!$L$16=1,1-'Scoring Setup'!$B$5*(1-MAX(0,MIN(1,(AD115-'Scoring Setup'!$K$16)/(100-'Scoring Setup'!$K$16)))),1),"")</x:f>
        <x:v>0.8911138871428571</x:v>
      </x:c>
      <x:c r="AW115" s="27" t="n">
        <x:f>IF(ISNUMBER(AE115),IF('Scoring Setup'!$L$17=1,1-'Scoring Setup'!$B$5*(1-MAX(0,MIN(1,(AE115-'Scoring Setup'!$K$17)/(100-'Scoring Setup'!$K$17)))),1),"")</x:f>
        <x:v>0.90472465125</x:v>
      </x:c>
      <x:c r="AX115" s="27" t="n">
        <x:f>IF(ISNUMBER(AF115),IF('Scoring Setup'!$L$18=1,1-'Scoring Setup'!$B$5*(1-MAX(0,MIN(1,(AF115-'Scoring Setup'!$K$18)/(100-'Scoring Setup'!$K$18)))),1),"")</x:f>
        <x:v>0.8857768898463327</x:v>
      </x:c>
      <x:c r="AY115" s="27" t="n">
        <x:f>IF(ISNUMBER(AG115),IF('Scoring Setup'!$L$19=1,1-'Scoring Setup'!$B$5*(1-MAX(0,MIN(1,(AG115-'Scoring Setup'!$K$19)/(100-'Scoring Setup'!$K$19)))),1),"")</x:f>
        <x:v>0.8161777777777778</x:v>
      </x:c>
      <x:c r="AZ115" s="27" t="n">
        <x:f>IF(ISNUMBER(AH115),IF('Scoring Setup'!$L$20=1,1-'Scoring Setup'!$B$5*(1-MAX(0,MIN(1,(AH115-'Scoring Setup'!$K$20)/(100-'Scoring Setup'!$K$20)))),1),"")</x:f>
        <x:v>0.8351619737413194</x:v>
      </x:c>
      <x:c r="BA115" s="27" t="n">
        <x:f>IF(ISNUMBER(AI115),IF('Scoring Setup'!$L$21=1,1-'Scoring Setup'!$B$5*(1-MAX(0,MIN(1,(AI115-'Scoring Setup'!$K$21)/(100-'Scoring Setup'!$K$21)))),1),"")</x:f>
        <x:v>0.8419270201183501</x:v>
      </x:c>
      <x:c r="BB115" s="27" t="n">
        <x:f>IF(ISNUMBER(AJ115),IF('Scoring Setup'!$L$22=1,1-'Scoring Setup'!$B$5*(1-MAX(0,MIN(1,(AJ115-'Scoring Setup'!$K$22)/(100-'Scoring Setup'!$K$22)))),1),"")</x:f>
        <x:v>0.9855027269657911</x:v>
      </x:c>
      <x:c r="BC115" s="27" t="n">
        <x:f>IF(ISNUMBER(AK115),IF('Scoring Setup'!$L$23=1,1-'Scoring Setup'!$B$5*(1-MAX(0,MIN(1,(AK115-'Scoring Setup'!$K$23)/(100-'Scoring Setup'!$K$23)))),1),"")</x:f>
        <x:v>1</x:v>
      </x:c>
      <x:c r="BD115" s="27" t="n">
        <x:f>IF(ISNUMBER(AL115),IF('Scoring Setup'!$L$24=1,1-'Scoring Setup'!$B$5*(1-MAX(0,MIN(1,(AL115-'Scoring Setup'!$K$24)/(100-'Scoring Setup'!$K$24)))),1),"")</x:f>
        <x:v>0.9741818181818181</x:v>
      </x:c>
      <x:c r="BE115" s="27" t="n">
        <x:f>IF(ISNUMBER(AM115),IF('Scoring Setup'!$L$25=1,1-'Scoring Setup'!$B$5*(1-MAX(0,MIN(1,(AM115-'Scoring Setup'!$K$25)/(100-'Scoring Setup'!$K$25)))),1),"")</x:f>
        <x:v>0.8885845218271159</x:v>
      </x:c>
      <x:c r="BF115" s="27" t="n">
        <x:f>IF(ISNUMBER(AN115),IF('Scoring Setup'!$L$26=1,1-'Scoring Setup'!$B$5*(1-MAX(0,MIN(1,(AN115-'Scoring Setup'!$K$26)/(100-'Scoring Setup'!$K$26)))),1),"")</x:f>
        <x:v>0.937286211052675</x:v>
      </x:c>
      <x:c r="BG115" s="34" t="n">
        <x:f>IF(COUNT(W115,X115)=2,AVERAGE(W115,X115),"")</x:f>
        <x:v>78.42857142857143</x:v>
      </x:c>
      <x:c r="BH115" s="34" t="n">
        <x:f>IF(COUNT(Y115,Z115)=2,AVERAGE(Y115,Z115),"")</x:f>
        <x:v>51.717910444801234</x:v>
      </x:c>
      <x:c r="BI115" s="34" t="n">
        <x:f>IF(COUNT(AA115,AB115,AC115)=3,AVERAGE(AA115,AB115,AC115),"")</x:f>
        <x:v>87.16624831329284</x:v>
      </x:c>
      <x:c r="BJ115" s="34" t="n">
        <x:f>IF(COUNT(AD115,AE115)=2,AVERAGE(AD115,AE115),"")</x:f>
        <x:v>48.95963459821428</x:v>
      </x:c>
      <x:c r="BK115" s="34" t="n">
        <x:f>IF(COUNT(AF115,AG115)=2,AVERAGE(AF115,AG115),"")</x:f>
        <x:v>25.488666906027625</x:v>
      </x:c>
      <x:c r="BL115" s="34" t="n">
        <x:f>IF(COUNT(AH115,AI115)=2,AVERAGE(AH115,AI115),"")</x:f>
        <x:v>19.272248464917386</x:v>
      </x:c>
      <x:c r="BM115" s="34" t="n">
        <x:f>IF(COUNT(AJ115,AK115)=2,AVERAGE(AJ115,AK115),"")</x:f>
        <x:v>96.37568174144778</x:v>
      </x:c>
      <x:c r="BN115" s="34" t="n">
        <x:f>IF(COUNT(AL115,AM115,AN115)=3,AVERAGE(AL115,AM115,AN115),"")</x:f>
        <x:v>66.67542517693484</x:v>
      </x:c>
      <x:c r="BO115" s="35" t="n">
        <x:f>IF(AND(COUNT(BG115:BN115)=8,ABS('Scoring Setup'!$C$17-1)&lt;0.000001),BG115*'Scoring Setup'!$C$9+BH115*'Scoring Setup'!$C$10+BI115*'Scoring Setup'!$C$11+BJ115*'Scoring Setup'!$C$12+BK115*'Scoring Setup'!$C$13+BL115*'Scoring Setup'!$C$14+BM115*'Scoring Setup'!$C$15+BN115*'Scoring Setup'!$C$16,"")</x:f>
        <x:v>60.13291827696957</x:v>
      </x:c>
      <x:c r="BP115" s="36" t="n">
        <x:f>IF(COUNT(AO115:BF115)=18,MIN(AO115:BF115),"")</x:f>
        <x:v>0.8161777777777778</x:v>
      </x:c>
      <x:c r="BQ115" s="35" t="n">
        <x:f>IF(AND(ISNUMBER(BO115),ISNUMBER(BP115)),BO115*BP115,"")</x:f>
        <x:v>49.07915161058974</x:v>
      </x:c>
      <x:c r="BR115" s="17" t="str">
        <x:f>IF(COUNT(AO115:BF115)=18,INDEX('Scoring Setup'!$F$9:$F$26,MATCH(MIN(AO115:BF115),AO115:BF115,0),1),"")</x:f>
        <x:v>社会脆弱性百分位</x:v>
      </x:c>
    </x:row>
    <x:row r="116">
      <x:c r="A116" s="28" t="str">
        <x:v>13227</x:v>
      </x:c>
      <x:c r="B116" s="28" t="str">
        <x:v>Pickens County</x:v>
      </x:c>
      <x:c r="C116" s="28" t="str">
        <x:v>GA</x:v>
      </x:c>
      <x:c r="D116" s="31" t="n">
        <x:v>601.019205</x:v>
      </x:c>
      <x:c r="E116" s="32" t="n">
        <x:v>0.648</x:v>
      </x:c>
      <x:c r="F116" s="32" t="n">
        <x:v>0.47772277227722804</x:v>
      </x:c>
      <x:c r="G116" s="32" t="n">
        <x:v>3.163578048863413</x:v>
      </x:c>
      <x:c r="H116" s="32" t="n">
        <x:v>2.919069811715713</x:v>
      </x:c>
      <x:c r="I116" s="32" t="n">
        <x:v>0.9186147121231434</x:v>
      </x:c>
      <x:c r="J116" s="32" t="n">
        <x:v>0.005835269889679342</x:v>
      </x:c>
      <x:c r="K116" s="32" t="n">
        <x:v>0.0017109909801833955</x:v>
      </x:c>
      <x:c r="L116" s="32" t="n">
        <x:v>0.351704092</x:v>
      </x:c>
      <x:c r="M116" s="32" t="n">
        <x:v>0.34623276</x:v>
      </x:c>
      <x:c r="N116" s="32" t="n">
        <x:v>17498</x:v>
      </x:c>
      <x:c r="O116" s="32" t="n">
        <x:v>0.3392</x:v>
      </x:c>
      <x:c r="P116" s="32" t="n">
        <x:v>1143.3486246744792</x:v>
      </x:c>
      <x:c r="Q116" s="32" t="n">
        <x:v>15.30830036799113</x:v>
      </x:c>
      <x:c r="R116" s="32" t="n">
        <x:v>12.21235496127308</x:v>
      </x:c>
      <x:c r="S116" s="32" t="n">
        <x:v>4.821266349399607</x:v>
      </x:c>
      <x:c r="T116" s="32" t="n">
        <x:v>72.1</x:v>
      </x:c>
      <x:c r="U116" s="32" t="n">
        <x:v>211.4154781728841</x:v>
      </x:c>
      <x:c r="V116" s="32" t="n">
        <x:v>325.42757789465</x:v>
      </x:c>
      <x:c r="W116" s="33" t="n">
        <x:f>IF(ISNUMBER(E116),100*MAX(0,MIN(1,('Anchors'!$H$6-E116)/('Anchors'!$H$6-'Anchors'!$G$6))),"")</x:f>
        <x:v>36.00000000000001</x:v>
      </x:c>
      <x:c r="X116" s="33" t="n">
        <x:f>IF(ISNUMBER(F116),100*MAX(0,MIN(1,('Anchors'!$H$7-F116)/('Anchors'!$H$7-'Anchors'!$G$7))),"")</x:f>
        <x:v>46.039603960396</x:v>
      </x:c>
      <x:c r="Y116" s="33" t="n">
        <x:f>IF(ISNUMBER(G116),100*MAX(0,MIN(1,('Anchors'!$H$8-G116)/('Anchors'!$H$8-'Anchors'!$G$8))),"")</x:f>
        <x:v>27.880731704552897</x:v>
      </x:c>
      <x:c r="Z116" s="33" t="n">
        <x:f>IF(ISNUMBER(H116),100*MAX(0,MIN(1,('Anchors'!$H$9-H116)/('Anchors'!$H$9-'Anchors'!$G$9))),"")</x:f>
        <x:v>36.031006276142904</x:v>
      </x:c>
      <x:c r="AA116" s="33" t="n">
        <x:f>IF(ISNUMBER(I116),100*MAX(0,MIN(1,(I116-'Anchors'!$H$10)/('Anchors'!$G$10-'Anchors'!$H$10))),"")</x:f>
        <x:v>91.59105645522513</x:v>
      </x:c>
      <x:c r="AB116" s="33" t="n">
        <x:f>IF(ISNUMBER(J116),100*MAX(0,MIN(1,('Anchors'!$H$11-J116)/('Anchors'!$H$11-'Anchors'!$G$11))),"")</x:f>
        <x:v>97.66589204412827</x:v>
      </x:c>
      <x:c r="AC116" s="33" t="n">
        <x:f>IF(ISNUMBER(K116),100*MAX(0,MIN(1,('Anchors'!$H$12-K116)/('Anchors'!$H$12-'Anchors'!$G$12))),"")</x:f>
        <x:v>99.57225225495415</x:v>
      </x:c>
      <x:c r="AD116" s="33" t="n">
        <x:f>IF(ISNUMBER(L116),100*MAX(0,MIN(1,(L116-'Anchors'!$H$13)/('Anchors'!$G$13-'Anchors'!$H$13))),"")</x:f>
        <x:v>21.672013142857146</x:v>
      </x:c>
      <x:c r="AE116" s="33" t="n">
        <x:f>IF(ISNUMBER(M116),100*MAX(0,MIN(1,(M116-'Anchors'!$H$14)/('Anchors'!$G$14-'Anchors'!$H$14))),"")</x:f>
        <x:v>30.779094999999995</x:v>
      </x:c>
      <x:c r="AF116" s="33" t="n">
        <x:f>IF(ISNUMBER(N116),100*MAX(0,MIN(1,(LN(1+N116)-LN(1+'Anchors'!$H$15))/(LN(1+'Anchors'!$G$15)-LN(1+'Anchors'!$H$15)))),"")</x:f>
        <x:v>50.231624741010435</x:v>
      </x:c>
      <x:c r="AG116" s="33" t="n">
        <x:f>IF(ISNUMBER(O116),100*MAX(0,MIN(1,('Anchors'!$H$16-O116)/('Anchors'!$H$16-'Anchors'!$G$16))),"")</x:f>
        <x:v>67.86666666666667</x:v>
      </x:c>
      <x:c r="AH116" s="33" t="n">
        <x:f>IF(ISNUMBER(P116),100*MAX(0,MIN(1,('Anchors'!$H$17-P116)/('Anchors'!$H$17-'Anchors'!$G$17))),"")</x:f>
        <x:v>70.44342502170139</x:v>
      </x:c>
      <x:c r="AI116" s="33" t="n">
        <x:f>IF(ISNUMBER(Q116),100*MAX(0,MIN(1,('Anchors'!$H$18-Q116)/('Anchors'!$H$18-'Anchors'!$G$18))),"")</x:f>
        <x:v>85.27385661715553</x:v>
      </x:c>
      <x:c r="AJ116" s="33" t="n">
        <x:f>IF(ISNUMBER(R116),100*MAX(0,MIN(1,('Anchors'!$H$19-R116)/('Anchors'!$H$19-'Anchors'!$G$19))),"")</x:f>
        <x:v>83.97254453050427</x:v>
      </x:c>
      <x:c r="AK116" s="33" t="n">
        <x:f>IF(ISNUMBER(S116),100*MAX(0,MIN(1,('Anchors'!$H$20-S116)/('Anchors'!$H$20-'Anchors'!$G$20))),"")</x:f>
        <x:v>79.88807184526522</x:v>
      </x:c>
      <x:c r="AL116" s="33" t="n">
        <x:f>IF(ISNUMBER(T116),100*MAX(0,MIN(1,('Anchors'!$H$21-T116)/('Anchors'!$H$21-'Anchors'!$G$21))),"")</x:f>
        <x:v>87.0909090909091</x:v>
      </x:c>
      <x:c r="AM116" s="33" t="n">
        <x:f>IF(ISNUMBER(U116),100*MAX(0,MIN(1,('Anchors'!$H$22-U116)/('Anchors'!$H$22-'Anchors'!$G$22))),"")</x:f>
        <x:v>44.29226091355795</x:v>
      </x:c>
      <x:c r="AN116" s="33" t="n">
        <x:f>IF(ISNUMBER(V116),100*MAX(0,MIN(1,('Anchors'!$H$23-V116)/('Anchors'!$H$23-'Anchors'!$G$23))),"")</x:f>
        <x:v>68.6431055263375</x:v>
      </x:c>
      <x:c r="AO116" s="27" t="n">
        <x:f>IF(ISNUMBER(W116),IF('Scoring Setup'!$L$9=1,1-'Scoring Setup'!$B$5*(1-MAX(0,MIN(1,(W116-'Scoring Setup'!$K$9)/(100-'Scoring Setup'!$K$9)))),1),"")</x:f>
        <x:v>0.872</x:v>
      </x:c>
      <x:c r="AP116" s="27" t="n">
        <x:f>IF(ISNUMBER(X116),IF('Scoring Setup'!$L$10=1,1-'Scoring Setup'!$B$5*(1-MAX(0,MIN(1,(X116-'Scoring Setup'!$K$10)/(100-'Scoring Setup'!$K$10)))),1),"")</x:f>
        <x:v>0.892079207920792</x:v>
      </x:c>
      <x:c r="AQ116" s="27" t="n">
        <x:f>IF(ISNUMBER(Y116),IF('Scoring Setup'!$L$11=1,1-'Scoring Setup'!$B$5*(1-MAX(0,MIN(1,(Y116-'Scoring Setup'!$K$11)/(100-'Scoring Setup'!$K$11)))),1),"")</x:f>
        <x:v>0.8557614634091057</x:v>
      </x:c>
      <x:c r="AR116" s="27" t="n">
        <x:f>IF(ISNUMBER(Z116),IF('Scoring Setup'!$L$12=1,1-'Scoring Setup'!$B$5*(1-MAX(0,MIN(1,(Z116-'Scoring Setup'!$K$12)/(100-'Scoring Setup'!$K$12)))),1),"")</x:f>
        <x:v>0.8720620125522858</x:v>
      </x:c>
      <x:c r="AS116" s="27" t="n">
        <x:f>IF(ISNUMBER(AA116),IF('Scoring Setup'!$L$13=1,1-'Scoring Setup'!$B$5*(1-MAX(0,MIN(1,(AA116-'Scoring Setup'!$K$13)/(100-'Scoring Setup'!$K$13)))),1),"")</x:f>
        <x:v>0.9831821129104502</x:v>
      </x:c>
      <x:c r="AT116" s="27" t="n">
        <x:f>IF(ISNUMBER(AB116),IF('Scoring Setup'!$L$14=1,1-'Scoring Setup'!$B$5*(1-MAX(0,MIN(1,(AB116-'Scoring Setup'!$K$14)/(100-'Scoring Setup'!$K$14)))),1),"")</x:f>
        <x:v>0.9953317840882565</x:v>
      </x:c>
      <x:c r="AU116" s="27" t="n">
        <x:f>IF(ISNUMBER(AC116),IF('Scoring Setup'!$L$15=1,1-'Scoring Setup'!$B$5*(1-MAX(0,MIN(1,(AC116-'Scoring Setup'!$K$15)/(100-'Scoring Setup'!$K$15)))),1),"")</x:f>
        <x:v>0.9991445045099083</x:v>
      </x:c>
      <x:c r="AV116" s="27" t="n">
        <x:f>IF(ISNUMBER(AD116),IF('Scoring Setup'!$L$16=1,1-'Scoring Setup'!$B$5*(1-MAX(0,MIN(1,(AD116-'Scoring Setup'!$K$16)/(100-'Scoring Setup'!$K$16)))),1),"")</x:f>
        <x:v>0.8433440262857143</x:v>
      </x:c>
      <x:c r="AW116" s="27" t="n">
        <x:f>IF(ISNUMBER(AE116),IF('Scoring Setup'!$L$17=1,1-'Scoring Setup'!$B$5*(1-MAX(0,MIN(1,(AE116-'Scoring Setup'!$K$17)/(100-'Scoring Setup'!$K$17)))),1),"")</x:f>
        <x:v>0.86155819</x:v>
      </x:c>
      <x:c r="AX116" s="27" t="n">
        <x:f>IF(ISNUMBER(AF116),IF('Scoring Setup'!$L$18=1,1-'Scoring Setup'!$B$5*(1-MAX(0,MIN(1,(AF116-'Scoring Setup'!$K$18)/(100-'Scoring Setup'!$K$18)))),1),"")</x:f>
        <x:v>0.9004632494820208</x:v>
      </x:c>
      <x:c r="AY116" s="27" t="n">
        <x:f>IF(ISNUMBER(AG116),IF('Scoring Setup'!$L$19=1,1-'Scoring Setup'!$B$5*(1-MAX(0,MIN(1,(AG116-'Scoring Setup'!$K$19)/(100-'Scoring Setup'!$K$19)))),1),"")</x:f>
        <x:v>0.9357333333333333</x:v>
      </x:c>
      <x:c r="AZ116" s="27" t="n">
        <x:f>IF(ISNUMBER(AH116),IF('Scoring Setup'!$L$20=1,1-'Scoring Setup'!$B$5*(1-MAX(0,MIN(1,(AH116-'Scoring Setup'!$K$20)/(100-'Scoring Setup'!$K$20)))),1),"")</x:f>
        <x:v>0.9408868500434028</x:v>
      </x:c>
      <x:c r="BA116" s="27" t="n">
        <x:f>IF(ISNUMBER(AI116),IF('Scoring Setup'!$L$21=1,1-'Scoring Setup'!$B$5*(1-MAX(0,MIN(1,(AI116-'Scoring Setup'!$K$21)/(100-'Scoring Setup'!$K$21)))),1),"")</x:f>
        <x:v>0.9705477132343111</x:v>
      </x:c>
      <x:c r="BB116" s="27" t="n">
        <x:f>IF(ISNUMBER(AJ116),IF('Scoring Setup'!$L$22=1,1-'Scoring Setup'!$B$5*(1-MAX(0,MIN(1,(AJ116-'Scoring Setup'!$K$22)/(100-'Scoring Setup'!$K$22)))),1),"")</x:f>
        <x:v>0.9679450890610085</x:v>
      </x:c>
      <x:c r="BC116" s="27" t="n">
        <x:f>IF(ISNUMBER(AK116),IF('Scoring Setup'!$L$23=1,1-'Scoring Setup'!$B$5*(1-MAX(0,MIN(1,(AK116-'Scoring Setup'!$K$23)/(100-'Scoring Setup'!$K$23)))),1),"")</x:f>
        <x:v>0.9597761436905304</x:v>
      </x:c>
      <x:c r="BD116" s="27" t="n">
        <x:f>IF(ISNUMBER(AL116),IF('Scoring Setup'!$L$24=1,1-'Scoring Setup'!$B$5*(1-MAX(0,MIN(1,(AL116-'Scoring Setup'!$K$24)/(100-'Scoring Setup'!$K$24)))),1),"")</x:f>
        <x:v>0.9741818181818181</x:v>
      </x:c>
      <x:c r="BE116" s="27" t="n">
        <x:f>IF(ISNUMBER(AM116),IF('Scoring Setup'!$L$25=1,1-'Scoring Setup'!$B$5*(1-MAX(0,MIN(1,(AM116-'Scoring Setup'!$K$25)/(100-'Scoring Setup'!$K$25)))),1),"")</x:f>
        <x:v>0.8885845218271159</x:v>
      </x:c>
      <x:c r="BF116" s="27" t="n">
        <x:f>IF(ISNUMBER(AN116),IF('Scoring Setup'!$L$26=1,1-'Scoring Setup'!$B$5*(1-MAX(0,MIN(1,(AN116-'Scoring Setup'!$K$26)/(100-'Scoring Setup'!$K$26)))),1),"")</x:f>
        <x:v>0.937286211052675</x:v>
      </x:c>
      <x:c r="BG116" s="34" t="n">
        <x:f>IF(COUNT(W116,X116)=2,AVERAGE(W116,X116),"")</x:f>
        <x:v>41.019801980198004</x:v>
      </x:c>
      <x:c r="BH116" s="34" t="n">
        <x:f>IF(COUNT(Y116,Z116)=2,AVERAGE(Y116,Z116),"")</x:f>
        <x:v>31.955868990347902</x:v>
      </x:c>
      <x:c r="BI116" s="34" t="n">
        <x:f>IF(COUNT(AA116,AB116,AC116)=3,AVERAGE(AA116,AB116,AC116),"")</x:f>
        <x:v>96.27640025143585</x:v>
      </x:c>
      <x:c r="BJ116" s="34" t="n">
        <x:f>IF(COUNT(AD116,AE116)=2,AVERAGE(AD116,AE116),"")</x:f>
        <x:v>26.22555407142857</x:v>
      </x:c>
      <x:c r="BK116" s="34" t="n">
        <x:f>IF(COUNT(AF116,AG116)=2,AVERAGE(AF116,AG116),"")</x:f>
        <x:v>59.049145703838555</x:v>
      </x:c>
      <x:c r="BL116" s="34" t="n">
        <x:f>IF(COUNT(AH116,AI116)=2,AVERAGE(AH116,AI116),"")</x:f>
        <x:v>77.85864081942846</x:v>
      </x:c>
      <x:c r="BM116" s="34" t="n">
        <x:f>IF(COUNT(AJ116,AK116)=2,AVERAGE(AJ116,AK116),"")</x:f>
        <x:v>81.93030818788475</x:v>
      </x:c>
      <x:c r="BN116" s="34" t="n">
        <x:f>IF(COUNT(AL116,AM116,AN116)=3,AVERAGE(AL116,AM116,AN116),"")</x:f>
        <x:v>66.67542517693484</x:v>
      </x:c>
      <x:c r="BO116" s="35" t="n">
        <x:f>IF(AND(COUNT(BG116:BN116)=8,ABS('Scoring Setup'!$C$17-1)&lt;0.000001),BG116*'Scoring Setup'!$C$9+BH116*'Scoring Setup'!$C$10+BI116*'Scoring Setup'!$C$11+BJ116*'Scoring Setup'!$C$12+BK116*'Scoring Setup'!$C$13+BL116*'Scoring Setup'!$C$14+BM116*'Scoring Setup'!$C$15+BN116*'Scoring Setup'!$C$16,"")</x:f>
        <x:v>56.64033900220579</x:v>
      </x:c>
      <x:c r="BP116" s="36" t="n">
        <x:f>IF(COUNT(AO116:BF116)=18,MIN(AO116:BF116),"")</x:f>
        <x:v>0.8433440262857143</x:v>
      </x:c>
      <x:c r="BQ116" s="35" t="n">
        <x:f>IF(AND(ISNUMBER(BO116),ISNUMBER(BP116)),BO116*BP116,"")</x:f>
        <x:v>47.76729154430801</x:v>
      </x:c>
      <x:c r="BR116" s="17" t="str">
        <x:f>IF(COUNT(AO116:BF116)=18,INDEX('Scoring Setup'!$F$9:$F$26,MATCH(MIN(AO116:BF116),AO116:BF116,0),1),"")</x:f>
        <x:v>商业光纤100/20覆盖率</x:v>
      </x:c>
    </x:row>
    <x:row r="117">
      <x:c r="A117" s="28" t="str">
        <x:v>13229</x:v>
      </x:c>
      <x:c r="B117" s="28" t="str">
        <x:v>Pierce County</x:v>
      </x:c>
      <x:c r="C117" s="28" t="str">
        <x:v>GA</x:v>
      </x:c>
      <x:c r="D117" s="31" t="n">
        <x:v>881.797573</x:v>
      </x:c>
      <x:c r="E117" s="32" t="n">
        <x:v>0.557</x:v>
      </x:c>
      <x:c r="F117" s="32" t="n">
        <x:v>0.240717821782178</x:v>
      </x:c>
      <x:c r="G117" s="32" t="n">
        <x:v>1.2482862615613577</x:v>
      </x:c>
      <x:c r="H117" s="32" t="n">
        <x:v>1.165489541</x:v>
      </x:c>
      <x:c r="I117" s="32" t="n">
        <x:v>0.9176152819018236</x:v>
      </x:c>
      <x:c r="J117" s="32" t="n">
        <x:v>0.03643699552002979</x:v>
      </x:c>
      <x:c r="K117" s="32" t="n">
        <x:v>0.3298030823135847</x:v>
      </x:c>
      <x:c r="L117" s="32" t="n">
        <x:v>0.712324493</x:v>
      </x:c>
      <x:c r="M117" s="32" t="n">
        <x:v>0.712324493</x:v>
      </x:c>
      <x:c r="N117" s="32" t="n">
        <x:v>8064</x:v>
      </x:c>
      <x:c r="O117" s="32" t="n">
        <x:v>0.3051</x:v>
      </x:c>
      <x:c r="P117" s="32" t="n">
        <x:v>2249.590087890625</x:v>
      </x:c>
      <x:c r="Q117" s="32" t="n">
        <x:v>80.12437006632487</x:v>
      </x:c>
      <x:c r="R117" s="32" t="n">
        <x:v>63.38914694049585</x:v>
      </x:c>
      <x:c r="S117" s="32" t="n">
        <x:v>2.150694928607896</x:v>
      </x:c>
      <x:c r="T117" s="32" t="n">
        <x:v>72.1</x:v>
      </x:c>
      <x:c r="U117" s="32" t="n">
        <x:v>211.4154781728841</x:v>
      </x:c>
      <x:c r="V117" s="32" t="n">
        <x:v>325.42757789465</x:v>
      </x:c>
      <x:c r="W117" s="33" t="n">
        <x:f>IF(ISNUMBER(E117),100*MAX(0,MIN(1,('Anchors'!$H$6-E117)/('Anchors'!$H$6-'Anchors'!$G$6))),"")</x:f>
        <x:v>49</x:v>
      </x:c>
      <x:c r="X117" s="33" t="n">
        <x:f>IF(ISNUMBER(F117),100*MAX(0,MIN(1,('Anchors'!$H$7-F117)/('Anchors'!$H$7-'Anchors'!$G$7))),"")</x:f>
        <x:v>79.89745403111743</x:v>
      </x:c>
      <x:c r="Y117" s="33" t="n">
        <x:f>IF(ISNUMBER(G117),100*MAX(0,MIN(1,('Anchors'!$H$8-G117)/('Anchors'!$H$8-'Anchors'!$G$8))),"")</x:f>
        <x:v>91.72379128128809</x:v>
      </x:c>
      <x:c r="Z117" s="33" t="n">
        <x:f>IF(ISNUMBER(H117),100*MAX(0,MIN(1,('Anchors'!$H$9-H117)/('Anchors'!$H$9-'Anchors'!$G$9))),"")</x:f>
        <x:v>94.48368196666667</x:v>
      </x:c>
      <x:c r="AA117" s="33" t="n">
        <x:f>IF(ISNUMBER(I117),100*MAX(0,MIN(1,(I117-'Anchors'!$H$10)/('Anchors'!$G$10-'Anchors'!$H$10))),"")</x:f>
        <x:v>91.45414820572927</x:v>
      </x:c>
      <x:c r="AB117" s="33" t="n">
        <x:f>IF(ISNUMBER(J117),100*MAX(0,MIN(1,('Anchors'!$H$11-J117)/('Anchors'!$H$11-'Anchors'!$G$11))),"")</x:f>
        <x:v>85.42520179198809</x:v>
      </x:c>
      <x:c r="AC117" s="33" t="n">
        <x:f>IF(ISNUMBER(K117),100*MAX(0,MIN(1,('Anchors'!$H$12-K117)/('Anchors'!$H$12-'Anchors'!$G$12))),"")</x:f>
        <x:v>17.549229421603833</x:v>
      </x:c>
      <x:c r="AD117" s="33" t="n">
        <x:f>IF(ISNUMBER(L117),100*MAX(0,MIN(1,(L117-'Anchors'!$H$13)/('Anchors'!$G$13-'Anchors'!$H$13))),"")</x:f>
        <x:v>73.18921328571429</x:v>
      </x:c>
      <x:c r="AE117" s="33" t="n">
        <x:f>IF(ISNUMBER(M117),100*MAX(0,MIN(1,(M117-'Anchors'!$H$14)/('Anchors'!$G$14-'Anchors'!$H$14))),"")</x:f>
        <x:v>76.54056162500001</x:v>
      </x:c>
      <x:c r="AF117" s="33" t="n">
        <x:f>IF(ISNUMBER(N117),100*MAX(0,MIN(1,(LN(1+N117)-LN(1+'Anchors'!$H$15))/(LN(1+'Anchors'!$G$15)-LN(1+'Anchors'!$H$15)))),"")</x:f>
        <x:v>32.2883553630384</x:v>
      </x:c>
      <x:c r="AG117" s="33" t="n">
        <x:f>IF(ISNUMBER(O117),100*MAX(0,MIN(1,('Anchors'!$H$16-O117)/('Anchors'!$H$16-'Anchors'!$G$16))),"")</x:f>
        <x:v>71.65555555555557</x:v>
      </x:c>
      <x:c r="AH117" s="33" t="n">
        <x:f>IF(ISNUMBER(P117),100*MAX(0,MIN(1,('Anchors'!$H$17-P117)/('Anchors'!$H$17-'Anchors'!$G$17))),"")</x:f>
        <x:v>0</x:v>
      </x:c>
      <x:c r="AI117" s="33" t="n">
        <x:f>IF(ISNUMBER(Q117),100*MAX(0,MIN(1,('Anchors'!$H$18-Q117)/('Anchors'!$H$18-'Anchors'!$G$18))),"")</x:f>
        <x:v>0</x:v>
      </x:c>
      <x:c r="AJ117" s="33" t="n">
        <x:f>IF(ISNUMBER(R117),100*MAX(0,MIN(1,('Anchors'!$H$19-R117)/('Anchors'!$H$19-'Anchors'!$G$19))),"")</x:f>
        <x:v>0</x:v>
      </x:c>
      <x:c r="AK117" s="33" t="n">
        <x:f>IF(ISNUMBER(S117),100*MAX(0,MIN(1,('Anchors'!$H$20-S117)/('Anchors'!$H$20-'Anchors'!$G$20))),"")</x:f>
        <x:v>93.9437109020637</x:v>
      </x:c>
      <x:c r="AL117" s="33" t="n">
        <x:f>IF(ISNUMBER(T117),100*MAX(0,MIN(1,('Anchors'!$H$21-T117)/('Anchors'!$H$21-'Anchors'!$G$21))),"")</x:f>
        <x:v>87.0909090909091</x:v>
      </x:c>
      <x:c r="AM117" s="33" t="n">
        <x:f>IF(ISNUMBER(U117),100*MAX(0,MIN(1,('Anchors'!$H$22-U117)/('Anchors'!$H$22-'Anchors'!$G$22))),"")</x:f>
        <x:v>44.29226091355795</x:v>
      </x:c>
      <x:c r="AN117" s="33" t="n">
        <x:f>IF(ISNUMBER(V117),100*MAX(0,MIN(1,('Anchors'!$H$23-V117)/('Anchors'!$H$23-'Anchors'!$G$23))),"")</x:f>
        <x:v>68.6431055263375</x:v>
      </x:c>
      <x:c r="AO117" s="27" t="n">
        <x:f>IF(ISNUMBER(W117),IF('Scoring Setup'!$L$9=1,1-'Scoring Setup'!$B$5*(1-MAX(0,MIN(1,(W117-'Scoring Setup'!$K$9)/(100-'Scoring Setup'!$K$9)))),1),"")</x:f>
        <x:v>0.898</x:v>
      </x:c>
      <x:c r="AP117" s="27" t="n">
        <x:f>IF(ISNUMBER(X117),IF('Scoring Setup'!$L$10=1,1-'Scoring Setup'!$B$5*(1-MAX(0,MIN(1,(X117-'Scoring Setup'!$K$10)/(100-'Scoring Setup'!$K$10)))),1),"")</x:f>
        <x:v>0.9597949080622349</x:v>
      </x:c>
      <x:c r="AQ117" s="27" t="n">
        <x:f>IF(ISNUMBER(Y117),IF('Scoring Setup'!$L$11=1,1-'Scoring Setup'!$B$5*(1-MAX(0,MIN(1,(Y117-'Scoring Setup'!$K$11)/(100-'Scoring Setup'!$K$11)))),1),"")</x:f>
        <x:v>0.9834475825625761</x:v>
      </x:c>
      <x:c r="AR117" s="27" t="n">
        <x:f>IF(ISNUMBER(Z117),IF('Scoring Setup'!$L$12=1,1-'Scoring Setup'!$B$5*(1-MAX(0,MIN(1,(Z117-'Scoring Setup'!$K$12)/(100-'Scoring Setup'!$K$12)))),1),"")</x:f>
        <x:v>0.9889673639333333</x:v>
      </x:c>
      <x:c r="AS117" s="27" t="n">
        <x:f>IF(ISNUMBER(AA117),IF('Scoring Setup'!$L$13=1,1-'Scoring Setup'!$B$5*(1-MAX(0,MIN(1,(AA117-'Scoring Setup'!$K$13)/(100-'Scoring Setup'!$K$13)))),1),"")</x:f>
        <x:v>0.9829082964114585</x:v>
      </x:c>
      <x:c r="AT117" s="27" t="n">
        <x:f>IF(ISNUMBER(AB117),IF('Scoring Setup'!$L$14=1,1-'Scoring Setup'!$B$5*(1-MAX(0,MIN(1,(AB117-'Scoring Setup'!$K$14)/(100-'Scoring Setup'!$K$14)))),1),"")</x:f>
        <x:v>0.9708504035839762</x:v>
      </x:c>
      <x:c r="AU117" s="27" t="n">
        <x:f>IF(ISNUMBER(AC117),IF('Scoring Setup'!$L$15=1,1-'Scoring Setup'!$B$5*(1-MAX(0,MIN(1,(AC117-'Scoring Setup'!$K$15)/(100-'Scoring Setup'!$K$15)))),1),"")</x:f>
        <x:v>0.8350984588432077</x:v>
      </x:c>
      <x:c r="AV117" s="27" t="n">
        <x:f>IF(ISNUMBER(AD117),IF('Scoring Setup'!$L$16=1,1-'Scoring Setup'!$B$5*(1-MAX(0,MIN(1,(AD117-'Scoring Setup'!$K$16)/(100-'Scoring Setup'!$K$16)))),1),"")</x:f>
        <x:v>0.9463784265714286</x:v>
      </x:c>
      <x:c r="AW117" s="27" t="n">
        <x:f>IF(ISNUMBER(AE117),IF('Scoring Setup'!$L$17=1,1-'Scoring Setup'!$B$5*(1-MAX(0,MIN(1,(AE117-'Scoring Setup'!$K$17)/(100-'Scoring Setup'!$K$17)))),1),"")</x:f>
        <x:v>0.95308112325</x:v>
      </x:c>
      <x:c r="AX117" s="27" t="n">
        <x:f>IF(ISNUMBER(AF117),IF('Scoring Setup'!$L$18=1,1-'Scoring Setup'!$B$5*(1-MAX(0,MIN(1,(AF117-'Scoring Setup'!$K$18)/(100-'Scoring Setup'!$K$18)))),1),"")</x:f>
        <x:v>0.8645767107260768</x:v>
      </x:c>
      <x:c r="AY117" s="27" t="n">
        <x:f>IF(ISNUMBER(AG117),IF('Scoring Setup'!$L$19=1,1-'Scoring Setup'!$B$5*(1-MAX(0,MIN(1,(AG117-'Scoring Setup'!$K$19)/(100-'Scoring Setup'!$K$19)))),1),"")</x:f>
        <x:v>0.9433111111111111</x:v>
      </x:c>
      <x:c r="AZ117" s="27" t="n">
        <x:f>IF(ISNUMBER(AH117),IF('Scoring Setup'!$L$20=1,1-'Scoring Setup'!$B$5*(1-MAX(0,MIN(1,(AH117-'Scoring Setup'!$K$20)/(100-'Scoring Setup'!$K$20)))),1),"")</x:f>
        <x:v>0.8</x:v>
      </x:c>
      <x:c r="BA117" s="27" t="n">
        <x:f>IF(ISNUMBER(AI117),IF('Scoring Setup'!$L$21=1,1-'Scoring Setup'!$B$5*(1-MAX(0,MIN(1,(AI117-'Scoring Setup'!$K$21)/(100-'Scoring Setup'!$K$21)))),1),"")</x:f>
        <x:v>0.8</x:v>
      </x:c>
      <x:c r="BB117" s="27" t="n">
        <x:f>IF(ISNUMBER(AJ117),IF('Scoring Setup'!$L$22=1,1-'Scoring Setup'!$B$5*(1-MAX(0,MIN(1,(AJ117-'Scoring Setup'!$K$22)/(100-'Scoring Setup'!$K$22)))),1),"")</x:f>
        <x:v>0.8</x:v>
      </x:c>
      <x:c r="BC117" s="27" t="n">
        <x:f>IF(ISNUMBER(AK117),IF('Scoring Setup'!$L$23=1,1-'Scoring Setup'!$B$5*(1-MAX(0,MIN(1,(AK117-'Scoring Setup'!$K$23)/(100-'Scoring Setup'!$K$23)))),1),"")</x:f>
        <x:v>0.9878874218041274</x:v>
      </x:c>
      <x:c r="BD117" s="27" t="n">
        <x:f>IF(ISNUMBER(AL117),IF('Scoring Setup'!$L$24=1,1-'Scoring Setup'!$B$5*(1-MAX(0,MIN(1,(AL117-'Scoring Setup'!$K$24)/(100-'Scoring Setup'!$K$24)))),1),"")</x:f>
        <x:v>0.9741818181818181</x:v>
      </x:c>
      <x:c r="BE117" s="27" t="n">
        <x:f>IF(ISNUMBER(AM117),IF('Scoring Setup'!$L$25=1,1-'Scoring Setup'!$B$5*(1-MAX(0,MIN(1,(AM117-'Scoring Setup'!$K$25)/(100-'Scoring Setup'!$K$25)))),1),"")</x:f>
        <x:v>0.8885845218271159</x:v>
      </x:c>
      <x:c r="BF117" s="27" t="n">
        <x:f>IF(ISNUMBER(AN117),IF('Scoring Setup'!$L$26=1,1-'Scoring Setup'!$B$5*(1-MAX(0,MIN(1,(AN117-'Scoring Setup'!$K$26)/(100-'Scoring Setup'!$K$26)))),1),"")</x:f>
        <x:v>0.937286211052675</x:v>
      </x:c>
      <x:c r="BG117" s="34" t="n">
        <x:f>IF(COUNT(W117,X117)=2,AVERAGE(W117,X117),"")</x:f>
        <x:v>64.44872701555872</x:v>
      </x:c>
      <x:c r="BH117" s="34" t="n">
        <x:f>IF(COUNT(Y117,Z117)=2,AVERAGE(Y117,Z117),"")</x:f>
        <x:v>93.10373662397737</x:v>
      </x:c>
      <x:c r="BI117" s="34" t="n">
        <x:f>IF(COUNT(AA117,AB117,AC117)=3,AVERAGE(AA117,AB117,AC117),"")</x:f>
        <x:v>64.80952647310706</x:v>
      </x:c>
      <x:c r="BJ117" s="34" t="n">
        <x:f>IF(COUNT(AD117,AE117)=2,AVERAGE(AD117,AE117),"")</x:f>
        <x:v>74.86488745535715</x:v>
      </x:c>
      <x:c r="BK117" s="34" t="n">
        <x:f>IF(COUNT(AF117,AG117)=2,AVERAGE(AF117,AG117),"")</x:f>
        <x:v>51.97195545929698</x:v>
      </x:c>
      <x:c r="BL117" s="34" t="n">
        <x:f>IF(COUNT(AH117,AI117)=2,AVERAGE(AH117,AI117),"")</x:f>
        <x:v>0</x:v>
      </x:c>
      <x:c r="BM117" s="34" t="n">
        <x:f>IF(COUNT(AJ117,AK117)=2,AVERAGE(AJ117,AK117),"")</x:f>
        <x:v>46.97185545103185</x:v>
      </x:c>
      <x:c r="BN117" s="34" t="n">
        <x:f>IF(COUNT(AL117,AM117,AN117)=3,AVERAGE(AL117,AM117,AN117),"")</x:f>
        <x:v>66.67542517693484</x:v>
      </x:c>
      <x:c r="BO117" s="35" t="n">
        <x:f>IF(AND(COUNT(BG117:BN117)=8,ABS('Scoring Setup'!$C$17-1)&lt;0.000001),BG117*'Scoring Setup'!$C$9+BH117*'Scoring Setup'!$C$10+BI117*'Scoring Setup'!$C$11+BJ117*'Scoring Setup'!$C$12+BK117*'Scoring Setup'!$C$13+BL117*'Scoring Setup'!$C$14+BM117*'Scoring Setup'!$C$15+BN117*'Scoring Setup'!$C$16,"")</x:f>
        <x:v>66.58147729075951</x:v>
      </x:c>
      <x:c r="BP117" s="36" t="n">
        <x:f>IF(COUNT(AO117:BF117)=18,MIN(AO117:BF117),"")</x:f>
        <x:v>0.8</x:v>
      </x:c>
      <x:c r="BQ117" s="35" t="n">
        <x:f>IF(AND(ISNUMBER(BO117),ISNUMBER(BP117)),BO117*BP117,"")</x:f>
        <x:v>53.26518183260761</x:v>
      </x:c>
      <x:c r="BR117" s="17" t="str">
        <x:f>IF(COUNT(AO117:BF117)=18,INDEX('Scoring Setup'!$F$9:$F$26,MATCH(MIN(AO117:BF117),AO117:BF117,0),1),"")</x:f>
        <x:v>历史CDD65</x:v>
      </x:c>
    </x:row>
    <x:row r="118">
      <x:c r="A118" s="28" t="str">
        <x:v>13231</x:v>
      </x:c>
      <x:c r="B118" s="28" t="str">
        <x:v>Pike County</x:v>
      </x:c>
      <x:c r="C118" s="28" t="str">
        <x:v>GA</x:v>
      </x:c>
      <x:c r="D118" s="31" t="n">
        <x:v>559.660486</x:v>
      </x:c>
      <x:c r="E118" s="32" t="n">
        <x:v>0.674</x:v>
      </x:c>
      <x:c r="F118" s="32" t="n">
        <x:v>0.26825495049504905</x:v>
      </x:c>
      <x:c r="G118" s="32" t="n">
        <x:v>1.1652933984148754</x:v>
      </x:c>
      <x:c r="H118" s="32" t="n">
        <x:v>1.134330805</x:v>
      </x:c>
      <x:c r="I118" s="32" t="n">
        <x:v>0.9374906400212563</x:v>
      </x:c>
      <x:c r="J118" s="32" t="n">
        <x:v>0.0004416973459282789</x:v>
      </x:c>
      <x:c r="K118" s="32" t="n">
        <x:v>0.07610206201338175</x:v>
      </x:c>
      <x:c r="L118" s="32" t="n">
        <x:v>0.664111922</x:v>
      </x:c>
      <x:c r="M118" s="32" t="n">
        <x:v>0.664111922</x:v>
      </x:c>
      <x:c r="N118" s="32" t="n">
        <x:v>9550</x:v>
      </x:c>
      <x:c r="O118" s="32" t="n">
        <x:v>0.0665</x:v>
      </x:c>
      <x:c r="P118" s="32" t="n">
        <x:v>1677.4362019856771</x:v>
      </x:c>
      <x:c r="Q118" s="32" t="n">
        <x:v>42.29377161661784</x:v>
      </x:c>
      <x:c r="R118" s="32" t="n">
        <x:v>33.28517049099839</x:v>
      </x:c>
      <x:c r="S118" s="32" t="n">
        <x:v>16.105095763596044</x:v>
      </x:c>
      <x:c r="T118" s="32" t="n">
        <x:v>72.1</x:v>
      </x:c>
      <x:c r="U118" s="32" t="n">
        <x:v>211.4154781728841</x:v>
      </x:c>
      <x:c r="V118" s="32" t="n">
        <x:v>325.42757789465</x:v>
      </x:c>
      <x:c r="W118" s="33" t="n">
        <x:f>IF(ISNUMBER(E118),100*MAX(0,MIN(1,('Anchors'!$H$6-E118)/('Anchors'!$H$6-'Anchors'!$G$6))),"")</x:f>
        <x:v>32.285714285714285</x:v>
      </x:c>
      <x:c r="X118" s="33" t="n">
        <x:f>IF(ISNUMBER(F118),100*MAX(0,MIN(1,('Anchors'!$H$7-F118)/('Anchors'!$H$7-'Anchors'!$G$7))),"")</x:f>
        <x:v>75.96357850070727</x:v>
      </x:c>
      <x:c r="Y118" s="33" t="n">
        <x:f>IF(ISNUMBER(G118),100*MAX(0,MIN(1,('Anchors'!$H$8-G118)/('Anchors'!$H$8-'Anchors'!$G$8))),"")</x:f>
        <x:v>94.49022005283749</x:v>
      </x:c>
      <x:c r="Z118" s="33" t="n">
        <x:f>IF(ISNUMBER(H118),100*MAX(0,MIN(1,('Anchors'!$H$9-H118)/('Anchors'!$H$9-'Anchors'!$G$9))),"")</x:f>
        <x:v>95.52230649999998</x:v>
      </x:c>
      <x:c r="AA118" s="33" t="n">
        <x:f>IF(ISNUMBER(I118),100*MAX(0,MIN(1,(I118-'Anchors'!$H$10)/('Anchors'!$G$10-'Anchors'!$H$10))),"")</x:f>
        <x:v>94.17680000291182</x:v>
      </x:c>
      <x:c r="AB118" s="33" t="n">
        <x:f>IF(ISNUMBER(J118),100*MAX(0,MIN(1,('Anchors'!$H$11-J118)/('Anchors'!$H$11-'Anchors'!$G$11))),"")</x:f>
        <x:v>99.82332106162869</x:v>
      </x:c>
      <x:c r="AC118" s="33" t="n">
        <x:f>IF(ISNUMBER(K118),100*MAX(0,MIN(1,('Anchors'!$H$12-K118)/('Anchors'!$H$12-'Anchors'!$G$12))),"")</x:f>
        <x:v>80.97448449665457</x:v>
      </x:c>
      <x:c r="AD118" s="33" t="n">
        <x:f>IF(ISNUMBER(L118),100*MAX(0,MIN(1,(L118-'Anchors'!$H$13)/('Anchors'!$G$13-'Anchors'!$H$13))),"")</x:f>
        <x:v>66.30170314285715</x:v>
      </x:c>
      <x:c r="AE118" s="33" t="n">
        <x:f>IF(ISNUMBER(M118),100*MAX(0,MIN(1,(M118-'Anchors'!$H$14)/('Anchors'!$G$14-'Anchors'!$H$14))),"")</x:f>
        <x:v>70.51399025</x:v>
      </x:c>
      <x:c r="AF118" s="33" t="n">
        <x:f>IF(ISNUMBER(N118),100*MAX(0,MIN(1,(LN(1+N118)-LN(1+'Anchors'!$H$15))/(LN(1+'Anchors'!$G$15)-LN(1+'Anchors'!$H$15)))),"")</x:f>
        <x:v>36.205713460313675</x:v>
      </x:c>
      <x:c r="AG118" s="33" t="n">
        <x:f>IF(ISNUMBER(O118),100*MAX(0,MIN(1,('Anchors'!$H$16-O118)/('Anchors'!$H$16-'Anchors'!$G$16))),"")</x:f>
        <x:v>98.16666666666667</x:v>
      </x:c>
      <x:c r="AH118" s="33" t="n">
        <x:f>IF(ISNUMBER(P118),100*MAX(0,MIN(1,('Anchors'!$H$17-P118)/('Anchors'!$H$17-'Anchors'!$G$17))),"")</x:f>
        <x:v>34.83758653428819</x:v>
      </x:c>
      <x:c r="AI118" s="33" t="n">
        <x:f>IF(ISNUMBER(Q118),100*MAX(0,MIN(1,('Anchors'!$H$18-Q118)/('Anchors'!$H$18-'Anchors'!$G$18))),"")</x:f>
        <x:v>46.72318340483166</x:v>
      </x:c>
      <x:c r="AJ118" s="33" t="n">
        <x:f>IF(ISNUMBER(R118),100*MAX(0,MIN(1,('Anchors'!$H$19-R118)/('Anchors'!$H$19-'Anchors'!$G$19))),"")</x:f>
        <x:v>37.14406557555913</x:v>
      </x:c>
      <x:c r="AK118" s="33" t="n">
        <x:f>IF(ISNUMBER(S118),100*MAX(0,MIN(1,('Anchors'!$H$20-S118)/('Anchors'!$H$20-'Anchors'!$G$20))),"")</x:f>
        <x:v>20.499495981073455</x:v>
      </x:c>
      <x:c r="AL118" s="33" t="n">
        <x:f>IF(ISNUMBER(T118),100*MAX(0,MIN(1,('Anchors'!$H$21-T118)/('Anchors'!$H$21-'Anchors'!$G$21))),"")</x:f>
        <x:v>87.0909090909091</x:v>
      </x:c>
      <x:c r="AM118" s="33" t="n">
        <x:f>IF(ISNUMBER(U118),100*MAX(0,MIN(1,('Anchors'!$H$22-U118)/('Anchors'!$H$22-'Anchors'!$G$22))),"")</x:f>
        <x:v>44.29226091355795</x:v>
      </x:c>
      <x:c r="AN118" s="33" t="n">
        <x:f>IF(ISNUMBER(V118),100*MAX(0,MIN(1,('Anchors'!$H$23-V118)/('Anchors'!$H$23-'Anchors'!$G$23))),"")</x:f>
        <x:v>68.6431055263375</x:v>
      </x:c>
      <x:c r="AO118" s="27" t="n">
        <x:f>IF(ISNUMBER(W118),IF('Scoring Setup'!$L$9=1,1-'Scoring Setup'!$B$5*(1-MAX(0,MIN(1,(W118-'Scoring Setup'!$K$9)/(100-'Scoring Setup'!$K$9)))),1),"")</x:f>
        <x:v>0.8645714285714285</x:v>
      </x:c>
      <x:c r="AP118" s="27" t="n">
        <x:f>IF(ISNUMBER(X118),IF('Scoring Setup'!$L$10=1,1-'Scoring Setup'!$B$5*(1-MAX(0,MIN(1,(X118-'Scoring Setup'!$K$10)/(100-'Scoring Setup'!$K$10)))),1),"")</x:f>
        <x:v>0.9519271570014145</x:v>
      </x:c>
      <x:c r="AQ118" s="27" t="n">
        <x:f>IF(ISNUMBER(Y118),IF('Scoring Setup'!$L$11=1,1-'Scoring Setup'!$B$5*(1-MAX(0,MIN(1,(Y118-'Scoring Setup'!$K$11)/(100-'Scoring Setup'!$K$11)))),1),"")</x:f>
        <x:v>0.988980440105675</x:v>
      </x:c>
      <x:c r="AR118" s="27" t="n">
        <x:f>IF(ISNUMBER(Z118),IF('Scoring Setup'!$L$12=1,1-'Scoring Setup'!$B$5*(1-MAX(0,MIN(1,(Z118-'Scoring Setup'!$K$12)/(100-'Scoring Setup'!$K$12)))),1),"")</x:f>
        <x:v>0.991044613</x:v>
      </x:c>
      <x:c r="AS118" s="27" t="n">
        <x:f>IF(ISNUMBER(AA118),IF('Scoring Setup'!$L$13=1,1-'Scoring Setup'!$B$5*(1-MAX(0,MIN(1,(AA118-'Scoring Setup'!$K$13)/(100-'Scoring Setup'!$K$13)))),1),"")</x:f>
        <x:v>0.9883536000058236</x:v>
      </x:c>
      <x:c r="AT118" s="27" t="n">
        <x:f>IF(ISNUMBER(AB118),IF('Scoring Setup'!$L$14=1,1-'Scoring Setup'!$B$5*(1-MAX(0,MIN(1,(AB118-'Scoring Setup'!$K$14)/(100-'Scoring Setup'!$K$14)))),1),"")</x:f>
        <x:v>0.9996466421232574</x:v>
      </x:c>
      <x:c r="AU118" s="27" t="n">
        <x:f>IF(ISNUMBER(AC118),IF('Scoring Setup'!$L$15=1,1-'Scoring Setup'!$B$5*(1-MAX(0,MIN(1,(AC118-'Scoring Setup'!$K$15)/(100-'Scoring Setup'!$K$15)))),1),"")</x:f>
        <x:v>0.9619489689933092</x:v>
      </x:c>
      <x:c r="AV118" s="27" t="n">
        <x:f>IF(ISNUMBER(AD118),IF('Scoring Setup'!$L$16=1,1-'Scoring Setup'!$B$5*(1-MAX(0,MIN(1,(AD118-'Scoring Setup'!$K$16)/(100-'Scoring Setup'!$K$16)))),1),"")</x:f>
        <x:v>0.9326034062857143</x:v>
      </x:c>
      <x:c r="AW118" s="27" t="n">
        <x:f>IF(ISNUMBER(AE118),IF('Scoring Setup'!$L$17=1,1-'Scoring Setup'!$B$5*(1-MAX(0,MIN(1,(AE118-'Scoring Setup'!$K$17)/(100-'Scoring Setup'!$K$17)))),1),"")</x:f>
        <x:v>0.9410279805</x:v>
      </x:c>
      <x:c r="AX118" s="27" t="n">
        <x:f>IF(ISNUMBER(AF118),IF('Scoring Setup'!$L$18=1,1-'Scoring Setup'!$B$5*(1-MAX(0,MIN(1,(AF118-'Scoring Setup'!$K$18)/(100-'Scoring Setup'!$K$18)))),1),"")</x:f>
        <x:v>0.8724114269206273</x:v>
      </x:c>
      <x:c r="AY118" s="27" t="n">
        <x:f>IF(ISNUMBER(AG118),IF('Scoring Setup'!$L$19=1,1-'Scoring Setup'!$B$5*(1-MAX(0,MIN(1,(AG118-'Scoring Setup'!$K$19)/(100-'Scoring Setup'!$K$19)))),1),"")</x:f>
        <x:v>0.9963333333333333</x:v>
      </x:c>
      <x:c r="AZ118" s="27" t="n">
        <x:f>IF(ISNUMBER(AH118),IF('Scoring Setup'!$L$20=1,1-'Scoring Setup'!$B$5*(1-MAX(0,MIN(1,(AH118-'Scoring Setup'!$K$20)/(100-'Scoring Setup'!$K$20)))),1),"")</x:f>
        <x:v>0.8696751730685763</x:v>
      </x:c>
      <x:c r="BA118" s="27" t="n">
        <x:f>IF(ISNUMBER(AI118),IF('Scoring Setup'!$L$21=1,1-'Scoring Setup'!$B$5*(1-MAX(0,MIN(1,(AI118-'Scoring Setup'!$K$21)/(100-'Scoring Setup'!$K$21)))),1),"")</x:f>
        <x:v>0.8934463668096633</x:v>
      </x:c>
      <x:c r="BB118" s="27" t="n">
        <x:f>IF(ISNUMBER(AJ118),IF('Scoring Setup'!$L$22=1,1-'Scoring Setup'!$B$5*(1-MAX(0,MIN(1,(AJ118-'Scoring Setup'!$K$22)/(100-'Scoring Setup'!$K$22)))),1),"")</x:f>
        <x:v>0.8742881311511183</x:v>
      </x:c>
      <x:c r="BC118" s="27" t="n">
        <x:f>IF(ISNUMBER(AK118),IF('Scoring Setup'!$L$23=1,1-'Scoring Setup'!$B$5*(1-MAX(0,MIN(1,(AK118-'Scoring Setup'!$K$23)/(100-'Scoring Setup'!$K$23)))),1),"")</x:f>
        <x:v>0.8409989919621469</x:v>
      </x:c>
      <x:c r="BD118" s="27" t="n">
        <x:f>IF(ISNUMBER(AL118),IF('Scoring Setup'!$L$24=1,1-'Scoring Setup'!$B$5*(1-MAX(0,MIN(1,(AL118-'Scoring Setup'!$K$24)/(100-'Scoring Setup'!$K$24)))),1),"")</x:f>
        <x:v>0.9741818181818181</x:v>
      </x:c>
      <x:c r="BE118" s="27" t="n">
        <x:f>IF(ISNUMBER(AM118),IF('Scoring Setup'!$L$25=1,1-'Scoring Setup'!$B$5*(1-MAX(0,MIN(1,(AM118-'Scoring Setup'!$K$25)/(100-'Scoring Setup'!$K$25)))),1),"")</x:f>
        <x:v>0.8885845218271159</x:v>
      </x:c>
      <x:c r="BF118" s="27" t="n">
        <x:f>IF(ISNUMBER(AN118),IF('Scoring Setup'!$L$26=1,1-'Scoring Setup'!$B$5*(1-MAX(0,MIN(1,(AN118-'Scoring Setup'!$K$26)/(100-'Scoring Setup'!$K$26)))),1),"")</x:f>
        <x:v>0.937286211052675</x:v>
      </x:c>
      <x:c r="BG118" s="34" t="n">
        <x:f>IF(COUNT(W118,X118)=2,AVERAGE(W118,X118),"")</x:f>
        <x:v>54.12464639321078</x:v>
      </x:c>
      <x:c r="BH118" s="34" t="n">
        <x:f>IF(COUNT(Y118,Z118)=2,AVERAGE(Y118,Z118),"")</x:f>
        <x:v>95.00626327641874</x:v>
      </x:c>
      <x:c r="BI118" s="34" t="n">
        <x:f>IF(COUNT(AA118,AB118,AC118)=3,AVERAGE(AA118,AB118,AC118),"")</x:f>
        <x:v>91.65820185373168</x:v>
      </x:c>
      <x:c r="BJ118" s="34" t="n">
        <x:f>IF(COUNT(AD118,AE118)=2,AVERAGE(AD118,AE118),"")</x:f>
        <x:v>68.40784669642858</x:v>
      </x:c>
      <x:c r="BK118" s="34" t="n">
        <x:f>IF(COUNT(AF118,AG118)=2,AVERAGE(AF118,AG118),"")</x:f>
        <x:v>67.18619006349017</x:v>
      </x:c>
      <x:c r="BL118" s="34" t="n">
        <x:f>IF(COUNT(AH118,AI118)=2,AVERAGE(AH118,AI118),"")</x:f>
        <x:v>40.780384969559925</x:v>
      </x:c>
      <x:c r="BM118" s="34" t="n">
        <x:f>IF(COUNT(AJ118,AK118)=2,AVERAGE(AJ118,AK118),"")</x:f>
        <x:v>28.821780778316295</x:v>
      </x:c>
      <x:c r="BN118" s="34" t="n">
        <x:f>IF(COUNT(AL118,AM118,AN118)=3,AVERAGE(AL118,AM118,AN118),"")</x:f>
        <x:v>66.67542517693484</x:v>
      </x:c>
      <x:c r="BO118" s="35" t="n">
        <x:f>IF(AND(COUNT(BG118:BN118)=8,ABS('Scoring Setup'!$C$17-1)&lt;0.000001),BG118*'Scoring Setup'!$C$9+BH118*'Scoring Setup'!$C$10+BI118*'Scoring Setup'!$C$11+BJ118*'Scoring Setup'!$C$12+BK118*'Scoring Setup'!$C$13+BL118*'Scoring Setup'!$C$14+BM118*'Scoring Setup'!$C$15+BN118*'Scoring Setup'!$C$16,"")</x:f>
        <x:v>70.62167699644414</x:v>
      </x:c>
      <x:c r="BP118" s="36" t="n">
        <x:f>IF(COUNT(AO118:BF118)=18,MIN(AO118:BF118),"")</x:f>
        <x:v>0.8409989919621469</x:v>
      </x:c>
      <x:c r="BQ118" s="35" t="n">
        <x:f>IF(AND(ISNUMBER(BO118),ISNUMBER(BP118)),BO118*BP118,"")</x:f>
        <x:v>59.392759164685856</x:v>
      </x:c>
      <x:c r="BR118" s="17" t="str">
        <x:f>IF(COUNT(AO118:BF118)=18,INDEX('Scoring Setup'!$F$9:$F$26,MATCH(MIN(AO118:BF118),AO118:BF118,0),1),"")</x:f>
        <x:v>到铁路距离</x:v>
      </x:c>
    </x:row>
    <x:row r="119">
      <x:c r="A119" s="28" t="str">
        <x:v>13233</x:v>
      </x:c>
      <x:c r="B119" s="28" t="str">
        <x:v>Polk County</x:v>
      </x:c>
      <x:c r="C119" s="28" t="str">
        <x:v>GA</x:v>
      </x:c>
      <x:c r="D119" s="31" t="n">
        <x:v>803.776466</x:v>
      </x:c>
      <x:c r="E119" s="32" t="n">
        <x:v>0.818</x:v>
      </x:c>
      <x:c r="F119" s="32" t="n">
        <x:v>0.620977722772277</x:v>
      </x:c>
      <x:c r="G119" s="32" t="n">
        <x:v>2.49546726030852</x:v>
      </x:c>
      <x:c r="H119" s="32" t="n">
        <x:v>2.1748152258987026</x:v>
      </x:c>
      <x:c r="I119" s="32" t="n">
        <x:v>0.9015867941884236</x:v>
      </x:c>
      <x:c r="J119" s="32" t="n">
        <x:v>0.03009382093128655</x:v>
      </x:c>
      <x:c r="K119" s="32" t="n">
        <x:v>0.006215512067213816</x:v>
      </x:c>
      <x:c r="L119" s="32" t="n">
        <x:v>0.316907303</x:v>
      </x:c>
      <x:c r="M119" s="32" t="n">
        <x:v>0.316802678</x:v>
      </x:c>
      <x:c r="N119" s="32" t="n">
        <x:v>19651</x:v>
      </x:c>
      <x:c r="O119" s="32" t="n">
        <x:v>0.8285</x:v>
      </x:c>
      <x:c r="P119" s="32" t="n">
        <x:v>1385.3029174804688</x:v>
      </x:c>
      <x:c r="Q119" s="32" t="n">
        <x:v>31.893498611450195</x:v>
      </x:c>
      <x:c r="R119" s="32" t="n">
        <x:v>33.99531817727886</x:v>
      </x:c>
      <x:c r="S119" s="32" t="n">
        <x:v>0.7514882433402954</x:v>
      </x:c>
      <x:c r="T119" s="32" t="n">
        <x:v>72.1</x:v>
      </x:c>
      <x:c r="U119" s="32" t="n">
        <x:v>211.4154781728841</x:v>
      </x:c>
      <x:c r="V119" s="32" t="n">
        <x:v>325.42757789465</x:v>
      </x:c>
      <x:c r="W119" s="33" t="n">
        <x:f>IF(ISNUMBER(E119),100*MAX(0,MIN(1,('Anchors'!$H$6-E119)/('Anchors'!$H$6-'Anchors'!$G$6))),"")</x:f>
        <x:v>11.714285714285726</x:v>
      </x:c>
      <x:c r="X119" s="33" t="n">
        <x:f>IF(ISNUMBER(F119),100*MAX(0,MIN(1,('Anchors'!$H$7-F119)/('Anchors'!$H$7-'Anchors'!$G$7))),"")</x:f>
        <x:v>25.57461103253186</x:v>
      </x:c>
      <x:c r="Y119" s="33" t="n">
        <x:f>IF(ISNUMBER(G119),100*MAX(0,MIN(1,('Anchors'!$H$8-G119)/('Anchors'!$H$8-'Anchors'!$G$8))),"")</x:f>
        <x:v>50.15109132304932</x:v>
      </x:c>
      <x:c r="Z119" s="33" t="n">
        <x:f>IF(ISNUMBER(H119),100*MAX(0,MIN(1,('Anchors'!$H$9-H119)/('Anchors'!$H$9-'Anchors'!$G$9))),"")</x:f>
        <x:v>60.83949247004325</x:v>
      </x:c>
      <x:c r="AA119" s="33" t="n">
        <x:f>IF(ISNUMBER(I119),100*MAX(0,MIN(1,(I119-'Anchors'!$H$10)/('Anchors'!$G$10-'Anchors'!$H$10))),"")</x:f>
        <x:v>89.2584649573183</x:v>
      </x:c>
      <x:c r="AB119" s="33" t="n">
        <x:f>IF(ISNUMBER(J119),100*MAX(0,MIN(1,('Anchors'!$H$11-J119)/('Anchors'!$H$11-'Anchors'!$G$11))),"")</x:f>
        <x:v>87.96247162748539</x:v>
      </x:c>
      <x:c r="AC119" s="33" t="n">
        <x:f>IF(ISNUMBER(K119),100*MAX(0,MIN(1,('Anchors'!$H$12-K119)/('Anchors'!$H$12-'Anchors'!$G$12))),"")</x:f>
        <x:v>98.44612198319655</x:v>
      </x:c>
      <x:c r="AD119" s="33" t="n">
        <x:f>IF(ISNUMBER(L119),100*MAX(0,MIN(1,(L119-'Anchors'!$H$13)/('Anchors'!$G$13-'Anchors'!$H$13))),"")</x:f>
        <x:v>16.70104328571428</x:v>
      </x:c>
      <x:c r="AE119" s="33" t="n">
        <x:f>IF(ISNUMBER(M119),100*MAX(0,MIN(1,(M119-'Anchors'!$H$14)/('Anchors'!$G$14-'Anchors'!$H$14))),"")</x:f>
        <x:v>27.10033475</x:v>
      </x:c>
      <x:c r="AF119" s="33" t="n">
        <x:f>IF(ISNUMBER(N119),100*MAX(0,MIN(1,(LN(1+N119)-LN(1+'Anchors'!$H$15))/(LN(1+'Anchors'!$G$15)-LN(1+'Anchors'!$H$15)))),"")</x:f>
        <x:v>52.919498607358015</x:v>
      </x:c>
      <x:c r="AG119" s="33" t="n">
        <x:f>IF(ISNUMBER(O119),100*MAX(0,MIN(1,('Anchors'!$H$16-O119)/('Anchors'!$H$16-'Anchors'!$G$16))),"")</x:f>
        <x:v>13.499999999999995</x:v>
      </x:c>
      <x:c r="AH119" s="33" t="n">
        <x:f>IF(ISNUMBER(P119),100*MAX(0,MIN(1,('Anchors'!$H$17-P119)/('Anchors'!$H$17-'Anchors'!$G$17))),"")</x:f>
        <x:v>54.313138834635424</x:v>
      </x:c>
      <x:c r="AI119" s="33" t="n">
        <x:f>IF(ISNUMBER(Q119),100*MAX(0,MIN(1,('Anchors'!$H$18-Q119)/('Anchors'!$H$18-'Anchors'!$G$18))),"")</x:f>
        <x:v>61.58071626935686</x:v>
      </x:c>
      <x:c r="AJ119" s="33" t="n">
        <x:f>IF(ISNUMBER(R119),100*MAX(0,MIN(1,('Anchors'!$H$19-R119)/('Anchors'!$H$19-'Anchors'!$G$19))),"")</x:f>
        <x:v>35.565959606046974</x:v>
      </x:c>
      <x:c r="AK119" s="33" t="n">
        <x:f>IF(ISNUMBER(S119),100*MAX(0,MIN(1,('Anchors'!$H$20-S119)/('Anchors'!$H$20-'Anchors'!$G$20))),"")</x:f>
        <x:v>100</x:v>
      </x:c>
      <x:c r="AL119" s="33" t="n">
        <x:f>IF(ISNUMBER(T119),100*MAX(0,MIN(1,('Anchors'!$H$21-T119)/('Anchors'!$H$21-'Anchors'!$G$21))),"")</x:f>
        <x:v>87.0909090909091</x:v>
      </x:c>
      <x:c r="AM119" s="33" t="n">
        <x:f>IF(ISNUMBER(U119),100*MAX(0,MIN(1,('Anchors'!$H$22-U119)/('Anchors'!$H$22-'Anchors'!$G$22))),"")</x:f>
        <x:v>44.29226091355795</x:v>
      </x:c>
      <x:c r="AN119" s="33" t="n">
        <x:f>IF(ISNUMBER(V119),100*MAX(0,MIN(1,('Anchors'!$H$23-V119)/('Anchors'!$H$23-'Anchors'!$G$23))),"")</x:f>
        <x:v>68.6431055263375</x:v>
      </x:c>
      <x:c r="AO119" s="27" t="n">
        <x:f>IF(ISNUMBER(W119),IF('Scoring Setup'!$L$9=1,1-'Scoring Setup'!$B$5*(1-MAX(0,MIN(1,(W119-'Scoring Setup'!$K$9)/(100-'Scoring Setup'!$K$9)))),1),"")</x:f>
        <x:v>0.8234285714285714</x:v>
      </x:c>
      <x:c r="AP119" s="27" t="n">
        <x:f>IF(ISNUMBER(X119),IF('Scoring Setup'!$L$10=1,1-'Scoring Setup'!$B$5*(1-MAX(0,MIN(1,(X119-'Scoring Setup'!$K$10)/(100-'Scoring Setup'!$K$10)))),1),"")</x:f>
        <x:v>0.8511492220650637</x:v>
      </x:c>
      <x:c r="AQ119" s="27" t="n">
        <x:f>IF(ISNUMBER(Y119),IF('Scoring Setup'!$L$11=1,1-'Scoring Setup'!$B$5*(1-MAX(0,MIN(1,(Y119-'Scoring Setup'!$K$11)/(100-'Scoring Setup'!$K$11)))),1),"")</x:f>
        <x:v>0.9003021826460986</x:v>
      </x:c>
      <x:c r="AR119" s="27" t="n">
        <x:f>IF(ISNUMBER(Z119),IF('Scoring Setup'!$L$12=1,1-'Scoring Setup'!$B$5*(1-MAX(0,MIN(1,(Z119-'Scoring Setup'!$K$12)/(100-'Scoring Setup'!$K$12)))),1),"")</x:f>
        <x:v>0.9216789849400865</x:v>
      </x:c>
      <x:c r="AS119" s="27" t="n">
        <x:f>IF(ISNUMBER(AA119),IF('Scoring Setup'!$L$13=1,1-'Scoring Setup'!$B$5*(1-MAX(0,MIN(1,(AA119-'Scoring Setup'!$K$13)/(100-'Scoring Setup'!$K$13)))),1),"")</x:f>
        <x:v>0.9785169299146366</x:v>
      </x:c>
      <x:c r="AT119" s="27" t="n">
        <x:f>IF(ISNUMBER(AB119),IF('Scoring Setup'!$L$14=1,1-'Scoring Setup'!$B$5*(1-MAX(0,MIN(1,(AB119-'Scoring Setup'!$K$14)/(100-'Scoring Setup'!$K$14)))),1),"")</x:f>
        <x:v>0.9759249432549708</x:v>
      </x:c>
      <x:c r="AU119" s="27" t="n">
        <x:f>IF(ISNUMBER(AC119),IF('Scoring Setup'!$L$15=1,1-'Scoring Setup'!$B$5*(1-MAX(0,MIN(1,(AC119-'Scoring Setup'!$K$15)/(100-'Scoring Setup'!$K$15)))),1),"")</x:f>
        <x:v>0.9968922439663931</x:v>
      </x:c>
      <x:c r="AV119" s="27" t="n">
        <x:f>IF(ISNUMBER(AD119),IF('Scoring Setup'!$L$16=1,1-'Scoring Setup'!$B$5*(1-MAX(0,MIN(1,(AD119-'Scoring Setup'!$K$16)/(100-'Scoring Setup'!$K$16)))),1),"")</x:f>
        <x:v>0.8334020865714286</x:v>
      </x:c>
      <x:c r="AW119" s="27" t="n">
        <x:f>IF(ISNUMBER(AE119),IF('Scoring Setup'!$L$17=1,1-'Scoring Setup'!$B$5*(1-MAX(0,MIN(1,(AE119-'Scoring Setup'!$K$17)/(100-'Scoring Setup'!$K$17)))),1),"")</x:f>
        <x:v>0.8542006695</x:v>
      </x:c>
      <x:c r="AX119" s="27" t="n">
        <x:f>IF(ISNUMBER(AF119),IF('Scoring Setup'!$L$18=1,1-'Scoring Setup'!$B$5*(1-MAX(0,MIN(1,(AF119-'Scoring Setup'!$K$18)/(100-'Scoring Setup'!$K$18)))),1),"")</x:f>
        <x:v>0.9058389972147161</x:v>
      </x:c>
      <x:c r="AY119" s="27" t="n">
        <x:f>IF(ISNUMBER(AG119),IF('Scoring Setup'!$L$19=1,1-'Scoring Setup'!$B$5*(1-MAX(0,MIN(1,(AG119-'Scoring Setup'!$K$19)/(100-'Scoring Setup'!$K$19)))),1),"")</x:f>
        <x:v>0.827</x:v>
      </x:c>
      <x:c r="AZ119" s="27" t="n">
        <x:f>IF(ISNUMBER(AH119),IF('Scoring Setup'!$L$20=1,1-'Scoring Setup'!$B$5*(1-MAX(0,MIN(1,(AH119-'Scoring Setup'!$K$20)/(100-'Scoring Setup'!$K$20)))),1),"")</x:f>
        <x:v>0.9086262776692708</x:v>
      </x:c>
      <x:c r="BA119" s="27" t="n">
        <x:f>IF(ISNUMBER(AI119),IF('Scoring Setup'!$L$21=1,1-'Scoring Setup'!$B$5*(1-MAX(0,MIN(1,(AI119-'Scoring Setup'!$K$21)/(100-'Scoring Setup'!$K$21)))),1),"")</x:f>
        <x:v>0.9231614325387137</x:v>
      </x:c>
      <x:c r="BB119" s="27" t="n">
        <x:f>IF(ISNUMBER(AJ119),IF('Scoring Setup'!$L$22=1,1-'Scoring Setup'!$B$5*(1-MAX(0,MIN(1,(AJ119-'Scoring Setup'!$K$22)/(100-'Scoring Setup'!$K$22)))),1),"")</x:f>
        <x:v>0.871131919212094</x:v>
      </x:c>
      <x:c r="BC119" s="27" t="n">
        <x:f>IF(ISNUMBER(AK119),IF('Scoring Setup'!$L$23=1,1-'Scoring Setup'!$B$5*(1-MAX(0,MIN(1,(AK119-'Scoring Setup'!$K$23)/(100-'Scoring Setup'!$K$23)))),1),"")</x:f>
        <x:v>1</x:v>
      </x:c>
      <x:c r="BD119" s="27" t="n">
        <x:f>IF(ISNUMBER(AL119),IF('Scoring Setup'!$L$24=1,1-'Scoring Setup'!$B$5*(1-MAX(0,MIN(1,(AL119-'Scoring Setup'!$K$24)/(100-'Scoring Setup'!$K$24)))),1),"")</x:f>
        <x:v>0.9741818181818181</x:v>
      </x:c>
      <x:c r="BE119" s="27" t="n">
        <x:f>IF(ISNUMBER(AM119),IF('Scoring Setup'!$L$25=1,1-'Scoring Setup'!$B$5*(1-MAX(0,MIN(1,(AM119-'Scoring Setup'!$K$25)/(100-'Scoring Setup'!$K$25)))),1),"")</x:f>
        <x:v>0.8885845218271159</x:v>
      </x:c>
      <x:c r="BF119" s="27" t="n">
        <x:f>IF(ISNUMBER(AN119),IF('Scoring Setup'!$L$26=1,1-'Scoring Setup'!$B$5*(1-MAX(0,MIN(1,(AN119-'Scoring Setup'!$K$26)/(100-'Scoring Setup'!$K$26)))),1),"")</x:f>
        <x:v>0.937286211052675</x:v>
      </x:c>
      <x:c r="BG119" s="34" t="n">
        <x:f>IF(COUNT(W119,X119)=2,AVERAGE(W119,X119),"")</x:f>
        <x:v>18.644448373408792</x:v>
      </x:c>
      <x:c r="BH119" s="34" t="n">
        <x:f>IF(COUNT(Y119,Z119)=2,AVERAGE(Y119,Z119),"")</x:f>
        <x:v>55.495291896546284</x:v>
      </x:c>
      <x:c r="BI119" s="34" t="n">
        <x:f>IF(COUNT(AA119,AB119,AC119)=3,AVERAGE(AA119,AB119,AC119),"")</x:f>
        <x:v>91.88901952266674</x:v>
      </x:c>
      <x:c r="BJ119" s="34" t="n">
        <x:f>IF(COUNT(AD119,AE119)=2,AVERAGE(AD119,AE119),"")</x:f>
        <x:v>21.90068901785714</x:v>
      </x:c>
      <x:c r="BK119" s="34" t="n">
        <x:f>IF(COUNT(AF119,AG119)=2,AVERAGE(AF119,AG119),"")</x:f>
        <x:v>33.209749303679004</x:v>
      </x:c>
      <x:c r="BL119" s="34" t="n">
        <x:f>IF(COUNT(AH119,AI119)=2,AVERAGE(AH119,AI119),"")</x:f>
        <x:v>57.94692755199614</x:v>
      </x:c>
      <x:c r="BM119" s="34" t="n">
        <x:f>IF(COUNT(AJ119,AK119)=2,AVERAGE(AJ119,AK119),"")</x:f>
        <x:v>67.7829798030235</x:v>
      </x:c>
      <x:c r="BN119" s="34" t="n">
        <x:f>IF(COUNT(AL119,AM119,AN119)=3,AVERAGE(AL119,AM119,AN119),"")</x:f>
        <x:v>66.67542517693484</x:v>
      </x:c>
      <x:c r="BO119" s="35" t="n">
        <x:f>IF(AND(COUNT(BG119:BN119)=8,ABS('Scoring Setup'!$C$17-1)&lt;0.000001),BG119*'Scoring Setup'!$C$9+BH119*'Scoring Setup'!$C$10+BI119*'Scoring Setup'!$C$11+BJ119*'Scoring Setup'!$C$12+BK119*'Scoring Setup'!$C$13+BL119*'Scoring Setup'!$C$14+BM119*'Scoring Setup'!$C$15+BN119*'Scoring Setup'!$C$16,"")</x:f>
        <x:v>53.95257192190186</x:v>
      </x:c>
      <x:c r="BP119" s="36" t="n">
        <x:f>IF(COUNT(AO119:BF119)=18,MIN(AO119:BF119),"")</x:f>
        <x:v>0.8234285714285714</x:v>
      </x:c>
      <x:c r="BQ119" s="35" t="n">
        <x:f>IF(AND(ISNUMBER(BO119),ISNUMBER(BP119)),BO119*BP119,"")</x:f>
        <x:v>44.426089222548896</x:v>
      </x:c>
      <x:c r="BR119" s="17" t="str">
        <x:f>IF(COUNT(AO119:BF119)=18,INDEX('Scoring Setup'!$F$9:$F$26,MATCH(MIN(AO119:BF119),AO119:BF119,0),1),"")</x:f>
        <x:v>野火全国百分位</x:v>
      </x:c>
    </x:row>
    <x:row r="120">
      <x:c r="A120" s="28" t="str">
        <x:v>13235</x:v>
      </x:c>
      <x:c r="B120" s="28" t="str">
        <x:v>Pulaski County</x:v>
      </x:c>
      <x:c r="C120" s="28" t="str">
        <x:v>GA</x:v>
      </x:c>
      <x:c r="D120" s="31" t="n">
        <x:v>645.583958</x:v>
      </x:c>
      <x:c r="E120" s="32" t="n">
        <x:v>0.479</x:v>
      </x:c>
      <x:c r="F120" s="32" t="n">
        <x:v>0.500928217821782</x:v>
      </x:c>
      <x:c r="G120" s="32" t="n">
        <x:v>2.5941844188976857</x:v>
      </x:c>
      <x:c r="H120" s="32" t="n">
        <x:v>2.469893082</x:v>
      </x:c>
      <x:c r="I120" s="32" t="n">
        <x:v>0.9372671510251291</x:v>
      </x:c>
      <x:c r="J120" s="32" t="n">
        <x:v>0.043799446915105254</x:v>
      </x:c>
      <x:c r="K120" s="32" t="n">
        <x:v>0.2383311844059112</x:v>
      </x:c>
      <x:c r="L120" s="32" t="n">
        <x:v>0.96021484</x:v>
      </x:c>
      <x:c r="M120" s="32" t="n">
        <x:v>0.96021484</x:v>
      </x:c>
      <x:c r="N120" s="32" t="n">
        <x:v>3857</x:v>
      </x:c>
      <x:c r="O120" s="32" t="n">
        <x:v>0.9376</x:v>
      </x:c>
      <x:c r="P120" s="32" t="n">
        <x:v>2219.582267252604</x:v>
      </x:c>
      <x:c r="Q120" s="32" t="n">
        <x:v>76.24696172078451</x:v>
      </x:c>
      <x:c r="R120" s="32" t="n">
        <x:v>24.31611900749998</x:v>
      </x:c>
      <x:c r="S120" s="32" t="n">
        <x:v>19.949893439532428</x:v>
      </x:c>
      <x:c r="T120" s="32" t="n">
        <x:v>72.1</x:v>
      </x:c>
      <x:c r="U120" s="32" t="n">
        <x:v>211.4154781728841</x:v>
      </x:c>
      <x:c r="V120" s="32" t="n">
        <x:v>325.42757789465</x:v>
      </x:c>
      <x:c r="W120" s="33" t="n">
        <x:f>IF(ISNUMBER(E120),100*MAX(0,MIN(1,('Anchors'!$H$6-E120)/('Anchors'!$H$6-'Anchors'!$G$6))),"")</x:f>
        <x:v>60.14285714285715</x:v>
      </x:c>
      <x:c r="X120" s="33" t="n">
        <x:f>IF(ISNUMBER(F120),100*MAX(0,MIN(1,('Anchors'!$H$7-F120)/('Anchors'!$H$7-'Anchors'!$G$7))),"")</x:f>
        <x:v>42.724540311174</x:v>
      </x:c>
      <x:c r="Y120" s="33" t="n">
        <x:f>IF(ISNUMBER(G120),100*MAX(0,MIN(1,('Anchors'!$H$8-G120)/('Anchors'!$H$8-'Anchors'!$G$8))),"")</x:f>
        <x:v>46.86051937007714</x:v>
      </x:c>
      <x:c r="Z120" s="33" t="n">
        <x:f>IF(ISNUMBER(H120),100*MAX(0,MIN(1,('Anchors'!$H$9-H120)/('Anchors'!$H$9-'Anchors'!$G$9))),"")</x:f>
        <x:v>51.00356393333333</x:v>
      </x:c>
      <x:c r="AA120" s="33" t="n">
        <x:f>IF(ISNUMBER(I120),100*MAX(0,MIN(1,(I120-'Anchors'!$H$10)/('Anchors'!$G$10-'Anchors'!$H$10))),"")</x:f>
        <x:v>94.1461850719355</x:v>
      </x:c>
      <x:c r="AB120" s="33" t="n">
        <x:f>IF(ISNUMBER(J120),100*MAX(0,MIN(1,('Anchors'!$H$11-J120)/('Anchors'!$H$11-'Anchors'!$G$11))),"")</x:f>
        <x:v>82.48022123395789</x:v>
      </x:c>
      <x:c r="AC120" s="33" t="n">
        <x:f>IF(ISNUMBER(K120),100*MAX(0,MIN(1,('Anchors'!$H$12-K120)/('Anchors'!$H$12-'Anchors'!$G$12))),"")</x:f>
        <x:v>40.4172038985222</x:v>
      </x:c>
      <x:c r="AD120" s="33" t="n">
        <x:f>IF(ISNUMBER(L120),100*MAX(0,MIN(1,(L120-'Anchors'!$H$13)/('Anchors'!$G$13-'Anchors'!$H$13))),"")</x:f>
        <x:v>100</x:v>
      </x:c>
      <x:c r="AE120" s="33" t="n">
        <x:f>IF(ISNUMBER(M120),100*MAX(0,MIN(1,(M120-'Anchors'!$H$14)/('Anchors'!$G$14-'Anchors'!$H$14))),"")</x:f>
        <x:v>100</x:v>
      </x:c>
      <x:c r="AF120" s="33" t="n">
        <x:f>IF(ISNUMBER(N120),100*MAX(0,MIN(1,(LN(1+N120)-LN(1+'Anchors'!$H$15))/(LN(1+'Anchors'!$G$15)-LN(1+'Anchors'!$H$15)))),"")</x:f>
        <x:v>15.207380905185158</x:v>
      </x:c>
      <x:c r="AG120" s="33" t="n">
        <x:f>IF(ISNUMBER(O120),100*MAX(0,MIN(1,('Anchors'!$H$16-O120)/('Anchors'!$H$16-'Anchors'!$G$16))),"")</x:f>
        <x:v>1.3777777777777742</x:v>
      </x:c>
      <x:c r="AH120" s="33" t="n">
        <x:f>IF(ISNUMBER(P120),100*MAX(0,MIN(1,('Anchors'!$H$17-P120)/('Anchors'!$H$17-'Anchors'!$G$17))),"")</x:f>
        <x:v>0</x:v>
      </x:c>
      <x:c r="AI120" s="33" t="n">
        <x:f>IF(ISNUMBER(Q120),100*MAX(0,MIN(1,('Anchors'!$H$18-Q120)/('Anchors'!$H$18-'Anchors'!$G$18))),"")</x:f>
        <x:v>0</x:v>
      </x:c>
      <x:c r="AJ120" s="33" t="n">
        <x:f>IF(ISNUMBER(R120),100*MAX(0,MIN(1,('Anchors'!$H$19-R120)/('Anchors'!$H$19-'Anchors'!$G$19))),"")</x:f>
        <x:v>57.07529109444448</x:v>
      </x:c>
      <x:c r="AK120" s="33" t="n">
        <x:f>IF(ISNUMBER(S120),100*MAX(0,MIN(1,('Anchors'!$H$20-S120)/('Anchors'!$H$20-'Anchors'!$G$20))),"")</x:f>
        <x:v>0.26371873930301226</x:v>
      </x:c>
      <x:c r="AL120" s="33" t="n">
        <x:f>IF(ISNUMBER(T120),100*MAX(0,MIN(1,('Anchors'!$H$21-T120)/('Anchors'!$H$21-'Anchors'!$G$21))),"")</x:f>
        <x:v>87.0909090909091</x:v>
      </x:c>
      <x:c r="AM120" s="33" t="n">
        <x:f>IF(ISNUMBER(U120),100*MAX(0,MIN(1,('Anchors'!$H$22-U120)/('Anchors'!$H$22-'Anchors'!$G$22))),"")</x:f>
        <x:v>44.29226091355795</x:v>
      </x:c>
      <x:c r="AN120" s="33" t="n">
        <x:f>IF(ISNUMBER(V120),100*MAX(0,MIN(1,('Anchors'!$H$23-V120)/('Anchors'!$H$23-'Anchors'!$G$23))),"")</x:f>
        <x:v>68.6431055263375</x:v>
      </x:c>
      <x:c r="AO120" s="27" t="n">
        <x:f>IF(ISNUMBER(W120),IF('Scoring Setup'!$L$9=1,1-'Scoring Setup'!$B$5*(1-MAX(0,MIN(1,(W120-'Scoring Setup'!$K$9)/(100-'Scoring Setup'!$K$9)))),1),"")</x:f>
        <x:v>0.9202857142857143</x:v>
      </x:c>
      <x:c r="AP120" s="27" t="n">
        <x:f>IF(ISNUMBER(X120),IF('Scoring Setup'!$L$10=1,1-'Scoring Setup'!$B$5*(1-MAX(0,MIN(1,(X120-'Scoring Setup'!$K$10)/(100-'Scoring Setup'!$K$10)))),1),"")</x:f>
        <x:v>0.8854490806223481</x:v>
      </x:c>
      <x:c r="AQ120" s="27" t="n">
        <x:f>IF(ISNUMBER(Y120),IF('Scoring Setup'!$L$11=1,1-'Scoring Setup'!$B$5*(1-MAX(0,MIN(1,(Y120-'Scoring Setup'!$K$11)/(100-'Scoring Setup'!$K$11)))),1),"")</x:f>
        <x:v>0.8937210387401543</x:v>
      </x:c>
      <x:c r="AR120" s="27" t="n">
        <x:f>IF(ISNUMBER(Z120),IF('Scoring Setup'!$L$12=1,1-'Scoring Setup'!$B$5*(1-MAX(0,MIN(1,(Z120-'Scoring Setup'!$K$12)/(100-'Scoring Setup'!$K$12)))),1),"")</x:f>
        <x:v>0.9020071278666666</x:v>
      </x:c>
      <x:c r="AS120" s="27" t="n">
        <x:f>IF(ISNUMBER(AA120),IF('Scoring Setup'!$L$13=1,1-'Scoring Setup'!$B$5*(1-MAX(0,MIN(1,(AA120-'Scoring Setup'!$K$13)/(100-'Scoring Setup'!$K$13)))),1),"")</x:f>
        <x:v>0.9882923701438711</x:v>
      </x:c>
      <x:c r="AT120" s="27" t="n">
        <x:f>IF(ISNUMBER(AB120),IF('Scoring Setup'!$L$14=1,1-'Scoring Setup'!$B$5*(1-MAX(0,MIN(1,(AB120-'Scoring Setup'!$K$14)/(100-'Scoring Setup'!$K$14)))),1),"")</x:f>
        <x:v>0.9649604424679158</x:v>
      </x:c>
      <x:c r="AU120" s="27" t="n">
        <x:f>IF(ISNUMBER(AC120),IF('Scoring Setup'!$L$15=1,1-'Scoring Setup'!$B$5*(1-MAX(0,MIN(1,(AC120-'Scoring Setup'!$K$15)/(100-'Scoring Setup'!$K$15)))),1),"")</x:f>
        <x:v>0.8808344077970444</x:v>
      </x:c>
      <x:c r="AV120" s="27" t="n">
        <x:f>IF(ISNUMBER(AD120),IF('Scoring Setup'!$L$16=1,1-'Scoring Setup'!$B$5*(1-MAX(0,MIN(1,(AD120-'Scoring Setup'!$K$16)/(100-'Scoring Setup'!$K$16)))),1),"")</x:f>
        <x:v>1</x:v>
      </x:c>
      <x:c r="AW120" s="27" t="n">
        <x:f>IF(ISNUMBER(AE120),IF('Scoring Setup'!$L$17=1,1-'Scoring Setup'!$B$5*(1-MAX(0,MIN(1,(AE120-'Scoring Setup'!$K$17)/(100-'Scoring Setup'!$K$17)))),1),"")</x:f>
        <x:v>1</x:v>
      </x:c>
      <x:c r="AX120" s="27" t="n">
        <x:f>IF(ISNUMBER(AF120),IF('Scoring Setup'!$L$18=1,1-'Scoring Setup'!$B$5*(1-MAX(0,MIN(1,(AF120-'Scoring Setup'!$K$18)/(100-'Scoring Setup'!$K$18)))),1),"")</x:f>
        <x:v>0.8304147618103703</x:v>
      </x:c>
      <x:c r="AY120" s="27" t="n">
        <x:f>IF(ISNUMBER(AG120),IF('Scoring Setup'!$L$19=1,1-'Scoring Setup'!$B$5*(1-MAX(0,MIN(1,(AG120-'Scoring Setup'!$K$19)/(100-'Scoring Setup'!$K$19)))),1),"")</x:f>
        <x:v>0.8027555555555556</x:v>
      </x:c>
      <x:c r="AZ120" s="27" t="n">
        <x:f>IF(ISNUMBER(AH120),IF('Scoring Setup'!$L$20=1,1-'Scoring Setup'!$B$5*(1-MAX(0,MIN(1,(AH120-'Scoring Setup'!$K$20)/(100-'Scoring Setup'!$K$20)))),1),"")</x:f>
        <x:v>0.8</x:v>
      </x:c>
      <x:c r="BA120" s="27" t="n">
        <x:f>IF(ISNUMBER(AI120),IF('Scoring Setup'!$L$21=1,1-'Scoring Setup'!$B$5*(1-MAX(0,MIN(1,(AI120-'Scoring Setup'!$K$21)/(100-'Scoring Setup'!$K$21)))),1),"")</x:f>
        <x:v>0.8</x:v>
      </x:c>
      <x:c r="BB120" s="27" t="n">
        <x:f>IF(ISNUMBER(AJ120),IF('Scoring Setup'!$L$22=1,1-'Scoring Setup'!$B$5*(1-MAX(0,MIN(1,(AJ120-'Scoring Setup'!$K$22)/(100-'Scoring Setup'!$K$22)))),1),"")</x:f>
        <x:v>0.9141505821888889</x:v>
      </x:c>
      <x:c r="BC120" s="27" t="n">
        <x:f>IF(ISNUMBER(AK120),IF('Scoring Setup'!$L$23=1,1-'Scoring Setup'!$B$5*(1-MAX(0,MIN(1,(AK120-'Scoring Setup'!$K$23)/(100-'Scoring Setup'!$K$23)))),1),"")</x:f>
        <x:v>0.800527437478606</x:v>
      </x:c>
      <x:c r="BD120" s="27" t="n">
        <x:f>IF(ISNUMBER(AL120),IF('Scoring Setup'!$L$24=1,1-'Scoring Setup'!$B$5*(1-MAX(0,MIN(1,(AL120-'Scoring Setup'!$K$24)/(100-'Scoring Setup'!$K$24)))),1),"")</x:f>
        <x:v>0.9741818181818181</x:v>
      </x:c>
      <x:c r="BE120" s="27" t="n">
        <x:f>IF(ISNUMBER(AM120),IF('Scoring Setup'!$L$25=1,1-'Scoring Setup'!$B$5*(1-MAX(0,MIN(1,(AM120-'Scoring Setup'!$K$25)/(100-'Scoring Setup'!$K$25)))),1),"")</x:f>
        <x:v>0.8885845218271159</x:v>
      </x:c>
      <x:c r="BF120" s="27" t="n">
        <x:f>IF(ISNUMBER(AN120),IF('Scoring Setup'!$L$26=1,1-'Scoring Setup'!$B$5*(1-MAX(0,MIN(1,(AN120-'Scoring Setup'!$K$26)/(100-'Scoring Setup'!$K$26)))),1),"")</x:f>
        <x:v>0.937286211052675</x:v>
      </x:c>
      <x:c r="BG120" s="34" t="n">
        <x:f>IF(COUNT(W120,X120)=2,AVERAGE(W120,X120),"")</x:f>
        <x:v>51.43369872701558</x:v>
      </x:c>
      <x:c r="BH120" s="34" t="n">
        <x:f>IF(COUNT(Y120,Z120)=2,AVERAGE(Y120,Z120),"")</x:f>
        <x:v>48.932041651705234</x:v>
      </x:c>
      <x:c r="BI120" s="34" t="n">
        <x:f>IF(COUNT(AA120,AB120,AC120)=3,AVERAGE(AA120,AB120,AC120),"")</x:f>
        <x:v>72.34787006813853</x:v>
      </x:c>
      <x:c r="BJ120" s="34" t="n">
        <x:f>IF(COUNT(AD120,AE120)=2,AVERAGE(AD120,AE120),"")</x:f>
        <x:v>100</x:v>
      </x:c>
      <x:c r="BK120" s="34" t="n">
        <x:f>IF(COUNT(AF120,AG120)=2,AVERAGE(AF120,AG120),"")</x:f>
        <x:v>8.292579341481465</x:v>
      </x:c>
      <x:c r="BL120" s="34" t="n">
        <x:f>IF(COUNT(AH120,AI120)=2,AVERAGE(AH120,AI120),"")</x:f>
        <x:v>0</x:v>
      </x:c>
      <x:c r="BM120" s="34" t="n">
        <x:f>IF(COUNT(AJ120,AK120)=2,AVERAGE(AJ120,AK120),"")</x:f>
        <x:v>28.669504916873745</x:v>
      </x:c>
      <x:c r="BN120" s="34" t="n">
        <x:f>IF(COUNT(AL120,AM120,AN120)=3,AVERAGE(AL120,AM120,AN120),"")</x:f>
        <x:v>66.67542517693484</x:v>
      </x:c>
      <x:c r="BO120" s="35" t="n">
        <x:f>IF(AND(COUNT(BG120:BN120)=8,ABS('Scoring Setup'!$C$17-1)&lt;0.000001),BG120*'Scoring Setup'!$C$9+BH120*'Scoring Setup'!$C$10+BI120*'Scoring Setup'!$C$11+BJ120*'Scoring Setup'!$C$12+BK120*'Scoring Setup'!$C$13+BL120*'Scoring Setup'!$C$14+BM120*'Scoring Setup'!$C$15+BN120*'Scoring Setup'!$C$16,"")</x:f>
        <x:v>54.42992594292875</x:v>
      </x:c>
      <x:c r="BP120" s="36" t="n">
        <x:f>IF(COUNT(AO120:BF120)=18,MIN(AO120:BF120),"")</x:f>
        <x:v>0.8</x:v>
      </x:c>
      <x:c r="BQ120" s="35" t="n">
        <x:f>IF(AND(ISNUMBER(BO120),ISNUMBER(BP120)),BO120*BP120,"")</x:f>
        <x:v>43.543940754343</x:v>
      </x:c>
      <x:c r="BR120" s="17" t="str">
        <x:f>IF(COUNT(AO120:BF120)=18,INDEX('Scoring Setup'!$F$9:$F$26,MATCH(MIN(AO120:BF120),AO120:BF120,0),1),"")</x:f>
        <x:v>历史CDD65</x:v>
      </x:c>
    </x:row>
    <x:row r="121">
      <x:c r="A121" s="28" t="str">
        <x:v>13237</x:v>
      </x:c>
      <x:c r="B121" s="28" t="str">
        <x:v>Putnam County</x:v>
      </x:c>
      <x:c r="C121" s="28" t="str">
        <x:v>GA</x:v>
      </x:c>
      <x:c r="D121" s="31" t="n">
        <x:v>892.721735</x:v>
      </x:c>
      <x:c r="E121" s="32" t="n">
        <x:v>0.622</x:v>
      </x:c>
      <x:c r="F121" s="32" t="n">
        <x:v>0.9112004950495051</x:v>
      </x:c>
      <x:c r="G121" s="32" t="n">
        <x:v>2.101601868026963</x:v>
      </x:c>
      <x:c r="H121" s="32" t="n">
        <x:v>1.909171031</x:v>
      </x:c>
      <x:c r="I121" s="32" t="n">
        <x:v>0.9292283765154996</x:v>
      </x:c>
      <x:c r="J121" s="32" t="n">
        <x:v>0.18358530148168561</x:v>
      </x:c>
      <x:c r="K121" s="32" t="n">
        <x:v>0.03186374263395224</x:v>
      </x:c>
      <x:c r="L121" s="32" t="n">
        <x:v>0.845989235</x:v>
      </x:c>
      <x:c r="M121" s="32" t="n">
        <x:v>0.845989235</x:v>
      </x:c>
      <x:c r="N121" s="32" t="n">
        <x:v>10118</x:v>
      </x:c>
      <x:c r="O121" s="32" t="n">
        <x:v>0.5679</x:v>
      </x:c>
      <x:c r="P121" s="32" t="n">
        <x:v>1859.2882568359375</x:v>
      </x:c>
      <x:c r="Q121" s="32" t="n">
        <x:v>60.57427876790364</x:v>
      </x:c>
      <x:c r="R121" s="32" t="n">
        <x:v>24.625543683131628</x:v>
      </x:c>
      <x:c r="S121" s="32" t="n">
        <x:v>1.3077630136658325</x:v>
      </x:c>
      <x:c r="T121" s="32" t="n">
        <x:v>72.1</x:v>
      </x:c>
      <x:c r="U121" s="32" t="n">
        <x:v>211.4154781728841</x:v>
      </x:c>
      <x:c r="V121" s="32" t="n">
        <x:v>325.42757789465</x:v>
      </x:c>
      <x:c r="W121" s="33" t="n">
        <x:f>IF(ISNUMBER(E121),100*MAX(0,MIN(1,('Anchors'!$H$6-E121)/('Anchors'!$H$6-'Anchors'!$G$6))),"")</x:f>
        <x:v>39.714285714285715</x:v>
      </x:c>
      <x:c r="X121" s="33" t="n">
        <x:f>IF(ISNUMBER(F121),100*MAX(0,MIN(1,('Anchors'!$H$7-F121)/('Anchors'!$H$7-'Anchors'!$G$7))),"")</x:f>
        <x:v>0</x:v>
      </x:c>
      <x:c r="Y121" s="33" t="n">
        <x:f>IF(ISNUMBER(G121),100*MAX(0,MIN(1,('Anchors'!$H$8-G121)/('Anchors'!$H$8-'Anchors'!$G$8))),"")</x:f>
        <x:v>63.279937732434576</x:v>
      </x:c>
      <x:c r="Z121" s="33" t="n">
        <x:f>IF(ISNUMBER(H121),100*MAX(0,MIN(1,('Anchors'!$H$9-H121)/('Anchors'!$H$9-'Anchors'!$G$9))),"")</x:f>
        <x:v>69.69429896666666</x:v>
      </x:c>
      <x:c r="AA121" s="33" t="n">
        <x:f>IF(ISNUMBER(I121),100*MAX(0,MIN(1,(I121-'Anchors'!$H$10)/('Anchors'!$G$10-'Anchors'!$H$10))),"")</x:f>
        <x:v>93.04498308431502</x:v>
      </x:c>
      <x:c r="AB121" s="33" t="n">
        <x:f>IF(ISNUMBER(J121),100*MAX(0,MIN(1,('Anchors'!$H$11-J121)/('Anchors'!$H$11-'Anchors'!$G$11))),"")</x:f>
        <x:v>26.565879407325752</x:v>
      </x:c>
      <x:c r="AC121" s="33" t="n">
        <x:f>IF(ISNUMBER(K121),100*MAX(0,MIN(1,('Anchors'!$H$12-K121)/('Anchors'!$H$12-'Anchors'!$G$12))),"")</x:f>
        <x:v>92.03406434151194</x:v>
      </x:c>
      <x:c r="AD121" s="33" t="n">
        <x:f>IF(ISNUMBER(L121),100*MAX(0,MIN(1,(L121-'Anchors'!$H$13)/('Anchors'!$G$13-'Anchors'!$H$13))),"")</x:f>
        <x:v>92.28417642857144</x:v>
      </x:c>
      <x:c r="AE121" s="33" t="n">
        <x:f>IF(ISNUMBER(M121),100*MAX(0,MIN(1,(M121-'Anchors'!$H$14)/('Anchors'!$G$14-'Anchors'!$H$14))),"")</x:f>
        <x:v>93.248654375</x:v>
      </x:c>
      <x:c r="AF121" s="33" t="n">
        <x:f>IF(ISNUMBER(N121),100*MAX(0,MIN(1,(LN(1+N121)-LN(1+'Anchors'!$H$15))/(LN(1+'Anchors'!$G$15)-LN(1+'Anchors'!$H$15)))),"")</x:f>
        <x:v>37.543889320244645</x:v>
      </x:c>
      <x:c r="AG121" s="33" t="n">
        <x:f>IF(ISNUMBER(O121),100*MAX(0,MIN(1,('Anchors'!$H$16-O121)/('Anchors'!$H$16-'Anchors'!$G$16))),"")</x:f>
        <x:v>42.455555555555556</x:v>
      </x:c>
      <x:c r="AH121" s="33" t="n">
        <x:f>IF(ISNUMBER(P121),100*MAX(0,MIN(1,('Anchors'!$H$17-P121)/('Anchors'!$H$17-'Anchors'!$G$17))),"")</x:f>
        <x:v>22.714116210937497</x:v>
      </x:c>
      <x:c r="AI121" s="33" t="n">
        <x:f>IF(ISNUMBER(Q121),100*MAX(0,MIN(1,('Anchors'!$H$18-Q121)/('Anchors'!$H$18-'Anchors'!$G$18))),"")</x:f>
        <x:v>20.60817318870908</x:v>
      </x:c>
      <x:c r="AJ121" s="33" t="n">
        <x:f>IF(ISNUMBER(R121),100*MAX(0,MIN(1,('Anchors'!$H$19-R121)/('Anchors'!$H$19-'Anchors'!$G$19))),"")</x:f>
        <x:v>56.38768070415193</x:v>
      </x:c>
      <x:c r="AK121" s="33" t="n">
        <x:f>IF(ISNUMBER(S121),100*MAX(0,MIN(1,('Anchors'!$H$20-S121)/('Anchors'!$H$20-'Anchors'!$G$20))),"")</x:f>
        <x:v>98.38019466491666</x:v>
      </x:c>
      <x:c r="AL121" s="33" t="n">
        <x:f>IF(ISNUMBER(T121),100*MAX(0,MIN(1,('Anchors'!$H$21-T121)/('Anchors'!$H$21-'Anchors'!$G$21))),"")</x:f>
        <x:v>87.0909090909091</x:v>
      </x:c>
      <x:c r="AM121" s="33" t="n">
        <x:f>IF(ISNUMBER(U121),100*MAX(0,MIN(1,('Anchors'!$H$22-U121)/('Anchors'!$H$22-'Anchors'!$G$22))),"")</x:f>
        <x:v>44.29226091355795</x:v>
      </x:c>
      <x:c r="AN121" s="33" t="n">
        <x:f>IF(ISNUMBER(V121),100*MAX(0,MIN(1,('Anchors'!$H$23-V121)/('Anchors'!$H$23-'Anchors'!$G$23))),"")</x:f>
        <x:v>68.6431055263375</x:v>
      </x:c>
      <x:c r="AO121" s="27" t="n">
        <x:f>IF(ISNUMBER(W121),IF('Scoring Setup'!$L$9=1,1-'Scoring Setup'!$B$5*(1-MAX(0,MIN(1,(W121-'Scoring Setup'!$K$9)/(100-'Scoring Setup'!$K$9)))),1),"")</x:f>
        <x:v>0.8794285714285714</x:v>
      </x:c>
      <x:c r="AP121" s="27" t="n">
        <x:f>IF(ISNUMBER(X121),IF('Scoring Setup'!$L$10=1,1-'Scoring Setup'!$B$5*(1-MAX(0,MIN(1,(X121-'Scoring Setup'!$K$10)/(100-'Scoring Setup'!$K$10)))),1),"")</x:f>
        <x:v>0.8</x:v>
      </x:c>
      <x:c r="AQ121" s="27" t="n">
        <x:f>IF(ISNUMBER(Y121),IF('Scoring Setup'!$L$11=1,1-'Scoring Setup'!$B$5*(1-MAX(0,MIN(1,(Y121-'Scoring Setup'!$K$11)/(100-'Scoring Setup'!$K$11)))),1),"")</x:f>
        <x:v>0.9265598754648692</x:v>
      </x:c>
      <x:c r="AR121" s="27" t="n">
        <x:f>IF(ISNUMBER(Z121),IF('Scoring Setup'!$L$12=1,1-'Scoring Setup'!$B$5*(1-MAX(0,MIN(1,(Z121-'Scoring Setup'!$K$12)/(100-'Scoring Setup'!$K$12)))),1),"")</x:f>
        <x:v>0.9393885979333333</x:v>
      </x:c>
      <x:c r="AS121" s="27" t="n">
        <x:f>IF(ISNUMBER(AA121),IF('Scoring Setup'!$L$13=1,1-'Scoring Setup'!$B$5*(1-MAX(0,MIN(1,(AA121-'Scoring Setup'!$K$13)/(100-'Scoring Setup'!$K$13)))),1),"")</x:f>
        <x:v>0.9860899661686301</x:v>
      </x:c>
      <x:c r="AT121" s="27" t="n">
        <x:f>IF(ISNUMBER(AB121),IF('Scoring Setup'!$L$14=1,1-'Scoring Setup'!$B$5*(1-MAX(0,MIN(1,(AB121-'Scoring Setup'!$K$14)/(100-'Scoring Setup'!$K$14)))),1),"")</x:f>
        <x:v>0.8531317588146515</x:v>
      </x:c>
      <x:c r="AU121" s="27" t="n">
        <x:f>IF(ISNUMBER(AC121),IF('Scoring Setup'!$L$15=1,1-'Scoring Setup'!$B$5*(1-MAX(0,MIN(1,(AC121-'Scoring Setup'!$K$15)/(100-'Scoring Setup'!$K$15)))),1),"")</x:f>
        <x:v>0.9840681286830238</x:v>
      </x:c>
      <x:c r="AV121" s="27" t="n">
        <x:f>IF(ISNUMBER(AD121),IF('Scoring Setup'!$L$16=1,1-'Scoring Setup'!$B$5*(1-MAX(0,MIN(1,(AD121-'Scoring Setup'!$K$16)/(100-'Scoring Setup'!$K$16)))),1),"")</x:f>
        <x:v>0.9845683528571428</x:v>
      </x:c>
      <x:c r="AW121" s="27" t="n">
        <x:f>IF(ISNUMBER(AE121),IF('Scoring Setup'!$L$17=1,1-'Scoring Setup'!$B$5*(1-MAX(0,MIN(1,(AE121-'Scoring Setup'!$K$17)/(100-'Scoring Setup'!$K$17)))),1),"")</x:f>
        <x:v>0.98649730875</x:v>
      </x:c>
      <x:c r="AX121" s="27" t="n">
        <x:f>IF(ISNUMBER(AF121),IF('Scoring Setup'!$L$18=1,1-'Scoring Setup'!$B$5*(1-MAX(0,MIN(1,(AF121-'Scoring Setup'!$K$18)/(100-'Scoring Setup'!$K$18)))),1),"")</x:f>
        <x:v>0.8750877786404893</x:v>
      </x:c>
      <x:c r="AY121" s="27" t="n">
        <x:f>IF(ISNUMBER(AG121),IF('Scoring Setup'!$L$19=1,1-'Scoring Setup'!$B$5*(1-MAX(0,MIN(1,(AG121-'Scoring Setup'!$K$19)/(100-'Scoring Setup'!$K$19)))),1),"")</x:f>
        <x:v>0.8849111111111111</x:v>
      </x:c>
      <x:c r="AZ121" s="27" t="n">
        <x:f>IF(ISNUMBER(AH121),IF('Scoring Setup'!$L$20=1,1-'Scoring Setup'!$B$5*(1-MAX(0,MIN(1,(AH121-'Scoring Setup'!$K$20)/(100-'Scoring Setup'!$K$20)))),1),"")</x:f>
        <x:v>0.8454282324218749</x:v>
      </x:c>
      <x:c r="BA121" s="27" t="n">
        <x:f>IF(ISNUMBER(AI121),IF('Scoring Setup'!$L$21=1,1-'Scoring Setup'!$B$5*(1-MAX(0,MIN(1,(AI121-'Scoring Setup'!$K$21)/(100-'Scoring Setup'!$K$21)))),1),"")</x:f>
        <x:v>0.8412163463774182</x:v>
      </x:c>
      <x:c r="BB121" s="27" t="n">
        <x:f>IF(ISNUMBER(AJ121),IF('Scoring Setup'!$L$22=1,1-'Scoring Setup'!$B$5*(1-MAX(0,MIN(1,(AJ121-'Scoring Setup'!$K$22)/(100-'Scoring Setup'!$K$22)))),1),"")</x:f>
        <x:v>0.9127753614083038</x:v>
      </x:c>
      <x:c r="BC121" s="27" t="n">
        <x:f>IF(ISNUMBER(AK121),IF('Scoring Setup'!$L$23=1,1-'Scoring Setup'!$B$5*(1-MAX(0,MIN(1,(AK121-'Scoring Setup'!$K$23)/(100-'Scoring Setup'!$K$23)))),1),"")</x:f>
        <x:v>0.9967603893298334</x:v>
      </x:c>
      <x:c r="BD121" s="27" t="n">
        <x:f>IF(ISNUMBER(AL121),IF('Scoring Setup'!$L$24=1,1-'Scoring Setup'!$B$5*(1-MAX(0,MIN(1,(AL121-'Scoring Setup'!$K$24)/(100-'Scoring Setup'!$K$24)))),1),"")</x:f>
        <x:v>0.9741818181818181</x:v>
      </x:c>
      <x:c r="BE121" s="27" t="n">
        <x:f>IF(ISNUMBER(AM121),IF('Scoring Setup'!$L$25=1,1-'Scoring Setup'!$B$5*(1-MAX(0,MIN(1,(AM121-'Scoring Setup'!$K$25)/(100-'Scoring Setup'!$K$25)))),1),"")</x:f>
        <x:v>0.8885845218271159</x:v>
      </x:c>
      <x:c r="BF121" s="27" t="n">
        <x:f>IF(ISNUMBER(AN121),IF('Scoring Setup'!$L$26=1,1-'Scoring Setup'!$B$5*(1-MAX(0,MIN(1,(AN121-'Scoring Setup'!$K$26)/(100-'Scoring Setup'!$K$26)))),1),"")</x:f>
        <x:v>0.937286211052675</x:v>
      </x:c>
      <x:c r="BG121" s="34" t="n">
        <x:f>IF(COUNT(W121,X121)=2,AVERAGE(W121,X121),"")</x:f>
        <x:v>19.857142857142858</x:v>
      </x:c>
      <x:c r="BH121" s="34" t="n">
        <x:f>IF(COUNT(Y121,Z121)=2,AVERAGE(Y121,Z121),"")</x:f>
        <x:v>66.48711834955063</x:v>
      </x:c>
      <x:c r="BI121" s="34" t="n">
        <x:f>IF(COUNT(AA121,AB121,AC121)=3,AVERAGE(AA121,AB121,AC121),"")</x:f>
        <x:v>70.54830894438423</x:v>
      </x:c>
      <x:c r="BJ121" s="34" t="n">
        <x:f>IF(COUNT(AD121,AE121)=2,AVERAGE(AD121,AE121),"")</x:f>
        <x:v>92.76641540178572</x:v>
      </x:c>
      <x:c r="BK121" s="34" t="n">
        <x:f>IF(COUNT(AF121,AG121)=2,AVERAGE(AF121,AG121),"")</x:f>
        <x:v>39.999722437900104</x:v>
      </x:c>
      <x:c r="BL121" s="34" t="n">
        <x:f>IF(COUNT(AH121,AI121)=2,AVERAGE(AH121,AI121),"")</x:f>
        <x:v>21.66114469982329</x:v>
      </x:c>
      <x:c r="BM121" s="34" t="n">
        <x:f>IF(COUNT(AJ121,AK121)=2,AVERAGE(AJ121,AK121),"")</x:f>
        <x:v>77.38393768453429</x:v>
      </x:c>
      <x:c r="BN121" s="34" t="n">
        <x:f>IF(COUNT(AL121,AM121,AN121)=3,AVERAGE(AL121,AM121,AN121),"")</x:f>
        <x:v>66.67542517693484</x:v>
      </x:c>
      <x:c r="BO121" s="35" t="n">
        <x:f>IF(AND(COUNT(BG121:BN121)=8,ABS('Scoring Setup'!$C$17-1)&lt;0.000001),BG121*'Scoring Setup'!$C$9+BH121*'Scoring Setup'!$C$10+BI121*'Scoring Setup'!$C$11+BJ121*'Scoring Setup'!$C$12+BK121*'Scoring Setup'!$C$13+BL121*'Scoring Setup'!$C$14+BM121*'Scoring Setup'!$C$15+BN121*'Scoring Setup'!$C$16,"")</x:f>
        <x:v>60.569464306329756</x:v>
      </x:c>
      <x:c r="BP121" s="36" t="n">
        <x:f>IF(COUNT(AO121:BF121)=18,MIN(AO121:BF121),"")</x:f>
        <x:v>0.8</x:v>
      </x:c>
      <x:c r="BQ121" s="35" t="n">
        <x:f>IF(AND(ISNUMBER(BO121),ISNUMBER(BP121)),BO121*BP121,"")</x:f>
        <x:v>48.45557144506381</x:v>
      </x:c>
      <x:c r="BR121" s="17" t="str">
        <x:f>IF(COUNT(AO121:BF121)=18,INDEX('Scoring Setup'!$F$9:$F$26,MATCH(MIN(AO121:BF121),AO121:BF121,0),1),"")</x:f>
        <x:v>洪水损失率全国百分位</x:v>
      </x:c>
    </x:row>
    <x:row r="122">
      <x:c r="A122" s="28" t="str">
        <x:v>13239</x:v>
      </x:c>
      <x:c r="B122" s="28" t="str">
        <x:v>Quitman County</x:v>
      </x:c>
      <x:c r="C122" s="28" t="str">
        <x:v>GA</x:v>
      </x:c>
      <x:c r="D122" s="31" t="n">
        <x:v>391.703077</x:v>
      </x:c>
      <x:c r="E122" s="32" t="n">
        <x:v>0.619</x:v>
      </x:c>
      <x:c r="F122" s="32" t="n">
        <x:v>0.474938118811881</x:v>
      </x:c>
      <x:c r="G122" s="32" t="n">
        <x:v>0.0013033921556378832</x:v>
      </x:c>
      <x:c r="H122" s="32" t="n">
        <x:v>0.0017290514813823935</x:v>
      </x:c>
      <x:c r="I122" s="32" t="n">
        <x:v>0.9582335452968866</x:v>
      </x:c>
      <x:c r="J122" s="32" t="n">
        <x:v>0.0028687474370313925</x:v>
      </x:c>
      <x:c r="K122" s="32" t="n">
        <x:v>0.1001803066589589</x:v>
      </x:c>
      <x:c r="L122" s="32" t="n">
        <x:v>0.012092534</x:v>
      </x:c>
      <x:c r="M122" s="32" t="n">
        <x:v>0.012092534</x:v>
      </x:c>
      <x:c r="N122" s="32" t="n">
        <x:v>696</x:v>
      </x:c>
      <x:c r="O122" s="32" t="n">
        <x:v>0.8202</x:v>
      </x:c>
      <x:c r="P122" s="32" t="n">
        <x:v>2103.099674479167</x:v>
      </x:c>
      <x:c r="Q122" s="32" t="n">
        <x:v>67.20421752929687</x:v>
      </x:c>
      <x:c r="R122" s="32" t="n">
        <x:v>60.61576878981957</x:v>
      </x:c>
      <x:c r="S122" s="32" t="n">
        <x:v>4.956004640140158</x:v>
      </x:c>
      <x:c r="T122" s="32" t="n">
        <x:v>72.1</x:v>
      </x:c>
      <x:c r="U122" s="32" t="n">
        <x:v>211.4154781728841</x:v>
      </x:c>
      <x:c r="V122" s="32" t="n">
        <x:v>325.42757789465</x:v>
      </x:c>
      <x:c r="W122" s="33" t="n">
        <x:f>IF(ISNUMBER(E122),100*MAX(0,MIN(1,('Anchors'!$H$6-E122)/('Anchors'!$H$6-'Anchors'!$G$6))),"")</x:f>
        <x:v>40.142857142857146</x:v>
      </x:c>
      <x:c r="X122" s="33" t="n">
        <x:f>IF(ISNUMBER(F122),100*MAX(0,MIN(1,('Anchors'!$H$7-F122)/('Anchors'!$H$7-'Anchors'!$G$7))),"")</x:f>
        <x:v>46.43741159830272</x:v>
      </x:c>
      <x:c r="Y122" s="33" t="n">
        <x:f>IF(ISNUMBER(G122),100*MAX(0,MIN(1,('Anchors'!$H$8-G122)/('Anchors'!$H$8-'Anchors'!$G$8))),"")</x:f>
        <x:v>100</x:v>
      </x:c>
      <x:c r="Z122" s="33" t="n">
        <x:f>IF(ISNUMBER(H122),100*MAX(0,MIN(1,('Anchors'!$H$9-H122)/('Anchors'!$H$9-'Anchors'!$G$9))),"")</x:f>
        <x:v>100</x:v>
      </x:c>
      <x:c r="AA122" s="33" t="n">
        <x:f>IF(ISNUMBER(I122),100*MAX(0,MIN(1,(I122-'Anchors'!$H$10)/('Anchors'!$G$10-'Anchors'!$H$10))),"")</x:f>
        <x:v>97.01829387628584</x:v>
      </x:c>
      <x:c r="AB122" s="33" t="n">
        <x:f>IF(ISNUMBER(J122),100*MAX(0,MIN(1,('Anchors'!$H$11-J122)/('Anchors'!$H$11-'Anchors'!$G$11))),"")</x:f>
        <x:v>98.85250102518745</x:v>
      </x:c>
      <x:c r="AC122" s="33" t="n">
        <x:f>IF(ISNUMBER(K122),100*MAX(0,MIN(1,('Anchors'!$H$12-K122)/('Anchors'!$H$12-'Anchors'!$G$12))),"")</x:f>
        <x:v>74.95492333526028</x:v>
      </x:c>
      <x:c r="AD122" s="33" t="n">
        <x:f>IF(ISNUMBER(L122),100*MAX(0,MIN(1,(L122-'Anchors'!$H$13)/('Anchors'!$G$13-'Anchors'!$H$13))),"")</x:f>
        <x:v>0</x:v>
      </x:c>
      <x:c r="AE122" s="33" t="n">
        <x:f>IF(ISNUMBER(M122),100*MAX(0,MIN(1,(M122-'Anchors'!$H$14)/('Anchors'!$G$14-'Anchors'!$H$14))),"")</x:f>
        <x:v>0</x:v>
      </x:c>
      <x:c r="AF122" s="33" t="n">
        <x:f>IF(ISNUMBER(N122),100*MAX(0,MIN(1,(LN(1+N122)-LN(1+'Anchors'!$H$15))/(LN(1+'Anchors'!$G$15)-LN(1+'Anchors'!$H$15)))),"")</x:f>
        <x:v>0</x:v>
      </x:c>
      <x:c r="AG122" s="33" t="n">
        <x:f>IF(ISNUMBER(O122),100*MAX(0,MIN(1,('Anchors'!$H$16-O122)/('Anchors'!$H$16-'Anchors'!$G$16))),"")</x:f>
        <x:v>14.422222222222214</x:v>
      </x:c>
      <x:c r="AH122" s="33" t="n">
        <x:f>IF(ISNUMBER(P122),100*MAX(0,MIN(1,('Anchors'!$H$17-P122)/('Anchors'!$H$17-'Anchors'!$G$17))),"")</x:f>
        <x:v>6.460021701388875</x:v>
      </x:c>
      <x:c r="AI122" s="33" t="n">
        <x:f>IF(ISNUMBER(Q122),100*MAX(0,MIN(1,('Anchors'!$H$18-Q122)/('Anchors'!$H$18-'Anchors'!$G$18))),"")</x:f>
        <x:v>11.136832101004472</x:v>
      </x:c>
      <x:c r="AJ122" s="33" t="n">
        <x:f>IF(ISNUMBER(R122),100*MAX(0,MIN(1,('Anchors'!$H$19-R122)/('Anchors'!$H$19-'Anchors'!$G$19))),"")</x:f>
        <x:v>0</x:v>
      </x:c>
      <x:c r="AK122" s="33" t="n">
        <x:f>IF(ISNUMBER(S122),100*MAX(0,MIN(1,('Anchors'!$H$20-S122)/('Anchors'!$H$20-'Anchors'!$G$20))),"")</x:f>
        <x:v>79.17892294663075</x:v>
      </x:c>
      <x:c r="AL122" s="33" t="n">
        <x:f>IF(ISNUMBER(T122),100*MAX(0,MIN(1,('Anchors'!$H$21-T122)/('Anchors'!$H$21-'Anchors'!$G$21))),"")</x:f>
        <x:v>87.0909090909091</x:v>
      </x:c>
      <x:c r="AM122" s="33" t="n">
        <x:f>IF(ISNUMBER(U122),100*MAX(0,MIN(1,('Anchors'!$H$22-U122)/('Anchors'!$H$22-'Anchors'!$G$22))),"")</x:f>
        <x:v>44.29226091355795</x:v>
      </x:c>
      <x:c r="AN122" s="33" t="n">
        <x:f>IF(ISNUMBER(V122),100*MAX(0,MIN(1,('Anchors'!$H$23-V122)/('Anchors'!$H$23-'Anchors'!$G$23))),"")</x:f>
        <x:v>68.6431055263375</x:v>
      </x:c>
      <x:c r="AO122" s="27" t="n">
        <x:f>IF(ISNUMBER(W122),IF('Scoring Setup'!$L$9=1,1-'Scoring Setup'!$B$5*(1-MAX(0,MIN(1,(W122-'Scoring Setup'!$K$9)/(100-'Scoring Setup'!$K$9)))),1),"")</x:f>
        <x:v>0.8802857142857143</x:v>
      </x:c>
      <x:c r="AP122" s="27" t="n">
        <x:f>IF(ISNUMBER(X122),IF('Scoring Setup'!$L$10=1,1-'Scoring Setup'!$B$5*(1-MAX(0,MIN(1,(X122-'Scoring Setup'!$K$10)/(100-'Scoring Setup'!$K$10)))),1),"")</x:f>
        <x:v>0.8928748231966055</x:v>
      </x:c>
      <x:c r="AQ122" s="27" t="n">
        <x:f>IF(ISNUMBER(Y122),IF('Scoring Setup'!$L$11=1,1-'Scoring Setup'!$B$5*(1-MAX(0,MIN(1,(Y122-'Scoring Setup'!$K$11)/(100-'Scoring Setup'!$K$11)))),1),"")</x:f>
        <x:v>1</x:v>
      </x:c>
      <x:c r="AR122" s="27" t="n">
        <x:f>IF(ISNUMBER(Z122),IF('Scoring Setup'!$L$12=1,1-'Scoring Setup'!$B$5*(1-MAX(0,MIN(1,(Z122-'Scoring Setup'!$K$12)/(100-'Scoring Setup'!$K$12)))),1),"")</x:f>
        <x:v>1</x:v>
      </x:c>
      <x:c r="AS122" s="27" t="n">
        <x:f>IF(ISNUMBER(AA122),IF('Scoring Setup'!$L$13=1,1-'Scoring Setup'!$B$5*(1-MAX(0,MIN(1,(AA122-'Scoring Setup'!$K$13)/(100-'Scoring Setup'!$K$13)))),1),"")</x:f>
        <x:v>0.9940365877525716</x:v>
      </x:c>
      <x:c r="AT122" s="27" t="n">
        <x:f>IF(ISNUMBER(AB122),IF('Scoring Setup'!$L$14=1,1-'Scoring Setup'!$B$5*(1-MAX(0,MIN(1,(AB122-'Scoring Setup'!$K$14)/(100-'Scoring Setup'!$K$14)))),1),"")</x:f>
        <x:v>0.9977050020503749</x:v>
      </x:c>
      <x:c r="AU122" s="27" t="n">
        <x:f>IF(ISNUMBER(AC122),IF('Scoring Setup'!$L$15=1,1-'Scoring Setup'!$B$5*(1-MAX(0,MIN(1,(AC122-'Scoring Setup'!$K$15)/(100-'Scoring Setup'!$K$15)))),1),"")</x:f>
        <x:v>0.9499098466705206</x:v>
      </x:c>
      <x:c r="AV122" s="27" t="n">
        <x:f>IF(ISNUMBER(AD122),IF('Scoring Setup'!$L$16=1,1-'Scoring Setup'!$B$5*(1-MAX(0,MIN(1,(AD122-'Scoring Setup'!$K$16)/(100-'Scoring Setup'!$K$16)))),1),"")</x:f>
        <x:v>0.8</x:v>
      </x:c>
      <x:c r="AW122" s="27" t="n">
        <x:f>IF(ISNUMBER(AE122),IF('Scoring Setup'!$L$17=1,1-'Scoring Setup'!$B$5*(1-MAX(0,MIN(1,(AE122-'Scoring Setup'!$K$17)/(100-'Scoring Setup'!$K$17)))),1),"")</x:f>
        <x:v>0.8</x:v>
      </x:c>
      <x:c r="AX122" s="27" t="n">
        <x:f>IF(ISNUMBER(AF122),IF('Scoring Setup'!$L$18=1,1-'Scoring Setup'!$B$5*(1-MAX(0,MIN(1,(AF122-'Scoring Setup'!$K$18)/(100-'Scoring Setup'!$K$18)))),1),"")</x:f>
        <x:v>0.8</x:v>
      </x:c>
      <x:c r="AY122" s="27" t="n">
        <x:f>IF(ISNUMBER(AG122),IF('Scoring Setup'!$L$19=1,1-'Scoring Setup'!$B$5*(1-MAX(0,MIN(1,(AG122-'Scoring Setup'!$K$19)/(100-'Scoring Setup'!$K$19)))),1),"")</x:f>
        <x:v>0.8288444444444444</x:v>
      </x:c>
      <x:c r="AZ122" s="27" t="n">
        <x:f>IF(ISNUMBER(AH122),IF('Scoring Setup'!$L$20=1,1-'Scoring Setup'!$B$5*(1-MAX(0,MIN(1,(AH122-'Scoring Setup'!$K$20)/(100-'Scoring Setup'!$K$20)))),1),"")</x:f>
        <x:v>0.8129200434027777</x:v>
      </x:c>
      <x:c r="BA122" s="27" t="n">
        <x:f>IF(ISNUMBER(AI122),IF('Scoring Setup'!$L$21=1,1-'Scoring Setup'!$B$5*(1-MAX(0,MIN(1,(AI122-'Scoring Setup'!$K$21)/(100-'Scoring Setup'!$K$21)))),1),"")</x:f>
        <x:v>0.822273664202009</x:v>
      </x:c>
      <x:c r="BB122" s="27" t="n">
        <x:f>IF(ISNUMBER(AJ122),IF('Scoring Setup'!$L$22=1,1-'Scoring Setup'!$B$5*(1-MAX(0,MIN(1,(AJ122-'Scoring Setup'!$K$22)/(100-'Scoring Setup'!$K$22)))),1),"")</x:f>
        <x:v>0.8</x:v>
      </x:c>
      <x:c r="BC122" s="27" t="n">
        <x:f>IF(ISNUMBER(AK122),IF('Scoring Setup'!$L$23=1,1-'Scoring Setup'!$B$5*(1-MAX(0,MIN(1,(AK122-'Scoring Setup'!$K$23)/(100-'Scoring Setup'!$K$23)))),1),"")</x:f>
        <x:v>0.9583578458932615</x:v>
      </x:c>
      <x:c r="BD122" s="27" t="n">
        <x:f>IF(ISNUMBER(AL122),IF('Scoring Setup'!$L$24=1,1-'Scoring Setup'!$B$5*(1-MAX(0,MIN(1,(AL122-'Scoring Setup'!$K$24)/(100-'Scoring Setup'!$K$24)))),1),"")</x:f>
        <x:v>0.9741818181818181</x:v>
      </x:c>
      <x:c r="BE122" s="27" t="n">
        <x:f>IF(ISNUMBER(AM122),IF('Scoring Setup'!$L$25=1,1-'Scoring Setup'!$B$5*(1-MAX(0,MIN(1,(AM122-'Scoring Setup'!$K$25)/(100-'Scoring Setup'!$K$25)))),1),"")</x:f>
        <x:v>0.8885845218271159</x:v>
      </x:c>
      <x:c r="BF122" s="27" t="n">
        <x:f>IF(ISNUMBER(AN122),IF('Scoring Setup'!$L$26=1,1-'Scoring Setup'!$B$5*(1-MAX(0,MIN(1,(AN122-'Scoring Setup'!$K$26)/(100-'Scoring Setup'!$K$26)))),1),"")</x:f>
        <x:v>0.937286211052675</x:v>
      </x:c>
      <x:c r="BG122" s="34" t="n">
        <x:f>IF(COUNT(W122,X122)=2,AVERAGE(W122,X122),"")</x:f>
        <x:v>43.290134370579935</x:v>
      </x:c>
      <x:c r="BH122" s="34" t="n">
        <x:f>IF(COUNT(Y122,Z122)=2,AVERAGE(Y122,Z122),"")</x:f>
        <x:v>100</x:v>
      </x:c>
      <x:c r="BI122" s="34" t="n">
        <x:f>IF(COUNT(AA122,AB122,AC122)=3,AVERAGE(AA122,AB122,AC122),"")</x:f>
        <x:v>90.27523941224452</x:v>
      </x:c>
      <x:c r="BJ122" s="34" t="n">
        <x:f>IF(COUNT(AD122,AE122)=2,AVERAGE(AD122,AE122),"")</x:f>
        <x:v>0</x:v>
      </x:c>
      <x:c r="BK122" s="34" t="n">
        <x:f>IF(COUNT(AF122,AG122)=2,AVERAGE(AF122,AG122),"")</x:f>
        <x:v>7.211111111111107</x:v>
      </x:c>
      <x:c r="BL122" s="34" t="n">
        <x:f>IF(COUNT(AH122,AI122)=2,AVERAGE(AH122,AI122),"")</x:f>
        <x:v>8.798426901196674</x:v>
      </x:c>
      <x:c r="BM122" s="34" t="n">
        <x:f>IF(COUNT(AJ122,AK122)=2,AVERAGE(AJ122,AK122),"")</x:f>
        <x:v>39.589461473315374</x:v>
      </x:c>
      <x:c r="BN122" s="34" t="n">
        <x:f>IF(COUNT(AL122,AM122,AN122)=3,AVERAGE(AL122,AM122,AN122),"")</x:f>
        <x:v>66.67542517693484</x:v>
      </x:c>
      <x:c r="BO122" s="35" t="n">
        <x:f>IF(AND(COUNT(BG122:BN122)=8,ABS('Scoring Setup'!$C$17-1)&lt;0.000001),BG122*'Scoring Setup'!$C$9+BH122*'Scoring Setup'!$C$10+BI122*'Scoring Setup'!$C$11+BJ122*'Scoring Setup'!$C$12+BK122*'Scoring Setup'!$C$13+BL122*'Scoring Setup'!$C$14+BM122*'Scoring Setup'!$C$15+BN122*'Scoring Setup'!$C$16,"")</x:f>
        <x:v>56.499670461199614</x:v>
      </x:c>
      <x:c r="BP122" s="36" t="n">
        <x:f>IF(COUNT(AO122:BF122)=18,MIN(AO122:BF122),"")</x:f>
        <x:v>0.8</x:v>
      </x:c>
      <x:c r="BQ122" s="35" t="n">
        <x:f>IF(AND(ISNUMBER(BO122),ISNUMBER(BP122)),BO122*BP122,"")</x:f>
        <x:v>45.19973636895969</x:v>
      </x:c>
      <x:c r="BR122" s="17" t="str">
        <x:f>IF(COUNT(AO122:BF122)=18,INDEX('Scoring Setup'!$F$9:$F$26,MATCH(MIN(AO122:BF122),AO122:BF122,0),1),"")</x:f>
        <x:v>商业光纤100/20覆盖率</x:v>
      </x:c>
    </x:row>
    <x:row r="123">
      <x:c r="A123" s="28" t="str">
        <x:v>13241</x:v>
      </x:c>
      <x:c r="B123" s="28" t="str">
        <x:v>Rabun County</x:v>
      </x:c>
      <x:c r="C123" s="28" t="str">
        <x:v>GA</x:v>
      </x:c>
      <x:c r="D123" s="31" t="n">
        <x:v>958.649647</x:v>
      </x:c>
      <x:c r="E123" s="32" t="n">
        <x:v>0.767</x:v>
      </x:c>
      <x:c r="F123" s="32" t="n">
        <x:v>0.8734529702970301</x:v>
      </x:c>
      <x:c r="G123" s="32" t="n">
        <x:v>2.562757524768069</x:v>
      </x:c>
      <x:c r="H123" s="32" t="n">
        <x:v>2.3905741498118167</x:v>
      </x:c>
      <x:c r="I123" s="32" t="n">
        <x:v>0.9692673122601864</x:v>
      </x:c>
      <x:c r="J123" s="32" t="n">
        <x:v>0.15198550665332897</x:v>
      </x:c>
      <x:c r="K123" s="32" t="n">
        <x:v>0.0007711516207770547</x:v>
      </x:c>
      <x:c r="L123" s="32" t="n">
        <x:v>0.241883826</x:v>
      </x:c>
      <x:c r="M123" s="32" t="n">
        <x:v>0.241883826</x:v>
      </x:c>
      <x:c r="N123" s="32" t="n">
        <x:v>7453</x:v>
      </x:c>
      <x:c r="O123" s="32" t="n">
        <x:v>0.441</x:v>
      </x:c>
      <x:c r="P123" s="32" t="n">
        <x:v>644.0591247558593</x:v>
      </x:c>
      <x:c r="Q123" s="32" t="n">
        <x:v>4.264108395576477</x:v>
      </x:c>
      <x:c r="R123" s="32" t="n">
        <x:v>54.79903189775408</x:v>
      </x:c>
      <x:c r="S123" s="32" t="n">
        <x:v>33.3333431616266</x:v>
      </x:c>
      <x:c r="T123" s="32" t="n">
        <x:v>72.1</x:v>
      </x:c>
      <x:c r="U123" s="32" t="n">
        <x:v>211.4154781728841</x:v>
      </x:c>
      <x:c r="V123" s="32" t="n">
        <x:v>325.42757789465</x:v>
      </x:c>
      <x:c r="W123" s="33" t="n">
        <x:f>IF(ISNUMBER(E123),100*MAX(0,MIN(1,('Anchors'!$H$6-E123)/('Anchors'!$H$6-'Anchors'!$G$6))),"")</x:f>
        <x:v>19.000000000000004</x:v>
      </x:c>
      <x:c r="X123" s="33" t="n">
        <x:f>IF(ISNUMBER(F123),100*MAX(0,MIN(1,('Anchors'!$H$7-F123)/('Anchors'!$H$7-'Anchors'!$G$7))),"")</x:f>
        <x:v>0</x:v>
      </x:c>
      <x:c r="Y123" s="33" t="n">
        <x:f>IF(ISNUMBER(G123),100*MAX(0,MIN(1,('Anchors'!$H$8-G123)/('Anchors'!$H$8-'Anchors'!$G$8))),"")</x:f>
        <x:v>47.90808250773104</x:v>
      </x:c>
      <x:c r="Z123" s="33" t="n">
        <x:f>IF(ISNUMBER(H123),100*MAX(0,MIN(1,('Anchors'!$H$9-H123)/('Anchors'!$H$9-'Anchors'!$G$9))),"")</x:f>
        <x:v>53.64752833960611</x:v>
      </x:c>
      <x:c r="AA123" s="33" t="n">
        <x:f>IF(ISNUMBER(I123),100*MAX(0,MIN(1,(I123-'Anchors'!$H$10)/('Anchors'!$G$10-'Anchors'!$H$10))),"")</x:f>
        <x:v>98.52976880276526</x:v>
      </x:c>
      <x:c r="AB123" s="33" t="n">
        <x:f>IF(ISNUMBER(J123),100*MAX(0,MIN(1,('Anchors'!$H$11-J123)/('Anchors'!$H$11-'Anchors'!$G$11))),"")</x:f>
        <x:v>39.20579733866841</x:v>
      </x:c>
      <x:c r="AC123" s="33" t="n">
        <x:f>IF(ISNUMBER(K123),100*MAX(0,MIN(1,('Anchors'!$H$12-K123)/('Anchors'!$H$12-'Anchors'!$G$12))),"")</x:f>
        <x:v>99.80721209480573</x:v>
      </x:c>
      <x:c r="AD123" s="33" t="n">
        <x:f>IF(ISNUMBER(L123),100*MAX(0,MIN(1,(L123-'Anchors'!$H$13)/('Anchors'!$G$13-'Anchors'!$H$13))),"")</x:f>
        <x:v>5.983403714285713</x:v>
      </x:c>
      <x:c r="AE123" s="33" t="n">
        <x:f>IF(ISNUMBER(M123),100*MAX(0,MIN(1,(M123-'Anchors'!$H$14)/('Anchors'!$G$14-'Anchors'!$H$14))),"")</x:f>
        <x:v>17.735478249999996</x:v>
      </x:c>
      <x:c r="AF123" s="33" t="n">
        <x:f>IF(ISNUMBER(N123),100*MAX(0,MIN(1,(LN(1+N123)-LN(1+'Anchors'!$H$15))/(LN(1+'Anchors'!$G$15)-LN(1+'Anchors'!$H$15)))),"")</x:f>
        <x:v>30.463407401521923</x:v>
      </x:c>
      <x:c r="AG123" s="33" t="n">
        <x:f>IF(ISNUMBER(O123),100*MAX(0,MIN(1,('Anchors'!$H$16-O123)/('Anchors'!$H$16-'Anchors'!$G$16))),"")</x:f>
        <x:v>56.55555555555555</x:v>
      </x:c>
      <x:c r="AH123" s="33" t="n">
        <x:f>IF(ISNUMBER(P123),100*MAX(0,MIN(1,('Anchors'!$H$17-P123)/('Anchors'!$H$17-'Anchors'!$G$17))),"")</x:f>
        <x:v>100</x:v>
      </x:c>
      <x:c r="AI123" s="33" t="n">
        <x:f>IF(ISNUMBER(Q123),100*MAX(0,MIN(1,('Anchors'!$H$18-Q123)/('Anchors'!$H$18-'Anchors'!$G$18))),"")</x:f>
        <x:v>100</x:v>
      </x:c>
      <x:c r="AJ123" s="33" t="n">
        <x:f>IF(ISNUMBER(R123),100*MAX(0,MIN(1,('Anchors'!$H$19-R123)/('Anchors'!$H$19-'Anchors'!$G$19))),"")</x:f>
        <x:v>0</x:v>
      </x:c>
      <x:c r="AK123" s="33" t="n">
        <x:f>IF(ISNUMBER(S123),100*MAX(0,MIN(1,('Anchors'!$H$20-S123)/('Anchors'!$H$20-'Anchors'!$G$20))),"")</x:f>
        <x:v>0</x:v>
      </x:c>
      <x:c r="AL123" s="33" t="n">
        <x:f>IF(ISNUMBER(T123),100*MAX(0,MIN(1,('Anchors'!$H$21-T123)/('Anchors'!$H$21-'Anchors'!$G$21))),"")</x:f>
        <x:v>87.0909090909091</x:v>
      </x:c>
      <x:c r="AM123" s="33" t="n">
        <x:f>IF(ISNUMBER(U123),100*MAX(0,MIN(1,('Anchors'!$H$22-U123)/('Anchors'!$H$22-'Anchors'!$G$22))),"")</x:f>
        <x:v>44.29226091355795</x:v>
      </x:c>
      <x:c r="AN123" s="33" t="n">
        <x:f>IF(ISNUMBER(V123),100*MAX(0,MIN(1,('Anchors'!$H$23-V123)/('Anchors'!$H$23-'Anchors'!$G$23))),"")</x:f>
        <x:v>68.6431055263375</x:v>
      </x:c>
      <x:c r="AO123" s="27" t="n">
        <x:f>IF(ISNUMBER(W123),IF('Scoring Setup'!$L$9=1,1-'Scoring Setup'!$B$5*(1-MAX(0,MIN(1,(W123-'Scoring Setup'!$K$9)/(100-'Scoring Setup'!$K$9)))),1),"")</x:f>
        <x:v>0.838</x:v>
      </x:c>
      <x:c r="AP123" s="27" t="n">
        <x:f>IF(ISNUMBER(X123),IF('Scoring Setup'!$L$10=1,1-'Scoring Setup'!$B$5*(1-MAX(0,MIN(1,(X123-'Scoring Setup'!$K$10)/(100-'Scoring Setup'!$K$10)))),1),"")</x:f>
        <x:v>0.8</x:v>
      </x:c>
      <x:c r="AQ123" s="27" t="n">
        <x:f>IF(ISNUMBER(Y123),IF('Scoring Setup'!$L$11=1,1-'Scoring Setup'!$B$5*(1-MAX(0,MIN(1,(Y123-'Scoring Setup'!$K$11)/(100-'Scoring Setup'!$K$11)))),1),"")</x:f>
        <x:v>0.8958161650154621</x:v>
      </x:c>
      <x:c r="AR123" s="27" t="n">
        <x:f>IF(ISNUMBER(Z123),IF('Scoring Setup'!$L$12=1,1-'Scoring Setup'!$B$5*(1-MAX(0,MIN(1,(Z123-'Scoring Setup'!$K$12)/(100-'Scoring Setup'!$K$12)))),1),"")</x:f>
        <x:v>0.9072950566792122</x:v>
      </x:c>
      <x:c r="AS123" s="27" t="n">
        <x:f>IF(ISNUMBER(AA123),IF('Scoring Setup'!$L$13=1,1-'Scoring Setup'!$B$5*(1-MAX(0,MIN(1,(AA123-'Scoring Setup'!$K$13)/(100-'Scoring Setup'!$K$13)))),1),"")</x:f>
        <x:v>0.9970595376055306</x:v>
      </x:c>
      <x:c r="AT123" s="27" t="n">
        <x:f>IF(ISNUMBER(AB123),IF('Scoring Setup'!$L$14=1,1-'Scoring Setup'!$B$5*(1-MAX(0,MIN(1,(AB123-'Scoring Setup'!$K$14)/(100-'Scoring Setup'!$K$14)))),1),"")</x:f>
        <x:v>0.8784115946773368</x:v>
      </x:c>
      <x:c r="AU123" s="27" t="n">
        <x:f>IF(ISNUMBER(AC123),IF('Scoring Setup'!$L$15=1,1-'Scoring Setup'!$B$5*(1-MAX(0,MIN(1,(AC123-'Scoring Setup'!$K$15)/(100-'Scoring Setup'!$K$15)))),1),"")</x:f>
        <x:v>0.9996144241896114</x:v>
      </x:c>
      <x:c r="AV123" s="27" t="n">
        <x:f>IF(ISNUMBER(AD123),IF('Scoring Setup'!$L$16=1,1-'Scoring Setup'!$B$5*(1-MAX(0,MIN(1,(AD123-'Scoring Setup'!$K$16)/(100-'Scoring Setup'!$K$16)))),1),"")</x:f>
        <x:v>0.8119668074285714</x:v>
      </x:c>
      <x:c r="AW123" s="27" t="n">
        <x:f>IF(ISNUMBER(AE123),IF('Scoring Setup'!$L$17=1,1-'Scoring Setup'!$B$5*(1-MAX(0,MIN(1,(AE123-'Scoring Setup'!$K$17)/(100-'Scoring Setup'!$K$17)))),1),"")</x:f>
        <x:v>0.8354709565</x:v>
      </x:c>
      <x:c r="AX123" s="27" t="n">
        <x:f>IF(ISNUMBER(AF123),IF('Scoring Setup'!$L$18=1,1-'Scoring Setup'!$B$5*(1-MAX(0,MIN(1,(AF123-'Scoring Setup'!$K$18)/(100-'Scoring Setup'!$K$18)))),1),"")</x:f>
        <x:v>0.8609268148030438</x:v>
      </x:c>
      <x:c r="AY123" s="27" t="n">
        <x:f>IF(ISNUMBER(AG123),IF('Scoring Setup'!$L$19=1,1-'Scoring Setup'!$B$5*(1-MAX(0,MIN(1,(AG123-'Scoring Setup'!$K$19)/(100-'Scoring Setup'!$K$19)))),1),"")</x:f>
        <x:v>0.9131111111111111</x:v>
      </x:c>
      <x:c r="AZ123" s="27" t="n">
        <x:f>IF(ISNUMBER(AH123),IF('Scoring Setup'!$L$20=1,1-'Scoring Setup'!$B$5*(1-MAX(0,MIN(1,(AH123-'Scoring Setup'!$K$20)/(100-'Scoring Setup'!$K$20)))),1),"")</x:f>
        <x:v>1</x:v>
      </x:c>
      <x:c r="BA123" s="27" t="n">
        <x:f>IF(ISNUMBER(AI123),IF('Scoring Setup'!$L$21=1,1-'Scoring Setup'!$B$5*(1-MAX(0,MIN(1,(AI123-'Scoring Setup'!$K$21)/(100-'Scoring Setup'!$K$21)))),1),"")</x:f>
        <x:v>1</x:v>
      </x:c>
      <x:c r="BB123" s="27" t="n">
        <x:f>IF(ISNUMBER(AJ123),IF('Scoring Setup'!$L$22=1,1-'Scoring Setup'!$B$5*(1-MAX(0,MIN(1,(AJ123-'Scoring Setup'!$K$22)/(100-'Scoring Setup'!$K$22)))),1),"")</x:f>
        <x:v>0.8</x:v>
      </x:c>
      <x:c r="BC123" s="27" t="n">
        <x:f>IF(ISNUMBER(AK123),IF('Scoring Setup'!$L$23=1,1-'Scoring Setup'!$B$5*(1-MAX(0,MIN(1,(AK123-'Scoring Setup'!$K$23)/(100-'Scoring Setup'!$K$23)))),1),"")</x:f>
        <x:v>0.8</x:v>
      </x:c>
      <x:c r="BD123" s="27" t="n">
        <x:f>IF(ISNUMBER(AL123),IF('Scoring Setup'!$L$24=1,1-'Scoring Setup'!$B$5*(1-MAX(0,MIN(1,(AL123-'Scoring Setup'!$K$24)/(100-'Scoring Setup'!$K$24)))),1),"")</x:f>
        <x:v>0.9741818181818181</x:v>
      </x:c>
      <x:c r="BE123" s="27" t="n">
        <x:f>IF(ISNUMBER(AM123),IF('Scoring Setup'!$L$25=1,1-'Scoring Setup'!$B$5*(1-MAX(0,MIN(1,(AM123-'Scoring Setup'!$K$25)/(100-'Scoring Setup'!$K$25)))),1),"")</x:f>
        <x:v>0.8885845218271159</x:v>
      </x:c>
      <x:c r="BF123" s="27" t="n">
        <x:f>IF(ISNUMBER(AN123),IF('Scoring Setup'!$L$26=1,1-'Scoring Setup'!$B$5*(1-MAX(0,MIN(1,(AN123-'Scoring Setup'!$K$26)/(100-'Scoring Setup'!$K$26)))),1),"")</x:f>
        <x:v>0.937286211052675</x:v>
      </x:c>
      <x:c r="BG123" s="34" t="n">
        <x:f>IF(COUNT(W123,X123)=2,AVERAGE(W123,X123),"")</x:f>
        <x:v>9.500000000000002</x:v>
      </x:c>
      <x:c r="BH123" s="34" t="n">
        <x:f>IF(COUNT(Y123,Z123)=2,AVERAGE(Y123,Z123),"")</x:f>
        <x:v>50.777805423668575</x:v>
      </x:c>
      <x:c r="BI123" s="34" t="n">
        <x:f>IF(COUNT(AA123,AB123,AC123)=3,AVERAGE(AA123,AB123,AC123),"")</x:f>
        <x:v>79.18092607874648</x:v>
      </x:c>
      <x:c r="BJ123" s="34" t="n">
        <x:f>IF(COUNT(AD123,AE123)=2,AVERAGE(AD123,AE123),"")</x:f>
        <x:v>11.859440982142855</x:v>
      </x:c>
      <x:c r="BK123" s="34" t="n">
        <x:f>IF(COUNT(AF123,AG123)=2,AVERAGE(AF123,AG123),"")</x:f>
        <x:v>43.50948147853874</x:v>
      </x:c>
      <x:c r="BL123" s="34" t="n">
        <x:f>IF(COUNT(AH123,AI123)=2,AVERAGE(AH123,AI123),"")</x:f>
        <x:v>100</x:v>
      </x:c>
      <x:c r="BM123" s="34" t="n">
        <x:f>IF(COUNT(AJ123,AK123)=2,AVERAGE(AJ123,AK123),"")</x:f>
        <x:v>0</x:v>
      </x:c>
      <x:c r="BN123" s="34" t="n">
        <x:f>IF(COUNT(AL123,AM123,AN123)=3,AVERAGE(AL123,AM123,AN123),"")</x:f>
        <x:v>66.67542517693484</x:v>
      </x:c>
      <x:c r="BO123" s="35" t="n">
        <x:f>IF(AND(COUNT(BG123:BN123)=8,ABS('Scoring Setup'!$C$17-1)&lt;0.000001),BG123*'Scoring Setup'!$C$9+BH123*'Scoring Setup'!$C$10+BI123*'Scoring Setup'!$C$11+BJ123*'Scoring Setup'!$C$12+BK123*'Scoring Setup'!$C$13+BL123*'Scoring Setup'!$C$14+BM123*'Scoring Setup'!$C$15+BN123*'Scoring Setup'!$C$16,"")</x:f>
        <x:v>49.56317349175697</x:v>
      </x:c>
      <x:c r="BP123" s="36" t="n">
        <x:f>IF(COUNT(AO123:BF123)=18,MIN(AO123:BF123),"")</x:f>
        <x:v>0.8</x:v>
      </x:c>
      <x:c r="BQ123" s="35" t="n">
        <x:f>IF(AND(ISNUMBER(BO123),ISNUMBER(BP123)),BO123*BP123,"")</x:f>
        <x:v>39.65053879340558</x:v>
      </x:c>
      <x:c r="BR123" s="17" t="str">
        <x:f>IF(COUNT(AO123:BF123)=18,INDEX('Scoring Setup'!$F$9:$F$26,MATCH(MIN(AO123:BF123),AO123:BF123,0),1),"")</x:f>
        <x:v>洪水损失率全国百分位</x:v>
      </x:c>
    </x:row>
    <x:row r="124">
      <x:c r="A124" s="28" t="str">
        <x:v>13243</x:v>
      </x:c>
      <x:c r="B124" s="28" t="str">
        <x:v>Randolph County</x:v>
      </x:c>
      <x:c r="C124" s="28" t="str">
        <x:v>GA</x:v>
      </x:c>
      <x:c r="D124" s="31" t="n">
        <x:v>1109.126228</x:v>
      </x:c>
      <x:c r="E124" s="32" t="n">
        <x:v>0.525</x:v>
      </x:c>
      <x:c r="F124" s="32" t="n">
        <x:v>0.107363861386139</x:v>
      </x:c>
      <x:c r="G124" s="32" t="n">
        <x:v>0.7232021005776461</x:v>
      </x:c>
      <x:c r="H124" s="32" t="n">
        <x:v>0.7038627520434281</x:v>
      </x:c>
      <x:c r="I124" s="32" t="n">
        <x:v>0.9627834506372148</x:v>
      </x:c>
      <x:c r="J124" s="32" t="n">
        <x:v>0.0019972271226032226</x:v>
      </x:c>
      <x:c r="K124" s="32" t="n">
        <x:v>0.0987498653657557</x:v>
      </x:c>
      <x:c r="L124" s="32" t="n">
        <x:v>0.538744483</x:v>
      </x:c>
      <x:c r="M124" s="32" t="n">
        <x:v>0.538744483</x:v>
      </x:c>
      <x:c r="N124" s="32" t="n">
        <x:v>2531</x:v>
      </x:c>
      <x:c r="O124" s="32" t="n">
        <x:v>0.9882</x:v>
      </x:c>
      <x:c r="P124" s="32" t="n">
        <x:v>2176.8494791666667</x:v>
      </x:c>
      <x:c r="Q124" s="32" t="n">
        <x:v>69.5423828125</x:v>
      </x:c>
      <x:c r="R124" s="32" t="n">
        <x:v>73.0972435782534</x:v>
      </x:c>
      <x:c r="S124" s="32" t="n">
        <x:v>0.533779556714249</x:v>
      </x:c>
      <x:c r="T124" s="32" t="n">
        <x:v>72.1</x:v>
      </x:c>
      <x:c r="U124" s="32" t="n">
        <x:v>211.4154781728841</x:v>
      </x:c>
      <x:c r="V124" s="32" t="n">
        <x:v>325.42757789465</x:v>
      </x:c>
      <x:c r="W124" s="33" t="n">
        <x:f>IF(ISNUMBER(E124),100*MAX(0,MIN(1,('Anchors'!$H$6-E124)/('Anchors'!$H$6-'Anchors'!$G$6))),"")</x:f>
        <x:v>53.57142857142857</x:v>
      </x:c>
      <x:c r="X124" s="33" t="n">
        <x:f>IF(ISNUMBER(F124),100*MAX(0,MIN(1,('Anchors'!$H$7-F124)/('Anchors'!$H$7-'Anchors'!$G$7))),"")</x:f>
        <x:v>98.94801980198015</x:v>
      </x:c>
      <x:c r="Y124" s="33" t="n">
        <x:f>IF(ISNUMBER(G124),100*MAX(0,MIN(1,('Anchors'!$H$8-G124)/('Anchors'!$H$8-'Anchors'!$G$8))),"")</x:f>
        <x:v>100</x:v>
      </x:c>
      <x:c r="Z124" s="33" t="n">
        <x:f>IF(ISNUMBER(H124),100*MAX(0,MIN(1,('Anchors'!$H$9-H124)/('Anchors'!$H$9-'Anchors'!$G$9))),"")</x:f>
        <x:v>100</x:v>
      </x:c>
      <x:c r="AA124" s="33" t="n">
        <x:f>IF(ISNUMBER(I124),100*MAX(0,MIN(1,(I124-'Anchors'!$H$10)/('Anchors'!$G$10-'Anchors'!$H$10))),"")</x:f>
        <x:v>97.64156858044039</x:v>
      </x:c>
      <x:c r="AB124" s="33" t="n">
        <x:f>IF(ISNUMBER(J124),100*MAX(0,MIN(1,('Anchors'!$H$11-J124)/('Anchors'!$H$11-'Anchors'!$G$11))),"")</x:f>
        <x:v>99.20110915095871</x:v>
      </x:c>
      <x:c r="AC124" s="33" t="n">
        <x:f>IF(ISNUMBER(K124),100*MAX(0,MIN(1,('Anchors'!$H$12-K124)/('Anchors'!$H$12-'Anchors'!$G$12))),"")</x:f>
        <x:v>75.31253365856108</x:v>
      </x:c>
      <x:c r="AD124" s="33" t="n">
        <x:f>IF(ISNUMBER(L124),100*MAX(0,MIN(1,(L124-'Anchors'!$H$13)/('Anchors'!$G$13-'Anchors'!$H$13))),"")</x:f>
        <x:v>48.392069</x:v>
      </x:c>
      <x:c r="AE124" s="33" t="n">
        <x:f>IF(ISNUMBER(M124),100*MAX(0,MIN(1,(M124-'Anchors'!$H$14)/('Anchors'!$G$14-'Anchors'!$H$14))),"")</x:f>
        <x:v>54.84306037499999</x:v>
      </x:c>
      <x:c r="AF124" s="33" t="n">
        <x:f>IF(ISNUMBER(N124),100*MAX(0,MIN(1,(LN(1+N124)-LN(1+'Anchors'!$H$15))/(LN(1+'Anchors'!$G$15)-LN(1+'Anchors'!$H$15)))),"")</x:f>
        <x:v>5.451997369747862</x:v>
      </x:c>
      <x:c r="AG124" s="33" t="n">
        <x:f>IF(ISNUMBER(O124),100*MAX(0,MIN(1,('Anchors'!$H$16-O124)/('Anchors'!$H$16-'Anchors'!$G$16))),"")</x:f>
        <x:v>0</x:v>
      </x:c>
      <x:c r="AH124" s="33" t="n">
        <x:f>IF(ISNUMBER(P124),100*MAX(0,MIN(1,('Anchors'!$H$17-P124)/('Anchors'!$H$17-'Anchors'!$G$17))),"")</x:f>
        <x:v>1.5433680555555536</x:v>
      </x:c>
      <x:c r="AI124" s="33" t="n">
        <x:f>IF(ISNUMBER(Q124),100*MAX(0,MIN(1,('Anchors'!$H$18-Q124)/('Anchors'!$H$18-'Anchors'!$G$18))),"")</x:f>
        <x:v>7.796595982142865</x:v>
      </x:c>
      <x:c r="AJ124" s="33" t="n">
        <x:f>IF(ISNUMBER(R124),100*MAX(0,MIN(1,('Anchors'!$H$19-R124)/('Anchors'!$H$19-'Anchors'!$G$19))),"")</x:f>
        <x:v>0</x:v>
      </x:c>
      <x:c r="AK124" s="33" t="n">
        <x:f>IF(ISNUMBER(S124),100*MAX(0,MIN(1,('Anchors'!$H$20-S124)/('Anchors'!$H$20-'Anchors'!$G$20))),"")</x:f>
        <x:v>100</x:v>
      </x:c>
      <x:c r="AL124" s="33" t="n">
        <x:f>IF(ISNUMBER(T124),100*MAX(0,MIN(1,('Anchors'!$H$21-T124)/('Anchors'!$H$21-'Anchors'!$G$21))),"")</x:f>
        <x:v>87.0909090909091</x:v>
      </x:c>
      <x:c r="AM124" s="33" t="n">
        <x:f>IF(ISNUMBER(U124),100*MAX(0,MIN(1,('Anchors'!$H$22-U124)/('Anchors'!$H$22-'Anchors'!$G$22))),"")</x:f>
        <x:v>44.29226091355795</x:v>
      </x:c>
      <x:c r="AN124" s="33" t="n">
        <x:f>IF(ISNUMBER(V124),100*MAX(0,MIN(1,('Anchors'!$H$23-V124)/('Anchors'!$H$23-'Anchors'!$G$23))),"")</x:f>
        <x:v>68.6431055263375</x:v>
      </x:c>
      <x:c r="AO124" s="27" t="n">
        <x:f>IF(ISNUMBER(W124),IF('Scoring Setup'!$L$9=1,1-'Scoring Setup'!$B$5*(1-MAX(0,MIN(1,(W124-'Scoring Setup'!$K$9)/(100-'Scoring Setup'!$K$9)))),1),"")</x:f>
        <x:v>0.9071428571428571</x:v>
      </x:c>
      <x:c r="AP124" s="27" t="n">
        <x:f>IF(ISNUMBER(X124),IF('Scoring Setup'!$L$10=1,1-'Scoring Setup'!$B$5*(1-MAX(0,MIN(1,(X124-'Scoring Setup'!$K$10)/(100-'Scoring Setup'!$K$10)))),1),"")</x:f>
        <x:v>0.9978960396039603</x:v>
      </x:c>
      <x:c r="AQ124" s="27" t="n">
        <x:f>IF(ISNUMBER(Y124),IF('Scoring Setup'!$L$11=1,1-'Scoring Setup'!$B$5*(1-MAX(0,MIN(1,(Y124-'Scoring Setup'!$K$11)/(100-'Scoring Setup'!$K$11)))),1),"")</x:f>
        <x:v>1</x:v>
      </x:c>
      <x:c r="AR124" s="27" t="n">
        <x:f>IF(ISNUMBER(Z124),IF('Scoring Setup'!$L$12=1,1-'Scoring Setup'!$B$5*(1-MAX(0,MIN(1,(Z124-'Scoring Setup'!$K$12)/(100-'Scoring Setup'!$K$12)))),1),"")</x:f>
        <x:v>1</x:v>
      </x:c>
      <x:c r="AS124" s="27" t="n">
        <x:f>IF(ISNUMBER(AA124),IF('Scoring Setup'!$L$13=1,1-'Scoring Setup'!$B$5*(1-MAX(0,MIN(1,(AA124-'Scoring Setup'!$K$13)/(100-'Scoring Setup'!$K$13)))),1),"")</x:f>
        <x:v>0.9952831371608808</x:v>
      </x:c>
      <x:c r="AT124" s="27" t="n">
        <x:f>IF(ISNUMBER(AB124),IF('Scoring Setup'!$L$14=1,1-'Scoring Setup'!$B$5*(1-MAX(0,MIN(1,(AB124-'Scoring Setup'!$K$14)/(100-'Scoring Setup'!$K$14)))),1),"")</x:f>
        <x:v>0.9984022183019174</x:v>
      </x:c>
      <x:c r="AU124" s="27" t="n">
        <x:f>IF(ISNUMBER(AC124),IF('Scoring Setup'!$L$15=1,1-'Scoring Setup'!$B$5*(1-MAX(0,MIN(1,(AC124-'Scoring Setup'!$K$15)/(100-'Scoring Setup'!$K$15)))),1),"")</x:f>
        <x:v>0.9506250673171222</x:v>
      </x:c>
      <x:c r="AV124" s="27" t="n">
        <x:f>IF(ISNUMBER(AD124),IF('Scoring Setup'!$L$16=1,1-'Scoring Setup'!$B$5*(1-MAX(0,MIN(1,(AD124-'Scoring Setup'!$K$16)/(100-'Scoring Setup'!$K$16)))),1),"")</x:f>
        <x:v>0.896784138</x:v>
      </x:c>
      <x:c r="AW124" s="27" t="n">
        <x:f>IF(ISNUMBER(AE124),IF('Scoring Setup'!$L$17=1,1-'Scoring Setup'!$B$5*(1-MAX(0,MIN(1,(AE124-'Scoring Setup'!$K$17)/(100-'Scoring Setup'!$K$17)))),1),"")</x:f>
        <x:v>0.90968612075</x:v>
      </x:c>
      <x:c r="AX124" s="27" t="n">
        <x:f>IF(ISNUMBER(AF124),IF('Scoring Setup'!$L$18=1,1-'Scoring Setup'!$B$5*(1-MAX(0,MIN(1,(AF124-'Scoring Setup'!$K$18)/(100-'Scoring Setup'!$K$18)))),1),"")</x:f>
        <x:v>0.8109039947394957</x:v>
      </x:c>
      <x:c r="AY124" s="27" t="n">
        <x:f>IF(ISNUMBER(AG124),IF('Scoring Setup'!$L$19=1,1-'Scoring Setup'!$B$5*(1-MAX(0,MIN(1,(AG124-'Scoring Setup'!$K$19)/(100-'Scoring Setup'!$K$19)))),1),"")</x:f>
        <x:v>0.8</x:v>
      </x:c>
      <x:c r="AZ124" s="27" t="n">
        <x:f>IF(ISNUMBER(AH124),IF('Scoring Setup'!$L$20=1,1-'Scoring Setup'!$B$5*(1-MAX(0,MIN(1,(AH124-'Scoring Setup'!$K$20)/(100-'Scoring Setup'!$K$20)))),1),"")</x:f>
        <x:v>0.8030867361111111</x:v>
      </x:c>
      <x:c r="BA124" s="27" t="n">
        <x:f>IF(ISNUMBER(AI124),IF('Scoring Setup'!$L$21=1,1-'Scoring Setup'!$B$5*(1-MAX(0,MIN(1,(AI124-'Scoring Setup'!$K$21)/(100-'Scoring Setup'!$K$21)))),1),"")</x:f>
        <x:v>0.8155931919642857</x:v>
      </x:c>
      <x:c r="BB124" s="27" t="n">
        <x:f>IF(ISNUMBER(AJ124),IF('Scoring Setup'!$L$22=1,1-'Scoring Setup'!$B$5*(1-MAX(0,MIN(1,(AJ124-'Scoring Setup'!$K$22)/(100-'Scoring Setup'!$K$22)))),1),"")</x:f>
        <x:v>0.8</x:v>
      </x:c>
      <x:c r="BC124" s="27" t="n">
        <x:f>IF(ISNUMBER(AK124),IF('Scoring Setup'!$L$23=1,1-'Scoring Setup'!$B$5*(1-MAX(0,MIN(1,(AK124-'Scoring Setup'!$K$23)/(100-'Scoring Setup'!$K$23)))),1),"")</x:f>
        <x:v>1</x:v>
      </x:c>
      <x:c r="BD124" s="27" t="n">
        <x:f>IF(ISNUMBER(AL124),IF('Scoring Setup'!$L$24=1,1-'Scoring Setup'!$B$5*(1-MAX(0,MIN(1,(AL124-'Scoring Setup'!$K$24)/(100-'Scoring Setup'!$K$24)))),1),"")</x:f>
        <x:v>0.9741818181818181</x:v>
      </x:c>
      <x:c r="BE124" s="27" t="n">
        <x:f>IF(ISNUMBER(AM124),IF('Scoring Setup'!$L$25=1,1-'Scoring Setup'!$B$5*(1-MAX(0,MIN(1,(AM124-'Scoring Setup'!$K$25)/(100-'Scoring Setup'!$K$25)))),1),"")</x:f>
        <x:v>0.8885845218271159</x:v>
      </x:c>
      <x:c r="BF124" s="27" t="n">
        <x:f>IF(ISNUMBER(AN124),IF('Scoring Setup'!$L$26=1,1-'Scoring Setup'!$B$5*(1-MAX(0,MIN(1,(AN124-'Scoring Setup'!$K$26)/(100-'Scoring Setup'!$K$26)))),1),"")</x:f>
        <x:v>0.937286211052675</x:v>
      </x:c>
      <x:c r="BG124" s="34" t="n">
        <x:f>IF(COUNT(W124,X124)=2,AVERAGE(W124,X124),"")</x:f>
        <x:v>76.25972418670436</x:v>
      </x:c>
      <x:c r="BH124" s="34" t="n">
        <x:f>IF(COUNT(Y124,Z124)=2,AVERAGE(Y124,Z124),"")</x:f>
        <x:v>100</x:v>
      </x:c>
      <x:c r="BI124" s="34" t="n">
        <x:f>IF(COUNT(AA124,AB124,AC124)=3,AVERAGE(AA124,AB124,AC124),"")</x:f>
        <x:v>90.71840379665339</x:v>
      </x:c>
      <x:c r="BJ124" s="34" t="n">
        <x:f>IF(COUNT(AD124,AE124)=2,AVERAGE(AD124,AE124),"")</x:f>
        <x:v>51.61756468749999</x:v>
      </x:c>
      <x:c r="BK124" s="34" t="n">
        <x:f>IF(COUNT(AF124,AG124)=2,AVERAGE(AF124,AG124),"")</x:f>
        <x:v>2.725998684873931</x:v>
      </x:c>
      <x:c r="BL124" s="34" t="n">
        <x:f>IF(COUNT(AH124,AI124)=2,AVERAGE(AH124,AI124),"")</x:f>
        <x:v>4.669982018849209</x:v>
      </x:c>
      <x:c r="BM124" s="34" t="n">
        <x:f>IF(COUNT(AJ124,AK124)=2,AVERAGE(AJ124,AK124),"")</x:f>
        <x:v>50</x:v>
      </x:c>
      <x:c r="BN124" s="34" t="n">
        <x:f>IF(COUNT(AL124,AM124,AN124)=3,AVERAGE(AL124,AM124,AN124),"")</x:f>
        <x:v>66.67542517693484</x:v>
      </x:c>
      <x:c r="BO124" s="35" t="n">
        <x:f>IF(AND(COUNT(BG124:BN124)=8,ABS('Scoring Setup'!$C$17-1)&lt;0.000001),BG124*'Scoring Setup'!$C$9+BH124*'Scoring Setup'!$C$10+BI124*'Scoring Setup'!$C$11+BJ124*'Scoring Setup'!$C$12+BK124*'Scoring Setup'!$C$13+BL124*'Scoring Setup'!$C$14+BM124*'Scoring Setup'!$C$15+BN124*'Scoring Setup'!$C$16,"")</x:f>
        <x:v>64.86829578959608</x:v>
      </x:c>
      <x:c r="BP124" s="36" t="n">
        <x:f>IF(COUNT(AO124:BF124)=18,MIN(AO124:BF124),"")</x:f>
        <x:v>0.8</x:v>
      </x:c>
      <x:c r="BQ124" s="35" t="n">
        <x:f>IF(AND(ISNUMBER(BO124),ISNUMBER(BP124)),BO124*BP124,"")</x:f>
        <x:v>51.89463663167686</x:v>
      </x:c>
      <x:c r="BR124" s="17" t="str">
        <x:f>IF(COUNT(AO124:BF124)=18,INDEX('Scoring Setup'!$F$9:$F$26,MATCH(MIN(AO124:BF124),AO124:BF124,0),1),"")</x:f>
        <x:v>社会脆弱性百分位</x:v>
      </x:c>
    </x:row>
    <x:row r="125">
      <x:c r="A125" s="28" t="str">
        <x:v>13245</x:v>
      </x:c>
      <x:c r="B125" s="28" t="str">
        <x:v>Richmond County</x:v>
      </x:c>
      <x:c r="C125" s="28" t="str">
        <x:v>GA</x:v>
      </x:c>
      <x:c r="D125" s="31" t="n">
        <x:v>840.036616</x:v>
      </x:c>
      <x:c r="E125" s="32" t="n">
        <x:v>0.536</x:v>
      </x:c>
      <x:c r="F125" s="32" t="n">
        <x:v>0.194306930693069</x:v>
      </x:c>
      <x:c r="G125" s="32" t="n">
        <x:v>2.931926380780837</x:v>
      </x:c>
      <x:c r="H125" s="32" t="n">
        <x:v>2.735302759</x:v>
      </x:c>
      <x:c r="I125" s="32" t="n">
        <x:v>0.6794343669501299</x:v>
      </x:c>
      <x:c r="J125" s="32" t="n">
        <x:v>0.007806145699126107</x:v>
      </x:c>
      <x:c r="K125" s="32" t="n">
        <x:v>0.15143294424505016</x:v>
      </x:c>
      <x:c r="L125" s="32" t="n">
        <x:v>0.24769062</x:v>
      </x:c>
      <x:c r="M125" s="32" t="n">
        <x:v>0.244342019</x:v>
      </x:c>
      <x:c r="N125" s="32" t="n">
        <x:v>85806</x:v>
      </x:c>
      <x:c r="O125" s="32" t="n">
        <x:v>0.9513</x:v>
      </x:c>
      <x:c r="P125" s="32" t="n">
        <x:v>1814.769864908854</x:v>
      </x:c>
      <x:c r="Q125" s="32" t="n">
        <x:v>58.85758043924967</x:v>
      </x:c>
      <x:c r="R125" s="32" t="n">
        <x:v>6.126140138587024</x:v>
      </x:c>
      <x:c r="S125" s="32" t="n">
        <x:v>1.489185224425562</x:v>
      </x:c>
      <x:c r="T125" s="32" t="n">
        <x:v>72.1</x:v>
      </x:c>
      <x:c r="U125" s="32" t="n">
        <x:v>211.4154781728841</x:v>
      </x:c>
      <x:c r="V125" s="32" t="n">
        <x:v>325.42757789465</x:v>
      </x:c>
      <x:c r="W125" s="33" t="n">
        <x:f>IF(ISNUMBER(E125),100*MAX(0,MIN(1,('Anchors'!$H$6-E125)/('Anchors'!$H$6-'Anchors'!$G$6))),"")</x:f>
        <x:v>52</x:v>
      </x:c>
      <x:c r="X125" s="33" t="n">
        <x:f>IF(ISNUMBER(F125),100*MAX(0,MIN(1,('Anchors'!$H$7-F125)/('Anchors'!$H$7-'Anchors'!$G$7))),"")</x:f>
        <x:v>86.52758132956157</x:v>
      </x:c>
      <x:c r="Y125" s="33" t="n">
        <x:f>IF(ISNUMBER(G125),100*MAX(0,MIN(1,('Anchors'!$H$8-G125)/('Anchors'!$H$8-'Anchors'!$G$8))),"")</x:f>
        <x:v>35.6024539739721</x:v>
      </x:c>
      <x:c r="Z125" s="33" t="n">
        <x:f>IF(ISNUMBER(H125),100*MAX(0,MIN(1,('Anchors'!$H$9-H125)/('Anchors'!$H$9-'Anchors'!$G$9))),"")</x:f>
        <x:v>42.1565747</x:v>
      </x:c>
      <x:c r="AA125" s="33" t="n">
        <x:f>IF(ISNUMBER(I125),100*MAX(0,MIN(1,(I125-'Anchors'!$H$10)/('Anchors'!$G$10-'Anchors'!$H$10))),"")</x:f>
        <x:v>58.82662560960684</x:v>
      </x:c>
      <x:c r="AB125" s="33" t="n">
        <x:f>IF(ISNUMBER(J125),100*MAX(0,MIN(1,('Anchors'!$H$11-J125)/('Anchors'!$H$11-'Anchors'!$G$11))),"")</x:f>
        <x:v>96.87754172034956</x:v>
      </x:c>
      <x:c r="AC125" s="33" t="n">
        <x:f>IF(ISNUMBER(K125),100*MAX(0,MIN(1,('Anchors'!$H$12-K125)/('Anchors'!$H$12-'Anchors'!$G$12))),"")</x:f>
        <x:v>62.14176393873746</x:v>
      </x:c>
      <x:c r="AD125" s="33" t="n">
        <x:f>IF(ISNUMBER(L125),100*MAX(0,MIN(1,(L125-'Anchors'!$H$13)/('Anchors'!$G$13-'Anchors'!$H$13))),"")</x:f>
        <x:v>6.812945714285713</x:v>
      </x:c>
      <x:c r="AE125" s="33" t="n">
        <x:f>IF(ISNUMBER(M125),100*MAX(0,MIN(1,(M125-'Anchors'!$H$14)/('Anchors'!$G$14-'Anchors'!$H$14))),"")</x:f>
        <x:v>18.042752375</x:v>
      </x:c>
      <x:c r="AF125" s="33" t="n">
        <x:f>IF(ISNUMBER(N125),100*MAX(0,MIN(1,(LN(1+N125)-LN(1+'Anchors'!$H$15))/(LN(1+'Anchors'!$G$15)-LN(1+'Anchors'!$H$15)))),"")</x:f>
        <x:v>87.06180144368084</x:v>
      </x:c>
      <x:c r="AG125" s="33" t="n">
        <x:f>IF(ISNUMBER(O125),100*MAX(0,MIN(1,('Anchors'!$H$16-O125)/('Anchors'!$H$16-'Anchors'!$G$16))),"")</x:f>
        <x:v>0</x:v>
      </x:c>
      <x:c r="AH125" s="33" t="n">
        <x:f>IF(ISNUMBER(P125),100*MAX(0,MIN(1,('Anchors'!$H$17-P125)/('Anchors'!$H$17-'Anchors'!$G$17))),"")</x:f>
        <x:v>25.682009006076395</x:v>
      </x:c>
      <x:c r="AI125" s="33" t="n">
        <x:f>IF(ISNUMBER(Q125),100*MAX(0,MIN(1,('Anchors'!$H$18-Q125)/('Anchors'!$H$18-'Anchors'!$G$18))),"")</x:f>
        <x:v>23.06059937250047</x:v>
      </x:c>
      <x:c r="AJ125" s="33" t="n">
        <x:f>IF(ISNUMBER(R125),100*MAX(0,MIN(1,('Anchors'!$H$19-R125)/('Anchors'!$H$19-'Anchors'!$G$19))),"")</x:f>
        <x:v>97.49746635869549</x:v>
      </x:c>
      <x:c r="AK125" s="33" t="n">
        <x:f>IF(ISNUMBER(S125),100*MAX(0,MIN(1,('Anchors'!$H$20-S125)/('Anchors'!$H$20-'Anchors'!$G$20))),"")</x:f>
        <x:v>97.42534092407598</x:v>
      </x:c>
      <x:c r="AL125" s="33" t="n">
        <x:f>IF(ISNUMBER(T125),100*MAX(0,MIN(1,('Anchors'!$H$21-T125)/('Anchors'!$H$21-'Anchors'!$G$21))),"")</x:f>
        <x:v>87.0909090909091</x:v>
      </x:c>
      <x:c r="AM125" s="33" t="n">
        <x:f>IF(ISNUMBER(U125),100*MAX(0,MIN(1,('Anchors'!$H$22-U125)/('Anchors'!$H$22-'Anchors'!$G$22))),"")</x:f>
        <x:v>44.29226091355795</x:v>
      </x:c>
      <x:c r="AN125" s="33" t="n">
        <x:f>IF(ISNUMBER(V125),100*MAX(0,MIN(1,('Anchors'!$H$23-V125)/('Anchors'!$H$23-'Anchors'!$G$23))),"")</x:f>
        <x:v>68.6431055263375</x:v>
      </x:c>
      <x:c r="AO125" s="27" t="n">
        <x:f>IF(ISNUMBER(W125),IF('Scoring Setup'!$L$9=1,1-'Scoring Setup'!$B$5*(1-MAX(0,MIN(1,(W125-'Scoring Setup'!$K$9)/(100-'Scoring Setup'!$K$9)))),1),"")</x:f>
        <x:v>0.904</x:v>
      </x:c>
      <x:c r="AP125" s="27" t="n">
        <x:f>IF(ISNUMBER(X125),IF('Scoring Setup'!$L$10=1,1-'Scoring Setup'!$B$5*(1-MAX(0,MIN(1,(X125-'Scoring Setup'!$K$10)/(100-'Scoring Setup'!$K$10)))),1),"")</x:f>
        <x:v>0.9730551626591232</x:v>
      </x:c>
      <x:c r="AQ125" s="27" t="n">
        <x:f>IF(ISNUMBER(Y125),IF('Scoring Setup'!$L$11=1,1-'Scoring Setup'!$B$5*(1-MAX(0,MIN(1,(Y125-'Scoring Setup'!$K$11)/(100-'Scoring Setup'!$K$11)))),1),"")</x:f>
        <x:v>0.8712049079479443</x:v>
      </x:c>
      <x:c r="AR125" s="27" t="n">
        <x:f>IF(ISNUMBER(Z125),IF('Scoring Setup'!$L$12=1,1-'Scoring Setup'!$B$5*(1-MAX(0,MIN(1,(Z125-'Scoring Setup'!$K$12)/(100-'Scoring Setup'!$K$12)))),1),"")</x:f>
        <x:v>0.8843131494</x:v>
      </x:c>
      <x:c r="AS125" s="27" t="n">
        <x:f>IF(ISNUMBER(AA125),IF('Scoring Setup'!$L$13=1,1-'Scoring Setup'!$B$5*(1-MAX(0,MIN(1,(AA125-'Scoring Setup'!$K$13)/(100-'Scoring Setup'!$K$13)))),1),"")</x:f>
        <x:v>0.9176532512192137</x:v>
      </x:c>
      <x:c r="AT125" s="27" t="n">
        <x:f>IF(ISNUMBER(AB125),IF('Scoring Setup'!$L$14=1,1-'Scoring Setup'!$B$5*(1-MAX(0,MIN(1,(AB125-'Scoring Setup'!$K$14)/(100-'Scoring Setup'!$K$14)))),1),"")</x:f>
        <x:v>0.9937550834406991</x:v>
      </x:c>
      <x:c r="AU125" s="27" t="n">
        <x:f>IF(ISNUMBER(AC125),IF('Scoring Setup'!$L$15=1,1-'Scoring Setup'!$B$5*(1-MAX(0,MIN(1,(AC125-'Scoring Setup'!$K$15)/(100-'Scoring Setup'!$K$15)))),1),"")</x:f>
        <x:v>0.9242835278774749</x:v>
      </x:c>
      <x:c r="AV125" s="27" t="n">
        <x:f>IF(ISNUMBER(AD125),IF('Scoring Setup'!$L$16=1,1-'Scoring Setup'!$B$5*(1-MAX(0,MIN(1,(AD125-'Scoring Setup'!$K$16)/(100-'Scoring Setup'!$K$16)))),1),"")</x:f>
        <x:v>0.8136258914285714</x:v>
      </x:c>
      <x:c r="AW125" s="27" t="n">
        <x:f>IF(ISNUMBER(AE125),IF('Scoring Setup'!$L$17=1,1-'Scoring Setup'!$B$5*(1-MAX(0,MIN(1,(AE125-'Scoring Setup'!$K$17)/(100-'Scoring Setup'!$K$17)))),1),"")</x:f>
        <x:v>0.83608550475</x:v>
      </x:c>
      <x:c r="AX125" s="27" t="n">
        <x:f>IF(ISNUMBER(AF125),IF('Scoring Setup'!$L$18=1,1-'Scoring Setup'!$B$5*(1-MAX(0,MIN(1,(AF125-'Scoring Setup'!$K$18)/(100-'Scoring Setup'!$K$18)))),1),"")</x:f>
        <x:v>0.9741236028873617</x:v>
      </x:c>
      <x:c r="AY125" s="27" t="n">
        <x:f>IF(ISNUMBER(AG125),IF('Scoring Setup'!$L$19=1,1-'Scoring Setup'!$B$5*(1-MAX(0,MIN(1,(AG125-'Scoring Setup'!$K$19)/(100-'Scoring Setup'!$K$19)))),1),"")</x:f>
        <x:v>0.8</x:v>
      </x:c>
      <x:c r="AZ125" s="27" t="n">
        <x:f>IF(ISNUMBER(AH125),IF('Scoring Setup'!$L$20=1,1-'Scoring Setup'!$B$5*(1-MAX(0,MIN(1,(AH125-'Scoring Setup'!$K$20)/(100-'Scoring Setup'!$K$20)))),1),"")</x:f>
        <x:v>0.8513640180121528</x:v>
      </x:c>
      <x:c r="BA125" s="27" t="n">
        <x:f>IF(ISNUMBER(AI125),IF('Scoring Setup'!$L$21=1,1-'Scoring Setup'!$B$5*(1-MAX(0,MIN(1,(AI125-'Scoring Setup'!$K$21)/(100-'Scoring Setup'!$K$21)))),1),"")</x:f>
        <x:v>0.8461211987450009</x:v>
      </x:c>
      <x:c r="BB125" s="27" t="n">
        <x:f>IF(ISNUMBER(AJ125),IF('Scoring Setup'!$L$22=1,1-'Scoring Setup'!$B$5*(1-MAX(0,MIN(1,(AJ125-'Scoring Setup'!$K$22)/(100-'Scoring Setup'!$K$22)))),1),"")</x:f>
        <x:v>0.994994932717391</x:v>
      </x:c>
      <x:c r="BC125" s="27" t="n">
        <x:f>IF(ISNUMBER(AK125),IF('Scoring Setup'!$L$23=1,1-'Scoring Setup'!$B$5*(1-MAX(0,MIN(1,(AK125-'Scoring Setup'!$K$23)/(100-'Scoring Setup'!$K$23)))),1),"")</x:f>
        <x:v>0.994850681848152</x:v>
      </x:c>
      <x:c r="BD125" s="27" t="n">
        <x:f>IF(ISNUMBER(AL125),IF('Scoring Setup'!$L$24=1,1-'Scoring Setup'!$B$5*(1-MAX(0,MIN(1,(AL125-'Scoring Setup'!$K$24)/(100-'Scoring Setup'!$K$24)))),1),"")</x:f>
        <x:v>0.9741818181818181</x:v>
      </x:c>
      <x:c r="BE125" s="27" t="n">
        <x:f>IF(ISNUMBER(AM125),IF('Scoring Setup'!$L$25=1,1-'Scoring Setup'!$B$5*(1-MAX(0,MIN(1,(AM125-'Scoring Setup'!$K$25)/(100-'Scoring Setup'!$K$25)))),1),"")</x:f>
        <x:v>0.8885845218271159</x:v>
      </x:c>
      <x:c r="BF125" s="27" t="n">
        <x:f>IF(ISNUMBER(AN125),IF('Scoring Setup'!$L$26=1,1-'Scoring Setup'!$B$5*(1-MAX(0,MIN(1,(AN125-'Scoring Setup'!$K$26)/(100-'Scoring Setup'!$K$26)))),1),"")</x:f>
        <x:v>0.937286211052675</x:v>
      </x:c>
      <x:c r="BG125" s="34" t="n">
        <x:f>IF(COUNT(W125,X125)=2,AVERAGE(W125,X125),"")</x:f>
        <x:v>69.26379066478079</x:v>
      </x:c>
      <x:c r="BH125" s="34" t="n">
        <x:f>IF(COUNT(Y125,Z125)=2,AVERAGE(Y125,Z125),"")</x:f>
        <x:v>38.87951433698605</x:v>
      </x:c>
      <x:c r="BI125" s="34" t="n">
        <x:f>IF(COUNT(AA125,AB125,AC125)=3,AVERAGE(AA125,AB125,AC125),"")</x:f>
        <x:v>72.61531042289795</x:v>
      </x:c>
      <x:c r="BJ125" s="34" t="n">
        <x:f>IF(COUNT(AD125,AE125)=2,AVERAGE(AD125,AE125),"")</x:f>
        <x:v>12.427849044642857</x:v>
      </x:c>
      <x:c r="BK125" s="34" t="n">
        <x:f>IF(COUNT(AF125,AG125)=2,AVERAGE(AF125,AG125),"")</x:f>
        <x:v>43.53090072184042</x:v>
      </x:c>
      <x:c r="BL125" s="34" t="n">
        <x:f>IF(COUNT(AH125,AI125)=2,AVERAGE(AH125,AI125),"")</x:f>
        <x:v>24.37130418928843</x:v>
      </x:c>
      <x:c r="BM125" s="34" t="n">
        <x:f>IF(COUNT(AJ125,AK125)=2,AVERAGE(AJ125,AK125),"")</x:f>
        <x:v>97.46140364138574</x:v>
      </x:c>
      <x:c r="BN125" s="34" t="n">
        <x:f>IF(COUNT(AL125,AM125,AN125)=3,AVERAGE(AL125,AM125,AN125),"")</x:f>
        <x:v>66.67542517693484</x:v>
      </x:c>
      <x:c r="BO125" s="35" t="n">
        <x:f>IF(AND(COUNT(BG125:BN125)=8,ABS('Scoring Setup'!$C$17-1)&lt;0.000001),BG125*'Scoring Setup'!$C$9+BH125*'Scoring Setup'!$C$10+BI125*'Scoring Setup'!$C$11+BJ125*'Scoring Setup'!$C$12+BK125*'Scoring Setup'!$C$13+BL125*'Scoring Setup'!$C$14+BM125*'Scoring Setup'!$C$15+BN125*'Scoring Setup'!$C$16,"")</x:f>
        <x:v>53.65395089742757</x:v>
      </x:c>
      <x:c r="BP125" s="36" t="n">
        <x:f>IF(COUNT(AO125:BF125)=18,MIN(AO125:BF125),"")</x:f>
        <x:v>0.8</x:v>
      </x:c>
      <x:c r="BQ125" s="35" t="n">
        <x:f>IF(AND(ISNUMBER(BO125),ISNUMBER(BP125)),BO125*BP125,"")</x:f>
        <x:v>42.92316071794206</x:v>
      </x:c>
      <x:c r="BR125" s="17" t="str">
        <x:f>IF(COUNT(AO125:BF125)=18,INDEX('Scoring Setup'!$F$9:$F$26,MATCH(MIN(AO125:BF125),AO125:BF125,0),1),"")</x:f>
        <x:v>社会脆弱性百分位</x:v>
      </x:c>
    </x:row>
    <x:row r="126">
      <x:c r="A126" s="28" t="str">
        <x:v>13247</x:v>
      </x:c>
      <x:c r="B126" s="28" t="str">
        <x:v>Rockdale County</x:v>
      </x:c>
      <x:c r="C126" s="28" t="str">
        <x:v>GA</x:v>
      </x:c>
      <x:c r="D126" s="31" t="n">
        <x:v>336.228524</x:v>
      </x:c>
      <x:c r="E126" s="32" t="n">
        <x:v>0.453</x:v>
      </x:c>
      <x:c r="F126" s="32" t="n">
        <x:v>0.220915841584158</x:v>
      </x:c>
      <x:c r="G126" s="32" t="n">
        <x:v>3.429157267494043</x:v>
      </x:c>
      <x:c r="H126" s="32" t="n">
        <x:v>3.359374222918955</x:v>
      </x:c>
      <x:c r="I126" s="32" t="n">
        <x:v>0.654324126156695</x:v>
      </x:c>
      <x:c r="J126" s="32" t="n">
        <x:v>0.021195462994391873</x:v>
      </x:c>
      <x:c r="K126" s="32" t="n">
        <x:v>0.039347701595422994</x:v>
      </x:c>
      <x:c r="L126" s="32" t="n">
        <x:v>0.545263056</x:v>
      </x:c>
      <x:c r="M126" s="32" t="n">
        <x:v>0.541994528</x:v>
      </x:c>
      <x:c r="N126" s="32" t="n">
        <x:v>48046</x:v>
      </x:c>
      <x:c r="O126" s="32" t="n">
        <x:v>0.777</x:v>
      </x:c>
      <x:c r="P126" s="32" t="n">
        <x:v>1630.24697265625</x:v>
      </x:c>
      <x:c r="Q126" s="32" t="n">
        <x:v>37.28684698740641</x:v>
      </x:c>
      <x:c r="R126" s="32" t="n">
        <x:v>0.9093601619314773</x:v>
      </x:c>
      <x:c r="S126" s="32" t="n">
        <x:v>1.700376142849657</x:v>
      </x:c>
      <x:c r="T126" s="32" t="n">
        <x:v>72.1</x:v>
      </x:c>
      <x:c r="U126" s="32" t="n">
        <x:v>211.4154781728841</x:v>
      </x:c>
      <x:c r="V126" s="32" t="n">
        <x:v>325.42757789465</x:v>
      </x:c>
      <x:c r="W126" s="33" t="n">
        <x:f>IF(ISNUMBER(E126),100*MAX(0,MIN(1,('Anchors'!$H$6-E126)/('Anchors'!$H$6-'Anchors'!$G$6))),"")</x:f>
        <x:v>63.85714285714287</x:v>
      </x:c>
      <x:c r="X126" s="33" t="n">
        <x:f>IF(ISNUMBER(F126),100*MAX(0,MIN(1,('Anchors'!$H$7-F126)/('Anchors'!$H$7-'Anchors'!$G$7))),"")</x:f>
        <x:v>82.72630834512029</x:v>
      </x:c>
      <x:c r="Y126" s="33" t="n">
        <x:f>IF(ISNUMBER(G126),100*MAX(0,MIN(1,('Anchors'!$H$8-G126)/('Anchors'!$H$8-'Anchors'!$G$8))),"")</x:f>
        <x:v>19.028091083531905</x:v>
      </x:c>
      <x:c r="Z126" s="33" t="n">
        <x:f>IF(ISNUMBER(H126),100*MAX(0,MIN(1,('Anchors'!$H$9-H126)/('Anchors'!$H$9-'Anchors'!$G$9))),"")</x:f>
        <x:v>21.35419256936816</x:v>
      </x:c>
      <x:c r="AA126" s="33" t="n">
        <x:f>IF(ISNUMBER(I126),100*MAX(0,MIN(1,(I126-'Anchors'!$H$10)/('Anchors'!$G$10-'Anchors'!$H$10))),"")</x:f>
        <x:v>55.386866596807536</x:v>
      </x:c>
      <x:c r="AB126" s="33" t="n">
        <x:f>IF(ISNUMBER(J126),100*MAX(0,MIN(1,('Anchors'!$H$11-J126)/('Anchors'!$H$11-'Anchors'!$G$11))),"")</x:f>
        <x:v>91.52181480224326</x:v>
      </x:c>
      <x:c r="AC126" s="33" t="n">
        <x:f>IF(ISNUMBER(K126),100*MAX(0,MIN(1,('Anchors'!$H$12-K126)/('Anchors'!$H$12-'Anchors'!$G$12))),"")</x:f>
        <x:v>90.16307460114426</x:v>
      </x:c>
      <x:c r="AD126" s="33" t="n">
        <x:f>IF(ISNUMBER(L126),100*MAX(0,MIN(1,(L126-'Anchors'!$H$13)/('Anchors'!$G$13-'Anchors'!$H$13))),"")</x:f>
        <x:v>49.32329371428572</x:v>
      </x:c>
      <x:c r="AE126" s="33" t="n">
        <x:f>IF(ISNUMBER(M126),100*MAX(0,MIN(1,(M126-'Anchors'!$H$14)/('Anchors'!$G$14-'Anchors'!$H$14))),"")</x:f>
        <x:v>55.24931600000001</x:v>
      </x:c>
      <x:c r="AF126" s="33" t="n">
        <x:f>IF(ISNUMBER(N126),100*MAX(0,MIN(1,(LN(1+N126)-LN(1+'Anchors'!$H$15))/(LN(1+'Anchors'!$G$15)-LN(1+'Anchors'!$H$15)))),"")</x:f>
        <x:v>73.62836215345412</x:v>
      </x:c>
      <x:c r="AG126" s="33" t="n">
        <x:f>IF(ISNUMBER(O126),100*MAX(0,MIN(1,('Anchors'!$H$16-O126)/('Anchors'!$H$16-'Anchors'!$G$16))),"")</x:f>
        <x:v>19.222222222222214</x:v>
      </x:c>
      <x:c r="AH126" s="33" t="n">
        <x:f>IF(ISNUMBER(P126),100*MAX(0,MIN(1,('Anchors'!$H$17-P126)/('Anchors'!$H$17-'Anchors'!$G$17))),"")</x:f>
        <x:v>37.98353515625001</x:v>
      </x:c>
      <x:c r="AI126" s="33" t="n">
        <x:f>IF(ISNUMBER(Q126),100*MAX(0,MIN(1,('Anchors'!$H$18-Q126)/('Anchors'!$H$18-'Anchors'!$G$18))),"")</x:f>
        <x:v>53.87593287513369</x:v>
      </x:c>
      <x:c r="AJ126" s="33" t="n">
        <x:f>IF(ISNUMBER(R126),100*MAX(0,MIN(1,('Anchors'!$H$19-R126)/('Anchors'!$H$19-'Anchors'!$G$19))),"")</x:f>
        <x:v>100</x:v>
      </x:c>
      <x:c r="AK126" s="33" t="n">
        <x:f>IF(ISNUMBER(S126),100*MAX(0,MIN(1,('Anchors'!$H$20-S126)/('Anchors'!$H$20-'Anchors'!$G$20))),"")</x:f>
        <x:v>96.31380977447549</x:v>
      </x:c>
      <x:c r="AL126" s="33" t="n">
        <x:f>IF(ISNUMBER(T126),100*MAX(0,MIN(1,('Anchors'!$H$21-T126)/('Anchors'!$H$21-'Anchors'!$G$21))),"")</x:f>
        <x:v>87.0909090909091</x:v>
      </x:c>
      <x:c r="AM126" s="33" t="n">
        <x:f>IF(ISNUMBER(U126),100*MAX(0,MIN(1,('Anchors'!$H$22-U126)/('Anchors'!$H$22-'Anchors'!$G$22))),"")</x:f>
        <x:v>44.29226091355795</x:v>
      </x:c>
      <x:c r="AN126" s="33" t="n">
        <x:f>IF(ISNUMBER(V126),100*MAX(0,MIN(1,('Anchors'!$H$23-V126)/('Anchors'!$H$23-'Anchors'!$G$23))),"")</x:f>
        <x:v>68.6431055263375</x:v>
      </x:c>
      <x:c r="AO126" s="27" t="n">
        <x:f>IF(ISNUMBER(W126),IF('Scoring Setup'!$L$9=1,1-'Scoring Setup'!$B$5*(1-MAX(0,MIN(1,(W126-'Scoring Setup'!$K$9)/(100-'Scoring Setup'!$K$9)))),1),"")</x:f>
        <x:v>0.9277142857142857</x:v>
      </x:c>
      <x:c r="AP126" s="27" t="n">
        <x:f>IF(ISNUMBER(X126),IF('Scoring Setup'!$L$10=1,1-'Scoring Setup'!$B$5*(1-MAX(0,MIN(1,(X126-'Scoring Setup'!$K$10)/(100-'Scoring Setup'!$K$10)))),1),"")</x:f>
        <x:v>0.9654526166902406</x:v>
      </x:c>
      <x:c r="AQ126" s="27" t="n">
        <x:f>IF(ISNUMBER(Y126),IF('Scoring Setup'!$L$11=1,1-'Scoring Setup'!$B$5*(1-MAX(0,MIN(1,(Y126-'Scoring Setup'!$K$11)/(100-'Scoring Setup'!$K$11)))),1),"")</x:f>
        <x:v>0.8380561821670638</x:v>
      </x:c>
      <x:c r="AR126" s="27" t="n">
        <x:f>IF(ISNUMBER(Z126),IF('Scoring Setup'!$L$12=1,1-'Scoring Setup'!$B$5*(1-MAX(0,MIN(1,(Z126-'Scoring Setup'!$K$12)/(100-'Scoring Setup'!$K$12)))),1),"")</x:f>
        <x:v>0.8427083851387362</x:v>
      </x:c>
      <x:c r="AS126" s="27" t="n">
        <x:f>IF(ISNUMBER(AA126),IF('Scoring Setup'!$L$13=1,1-'Scoring Setup'!$B$5*(1-MAX(0,MIN(1,(AA126-'Scoring Setup'!$K$13)/(100-'Scoring Setup'!$K$13)))),1),"")</x:f>
        <x:v>0.9107737331936151</x:v>
      </x:c>
      <x:c r="AT126" s="27" t="n">
        <x:f>IF(ISNUMBER(AB126),IF('Scoring Setup'!$L$14=1,1-'Scoring Setup'!$B$5*(1-MAX(0,MIN(1,(AB126-'Scoring Setup'!$K$14)/(100-'Scoring Setup'!$K$14)))),1),"")</x:f>
        <x:v>0.9830436296044865</x:v>
      </x:c>
      <x:c r="AU126" s="27" t="n">
        <x:f>IF(ISNUMBER(AC126),IF('Scoring Setup'!$L$15=1,1-'Scoring Setup'!$B$5*(1-MAX(0,MIN(1,(AC126-'Scoring Setup'!$K$15)/(100-'Scoring Setup'!$K$15)))),1),"")</x:f>
        <x:v>0.9803261492022886</x:v>
      </x:c>
      <x:c r="AV126" s="27" t="n">
        <x:f>IF(ISNUMBER(AD126),IF('Scoring Setup'!$L$16=1,1-'Scoring Setup'!$B$5*(1-MAX(0,MIN(1,(AD126-'Scoring Setup'!$K$16)/(100-'Scoring Setup'!$K$16)))),1),"")</x:f>
        <x:v>0.8986465874285714</x:v>
      </x:c>
      <x:c r="AW126" s="27" t="n">
        <x:f>IF(ISNUMBER(AE126),IF('Scoring Setup'!$L$17=1,1-'Scoring Setup'!$B$5*(1-MAX(0,MIN(1,(AE126-'Scoring Setup'!$K$17)/(100-'Scoring Setup'!$K$17)))),1),"")</x:f>
        <x:v>0.910498632</x:v>
      </x:c>
      <x:c r="AX126" s="27" t="n">
        <x:f>IF(ISNUMBER(AF126),IF('Scoring Setup'!$L$18=1,1-'Scoring Setup'!$B$5*(1-MAX(0,MIN(1,(AF126-'Scoring Setup'!$K$18)/(100-'Scoring Setup'!$K$18)))),1),"")</x:f>
        <x:v>0.9472567243069082</x:v>
      </x:c>
      <x:c r="AY126" s="27" t="n">
        <x:f>IF(ISNUMBER(AG126),IF('Scoring Setup'!$L$19=1,1-'Scoring Setup'!$B$5*(1-MAX(0,MIN(1,(AG126-'Scoring Setup'!$K$19)/(100-'Scoring Setup'!$K$19)))),1),"")</x:f>
        <x:v>0.8384444444444444</x:v>
      </x:c>
      <x:c r="AZ126" s="27" t="n">
        <x:f>IF(ISNUMBER(AH126),IF('Scoring Setup'!$L$20=1,1-'Scoring Setup'!$B$5*(1-MAX(0,MIN(1,(AH126-'Scoring Setup'!$K$20)/(100-'Scoring Setup'!$K$20)))),1),"")</x:f>
        <x:v>0.8759670703125</x:v>
      </x:c>
      <x:c r="BA126" s="27" t="n">
        <x:f>IF(ISNUMBER(AI126),IF('Scoring Setup'!$L$21=1,1-'Scoring Setup'!$B$5*(1-MAX(0,MIN(1,(AI126-'Scoring Setup'!$K$21)/(100-'Scoring Setup'!$K$21)))),1),"")</x:f>
        <x:v>0.9077518657502673</x:v>
      </x:c>
      <x:c r="BB126" s="27" t="n">
        <x:f>IF(ISNUMBER(AJ126),IF('Scoring Setup'!$L$22=1,1-'Scoring Setup'!$B$5*(1-MAX(0,MIN(1,(AJ126-'Scoring Setup'!$K$22)/(100-'Scoring Setup'!$K$22)))),1),"")</x:f>
        <x:v>1</x:v>
      </x:c>
      <x:c r="BC126" s="27" t="n">
        <x:f>IF(ISNUMBER(AK126),IF('Scoring Setup'!$L$23=1,1-'Scoring Setup'!$B$5*(1-MAX(0,MIN(1,(AK126-'Scoring Setup'!$K$23)/(100-'Scoring Setup'!$K$23)))),1),"")</x:f>
        <x:v>0.992627619548951</x:v>
      </x:c>
      <x:c r="BD126" s="27" t="n">
        <x:f>IF(ISNUMBER(AL126),IF('Scoring Setup'!$L$24=1,1-'Scoring Setup'!$B$5*(1-MAX(0,MIN(1,(AL126-'Scoring Setup'!$K$24)/(100-'Scoring Setup'!$K$24)))),1),"")</x:f>
        <x:v>0.9741818181818181</x:v>
      </x:c>
      <x:c r="BE126" s="27" t="n">
        <x:f>IF(ISNUMBER(AM126),IF('Scoring Setup'!$L$25=1,1-'Scoring Setup'!$B$5*(1-MAX(0,MIN(1,(AM126-'Scoring Setup'!$K$25)/(100-'Scoring Setup'!$K$25)))),1),"")</x:f>
        <x:v>0.8885845218271159</x:v>
      </x:c>
      <x:c r="BF126" s="27" t="n">
        <x:f>IF(ISNUMBER(AN126),IF('Scoring Setup'!$L$26=1,1-'Scoring Setup'!$B$5*(1-MAX(0,MIN(1,(AN126-'Scoring Setup'!$K$26)/(100-'Scoring Setup'!$K$26)))),1),"")</x:f>
        <x:v>0.937286211052675</x:v>
      </x:c>
      <x:c r="BG126" s="34" t="n">
        <x:f>IF(COUNT(W126,X126)=2,AVERAGE(W126,X126),"")</x:f>
        <x:v>73.29172560113157</x:v>
      </x:c>
      <x:c r="BH126" s="34" t="n">
        <x:f>IF(COUNT(Y126,Z126)=2,AVERAGE(Y126,Z126),"")</x:f>
        <x:v>20.191141826450032</x:v>
      </x:c>
      <x:c r="BI126" s="34" t="n">
        <x:f>IF(COUNT(AA126,AB126,AC126)=3,AVERAGE(AA126,AB126,AC126),"")</x:f>
        <x:v>79.02391866673169</x:v>
      </x:c>
      <x:c r="BJ126" s="34" t="n">
        <x:f>IF(COUNT(AD126,AE126)=2,AVERAGE(AD126,AE126),"")</x:f>
        <x:v>52.286304857142866</x:v>
      </x:c>
      <x:c r="BK126" s="34" t="n">
        <x:f>IF(COUNT(AF126,AG126)=2,AVERAGE(AF126,AG126),"")</x:f>
        <x:v>46.42529218783817</x:v>
      </x:c>
      <x:c r="BL126" s="34" t="n">
        <x:f>IF(COUNT(AH126,AI126)=2,AVERAGE(AH126,AI126),"")</x:f>
        <x:v>45.92973401569185</x:v>
      </x:c>
      <x:c r="BM126" s="34" t="n">
        <x:f>IF(COUNT(AJ126,AK126)=2,AVERAGE(AJ126,AK126),"")</x:f>
        <x:v>98.15690488723774</x:v>
      </x:c>
      <x:c r="BN126" s="34" t="n">
        <x:f>IF(COUNT(AL126,AM126,AN126)=3,AVERAGE(AL126,AM126,AN126),"")</x:f>
        <x:v>66.67542517693484</x:v>
      </x:c>
      <x:c r="BO126" s="35" t="n">
        <x:f>IF(AND(COUNT(BG126:BN126)=8,ABS('Scoring Setup'!$C$17-1)&lt;0.000001),BG126*'Scoring Setup'!$C$9+BH126*'Scoring Setup'!$C$10+BI126*'Scoring Setup'!$C$11+BJ126*'Scoring Setup'!$C$12+BK126*'Scoring Setup'!$C$13+BL126*'Scoring Setup'!$C$14+BM126*'Scoring Setup'!$C$15+BN126*'Scoring Setup'!$C$16,"")</x:f>
        <x:v>56.34791199480137</x:v>
      </x:c>
      <x:c r="BP126" s="36" t="n">
        <x:f>IF(COUNT(AO126:BF126)=18,MIN(AO126:BF126),"")</x:f>
        <x:v>0.8380561821670638</x:v>
      </x:c>
      <x:c r="BQ126" s="35" t="n">
        <x:f>IF(AND(ISNUMBER(BO126),ISNUMBER(BP126)),BO126*BP126,"")</x:f>
        <x:v>47.22271599944894</x:v>
      </x:c>
      <x:c r="BR126" s="17" t="str">
        <x:f>IF(COUNT(AO126:BF126)=18,INDEX('Scoring Setup'!$F$9:$F$26,MATCH(MIN(AO126:BF126),AO126:BF126,0),1),"")</x:f>
        <x:v>基线水压力</x:v>
      </x:c>
    </x:row>
    <x:row r="127">
      <x:c r="A127" s="28" t="str">
        <x:v>13249</x:v>
      </x:c>
      <x:c r="B127" s="28" t="str">
        <x:v>Schley County</x:v>
      </x:c>
      <x:c r="C127" s="28" t="str">
        <x:v>GA</x:v>
      </x:c>
      <x:c r="D127" s="31" t="n">
        <x:v>432.291202</x:v>
      </x:c>
      <x:c r="E127" s="32" t="n">
        <x:v>0.558</x:v>
      </x:c>
      <x:c r="F127" s="32" t="n">
        <x:v>0.10983910891089099</x:v>
      </x:c>
      <x:c r="G127" s="32" t="n">
        <x:v>1.1652933984148754</x:v>
      </x:c>
      <x:c r="H127" s="32" t="n">
        <x:v>1.134330805</x:v>
      </x:c>
      <x:c r="I127" s="32" t="n">
        <x:v>0.9506225758660297</x:v>
      </x:c>
      <x:c r="J127" s="32" t="n">
        <x:v>0.0007049836846511263</x:v>
      </x:c>
      <x:c r="K127" s="32" t="n">
        <x:v>0.08880237377856941</x:v>
      </x:c>
      <x:c r="L127" s="32" t="n">
        <x:v>0.530977312</x:v>
      </x:c>
      <x:c r="M127" s="32" t="n">
        <x:v>0.529668412</x:v>
      </x:c>
      <x:c r="N127" s="32" t="n">
        <x:v>1882</x:v>
      </x:c>
      <x:c r="O127" s="32" t="n">
        <x:v>0.4973</x:v>
      </x:c>
      <x:c r="P127" s="32" t="n">
        <x:v>1928.5063598632812</x:v>
      </x:c>
      <x:c r="Q127" s="32" t="n">
        <x:v>56.47899602254232</x:v>
      </x:c>
      <x:c r="R127" s="32" t="n">
        <x:v>52.92227755323325</x:v>
      </x:c>
      <x:c r="S127" s="32" t="n">
        <x:v>1.5529751794965456</x:v>
      </x:c>
      <x:c r="T127" s="32" t="n">
        <x:v>72.1</x:v>
      </x:c>
      <x:c r="U127" s="32" t="n">
        <x:v>211.4154781728841</x:v>
      </x:c>
      <x:c r="V127" s="32" t="n">
        <x:v>325.42757789465</x:v>
      </x:c>
      <x:c r="W127" s="33" t="n">
        <x:f>IF(ISNUMBER(E127),100*MAX(0,MIN(1,('Anchors'!$H$6-E127)/('Anchors'!$H$6-'Anchors'!$G$6))),"")</x:f>
        <x:v>48.857142857142854</x:v>
      </x:c>
      <x:c r="X127" s="33" t="n">
        <x:f>IF(ISNUMBER(F127),100*MAX(0,MIN(1,('Anchors'!$H$7-F127)/('Anchors'!$H$7-'Anchors'!$G$7))),"")</x:f>
        <x:v>98.59441301272986</x:v>
      </x:c>
      <x:c r="Y127" s="33" t="n">
        <x:f>IF(ISNUMBER(G127),100*MAX(0,MIN(1,('Anchors'!$H$8-G127)/('Anchors'!$H$8-'Anchors'!$G$8))),"")</x:f>
        <x:v>94.49022005283749</x:v>
      </x:c>
      <x:c r="Z127" s="33" t="n">
        <x:f>IF(ISNUMBER(H127),100*MAX(0,MIN(1,('Anchors'!$H$9-H127)/('Anchors'!$H$9-'Anchors'!$G$9))),"")</x:f>
        <x:v>95.52230649999998</x:v>
      </x:c>
      <x:c r="AA127" s="33" t="n">
        <x:f>IF(ISNUMBER(I127),100*MAX(0,MIN(1,(I127-'Anchors'!$H$10)/('Anchors'!$G$10-'Anchors'!$H$10))),"")</x:f>
        <x:v>95.97569532411366</x:v>
      </x:c>
      <x:c r="AB127" s="33" t="n">
        <x:f>IF(ISNUMBER(J127),100*MAX(0,MIN(1,('Anchors'!$H$11-J127)/('Anchors'!$H$11-'Anchors'!$G$11))),"")</x:f>
        <x:v>99.71800652613955</x:v>
      </x:c>
      <x:c r="AC127" s="33" t="n">
        <x:f>IF(ISNUMBER(K127),100*MAX(0,MIN(1,('Anchors'!$H$12-K127)/('Anchors'!$H$12-'Anchors'!$G$12))),"")</x:f>
        <x:v>77.79940655535765</x:v>
      </x:c>
      <x:c r="AD127" s="33" t="n">
        <x:f>IF(ISNUMBER(L127),100*MAX(0,MIN(1,(L127-'Anchors'!$H$13)/('Anchors'!$G$13-'Anchors'!$H$13))),"")</x:f>
        <x:v>47.28247314285714</x:v>
      </x:c>
      <x:c r="AE127" s="33" t="n">
        <x:f>IF(ISNUMBER(M127),100*MAX(0,MIN(1,(M127-'Anchors'!$H$14)/('Anchors'!$G$14-'Anchors'!$H$14))),"")</x:f>
        <x:v>53.7085515</x:v>
      </x:c>
      <x:c r="AF127" s="33" t="n">
        <x:f>IF(ISNUMBER(N127),100*MAX(0,MIN(1,(LN(1+N127)-LN(1+'Anchors'!$H$15))/(LN(1+'Anchors'!$G$15)-LN(1+'Anchors'!$H$15)))),"")</x:f>
        <x:v>0</x:v>
      </x:c>
      <x:c r="AG127" s="33" t="n">
        <x:f>IF(ISNUMBER(O127),100*MAX(0,MIN(1,('Anchors'!$H$16-O127)/('Anchors'!$H$16-'Anchors'!$G$16))),"")</x:f>
        <x:v>50.3</x:v>
      </x:c>
      <x:c r="AH127" s="33" t="n">
        <x:f>IF(ISNUMBER(P127),100*MAX(0,MIN(1,('Anchors'!$H$17-P127)/('Anchors'!$H$17-'Anchors'!$G$17))),"")</x:f>
        <x:v>18.09957600911459</x:v>
      </x:c>
      <x:c r="AI127" s="33" t="n">
        <x:f>IF(ISNUMBER(Q127),100*MAX(0,MIN(1,('Anchors'!$H$18-Q127)/('Anchors'!$H$18-'Anchors'!$G$18))),"")</x:f>
        <x:v>26.45857711065383</x:v>
      </x:c>
      <x:c r="AJ127" s="33" t="n">
        <x:f>IF(ISNUMBER(R127),100*MAX(0,MIN(1,('Anchors'!$H$19-R127)/('Anchors'!$H$19-'Anchors'!$G$19))),"")</x:f>
        <x:v>0</x:v>
      </x:c>
      <x:c r="AK127" s="33" t="n">
        <x:f>IF(ISNUMBER(S127),100*MAX(0,MIN(1,('Anchors'!$H$20-S127)/('Anchors'!$H$20-'Anchors'!$G$20))),"")</x:f>
        <x:v>97.08960431843924</x:v>
      </x:c>
      <x:c r="AL127" s="33" t="n">
        <x:f>IF(ISNUMBER(T127),100*MAX(0,MIN(1,('Anchors'!$H$21-T127)/('Anchors'!$H$21-'Anchors'!$G$21))),"")</x:f>
        <x:v>87.0909090909091</x:v>
      </x:c>
      <x:c r="AM127" s="33" t="n">
        <x:f>IF(ISNUMBER(U127),100*MAX(0,MIN(1,('Anchors'!$H$22-U127)/('Anchors'!$H$22-'Anchors'!$G$22))),"")</x:f>
        <x:v>44.29226091355795</x:v>
      </x:c>
      <x:c r="AN127" s="33" t="n">
        <x:f>IF(ISNUMBER(V127),100*MAX(0,MIN(1,('Anchors'!$H$23-V127)/('Anchors'!$H$23-'Anchors'!$G$23))),"")</x:f>
        <x:v>68.6431055263375</x:v>
      </x:c>
      <x:c r="AO127" s="27" t="n">
        <x:f>IF(ISNUMBER(W127),IF('Scoring Setup'!$L$9=1,1-'Scoring Setup'!$B$5*(1-MAX(0,MIN(1,(W127-'Scoring Setup'!$K$9)/(100-'Scoring Setup'!$K$9)))),1),"")</x:f>
        <x:v>0.8977142857142857</x:v>
      </x:c>
      <x:c r="AP127" s="27" t="n">
        <x:f>IF(ISNUMBER(X127),IF('Scoring Setup'!$L$10=1,1-'Scoring Setup'!$B$5*(1-MAX(0,MIN(1,(X127-'Scoring Setup'!$K$10)/(100-'Scoring Setup'!$K$10)))),1),"")</x:f>
        <x:v>0.9971888260254598</x:v>
      </x:c>
      <x:c r="AQ127" s="27" t="n">
        <x:f>IF(ISNUMBER(Y127),IF('Scoring Setup'!$L$11=1,1-'Scoring Setup'!$B$5*(1-MAX(0,MIN(1,(Y127-'Scoring Setup'!$K$11)/(100-'Scoring Setup'!$K$11)))),1),"")</x:f>
        <x:v>0.988980440105675</x:v>
      </x:c>
      <x:c r="AR127" s="27" t="n">
        <x:f>IF(ISNUMBER(Z127),IF('Scoring Setup'!$L$12=1,1-'Scoring Setup'!$B$5*(1-MAX(0,MIN(1,(Z127-'Scoring Setup'!$K$12)/(100-'Scoring Setup'!$K$12)))),1),"")</x:f>
        <x:v>0.991044613</x:v>
      </x:c>
      <x:c r="AS127" s="27" t="n">
        <x:f>IF(ISNUMBER(AA127),IF('Scoring Setup'!$L$13=1,1-'Scoring Setup'!$B$5*(1-MAX(0,MIN(1,(AA127-'Scoring Setup'!$K$13)/(100-'Scoring Setup'!$K$13)))),1),"")</x:f>
        <x:v>0.9919513906482273</x:v>
      </x:c>
      <x:c r="AT127" s="27" t="n">
        <x:f>IF(ISNUMBER(AB127),IF('Scoring Setup'!$L$14=1,1-'Scoring Setup'!$B$5*(1-MAX(0,MIN(1,(AB127-'Scoring Setup'!$K$14)/(100-'Scoring Setup'!$K$14)))),1),"")</x:f>
        <x:v>0.9994360130522791</x:v>
      </x:c>
      <x:c r="AU127" s="27" t="n">
        <x:f>IF(ISNUMBER(AC127),IF('Scoring Setup'!$L$15=1,1-'Scoring Setup'!$B$5*(1-MAX(0,MIN(1,(AC127-'Scoring Setup'!$K$15)/(100-'Scoring Setup'!$K$15)))),1),"")</x:f>
        <x:v>0.9555988131107153</x:v>
      </x:c>
      <x:c r="AV127" s="27" t="n">
        <x:f>IF(ISNUMBER(AD127),IF('Scoring Setup'!$L$16=1,1-'Scoring Setup'!$B$5*(1-MAX(0,MIN(1,(AD127-'Scoring Setup'!$K$16)/(100-'Scoring Setup'!$K$16)))),1),"")</x:f>
        <x:v>0.8945649462857143</x:v>
      </x:c>
      <x:c r="AW127" s="27" t="n">
        <x:f>IF(ISNUMBER(AE127),IF('Scoring Setup'!$L$17=1,1-'Scoring Setup'!$B$5*(1-MAX(0,MIN(1,(AE127-'Scoring Setup'!$K$17)/(100-'Scoring Setup'!$K$17)))),1),"")</x:f>
        <x:v>0.907417103</x:v>
      </x:c>
      <x:c r="AX127" s="27" t="n">
        <x:f>IF(ISNUMBER(AF127),IF('Scoring Setup'!$L$18=1,1-'Scoring Setup'!$B$5*(1-MAX(0,MIN(1,(AF127-'Scoring Setup'!$K$18)/(100-'Scoring Setup'!$K$18)))),1),"")</x:f>
        <x:v>0.8</x:v>
      </x:c>
      <x:c r="AY127" s="27" t="n">
        <x:f>IF(ISNUMBER(AG127),IF('Scoring Setup'!$L$19=1,1-'Scoring Setup'!$B$5*(1-MAX(0,MIN(1,(AG127-'Scoring Setup'!$K$19)/(100-'Scoring Setup'!$K$19)))),1),"")</x:f>
        <x:v>0.9006</x:v>
      </x:c>
      <x:c r="AZ127" s="27" t="n">
        <x:f>IF(ISNUMBER(AH127),IF('Scoring Setup'!$L$20=1,1-'Scoring Setup'!$B$5*(1-MAX(0,MIN(1,(AH127-'Scoring Setup'!$K$20)/(100-'Scoring Setup'!$K$20)))),1),"")</x:f>
        <x:v>0.8361991520182291</x:v>
      </x:c>
      <x:c r="BA127" s="27" t="n">
        <x:f>IF(ISNUMBER(AI127),IF('Scoring Setup'!$L$21=1,1-'Scoring Setup'!$B$5*(1-MAX(0,MIN(1,(AI127-'Scoring Setup'!$K$21)/(100-'Scoring Setup'!$K$21)))),1),"")</x:f>
        <x:v>0.8529171542213076</x:v>
      </x:c>
      <x:c r="BB127" s="27" t="n">
        <x:f>IF(ISNUMBER(AJ127),IF('Scoring Setup'!$L$22=1,1-'Scoring Setup'!$B$5*(1-MAX(0,MIN(1,(AJ127-'Scoring Setup'!$K$22)/(100-'Scoring Setup'!$K$22)))),1),"")</x:f>
        <x:v>0.8</x:v>
      </x:c>
      <x:c r="BC127" s="27" t="n">
        <x:f>IF(ISNUMBER(AK127),IF('Scoring Setup'!$L$23=1,1-'Scoring Setup'!$B$5*(1-MAX(0,MIN(1,(AK127-'Scoring Setup'!$K$23)/(100-'Scoring Setup'!$K$23)))),1),"")</x:f>
        <x:v>0.9941792086368785</x:v>
      </x:c>
      <x:c r="BD127" s="27" t="n">
        <x:f>IF(ISNUMBER(AL127),IF('Scoring Setup'!$L$24=1,1-'Scoring Setup'!$B$5*(1-MAX(0,MIN(1,(AL127-'Scoring Setup'!$K$24)/(100-'Scoring Setup'!$K$24)))),1),"")</x:f>
        <x:v>0.9741818181818181</x:v>
      </x:c>
      <x:c r="BE127" s="27" t="n">
        <x:f>IF(ISNUMBER(AM127),IF('Scoring Setup'!$L$25=1,1-'Scoring Setup'!$B$5*(1-MAX(0,MIN(1,(AM127-'Scoring Setup'!$K$25)/(100-'Scoring Setup'!$K$25)))),1),"")</x:f>
        <x:v>0.8885845218271159</x:v>
      </x:c>
      <x:c r="BF127" s="27" t="n">
        <x:f>IF(ISNUMBER(AN127),IF('Scoring Setup'!$L$26=1,1-'Scoring Setup'!$B$5*(1-MAX(0,MIN(1,(AN127-'Scoring Setup'!$K$26)/(100-'Scoring Setup'!$K$26)))),1),"")</x:f>
        <x:v>0.937286211052675</x:v>
      </x:c>
      <x:c r="BG127" s="34" t="n">
        <x:f>IF(COUNT(W127,X127)=2,AVERAGE(W127,X127),"")</x:f>
        <x:v>73.72577793493636</x:v>
      </x:c>
      <x:c r="BH127" s="34" t="n">
        <x:f>IF(COUNT(Y127,Z127)=2,AVERAGE(Y127,Z127),"")</x:f>
        <x:v>95.00626327641874</x:v>
      </x:c>
      <x:c r="BI127" s="34" t="n">
        <x:f>IF(COUNT(AA127,AB127,AC127)=3,AVERAGE(AA127,AB127,AC127),"")</x:f>
        <x:v>91.16436946853696</x:v>
      </x:c>
      <x:c r="BJ127" s="34" t="n">
        <x:f>IF(COUNT(AD127,AE127)=2,AVERAGE(AD127,AE127),"")</x:f>
        <x:v>50.49551232142857</x:v>
      </x:c>
      <x:c r="BK127" s="34" t="n">
        <x:f>IF(COUNT(AF127,AG127)=2,AVERAGE(AF127,AG127),"")</x:f>
        <x:v>25.15</x:v>
      </x:c>
      <x:c r="BL127" s="34" t="n">
        <x:f>IF(COUNT(AH127,AI127)=2,AVERAGE(AH127,AI127),"")</x:f>
        <x:v>22.27907655988421</x:v>
      </x:c>
      <x:c r="BM127" s="34" t="n">
        <x:f>IF(COUNT(AJ127,AK127)=2,AVERAGE(AJ127,AK127),"")</x:f>
        <x:v>48.54480215921962</x:v>
      </x:c>
      <x:c r="BN127" s="34" t="n">
        <x:f>IF(COUNT(AL127,AM127,AN127)=3,AVERAGE(AL127,AM127,AN127),"")</x:f>
        <x:v>66.67542517693484</x:v>
      </x:c>
      <x:c r="BO127" s="35" t="n">
        <x:f>IF(AND(COUNT(BG127:BN127)=8,ABS('Scoring Setup'!$C$17-1)&lt;0.000001),BG127*'Scoring Setup'!$C$9+BH127*'Scoring Setup'!$C$10+BI127*'Scoring Setup'!$C$11+BJ127*'Scoring Setup'!$C$12+BK127*'Scoring Setup'!$C$13+BL127*'Scoring Setup'!$C$14+BM127*'Scoring Setup'!$C$15+BN127*'Scoring Setup'!$C$16,"")</x:f>
        <x:v>66.59864011680958</x:v>
      </x:c>
      <x:c r="BP127" s="36" t="n">
        <x:f>IF(COUNT(AO127:BF127)=18,MIN(AO127:BF127),"")</x:f>
        <x:v>0.8</x:v>
      </x:c>
      <x:c r="BQ127" s="35" t="n">
        <x:f>IF(AND(ISNUMBER(BO127),ISNUMBER(BP127)),BO127*BP127,"")</x:f>
        <x:v>53.278912093447666</x:v>
      </x:c>
      <x:c r="BR127" s="17" t="str">
        <x:f>IF(COUNT(AO127:BF127)=18,INDEX('Scoring Setup'!$F$9:$F$26,MATCH(MIN(AO127:BF127),AO127:BF127,0),1),"")</x:f>
        <x:v>劳动力人数</x:v>
      </x:c>
    </x:row>
    <x:row r="128">
      <x:c r="A128" s="28" t="str">
        <x:v>13251</x:v>
      </x:c>
      <x:c r="B128" s="28" t="str">
        <x:v>Screven County</x:v>
      </x:c>
      <x:c r="C128" s="28" t="str">
        <x:v>GA</x:v>
      </x:c>
      <x:c r="D128" s="31" t="n">
        <x:v>1672.668619</x:v>
      </x:c>
      <x:c r="E128" s="32" t="n">
        <x:v>0.561</x:v>
      </x:c>
      <x:c r="F128" s="32" t="n">
        <x:v>0.232054455445545</x:v>
      </x:c>
      <x:c r="G128" s="32" t="n">
        <x:v>2.0361139822928633</x:v>
      </x:c>
      <x:c r="H128" s="32" t="n">
        <x:v>1.8420452977656698</x:v>
      </x:c>
      <x:c r="I128" s="32" t="n">
        <x:v>0.9497417648658133</x:v>
      </x:c>
      <x:c r="J128" s="32" t="n">
        <x:v>0.04165348624776348</x:v>
      </x:c>
      <x:c r="K128" s="32" t="n">
        <x:v>0.3468576718189058</x:v>
      </x:c>
      <x:c r="L128" s="32" t="n">
        <x:v>0.212015556</x:v>
      </x:c>
      <x:c r="M128" s="32" t="n">
        <x:v>0.212015556</x:v>
      </x:c>
      <x:c r="N128" s="32" t="n">
        <x:v>5942</x:v>
      </x:c>
      <x:c r="O128" s="32" t="n">
        <x:v>0.699</x:v>
      </x:c>
      <x:c r="P128" s="32" t="n">
        <x:v>2121.504777018229</x:v>
      </x:c>
      <x:c r="Q128" s="32" t="n">
        <x:v>68.15500526428222</x:v>
      </x:c>
      <x:c r="R128" s="32" t="n">
        <x:v>53.212620415946006</x:v>
      </x:c>
      <x:c r="S128" s="32" t="n">
        <x:v>1.8581150989109443</x:v>
      </x:c>
      <x:c r="T128" s="32" t="n">
        <x:v>72.1</x:v>
      </x:c>
      <x:c r="U128" s="32" t="n">
        <x:v>211.4154781728841</x:v>
      </x:c>
      <x:c r="V128" s="32" t="n">
        <x:v>325.42757789465</x:v>
      </x:c>
      <x:c r="W128" s="33" t="n">
        <x:f>IF(ISNUMBER(E128),100*MAX(0,MIN(1,('Anchors'!$H$6-E128)/('Anchors'!$H$6-'Anchors'!$G$6))),"")</x:f>
        <x:v>48.42857142857142</x:v>
      </x:c>
      <x:c r="X128" s="33" t="n">
        <x:f>IF(ISNUMBER(F128),100*MAX(0,MIN(1,('Anchors'!$H$7-F128)/('Anchors'!$H$7-'Anchors'!$G$7))),"")</x:f>
        <x:v>81.13507779349356</x:v>
      </x:c>
      <x:c r="Y128" s="33" t="n">
        <x:f>IF(ISNUMBER(G128),100*MAX(0,MIN(1,('Anchors'!$H$8-G128)/('Anchors'!$H$8-'Anchors'!$G$8))),"")</x:f>
        <x:v>65.46286725690456</x:v>
      </x:c>
      <x:c r="Z128" s="33" t="n">
        <x:f>IF(ISNUMBER(H128),100*MAX(0,MIN(1,('Anchors'!$H$9-H128)/('Anchors'!$H$9-'Anchors'!$G$9))),"")</x:f>
        <x:v>71.93182340781101</x:v>
      </x:c>
      <x:c r="AA128" s="33" t="n">
        <x:f>IF(ISNUMBER(I128),100*MAX(0,MIN(1,(I128-'Anchors'!$H$10)/('Anchors'!$G$10-'Anchors'!$H$10))),"")</x:f>
        <x:v>95.85503628298812</x:v>
      </x:c>
      <x:c r="AB128" s="33" t="n">
        <x:f>IF(ISNUMBER(J128),100*MAX(0,MIN(1,('Anchors'!$H$11-J128)/('Anchors'!$H$11-'Anchors'!$G$11))),"")</x:f>
        <x:v>83.3386055008946</x:v>
      </x:c>
      <x:c r="AC128" s="33" t="n">
        <x:f>IF(ISNUMBER(K128),100*MAX(0,MIN(1,('Anchors'!$H$12-K128)/('Anchors'!$H$12-'Anchors'!$G$12))),"")</x:f>
        <x:v>13.285582045273554</x:v>
      </x:c>
      <x:c r="AD128" s="33" t="n">
        <x:f>IF(ISNUMBER(L128),100*MAX(0,MIN(1,(L128-'Anchors'!$H$13)/('Anchors'!$G$13-'Anchors'!$H$13))),"")</x:f>
        <x:v>1.7165079999999975</x:v>
      </x:c>
      <x:c r="AE128" s="33" t="n">
        <x:f>IF(ISNUMBER(M128),100*MAX(0,MIN(1,(M128-'Anchors'!$H$14)/('Anchors'!$G$14-'Anchors'!$H$14))),"")</x:f>
        <x:v>14.001944499999997</x:v>
      </x:c>
      <x:c r="AF128" s="33" t="n">
        <x:f>IF(ISNUMBER(N128),100*MAX(0,MIN(1,(LN(1+N128)-LN(1+'Anchors'!$H$15))/(LN(1+'Anchors'!$G$15)-LN(1+'Anchors'!$H$15)))),"")</x:f>
        <x:v>25.215850949628365</x:v>
      </x:c>
      <x:c r="AG128" s="33" t="n">
        <x:f>IF(ISNUMBER(O128),100*MAX(0,MIN(1,('Anchors'!$H$16-O128)/('Anchors'!$H$16-'Anchors'!$G$16))),"")</x:f>
        <x:v>27.88888888888889</x:v>
      </x:c>
      <x:c r="AH128" s="33" t="n">
        <x:f>IF(ISNUMBER(P128),100*MAX(0,MIN(1,('Anchors'!$H$17-P128)/('Anchors'!$H$17-'Anchors'!$G$17))),"")</x:f>
        <x:v>5.233014865451393</x:v>
      </x:c>
      <x:c r="AI128" s="33" t="n">
        <x:f>IF(ISNUMBER(Q128),100*MAX(0,MIN(1,('Anchors'!$H$18-Q128)/('Anchors'!$H$18-'Anchors'!$G$18))),"")</x:f>
        <x:v>9.778563908168252</x:v>
      </x:c>
      <x:c r="AJ128" s="33" t="n">
        <x:f>IF(ISNUMBER(R128),100*MAX(0,MIN(1,('Anchors'!$H$19-R128)/('Anchors'!$H$19-'Anchors'!$G$19))),"")</x:f>
        <x:v>0</x:v>
      </x:c>
      <x:c r="AK128" s="33" t="n">
        <x:f>IF(ISNUMBER(S128),100*MAX(0,MIN(1,('Anchors'!$H$20-S128)/('Anchors'!$H$20-'Anchors'!$G$20))),"")</x:f>
        <x:v>95.48360474257397</x:v>
      </x:c>
      <x:c r="AL128" s="33" t="n">
        <x:f>IF(ISNUMBER(T128),100*MAX(0,MIN(1,('Anchors'!$H$21-T128)/('Anchors'!$H$21-'Anchors'!$G$21))),"")</x:f>
        <x:v>87.0909090909091</x:v>
      </x:c>
      <x:c r="AM128" s="33" t="n">
        <x:f>IF(ISNUMBER(U128),100*MAX(0,MIN(1,('Anchors'!$H$22-U128)/('Anchors'!$H$22-'Anchors'!$G$22))),"")</x:f>
        <x:v>44.29226091355795</x:v>
      </x:c>
      <x:c r="AN128" s="33" t="n">
        <x:f>IF(ISNUMBER(V128),100*MAX(0,MIN(1,('Anchors'!$H$23-V128)/('Anchors'!$H$23-'Anchors'!$G$23))),"")</x:f>
        <x:v>68.6431055263375</x:v>
      </x:c>
      <x:c r="AO128" s="27" t="n">
        <x:f>IF(ISNUMBER(W128),IF('Scoring Setup'!$L$9=1,1-'Scoring Setup'!$B$5*(1-MAX(0,MIN(1,(W128-'Scoring Setup'!$K$9)/(100-'Scoring Setup'!$K$9)))),1),"")</x:f>
        <x:v>0.8968571428571428</x:v>
      </x:c>
      <x:c r="AP128" s="27" t="n">
        <x:f>IF(ISNUMBER(X128),IF('Scoring Setup'!$L$10=1,1-'Scoring Setup'!$B$5*(1-MAX(0,MIN(1,(X128-'Scoring Setup'!$K$10)/(100-'Scoring Setup'!$K$10)))),1),"")</x:f>
        <x:v>0.9622701555869871</x:v>
      </x:c>
      <x:c r="AQ128" s="27" t="n">
        <x:f>IF(ISNUMBER(Y128),IF('Scoring Setup'!$L$11=1,1-'Scoring Setup'!$B$5*(1-MAX(0,MIN(1,(Y128-'Scoring Setup'!$K$11)/(100-'Scoring Setup'!$K$11)))),1),"")</x:f>
        <x:v>0.9309257345138091</x:v>
      </x:c>
      <x:c r="AR128" s="27" t="n">
        <x:f>IF(ISNUMBER(Z128),IF('Scoring Setup'!$L$12=1,1-'Scoring Setup'!$B$5*(1-MAX(0,MIN(1,(Z128-'Scoring Setup'!$K$12)/(100-'Scoring Setup'!$K$12)))),1),"")</x:f>
        <x:v>0.9438636468156221</x:v>
      </x:c>
      <x:c r="AS128" s="27" t="n">
        <x:f>IF(ISNUMBER(AA128),IF('Scoring Setup'!$L$13=1,1-'Scoring Setup'!$B$5*(1-MAX(0,MIN(1,(AA128-'Scoring Setup'!$K$13)/(100-'Scoring Setup'!$K$13)))),1),"")</x:f>
        <x:v>0.9917100725659762</x:v>
      </x:c>
      <x:c r="AT128" s="27" t="n">
        <x:f>IF(ISNUMBER(AB128),IF('Scoring Setup'!$L$14=1,1-'Scoring Setup'!$B$5*(1-MAX(0,MIN(1,(AB128-'Scoring Setup'!$K$14)/(100-'Scoring Setup'!$K$14)))),1),"")</x:f>
        <x:v>0.9666772110017892</x:v>
      </x:c>
      <x:c r="AU128" s="27" t="n">
        <x:f>IF(ISNUMBER(AC128),IF('Scoring Setup'!$L$15=1,1-'Scoring Setup'!$B$5*(1-MAX(0,MIN(1,(AC128-'Scoring Setup'!$K$15)/(100-'Scoring Setup'!$K$15)))),1),"")</x:f>
        <x:v>0.8265711640905471</x:v>
      </x:c>
      <x:c r="AV128" s="27" t="n">
        <x:f>IF(ISNUMBER(AD128),IF('Scoring Setup'!$L$16=1,1-'Scoring Setup'!$B$5*(1-MAX(0,MIN(1,(AD128-'Scoring Setup'!$K$16)/(100-'Scoring Setup'!$K$16)))),1),"")</x:f>
        <x:v>0.8034330159999999</x:v>
      </x:c>
      <x:c r="AW128" s="27" t="n">
        <x:f>IF(ISNUMBER(AE128),IF('Scoring Setup'!$L$17=1,1-'Scoring Setup'!$B$5*(1-MAX(0,MIN(1,(AE128-'Scoring Setup'!$K$17)/(100-'Scoring Setup'!$K$17)))),1),"")</x:f>
        <x:v>0.828003889</x:v>
      </x:c>
      <x:c r="AX128" s="27" t="n">
        <x:f>IF(ISNUMBER(AF128),IF('Scoring Setup'!$L$18=1,1-'Scoring Setup'!$B$5*(1-MAX(0,MIN(1,(AF128-'Scoring Setup'!$K$18)/(100-'Scoring Setup'!$K$18)))),1),"")</x:f>
        <x:v>0.8504317018992568</x:v>
      </x:c>
      <x:c r="AY128" s="27" t="n">
        <x:f>IF(ISNUMBER(AG128),IF('Scoring Setup'!$L$19=1,1-'Scoring Setup'!$B$5*(1-MAX(0,MIN(1,(AG128-'Scoring Setup'!$K$19)/(100-'Scoring Setup'!$K$19)))),1),"")</x:f>
        <x:v>0.8557777777777777</x:v>
      </x:c>
      <x:c r="AZ128" s="27" t="n">
        <x:f>IF(ISNUMBER(AH128),IF('Scoring Setup'!$L$20=1,1-'Scoring Setup'!$B$5*(1-MAX(0,MIN(1,(AH128-'Scoring Setup'!$K$20)/(100-'Scoring Setup'!$K$20)))),1),"")</x:f>
        <x:v>0.8104660297309028</x:v>
      </x:c>
      <x:c r="BA128" s="27" t="n">
        <x:f>IF(ISNUMBER(AI128),IF('Scoring Setup'!$L$21=1,1-'Scoring Setup'!$B$5*(1-MAX(0,MIN(1,(AI128-'Scoring Setup'!$K$21)/(100-'Scoring Setup'!$K$21)))),1),"")</x:f>
        <x:v>0.8195571278163365</x:v>
      </x:c>
      <x:c r="BB128" s="27" t="n">
        <x:f>IF(ISNUMBER(AJ128),IF('Scoring Setup'!$L$22=1,1-'Scoring Setup'!$B$5*(1-MAX(0,MIN(1,(AJ128-'Scoring Setup'!$K$22)/(100-'Scoring Setup'!$K$22)))),1),"")</x:f>
        <x:v>0.8</x:v>
      </x:c>
      <x:c r="BC128" s="27" t="n">
        <x:f>IF(ISNUMBER(AK128),IF('Scoring Setup'!$L$23=1,1-'Scoring Setup'!$B$5*(1-MAX(0,MIN(1,(AK128-'Scoring Setup'!$K$23)/(100-'Scoring Setup'!$K$23)))),1),"")</x:f>
        <x:v>0.9909672094851479</x:v>
      </x:c>
      <x:c r="BD128" s="27" t="n">
        <x:f>IF(ISNUMBER(AL128),IF('Scoring Setup'!$L$24=1,1-'Scoring Setup'!$B$5*(1-MAX(0,MIN(1,(AL128-'Scoring Setup'!$K$24)/(100-'Scoring Setup'!$K$24)))),1),"")</x:f>
        <x:v>0.9741818181818181</x:v>
      </x:c>
      <x:c r="BE128" s="27" t="n">
        <x:f>IF(ISNUMBER(AM128),IF('Scoring Setup'!$L$25=1,1-'Scoring Setup'!$B$5*(1-MAX(0,MIN(1,(AM128-'Scoring Setup'!$K$25)/(100-'Scoring Setup'!$K$25)))),1),"")</x:f>
        <x:v>0.8885845218271159</x:v>
      </x:c>
      <x:c r="BF128" s="27" t="n">
        <x:f>IF(ISNUMBER(AN128),IF('Scoring Setup'!$L$26=1,1-'Scoring Setup'!$B$5*(1-MAX(0,MIN(1,(AN128-'Scoring Setup'!$K$26)/(100-'Scoring Setup'!$K$26)))),1),"")</x:f>
        <x:v>0.937286211052675</x:v>
      </x:c>
      <x:c r="BG128" s="34" t="n">
        <x:f>IF(COUNT(W128,X128)=2,AVERAGE(W128,X128),"")</x:f>
        <x:v>64.78182461103249</x:v>
      </x:c>
      <x:c r="BH128" s="34" t="n">
        <x:f>IF(COUNT(Y128,Z128)=2,AVERAGE(Y128,Z128),"")</x:f>
        <x:v>68.69734533235778</x:v>
      </x:c>
      <x:c r="BI128" s="34" t="n">
        <x:f>IF(COUNT(AA128,AB128,AC128)=3,AVERAGE(AA128,AB128,AC128),"")</x:f>
        <x:v>64.15974127638542</x:v>
      </x:c>
      <x:c r="BJ128" s="34" t="n">
        <x:f>IF(COUNT(AD128,AE128)=2,AVERAGE(AD128,AE128),"")</x:f>
        <x:v>7.859226249999997</x:v>
      </x:c>
      <x:c r="BK128" s="34" t="n">
        <x:f>IF(COUNT(AF128,AG128)=2,AVERAGE(AF128,AG128),"")</x:f>
        <x:v>26.552369919258627</x:v>
      </x:c>
      <x:c r="BL128" s="34" t="n">
        <x:f>IF(COUNT(AH128,AI128)=2,AVERAGE(AH128,AI128),"")</x:f>
        <x:v>7.505789386809822</x:v>
      </x:c>
      <x:c r="BM128" s="34" t="n">
        <x:f>IF(COUNT(AJ128,AK128)=2,AVERAGE(AJ128,AK128),"")</x:f>
        <x:v>47.74180237128699</x:v>
      </x:c>
      <x:c r="BN128" s="34" t="n">
        <x:f>IF(COUNT(AL128,AM128,AN128)=3,AVERAGE(AL128,AM128,AN128),"")</x:f>
        <x:v>66.67542517693484</x:v>
      </x:c>
      <x:c r="BO128" s="35" t="n">
        <x:f>IF(AND(COUNT(BG128:BN128)=8,ABS('Scoring Setup'!$C$17-1)&lt;0.000001),BG128*'Scoring Setup'!$C$9+BH128*'Scoring Setup'!$C$10+BI128*'Scoring Setup'!$C$11+BJ128*'Scoring Setup'!$C$12+BK128*'Scoring Setup'!$C$13+BL128*'Scoring Setup'!$C$14+BM128*'Scoring Setup'!$C$15+BN128*'Scoring Setup'!$C$16,"")</x:f>
        <x:v>52.8397924131245</x:v>
      </x:c>
      <x:c r="BP128" s="36" t="n">
        <x:f>IF(COUNT(AO128:BF128)=18,MIN(AO128:BF128),"")</x:f>
        <x:v>0.8</x:v>
      </x:c>
      <x:c r="BQ128" s="35" t="n">
        <x:f>IF(AND(ISNUMBER(BO128),ISNUMBER(BP128)),BO128*BP128,"")</x:f>
        <x:v>42.271833930499604</x:v>
      </x:c>
      <x:c r="BR128" s="17" t="str">
        <x:f>IF(COUNT(AO128:BF128)=18,INDEX('Scoring Setup'!$F$9:$F$26,MATCH(MIN(AO128:BF128),AO128:BF128,0),1),"")</x:f>
        <x:v>到Interstate距离</x:v>
      </x:c>
    </x:row>
    <x:row r="129">
      <x:c r="A129" s="28" t="str">
        <x:v>13253</x:v>
      </x:c>
      <x:c r="B129" s="28" t="str">
        <x:v>Seminole County</x:v>
      </x:c>
      <x:c r="C129" s="28" t="str">
        <x:v>GA</x:v>
      </x:c>
      <x:c r="D129" s="31" t="n">
        <x:v>615.253333</x:v>
      </x:c>
      <x:c r="E129" s="32" t="n">
        <x:v>0.45</x:v>
      </x:c>
      <x:c r="F129" s="32" t="n">
        <x:v>0.861076732673267</x:v>
      </x:c>
      <x:c r="G129" s="32" t="n">
        <x:v>0.8782511201307867</x:v>
      </x:c>
      <x:c r="H129" s="32" t="n">
        <x:v>0.8547483836318205</x:v>
      </x:c>
      <x:c r="I129" s="32" t="n">
        <x:v>0.9237096860761067</x:v>
      </x:c>
      <x:c r="J129" s="32" t="n">
        <x:v>0.029084629353153733</x:v>
      </x:c>
      <x:c r="K129" s="32" t="n">
        <x:v>0.11275328175184957</x:v>
      </x:c>
      <x:c r="L129" s="32" t="n">
        <x:v>0.813413131</x:v>
      </x:c>
      <x:c r="M129" s="32" t="n">
        <x:v>0.811476853</x:v>
      </x:c>
      <x:c r="N129" s="32" t="n">
        <x:v>3220</x:v>
      </x:c>
      <x:c r="O129" s="32" t="n">
        <x:v>0.8813</x:v>
      </x:c>
      <x:c r="P129" s="32" t="n">
        <x:v>2368.1012939453126</x:v>
      </x:c>
      <x:c r="Q129" s="32" t="n">
        <x:v>81.10312067667643</x:v>
      </x:c>
      <x:c r="R129" s="32" t="n">
        <x:v>33.0860054395983</x:v>
      </x:c>
      <x:c r="S129" s="32" t="n">
        <x:v>10.262838995519202</x:v>
      </x:c>
      <x:c r="T129" s="32" t="n">
        <x:v>72.1</x:v>
      </x:c>
      <x:c r="U129" s="32" t="n">
        <x:v>211.4154781728841</x:v>
      </x:c>
      <x:c r="V129" s="32" t="n">
        <x:v>325.42757789465</x:v>
      </x:c>
      <x:c r="W129" s="33" t="n">
        <x:f>IF(ISNUMBER(E129),100*MAX(0,MIN(1,('Anchors'!$H$6-E129)/('Anchors'!$H$6-'Anchors'!$G$6))),"")</x:f>
        <x:v>64.28571428571429</x:v>
      </x:c>
      <x:c r="X129" s="33" t="n">
        <x:f>IF(ISNUMBER(F129),100*MAX(0,MIN(1,('Anchors'!$H$7-F129)/('Anchors'!$H$7-'Anchors'!$G$7))),"")</x:f>
        <x:v>0</x:v>
      </x:c>
      <x:c r="Y129" s="33" t="n">
        <x:f>IF(ISNUMBER(G129),100*MAX(0,MIN(1,('Anchors'!$H$8-G129)/('Anchors'!$H$8-'Anchors'!$G$8))),"")</x:f>
        <x:v>100</x:v>
      </x:c>
      <x:c r="Z129" s="33" t="n">
        <x:f>IF(ISNUMBER(H129),100*MAX(0,MIN(1,('Anchors'!$H$9-H129)/('Anchors'!$H$9-'Anchors'!$G$9))),"")</x:f>
        <x:v>100</x:v>
      </x:c>
      <x:c r="AA129" s="33" t="n">
        <x:f>IF(ISNUMBER(I129),100*MAX(0,MIN(1,(I129-'Anchors'!$H$10)/('Anchors'!$G$10-'Anchors'!$H$10))),"")</x:f>
        <x:v>92.28899809261736</x:v>
      </x:c>
      <x:c r="AB129" s="33" t="n">
        <x:f>IF(ISNUMBER(J129),100*MAX(0,MIN(1,('Anchors'!$H$11-J129)/('Anchors'!$H$11-'Anchors'!$G$11))),"")</x:f>
        <x:v>88.3661482587385</x:v>
      </x:c>
      <x:c r="AC129" s="33" t="n">
        <x:f>IF(ISNUMBER(K129),100*MAX(0,MIN(1,('Anchors'!$H$12-K129)/('Anchors'!$H$12-'Anchors'!$G$12))),"")</x:f>
        <x:v>71.81167956203761</x:v>
      </x:c>
      <x:c r="AD129" s="33" t="n">
        <x:f>IF(ISNUMBER(L129),100*MAX(0,MIN(1,(L129-'Anchors'!$H$13)/('Anchors'!$G$13-'Anchors'!$H$13))),"")</x:f>
        <x:v>87.63044728571428</x:v>
      </x:c>
      <x:c r="AE129" s="33" t="n">
        <x:f>IF(ISNUMBER(M129),100*MAX(0,MIN(1,(M129-'Anchors'!$H$14)/('Anchors'!$G$14-'Anchors'!$H$14))),"")</x:f>
        <x:v>88.934606625</x:v>
      </x:c>
      <x:c r="AF129" s="33" t="n">
        <x:f>IF(ISNUMBER(N129),100*MAX(0,MIN(1,(LN(1+N129)-LN(1+'Anchors'!$H$15))/(LN(1+'Anchors'!$G$15)-LN(1+'Anchors'!$H$15)))),"")</x:f>
        <x:v>11.027226698386073</x:v>
      </x:c>
      <x:c r="AG129" s="33" t="n">
        <x:f>IF(ISNUMBER(O129),100*MAX(0,MIN(1,('Anchors'!$H$16-O129)/('Anchors'!$H$16-'Anchors'!$G$16))),"")</x:f>
        <x:v>7.633333333333332</x:v>
      </x:c>
      <x:c r="AH129" s="33" t="n">
        <x:f>IF(ISNUMBER(P129),100*MAX(0,MIN(1,('Anchors'!$H$17-P129)/('Anchors'!$H$17-'Anchors'!$G$17))),"")</x:f>
        <x:v>0</x:v>
      </x:c>
      <x:c r="AI129" s="33" t="n">
        <x:f>IF(ISNUMBER(Q129),100*MAX(0,MIN(1,('Anchors'!$H$18-Q129)/('Anchors'!$H$18-'Anchors'!$G$18))),"")</x:f>
        <x:v>0</x:v>
      </x:c>
      <x:c r="AJ129" s="33" t="n">
        <x:f>IF(ISNUMBER(R129),100*MAX(0,MIN(1,('Anchors'!$H$19-R129)/('Anchors'!$H$19-'Anchors'!$G$19))),"")</x:f>
        <x:v>37.586654578670434</x:v>
      </x:c>
      <x:c r="AK129" s="33" t="n">
        <x:f>IF(ISNUMBER(S129),100*MAX(0,MIN(1,('Anchors'!$H$20-S129)/('Anchors'!$H$20-'Anchors'!$G$20))),"")</x:f>
        <x:v>51.24821581305683</x:v>
      </x:c>
      <x:c r="AL129" s="33" t="n">
        <x:f>IF(ISNUMBER(T129),100*MAX(0,MIN(1,('Anchors'!$H$21-T129)/('Anchors'!$H$21-'Anchors'!$G$21))),"")</x:f>
        <x:v>87.0909090909091</x:v>
      </x:c>
      <x:c r="AM129" s="33" t="n">
        <x:f>IF(ISNUMBER(U129),100*MAX(0,MIN(1,('Anchors'!$H$22-U129)/('Anchors'!$H$22-'Anchors'!$G$22))),"")</x:f>
        <x:v>44.29226091355795</x:v>
      </x:c>
      <x:c r="AN129" s="33" t="n">
        <x:f>IF(ISNUMBER(V129),100*MAX(0,MIN(1,('Anchors'!$H$23-V129)/('Anchors'!$H$23-'Anchors'!$G$23))),"")</x:f>
        <x:v>68.6431055263375</x:v>
      </x:c>
      <x:c r="AO129" s="27" t="n">
        <x:f>IF(ISNUMBER(W129),IF('Scoring Setup'!$L$9=1,1-'Scoring Setup'!$B$5*(1-MAX(0,MIN(1,(W129-'Scoring Setup'!$K$9)/(100-'Scoring Setup'!$K$9)))),1),"")</x:f>
        <x:v>0.9285714285714286</x:v>
      </x:c>
      <x:c r="AP129" s="27" t="n">
        <x:f>IF(ISNUMBER(X129),IF('Scoring Setup'!$L$10=1,1-'Scoring Setup'!$B$5*(1-MAX(0,MIN(1,(X129-'Scoring Setup'!$K$10)/(100-'Scoring Setup'!$K$10)))),1),"")</x:f>
        <x:v>0.8</x:v>
      </x:c>
      <x:c r="AQ129" s="27" t="n">
        <x:f>IF(ISNUMBER(Y129),IF('Scoring Setup'!$L$11=1,1-'Scoring Setup'!$B$5*(1-MAX(0,MIN(1,(Y129-'Scoring Setup'!$K$11)/(100-'Scoring Setup'!$K$11)))),1),"")</x:f>
        <x:v>1</x:v>
      </x:c>
      <x:c r="AR129" s="27" t="n">
        <x:f>IF(ISNUMBER(Z129),IF('Scoring Setup'!$L$12=1,1-'Scoring Setup'!$B$5*(1-MAX(0,MIN(1,(Z129-'Scoring Setup'!$K$12)/(100-'Scoring Setup'!$K$12)))),1),"")</x:f>
        <x:v>1</x:v>
      </x:c>
      <x:c r="AS129" s="27" t="n">
        <x:f>IF(ISNUMBER(AA129),IF('Scoring Setup'!$L$13=1,1-'Scoring Setup'!$B$5*(1-MAX(0,MIN(1,(AA129-'Scoring Setup'!$K$13)/(100-'Scoring Setup'!$K$13)))),1),"")</x:f>
        <x:v>0.9845779961852347</x:v>
      </x:c>
      <x:c r="AT129" s="27" t="n">
        <x:f>IF(ISNUMBER(AB129),IF('Scoring Setup'!$L$14=1,1-'Scoring Setup'!$B$5*(1-MAX(0,MIN(1,(AB129-'Scoring Setup'!$K$14)/(100-'Scoring Setup'!$K$14)))),1),"")</x:f>
        <x:v>0.9767322965174771</x:v>
      </x:c>
      <x:c r="AU129" s="27" t="n">
        <x:f>IF(ISNUMBER(AC129),IF('Scoring Setup'!$L$15=1,1-'Scoring Setup'!$B$5*(1-MAX(0,MIN(1,(AC129-'Scoring Setup'!$K$15)/(100-'Scoring Setup'!$K$15)))),1),"")</x:f>
        <x:v>0.9436233591240752</x:v>
      </x:c>
      <x:c r="AV129" s="27" t="n">
        <x:f>IF(ISNUMBER(AD129),IF('Scoring Setup'!$L$16=1,1-'Scoring Setup'!$B$5*(1-MAX(0,MIN(1,(AD129-'Scoring Setup'!$K$16)/(100-'Scoring Setup'!$K$16)))),1),"")</x:f>
        <x:v>0.9752608945714286</x:v>
      </x:c>
      <x:c r="AW129" s="27" t="n">
        <x:f>IF(ISNUMBER(AE129),IF('Scoring Setup'!$L$17=1,1-'Scoring Setup'!$B$5*(1-MAX(0,MIN(1,(AE129-'Scoring Setup'!$K$17)/(100-'Scoring Setup'!$K$17)))),1),"")</x:f>
        <x:v>0.97786921325</x:v>
      </x:c>
      <x:c r="AX129" s="27" t="n">
        <x:f>IF(ISNUMBER(AF129),IF('Scoring Setup'!$L$18=1,1-'Scoring Setup'!$B$5*(1-MAX(0,MIN(1,(AF129-'Scoring Setup'!$K$18)/(100-'Scoring Setup'!$K$18)))),1),"")</x:f>
        <x:v>0.8220544533967722</x:v>
      </x:c>
      <x:c r="AY129" s="27" t="n">
        <x:f>IF(ISNUMBER(AG129),IF('Scoring Setup'!$L$19=1,1-'Scoring Setup'!$B$5*(1-MAX(0,MIN(1,(AG129-'Scoring Setup'!$K$19)/(100-'Scoring Setup'!$K$19)))),1),"")</x:f>
        <x:v>0.8152666666666667</x:v>
      </x:c>
      <x:c r="AZ129" s="27" t="n">
        <x:f>IF(ISNUMBER(AH129),IF('Scoring Setup'!$L$20=1,1-'Scoring Setup'!$B$5*(1-MAX(0,MIN(1,(AH129-'Scoring Setup'!$K$20)/(100-'Scoring Setup'!$K$20)))),1),"")</x:f>
        <x:v>0.8</x:v>
      </x:c>
      <x:c r="BA129" s="27" t="n">
        <x:f>IF(ISNUMBER(AI129),IF('Scoring Setup'!$L$21=1,1-'Scoring Setup'!$B$5*(1-MAX(0,MIN(1,(AI129-'Scoring Setup'!$K$21)/(100-'Scoring Setup'!$K$21)))),1),"")</x:f>
        <x:v>0.8</x:v>
      </x:c>
      <x:c r="BB129" s="27" t="n">
        <x:f>IF(ISNUMBER(AJ129),IF('Scoring Setup'!$L$22=1,1-'Scoring Setup'!$B$5*(1-MAX(0,MIN(1,(AJ129-'Scoring Setup'!$K$22)/(100-'Scoring Setup'!$K$22)))),1),"")</x:f>
        <x:v>0.8751733091573408</x:v>
      </x:c>
      <x:c r="BC129" s="27" t="n">
        <x:f>IF(ISNUMBER(AK129),IF('Scoring Setup'!$L$23=1,1-'Scoring Setup'!$B$5*(1-MAX(0,MIN(1,(AK129-'Scoring Setup'!$K$23)/(100-'Scoring Setup'!$K$23)))),1),"")</x:f>
        <x:v>0.9024964316261137</x:v>
      </x:c>
      <x:c r="BD129" s="27" t="n">
        <x:f>IF(ISNUMBER(AL129),IF('Scoring Setup'!$L$24=1,1-'Scoring Setup'!$B$5*(1-MAX(0,MIN(1,(AL129-'Scoring Setup'!$K$24)/(100-'Scoring Setup'!$K$24)))),1),"")</x:f>
        <x:v>0.9741818181818181</x:v>
      </x:c>
      <x:c r="BE129" s="27" t="n">
        <x:f>IF(ISNUMBER(AM129),IF('Scoring Setup'!$L$25=1,1-'Scoring Setup'!$B$5*(1-MAX(0,MIN(1,(AM129-'Scoring Setup'!$K$25)/(100-'Scoring Setup'!$K$25)))),1),"")</x:f>
        <x:v>0.8885845218271159</x:v>
      </x:c>
      <x:c r="BF129" s="27" t="n">
        <x:f>IF(ISNUMBER(AN129),IF('Scoring Setup'!$L$26=1,1-'Scoring Setup'!$B$5*(1-MAX(0,MIN(1,(AN129-'Scoring Setup'!$K$26)/(100-'Scoring Setup'!$K$26)))),1),"")</x:f>
        <x:v>0.937286211052675</x:v>
      </x:c>
      <x:c r="BG129" s="34" t="n">
        <x:f>IF(COUNT(W129,X129)=2,AVERAGE(W129,X129),"")</x:f>
        <x:v>32.142857142857146</x:v>
      </x:c>
      <x:c r="BH129" s="34" t="n">
        <x:f>IF(COUNT(Y129,Z129)=2,AVERAGE(Y129,Z129),"")</x:f>
        <x:v>100</x:v>
      </x:c>
      <x:c r="BI129" s="34" t="n">
        <x:f>IF(COUNT(AA129,AB129,AC129)=3,AVERAGE(AA129,AB129,AC129),"")</x:f>
        <x:v>84.15560863779784</x:v>
      </x:c>
      <x:c r="BJ129" s="34" t="n">
        <x:f>IF(COUNT(AD129,AE129)=2,AVERAGE(AD129,AE129),"")</x:f>
        <x:v>88.28252695535714</x:v>
      </x:c>
      <x:c r="BK129" s="34" t="n">
        <x:f>IF(COUNT(AF129,AG129)=2,AVERAGE(AF129,AG129),"")</x:f>
        <x:v>9.330280015859703</x:v>
      </x:c>
      <x:c r="BL129" s="34" t="n">
        <x:f>IF(COUNT(AH129,AI129)=2,AVERAGE(AH129,AI129),"")</x:f>
        <x:v>0</x:v>
      </x:c>
      <x:c r="BM129" s="34" t="n">
        <x:f>IF(COUNT(AJ129,AK129)=2,AVERAGE(AJ129,AK129),"")</x:f>
        <x:v>44.41743519586363</x:v>
      </x:c>
      <x:c r="BN129" s="34" t="n">
        <x:f>IF(COUNT(AL129,AM129,AN129)=3,AVERAGE(AL129,AM129,AN129),"")</x:f>
        <x:v>66.67542517693484</x:v>
      </x:c>
      <x:c r="BO129" s="35" t="n">
        <x:f>IF(AND(COUNT(BG129:BN129)=8,ABS('Scoring Setup'!$C$17-1)&lt;0.000001),BG129*'Scoring Setup'!$C$9+BH129*'Scoring Setup'!$C$10+BI129*'Scoring Setup'!$C$11+BJ129*'Scoring Setup'!$C$12+BK129*'Scoring Setup'!$C$13+BL129*'Scoring Setup'!$C$14+BM129*'Scoring Setup'!$C$15+BN129*'Scoring Setup'!$C$16,"")</x:f>
        <x:v>63.614626588060815</x:v>
      </x:c>
      <x:c r="BP129" s="36" t="n">
        <x:f>IF(COUNT(AO129:BF129)=18,MIN(AO129:BF129),"")</x:f>
        <x:v>0.8</x:v>
      </x:c>
      <x:c r="BQ129" s="35" t="n">
        <x:f>IF(AND(ISNUMBER(BO129),ISNUMBER(BP129)),BO129*BP129,"")</x:f>
        <x:v>50.89170127044866</x:v>
      </x:c>
      <x:c r="BR129" s="17" t="str">
        <x:f>IF(COUNT(AO129:BF129)=18,INDEX('Scoring Setup'!$F$9:$F$26,MATCH(MIN(AO129:BF129),AO129:BF129,0),1),"")</x:f>
        <x:v>洪水损失率全国百分位</x:v>
      </x:c>
    </x:row>
    <x:row r="130">
      <x:c r="A130" s="28" t="str">
        <x:v>13255</x:v>
      </x:c>
      <x:c r="B130" s="28" t="str">
        <x:v>Spalding County</x:v>
      </x:c>
      <x:c r="C130" s="28" t="str">
        <x:v>GA</x:v>
      </x:c>
      <x:c r="D130" s="31" t="n">
        <x:v>507.561204</x:v>
      </x:c>
      <x:c r="E130" s="32" t="n">
        <x:v>0.596</x:v>
      </x:c>
      <x:c r="F130" s="32" t="n">
        <x:v>0.197710396039604</x:v>
      </x:c>
      <x:c r="G130" s="32" t="n">
        <x:v>1.7913401833569405</x:v>
      </x:c>
      <x:c r="H130" s="32" t="n">
        <x:v>1.7197683646878836</x:v>
      </x:c>
      <x:c r="I130" s="32" t="n">
        <x:v>0.8236460223313916</x:v>
      </x:c>
      <x:c r="J130" s="32" t="n">
        <x:v>0.004233219354656153</x:v>
      </x:c>
      <x:c r="K130" s="32" t="n">
        <x:v>0.07219504776456191</x:v>
      </x:c>
      <x:c r="L130" s="32" t="n">
        <x:v>0.814293701</x:v>
      </x:c>
      <x:c r="M130" s="32" t="n">
        <x:v>0.814076283</x:v>
      </x:c>
      <x:c r="N130" s="32" t="n">
        <x:v>31375</x:v>
      </x:c>
      <x:c r="O130" s="32" t="n">
        <x:v>0.8206</x:v>
      </x:c>
      <x:c r="P130" s="32" t="n">
        <x:v>1642.705615234375</x:v>
      </x:c>
      <x:c r="Q130" s="32" t="n">
        <x:v>35.28617534637451</x:v>
      </x:c>
      <x:c r="R130" s="32" t="n">
        <x:v>16.571749710674933</x:v>
      </x:c>
      <x:c r="S130" s="32" t="n">
        <x:v>0.40234373187133565</x:v>
      </x:c>
      <x:c r="T130" s="32" t="n">
        <x:v>72.1</x:v>
      </x:c>
      <x:c r="U130" s="32" t="n">
        <x:v>211.4154781728841</x:v>
      </x:c>
      <x:c r="V130" s="32" t="n">
        <x:v>325.42757789465</x:v>
      </x:c>
      <x:c r="W130" s="33" t="n">
        <x:f>IF(ISNUMBER(E130),100*MAX(0,MIN(1,('Anchors'!$H$6-E130)/('Anchors'!$H$6-'Anchors'!$G$6))),"")</x:f>
        <x:v>43.42857142857144</x:v>
      </x:c>
      <x:c r="X130" s="33" t="n">
        <x:f>IF(ISNUMBER(F130),100*MAX(0,MIN(1,('Anchors'!$H$7-F130)/('Anchors'!$H$7-'Anchors'!$G$7))),"")</x:f>
        <x:v>86.04137199434227</x:v>
      </x:c>
      <x:c r="Y130" s="33" t="n">
        <x:f>IF(ISNUMBER(G130),100*MAX(0,MIN(1,('Anchors'!$H$8-G130)/('Anchors'!$H$8-'Anchors'!$G$8))),"")</x:f>
        <x:v>73.62199388810198</x:v>
      </x:c>
      <x:c r="Z130" s="33" t="n">
        <x:f>IF(ISNUMBER(H130),100*MAX(0,MIN(1,('Anchors'!$H$9-H130)/('Anchors'!$H$9-'Anchors'!$G$9))),"")</x:f>
        <x:v>76.00772117707054</x:v>
      </x:c>
      <x:c r="AA130" s="33" t="n">
        <x:f>IF(ISNUMBER(I130),100*MAX(0,MIN(1,(I130-'Anchors'!$H$10)/('Anchors'!$G$10-'Anchors'!$H$10))),"")</x:f>
        <x:v>78.58164689471117</x:v>
      </x:c>
      <x:c r="AB130" s="33" t="n">
        <x:f>IF(ISNUMBER(J130),100*MAX(0,MIN(1,('Anchors'!$H$11-J130)/('Anchors'!$H$11-'Anchors'!$G$11))),"")</x:f>
        <x:v>98.30671225813754</x:v>
      </x:c>
      <x:c r="AC130" s="33" t="n">
        <x:f>IF(ISNUMBER(K130),100*MAX(0,MIN(1,('Anchors'!$H$12-K130)/('Anchors'!$H$12-'Anchors'!$G$12))),"")</x:f>
        <x:v>81.95123805885952</x:v>
      </x:c>
      <x:c r="AD130" s="33" t="n">
        <x:f>IF(ISNUMBER(L130),100*MAX(0,MIN(1,(L130-'Anchors'!$H$13)/('Anchors'!$G$13-'Anchors'!$H$13))),"")</x:f>
        <x:v>87.75624300000001</x:v>
      </x:c>
      <x:c r="AE130" s="33" t="n">
        <x:f>IF(ISNUMBER(M130),100*MAX(0,MIN(1,(M130-'Anchors'!$H$14)/('Anchors'!$G$14-'Anchors'!$H$14))),"")</x:f>
        <x:v>89.259535375</x:v>
      </x:c>
      <x:c r="AF130" s="33" t="n">
        <x:f>IF(ISNUMBER(N130),100*MAX(0,MIN(1,(LN(1+N130)-LN(1+'Anchors'!$H$15))/(LN(1+'Anchors'!$G$15)-LN(1+'Anchors'!$H$15)))),"")</x:f>
        <x:v>63.75722636540164</x:v>
      </x:c>
      <x:c r="AG130" s="33" t="n">
        <x:f>IF(ISNUMBER(O130),100*MAX(0,MIN(1,('Anchors'!$H$16-O130)/('Anchors'!$H$16-'Anchors'!$G$16))),"")</x:f>
        <x:v>14.377777777777775</x:v>
      </x:c>
      <x:c r="AH130" s="33" t="n">
        <x:f>IF(ISNUMBER(P130),100*MAX(0,MIN(1,('Anchors'!$H$17-P130)/('Anchors'!$H$17-'Anchors'!$G$17))),"")</x:f>
        <x:v>37.152958984375</x:v>
      </x:c>
      <x:c r="AI130" s="33" t="n">
        <x:f>IF(ISNUMBER(Q130),100*MAX(0,MIN(1,('Anchors'!$H$18-Q130)/('Anchors'!$H$18-'Anchors'!$G$18))),"")</x:f>
        <x:v>56.734035219464985</x:v>
      </x:c>
      <x:c r="AJ130" s="33" t="n">
        <x:f>IF(ISNUMBER(R130),100*MAX(0,MIN(1,('Anchors'!$H$19-R130)/('Anchors'!$H$19-'Anchors'!$G$19))),"")</x:f>
        <x:v>74.28500064294458</x:v>
      </x:c>
      <x:c r="AK130" s="33" t="n">
        <x:f>IF(ISNUMBER(S130),100*MAX(0,MIN(1,('Anchors'!$H$20-S130)/('Anchors'!$H$20-'Anchors'!$G$20))),"")</x:f>
        <x:v>100</x:v>
      </x:c>
      <x:c r="AL130" s="33" t="n">
        <x:f>IF(ISNUMBER(T130),100*MAX(0,MIN(1,('Anchors'!$H$21-T130)/('Anchors'!$H$21-'Anchors'!$G$21))),"")</x:f>
        <x:v>87.0909090909091</x:v>
      </x:c>
      <x:c r="AM130" s="33" t="n">
        <x:f>IF(ISNUMBER(U130),100*MAX(0,MIN(1,('Anchors'!$H$22-U130)/('Anchors'!$H$22-'Anchors'!$G$22))),"")</x:f>
        <x:v>44.29226091355795</x:v>
      </x:c>
      <x:c r="AN130" s="33" t="n">
        <x:f>IF(ISNUMBER(V130),100*MAX(0,MIN(1,('Anchors'!$H$23-V130)/('Anchors'!$H$23-'Anchors'!$G$23))),"")</x:f>
        <x:v>68.6431055263375</x:v>
      </x:c>
      <x:c r="AO130" s="27" t="n">
        <x:f>IF(ISNUMBER(W130),IF('Scoring Setup'!$L$9=1,1-'Scoring Setup'!$B$5*(1-MAX(0,MIN(1,(W130-'Scoring Setup'!$K$9)/(100-'Scoring Setup'!$K$9)))),1),"")</x:f>
        <x:v>0.8868571428571429</x:v>
      </x:c>
      <x:c r="AP130" s="27" t="n">
        <x:f>IF(ISNUMBER(X130),IF('Scoring Setup'!$L$10=1,1-'Scoring Setup'!$B$5*(1-MAX(0,MIN(1,(X130-'Scoring Setup'!$K$10)/(100-'Scoring Setup'!$K$10)))),1),"")</x:f>
        <x:v>0.9720827439886846</x:v>
      </x:c>
      <x:c r="AQ130" s="27" t="n">
        <x:f>IF(ISNUMBER(Y130),IF('Scoring Setup'!$L$11=1,1-'Scoring Setup'!$B$5*(1-MAX(0,MIN(1,(Y130-'Scoring Setup'!$K$11)/(100-'Scoring Setup'!$K$11)))),1),"")</x:f>
        <x:v>0.947243987776204</x:v>
      </x:c>
      <x:c r="AR130" s="27" t="n">
        <x:f>IF(ISNUMBER(Z130),IF('Scoring Setup'!$L$12=1,1-'Scoring Setup'!$B$5*(1-MAX(0,MIN(1,(Z130-'Scoring Setup'!$K$12)/(100-'Scoring Setup'!$K$12)))),1),"")</x:f>
        <x:v>0.952015442354141</x:v>
      </x:c>
      <x:c r="AS130" s="27" t="n">
        <x:f>IF(ISNUMBER(AA130),IF('Scoring Setup'!$L$13=1,1-'Scoring Setup'!$B$5*(1-MAX(0,MIN(1,(AA130-'Scoring Setup'!$K$13)/(100-'Scoring Setup'!$K$13)))),1),"")</x:f>
        <x:v>0.9571632937894223</x:v>
      </x:c>
      <x:c r="AT130" s="27" t="n">
        <x:f>IF(ISNUMBER(AB130),IF('Scoring Setup'!$L$14=1,1-'Scoring Setup'!$B$5*(1-MAX(0,MIN(1,(AB130-'Scoring Setup'!$K$14)/(100-'Scoring Setup'!$K$14)))),1),"")</x:f>
        <x:v>0.9966134245162751</x:v>
      </x:c>
      <x:c r="AU130" s="27" t="n">
        <x:f>IF(ISNUMBER(AC130),IF('Scoring Setup'!$L$15=1,1-'Scoring Setup'!$B$5*(1-MAX(0,MIN(1,(AC130-'Scoring Setup'!$K$15)/(100-'Scoring Setup'!$K$15)))),1),"")</x:f>
        <x:v>0.9639024761177191</x:v>
      </x:c>
      <x:c r="AV130" s="27" t="n">
        <x:f>IF(ISNUMBER(AD130),IF('Scoring Setup'!$L$16=1,1-'Scoring Setup'!$B$5*(1-MAX(0,MIN(1,(AD130-'Scoring Setup'!$K$16)/(100-'Scoring Setup'!$K$16)))),1),"")</x:f>
        <x:v>0.9755124860000001</x:v>
      </x:c>
      <x:c r="AW130" s="27" t="n">
        <x:f>IF(ISNUMBER(AE130),IF('Scoring Setup'!$L$17=1,1-'Scoring Setup'!$B$5*(1-MAX(0,MIN(1,(AE130-'Scoring Setup'!$K$17)/(100-'Scoring Setup'!$K$17)))),1),"")</x:f>
        <x:v>0.97851907075</x:v>
      </x:c>
      <x:c r="AX130" s="27" t="n">
        <x:f>IF(ISNUMBER(AF130),IF('Scoring Setup'!$L$18=1,1-'Scoring Setup'!$B$5*(1-MAX(0,MIN(1,(AF130-'Scoring Setup'!$K$18)/(100-'Scoring Setup'!$K$18)))),1),"")</x:f>
        <x:v>0.9275144527308032</x:v>
      </x:c>
      <x:c r="AY130" s="27" t="n">
        <x:f>IF(ISNUMBER(AG130),IF('Scoring Setup'!$L$19=1,1-'Scoring Setup'!$B$5*(1-MAX(0,MIN(1,(AG130-'Scoring Setup'!$K$19)/(100-'Scoring Setup'!$K$19)))),1),"")</x:f>
        <x:v>0.8287555555555556</x:v>
      </x:c>
      <x:c r="AZ130" s="27" t="n">
        <x:f>IF(ISNUMBER(AH130),IF('Scoring Setup'!$L$20=1,1-'Scoring Setup'!$B$5*(1-MAX(0,MIN(1,(AH130-'Scoring Setup'!$K$20)/(100-'Scoring Setup'!$K$20)))),1),"")</x:f>
        <x:v>0.87430591796875</x:v>
      </x:c>
      <x:c r="BA130" s="27" t="n">
        <x:f>IF(ISNUMBER(AI130),IF('Scoring Setup'!$L$21=1,1-'Scoring Setup'!$B$5*(1-MAX(0,MIN(1,(AI130-'Scoring Setup'!$K$21)/(100-'Scoring Setup'!$K$21)))),1),"")</x:f>
        <x:v>0.91346807043893</x:v>
      </x:c>
      <x:c r="BB130" s="27" t="n">
        <x:f>IF(ISNUMBER(AJ130),IF('Scoring Setup'!$L$22=1,1-'Scoring Setup'!$B$5*(1-MAX(0,MIN(1,(AJ130-'Scoring Setup'!$K$22)/(100-'Scoring Setup'!$K$22)))),1),"")</x:f>
        <x:v>0.9485700012858892</x:v>
      </x:c>
      <x:c r="BC130" s="27" t="n">
        <x:f>IF(ISNUMBER(AK130),IF('Scoring Setup'!$L$23=1,1-'Scoring Setup'!$B$5*(1-MAX(0,MIN(1,(AK130-'Scoring Setup'!$K$23)/(100-'Scoring Setup'!$K$23)))),1),"")</x:f>
        <x:v>1</x:v>
      </x:c>
      <x:c r="BD130" s="27" t="n">
        <x:f>IF(ISNUMBER(AL130),IF('Scoring Setup'!$L$24=1,1-'Scoring Setup'!$B$5*(1-MAX(0,MIN(1,(AL130-'Scoring Setup'!$K$24)/(100-'Scoring Setup'!$K$24)))),1),"")</x:f>
        <x:v>0.9741818181818181</x:v>
      </x:c>
      <x:c r="BE130" s="27" t="n">
        <x:f>IF(ISNUMBER(AM130),IF('Scoring Setup'!$L$25=1,1-'Scoring Setup'!$B$5*(1-MAX(0,MIN(1,(AM130-'Scoring Setup'!$K$25)/(100-'Scoring Setup'!$K$25)))),1),"")</x:f>
        <x:v>0.8885845218271159</x:v>
      </x:c>
      <x:c r="BF130" s="27" t="n">
        <x:f>IF(ISNUMBER(AN130),IF('Scoring Setup'!$L$26=1,1-'Scoring Setup'!$B$5*(1-MAX(0,MIN(1,(AN130-'Scoring Setup'!$K$26)/(100-'Scoring Setup'!$K$26)))),1),"")</x:f>
        <x:v>0.937286211052675</x:v>
      </x:c>
      <x:c r="BG130" s="34" t="n">
        <x:f>IF(COUNT(W130,X130)=2,AVERAGE(W130,X130),"")</x:f>
        <x:v>64.73497171145685</x:v>
      </x:c>
      <x:c r="BH130" s="34" t="n">
        <x:f>IF(COUNT(Y130,Z130)=2,AVERAGE(Y130,Z130),"")</x:f>
        <x:v>74.81485753258626</x:v>
      </x:c>
      <x:c r="BI130" s="34" t="n">
        <x:f>IF(COUNT(AA130,AB130,AC130)=3,AVERAGE(AA130,AB130,AC130),"")</x:f>
        <x:v>86.27986573723608</x:v>
      </x:c>
      <x:c r="BJ130" s="34" t="n">
        <x:f>IF(COUNT(AD130,AE130)=2,AVERAGE(AD130,AE130),"")</x:f>
        <x:v>88.50788918750001</x:v>
      </x:c>
      <x:c r="BK130" s="34" t="n">
        <x:f>IF(COUNT(AF130,AG130)=2,AVERAGE(AF130,AG130),"")</x:f>
        <x:v>39.06750207158971</x:v>
      </x:c>
      <x:c r="BL130" s="34" t="n">
        <x:f>IF(COUNT(AH130,AI130)=2,AVERAGE(AH130,AI130),"")</x:f>
        <x:v>46.94349710191999</x:v>
      </x:c>
      <x:c r="BM130" s="34" t="n">
        <x:f>IF(COUNT(AJ130,AK130)=2,AVERAGE(AJ130,AK130),"")</x:f>
        <x:v>87.14250032147228</x:v>
      </x:c>
      <x:c r="BN130" s="34" t="n">
        <x:f>IF(COUNT(AL130,AM130,AN130)=3,AVERAGE(AL130,AM130,AN130),"")</x:f>
        <x:v>66.67542517693484</x:v>
      </x:c>
      <x:c r="BO130" s="35" t="n">
        <x:f>IF(AND(COUNT(BG130:BN130)=8,ABS('Scoring Setup'!$C$17-1)&lt;0.000001),BG130*'Scoring Setup'!$C$9+BH130*'Scoring Setup'!$C$10+BI130*'Scoring Setup'!$C$11+BJ130*'Scoring Setup'!$C$12+BK130*'Scoring Setup'!$C$13+BL130*'Scoring Setup'!$C$14+BM130*'Scoring Setup'!$C$15+BN130*'Scoring Setup'!$C$16,"")</x:f>
        <x:v>69.52892180154558</x:v>
      </x:c>
      <x:c r="BP130" s="36" t="n">
        <x:f>IF(COUNT(AO130:BF130)=18,MIN(AO130:BF130),"")</x:f>
        <x:v>0.8287555555555556</x:v>
      </x:c>
      <x:c r="BQ130" s="35" t="n">
        <x:f>IF(AND(ISNUMBER(BO130),ISNUMBER(BP130)),BO130*BP130,"")</x:f>
        <x:v>57.62248021481869</x:v>
      </x:c>
      <x:c r="BR130" s="17" t="str">
        <x:f>IF(COUNT(AO130:BF130)=18,INDEX('Scoring Setup'!$F$9:$F$26,MATCH(MIN(AO130:BF130),AO130:BF130,0),1),"")</x:f>
        <x:v>社会脆弱性百分位</x:v>
      </x:c>
    </x:row>
    <x:row r="131">
      <x:c r="A131" s="28" t="str">
        <x:v>13257</x:v>
      </x:c>
      <x:c r="B131" s="28" t="str">
        <x:v>Stephens County</x:v>
      </x:c>
      <x:c r="C131" s="28" t="str">
        <x:v>GA</x:v>
      </x:c>
      <x:c r="D131" s="31" t="n">
        <x:v>463.250301</x:v>
      </x:c>
      <x:c r="E131" s="32" t="n">
        <x:v>0.661</x:v>
      </x:c>
      <x:c r="F131" s="32" t="n">
        <x:v>0.297957920792079</x:v>
      </x:c>
      <x:c r="G131" s="32" t="n">
        <x:v>2.9319263807808364</x:v>
      </x:c>
      <x:c r="H131" s="32" t="n">
        <x:v>2.7353027589999996</x:v>
      </x:c>
      <x:c r="I131" s="32" t="n">
        <x:v>0.8829787644862195</x:v>
      </x:c>
      <x:c r="J131" s="32" t="n">
        <x:v>0.09196864429200224</x:v>
      </x:c>
      <x:c r="K131" s="32" t="n">
        <x:v>0.011670071402918676</x:v>
      </x:c>
      <x:c r="L131" s="32" t="n">
        <x:v>0.290189734</x:v>
      </x:c>
      <x:c r="M131" s="32" t="n">
        <x:v>0.290189734</x:v>
      </x:c>
      <x:c r="N131" s="32" t="n">
        <x:v>10554</x:v>
      </x:c>
      <x:c r="O131" s="32" t="n">
        <x:v>0.7836</x:v>
      </x:c>
      <x:c r="P131" s="32" t="n">
        <x:v>1454.659256998698</x:v>
      </x:c>
      <x:c r="Q131" s="32" t="n">
        <x:v>31.076625442504884</x:v>
      </x:c>
      <x:c r="R131" s="32" t="n">
        <x:v>18.429492018966965</x:v>
      </x:c>
      <x:c r="S131" s="32" t="n">
        <x:v>1.8707894875312596</x:v>
      </x:c>
      <x:c r="T131" s="32" t="n">
        <x:v>72.1</x:v>
      </x:c>
      <x:c r="U131" s="32" t="n">
        <x:v>211.4154781728841</x:v>
      </x:c>
      <x:c r="V131" s="32" t="n">
        <x:v>325.42757789465</x:v>
      </x:c>
      <x:c r="W131" s="33" t="n">
        <x:f>IF(ISNUMBER(E131),100*MAX(0,MIN(1,('Anchors'!$H$6-E131)/('Anchors'!$H$6-'Anchors'!$G$6))),"")</x:f>
        <x:v>34.14285714285714</x:v>
      </x:c>
      <x:c r="X131" s="33" t="n">
        <x:f>IF(ISNUMBER(F131),100*MAX(0,MIN(1,('Anchors'!$H$7-F131)/('Anchors'!$H$7-'Anchors'!$G$7))),"")</x:f>
        <x:v>71.72029702970299</x:v>
      </x:c>
      <x:c r="Y131" s="33" t="n">
        <x:f>IF(ISNUMBER(G131),100*MAX(0,MIN(1,('Anchors'!$H$8-G131)/('Anchors'!$H$8-'Anchors'!$G$8))),"")</x:f>
        <x:v>35.60245397397212</x:v>
      </x:c>
      <x:c r="Z131" s="33" t="n">
        <x:f>IF(ISNUMBER(H131),100*MAX(0,MIN(1,('Anchors'!$H$9-H131)/('Anchors'!$H$9-'Anchors'!$G$9))),"")</x:f>
        <x:v>42.15657470000001</x:v>
      </x:c>
      <x:c r="AA131" s="33" t="n">
        <x:f>IF(ISNUMBER(I131),100*MAX(0,MIN(1,(I131-'Anchors'!$H$10)/('Anchors'!$G$10-'Anchors'!$H$10))),"")</x:f>
        <x:v>86.7094197926328</x:v>
      </x:c>
      <x:c r="AB131" s="33" t="n">
        <x:f>IF(ISNUMBER(J131),100*MAX(0,MIN(1,('Anchors'!$H$11-J131)/('Anchors'!$H$11-'Anchors'!$G$11))),"")</x:f>
        <x:v>63.2125422831991</x:v>
      </x:c>
      <x:c r="AC131" s="33" t="n">
        <x:f>IF(ISNUMBER(K131),100*MAX(0,MIN(1,('Anchors'!$H$12-K131)/('Anchors'!$H$12-'Anchors'!$G$12))),"")</x:f>
        <x:v>97.08248214927032</x:v>
      </x:c>
      <x:c r="AD131" s="33" t="n">
        <x:f>IF(ISNUMBER(L131),100*MAX(0,MIN(1,(L131-'Anchors'!$H$13)/('Anchors'!$G$13-'Anchors'!$H$13))),"")</x:f>
        <x:v>12.88424771428571</x:v>
      </x:c>
      <x:c r="AE131" s="33" t="n">
        <x:f>IF(ISNUMBER(M131),100*MAX(0,MIN(1,(M131-'Anchors'!$H$14)/('Anchors'!$G$14-'Anchors'!$H$14))),"")</x:f>
        <x:v>23.773716749999995</x:v>
      </x:c>
      <x:c r="AF131" s="33" t="n">
        <x:f>IF(ISNUMBER(N131),100*MAX(0,MIN(1,(LN(1+N131)-LN(1+'Anchors'!$H$15))/(LN(1+'Anchors'!$G$15)-LN(1+'Anchors'!$H$15)))),"")</x:f>
        <x:v>38.521069916460874</x:v>
      </x:c>
      <x:c r="AG131" s="33" t="n">
        <x:f>IF(ISNUMBER(O131),100*MAX(0,MIN(1,('Anchors'!$H$16-O131)/('Anchors'!$H$16-'Anchors'!$G$16))),"")</x:f>
        <x:v>18.48888888888889</x:v>
      </x:c>
      <x:c r="AH131" s="33" t="n">
        <x:f>IF(ISNUMBER(P131),100*MAX(0,MIN(1,('Anchors'!$H$17-P131)/('Anchors'!$H$17-'Anchors'!$G$17))),"")</x:f>
        <x:v>49.68938286675346</x:v>
      </x:c>
      <x:c r="AI131" s="33" t="n">
        <x:f>IF(ISNUMBER(Q131),100*MAX(0,MIN(1,('Anchors'!$H$18-Q131)/('Anchors'!$H$18-'Anchors'!$G$18))),"")</x:f>
        <x:v>62.74767793927873</x:v>
      </x:c>
      <x:c r="AJ131" s="33" t="n">
        <x:f>IF(ISNUMBER(R131),100*MAX(0,MIN(1,('Anchors'!$H$19-R131)/('Anchors'!$H$19-'Anchors'!$G$19))),"")</x:f>
        <x:v>70.15668440229564</x:v>
      </x:c>
      <x:c r="AK131" s="33" t="n">
        <x:f>IF(ISNUMBER(S131),100*MAX(0,MIN(1,('Anchors'!$H$20-S131)/('Anchors'!$H$20-'Anchors'!$G$20))),"")</x:f>
        <x:v>95.416897434046</x:v>
      </x:c>
      <x:c r="AL131" s="33" t="n">
        <x:f>IF(ISNUMBER(T131),100*MAX(0,MIN(1,('Anchors'!$H$21-T131)/('Anchors'!$H$21-'Anchors'!$G$21))),"")</x:f>
        <x:v>87.0909090909091</x:v>
      </x:c>
      <x:c r="AM131" s="33" t="n">
        <x:f>IF(ISNUMBER(U131),100*MAX(0,MIN(1,('Anchors'!$H$22-U131)/('Anchors'!$H$22-'Anchors'!$G$22))),"")</x:f>
        <x:v>44.29226091355795</x:v>
      </x:c>
      <x:c r="AN131" s="33" t="n">
        <x:f>IF(ISNUMBER(V131),100*MAX(0,MIN(1,('Anchors'!$H$23-V131)/('Anchors'!$H$23-'Anchors'!$G$23))),"")</x:f>
        <x:v>68.6431055263375</x:v>
      </x:c>
      <x:c r="AO131" s="27" t="n">
        <x:f>IF(ISNUMBER(W131),IF('Scoring Setup'!$L$9=1,1-'Scoring Setup'!$B$5*(1-MAX(0,MIN(1,(W131-'Scoring Setup'!$K$9)/(100-'Scoring Setup'!$K$9)))),1),"")</x:f>
        <x:v>0.8682857142857143</x:v>
      </x:c>
      <x:c r="AP131" s="27" t="n">
        <x:f>IF(ISNUMBER(X131),IF('Scoring Setup'!$L$10=1,1-'Scoring Setup'!$B$5*(1-MAX(0,MIN(1,(X131-'Scoring Setup'!$K$10)/(100-'Scoring Setup'!$K$10)))),1),"")</x:f>
        <x:v>0.943440594059406</x:v>
      </x:c>
      <x:c r="AQ131" s="27" t="n">
        <x:f>IF(ISNUMBER(Y131),IF('Scoring Setup'!$L$11=1,1-'Scoring Setup'!$B$5*(1-MAX(0,MIN(1,(Y131-'Scoring Setup'!$K$11)/(100-'Scoring Setup'!$K$11)))),1),"")</x:f>
        <x:v>0.8712049079479443</x:v>
      </x:c>
      <x:c r="AR131" s="27" t="n">
        <x:f>IF(ISNUMBER(Z131),IF('Scoring Setup'!$L$12=1,1-'Scoring Setup'!$B$5*(1-MAX(0,MIN(1,(Z131-'Scoring Setup'!$K$12)/(100-'Scoring Setup'!$K$12)))),1),"")</x:f>
        <x:v>0.8843131494</x:v>
      </x:c>
      <x:c r="AS131" s="27" t="n">
        <x:f>IF(ISNUMBER(AA131),IF('Scoring Setup'!$L$13=1,1-'Scoring Setup'!$B$5*(1-MAX(0,MIN(1,(AA131-'Scoring Setup'!$K$13)/(100-'Scoring Setup'!$K$13)))),1),"")</x:f>
        <x:v>0.9734188395852656</x:v>
      </x:c>
      <x:c r="AT131" s="27" t="n">
        <x:f>IF(ISNUMBER(AB131),IF('Scoring Setup'!$L$14=1,1-'Scoring Setup'!$B$5*(1-MAX(0,MIN(1,(AB131-'Scoring Setup'!$K$14)/(100-'Scoring Setup'!$K$14)))),1),"")</x:f>
        <x:v>0.9264250845663982</x:v>
      </x:c>
      <x:c r="AU131" s="27" t="n">
        <x:f>IF(ISNUMBER(AC131),IF('Scoring Setup'!$L$15=1,1-'Scoring Setup'!$B$5*(1-MAX(0,MIN(1,(AC131-'Scoring Setup'!$K$15)/(100-'Scoring Setup'!$K$15)))),1),"")</x:f>
        <x:v>0.9941649642985406</x:v>
      </x:c>
      <x:c r="AV131" s="27" t="n">
        <x:f>IF(ISNUMBER(AD131),IF('Scoring Setup'!$L$16=1,1-'Scoring Setup'!$B$5*(1-MAX(0,MIN(1,(AD131-'Scoring Setup'!$K$16)/(100-'Scoring Setup'!$K$16)))),1),"")</x:f>
        <x:v>0.8257684954285714</x:v>
      </x:c>
      <x:c r="AW131" s="27" t="n">
        <x:f>IF(ISNUMBER(AE131),IF('Scoring Setup'!$L$17=1,1-'Scoring Setup'!$B$5*(1-MAX(0,MIN(1,(AE131-'Scoring Setup'!$K$17)/(100-'Scoring Setup'!$K$17)))),1),"")</x:f>
        <x:v>0.8475474335</x:v>
      </x:c>
      <x:c r="AX131" s="27" t="n">
        <x:f>IF(ISNUMBER(AF131),IF('Scoring Setup'!$L$18=1,1-'Scoring Setup'!$B$5*(1-MAX(0,MIN(1,(AF131-'Scoring Setup'!$K$18)/(100-'Scoring Setup'!$K$18)))),1),"")</x:f>
        <x:v>0.8770421398329218</x:v>
      </x:c>
      <x:c r="AY131" s="27" t="n">
        <x:f>IF(ISNUMBER(AG131),IF('Scoring Setup'!$L$19=1,1-'Scoring Setup'!$B$5*(1-MAX(0,MIN(1,(AG131-'Scoring Setup'!$K$19)/(100-'Scoring Setup'!$K$19)))),1),"")</x:f>
        <x:v>0.8369777777777778</x:v>
      </x:c>
      <x:c r="AZ131" s="27" t="n">
        <x:f>IF(ISNUMBER(AH131),IF('Scoring Setup'!$L$20=1,1-'Scoring Setup'!$B$5*(1-MAX(0,MIN(1,(AH131-'Scoring Setup'!$K$20)/(100-'Scoring Setup'!$K$20)))),1),"")</x:f>
        <x:v>0.899378765733507</x:v>
      </x:c>
      <x:c r="BA131" s="27" t="n">
        <x:f>IF(ISNUMBER(AI131),IF('Scoring Setup'!$L$21=1,1-'Scoring Setup'!$B$5*(1-MAX(0,MIN(1,(AI131-'Scoring Setup'!$K$21)/(100-'Scoring Setup'!$K$21)))),1),"")</x:f>
        <x:v>0.9254953558785575</x:v>
      </x:c>
      <x:c r="BB131" s="27" t="n">
        <x:f>IF(ISNUMBER(AJ131),IF('Scoring Setup'!$L$22=1,1-'Scoring Setup'!$B$5*(1-MAX(0,MIN(1,(AJ131-'Scoring Setup'!$K$22)/(100-'Scoring Setup'!$K$22)))),1),"")</x:f>
        <x:v>0.9403133688045913</x:v>
      </x:c>
      <x:c r="BC131" s="27" t="n">
        <x:f>IF(ISNUMBER(AK131),IF('Scoring Setup'!$L$23=1,1-'Scoring Setup'!$B$5*(1-MAX(0,MIN(1,(AK131-'Scoring Setup'!$K$23)/(100-'Scoring Setup'!$K$23)))),1),"")</x:f>
        <x:v>0.990833794868092</x:v>
      </x:c>
      <x:c r="BD131" s="27" t="n">
        <x:f>IF(ISNUMBER(AL131),IF('Scoring Setup'!$L$24=1,1-'Scoring Setup'!$B$5*(1-MAX(0,MIN(1,(AL131-'Scoring Setup'!$K$24)/(100-'Scoring Setup'!$K$24)))),1),"")</x:f>
        <x:v>0.9741818181818181</x:v>
      </x:c>
      <x:c r="BE131" s="27" t="n">
        <x:f>IF(ISNUMBER(AM131),IF('Scoring Setup'!$L$25=1,1-'Scoring Setup'!$B$5*(1-MAX(0,MIN(1,(AM131-'Scoring Setup'!$K$25)/(100-'Scoring Setup'!$K$25)))),1),"")</x:f>
        <x:v>0.8885845218271159</x:v>
      </x:c>
      <x:c r="BF131" s="27" t="n">
        <x:f>IF(ISNUMBER(AN131),IF('Scoring Setup'!$L$26=1,1-'Scoring Setup'!$B$5*(1-MAX(0,MIN(1,(AN131-'Scoring Setup'!$K$26)/(100-'Scoring Setup'!$K$26)))),1),"")</x:f>
        <x:v>0.937286211052675</x:v>
      </x:c>
      <x:c r="BG131" s="34" t="n">
        <x:f>IF(COUNT(W131,X131)=2,AVERAGE(W131,X131),"")</x:f>
        <x:v>52.931577086280065</x:v>
      </x:c>
      <x:c r="BH131" s="34" t="n">
        <x:f>IF(COUNT(Y131,Z131)=2,AVERAGE(Y131,Z131),"")</x:f>
        <x:v>38.87951433698606</x:v>
      </x:c>
      <x:c r="BI131" s="34" t="n">
        <x:f>IF(COUNT(AA131,AB131,AC131)=3,AVERAGE(AA131,AB131,AC131),"")</x:f>
        <x:v>82.33481474170075</x:v>
      </x:c>
      <x:c r="BJ131" s="34" t="n">
        <x:f>IF(COUNT(AD131,AE131)=2,AVERAGE(AD131,AE131),"")</x:f>
        <x:v>18.328982232142852</x:v>
      </x:c>
      <x:c r="BK131" s="34" t="n">
        <x:f>IF(COUNT(AF131,AG131)=2,AVERAGE(AF131,AG131),"")</x:f>
        <x:v>28.504979402674884</x:v>
      </x:c>
      <x:c r="BL131" s="34" t="n">
        <x:f>IF(COUNT(AH131,AI131)=2,AVERAGE(AH131,AI131),"")</x:f>
        <x:v>56.218530403016096</x:v>
      </x:c>
      <x:c r="BM131" s="34" t="n">
        <x:f>IF(COUNT(AJ131,AK131)=2,AVERAGE(AJ131,AK131),"")</x:f>
        <x:v>82.78679091817082</x:v>
      </x:c>
      <x:c r="BN131" s="34" t="n">
        <x:f>IF(COUNT(AL131,AM131,AN131)=3,AVERAGE(AL131,AM131,AN131),"")</x:f>
        <x:v>66.67542517693484</x:v>
      </x:c>
      <x:c r="BO131" s="35" t="n">
        <x:f>IF(AND(COUNT(BG131:BN131)=8,ABS('Scoring Setup'!$C$17-1)&lt;0.000001),BG131*'Scoring Setup'!$C$9+BH131*'Scoring Setup'!$C$10+BI131*'Scoring Setup'!$C$11+BJ131*'Scoring Setup'!$C$12+BK131*'Scoring Setup'!$C$13+BL131*'Scoring Setup'!$C$14+BM131*'Scoring Setup'!$C$15+BN131*'Scoring Setup'!$C$16,"")</x:f>
        <x:v>52.93883183281687</x:v>
      </x:c>
      <x:c r="BP131" s="36" t="n">
        <x:f>IF(COUNT(AO131:BF131)=18,MIN(AO131:BF131),"")</x:f>
        <x:v>0.8257684954285714</x:v>
      </x:c>
      <x:c r="BQ131" s="35" t="n">
        <x:f>IF(AND(ISNUMBER(BO131),ISNUMBER(BP131)),BO131*BP131,"")</x:f>
        <x:v>43.715219512331345</x:v>
      </x:c>
      <x:c r="BR131" s="17" t="str">
        <x:f>IF(COUNT(AO131:BF131)=18,INDEX('Scoring Setup'!$F$9:$F$26,MATCH(MIN(AO131:BF131),AO131:BF131,0),1),"")</x:f>
        <x:v>商业光纤100/20覆盖率</x:v>
      </x:c>
    </x:row>
    <x:row r="132">
      <x:c r="A132" s="28" t="str">
        <x:v>13259</x:v>
      </x:c>
      <x:c r="B132" s="28" t="str">
        <x:v>Stewart County</x:v>
      </x:c>
      <x:c r="C132" s="28" t="str">
        <x:v>GA</x:v>
      </x:c>
      <x:c r="D132" s="31" t="n">
        <x:v>1188.198306</x:v>
      </x:c>
      <x:c r="E132" s="32" t="n">
        <x:v>0.611</x:v>
      </x:c>
      <x:c r="F132" s="32" t="n">
        <x:v>0.11664603960396001</x:v>
      </x:c>
      <x:c r="G132" s="32" t="n">
        <x:v>0.10116196865574516</x:v>
      </x:c>
      <x:c r="H132" s="32" t="n">
        <x:v>0.09861893980971788</x:v>
      </x:c>
      <x:c r="I132" s="32" t="n">
        <x:v>0.9715679673171053</x:v>
      </x:c>
      <x:c r="J132" s="32" t="n">
        <x:v>0.02606283046635743</x:v>
      </x:c>
      <x:c r="K132" s="32" t="n">
        <x:v>0.08091676547559401</x:v>
      </x:c>
      <x:c r="L132" s="32" t="n">
        <x:v>0.124712203</x:v>
      </x:c>
      <x:c r="M132" s="32" t="n">
        <x:v>0.124712203</x:v>
      </x:c>
      <x:c r="N132" s="32" t="n">
        <x:v>1426</x:v>
      </x:c>
      <x:c r="O132" s="32" t="n">
        <x:v>0.9736</x:v>
      </x:c>
      <x:c r="P132" s="32" t="n">
        <x:v>2005.3450032552084</x:v>
      </x:c>
      <x:c r="Q132" s="32" t="n">
        <x:v>64.24030100504557</x:v>
      </x:c>
      <x:c r="R132" s="32" t="n">
        <x:v>37.74224514563012</x:v>
      </x:c>
      <x:c r="S132" s="32" t="n">
        <x:v>1.6145027816352586</x:v>
      </x:c>
      <x:c r="T132" s="32" t="n">
        <x:v>72.1</x:v>
      </x:c>
      <x:c r="U132" s="32" t="n">
        <x:v>211.4154781728841</x:v>
      </x:c>
      <x:c r="V132" s="32" t="n">
        <x:v>325.42757789465</x:v>
      </x:c>
      <x:c r="W132" s="33" t="n">
        <x:f>IF(ISNUMBER(E132),100*MAX(0,MIN(1,('Anchors'!$H$6-E132)/('Anchors'!$H$6-'Anchors'!$G$6))),"")</x:f>
        <x:v>41.28571428571429</x:v>
      </x:c>
      <x:c r="X132" s="33" t="n">
        <x:f>IF(ISNUMBER(F132),100*MAX(0,MIN(1,('Anchors'!$H$7-F132)/('Anchors'!$H$7-'Anchors'!$G$7))),"")</x:f>
        <x:v>97.62199434229142</x:v>
      </x:c>
      <x:c r="Y132" s="33" t="n">
        <x:f>IF(ISNUMBER(G132),100*MAX(0,MIN(1,('Anchors'!$H$8-G132)/('Anchors'!$H$8-'Anchors'!$G$8))),"")</x:f>
        <x:v>100</x:v>
      </x:c>
      <x:c r="Z132" s="33" t="n">
        <x:f>IF(ISNUMBER(H132),100*MAX(0,MIN(1,('Anchors'!$H$9-H132)/('Anchors'!$H$9-'Anchors'!$G$9))),"")</x:f>
        <x:v>100</x:v>
      </x:c>
      <x:c r="AA132" s="33" t="n">
        <x:f>IF(ISNUMBER(I132),100*MAX(0,MIN(1,(I132-'Anchors'!$H$10)/('Anchors'!$G$10-'Anchors'!$H$10))),"")</x:f>
        <x:v>98.84492702974045</x:v>
      </x:c>
      <x:c r="AB132" s="33" t="n">
        <x:f>IF(ISNUMBER(J132),100*MAX(0,MIN(1,('Anchors'!$H$11-J132)/('Anchors'!$H$11-'Anchors'!$G$11))),"")</x:f>
        <x:v>89.57486781345703</x:v>
      </x:c>
      <x:c r="AC132" s="33" t="n">
        <x:f>IF(ISNUMBER(K132),100*MAX(0,MIN(1,('Anchors'!$H$12-K132)/('Anchors'!$H$12-'Anchors'!$G$12))),"")</x:f>
        <x:v>79.7708086311015</x:v>
      </x:c>
      <x:c r="AD132" s="33" t="n">
        <x:f>IF(ISNUMBER(L132),100*MAX(0,MIN(1,(L132-'Anchors'!$H$13)/('Anchors'!$G$13-'Anchors'!$H$13))),"")</x:f>
        <x:v>0</x:v>
      </x:c>
      <x:c r="AE132" s="33" t="n">
        <x:f>IF(ISNUMBER(M132),100*MAX(0,MIN(1,(M132-'Anchors'!$H$14)/('Anchors'!$G$14-'Anchors'!$H$14))),"")</x:f>
        <x:v>3.0890253749999985</x:v>
      </x:c>
      <x:c r="AF132" s="33" t="n">
        <x:f>IF(ISNUMBER(N132),100*MAX(0,MIN(1,(LN(1+N132)-LN(1+'Anchors'!$H$15))/(LN(1+'Anchors'!$G$15)-LN(1+'Anchors'!$H$15)))),"")</x:f>
        <x:v>0</x:v>
      </x:c>
      <x:c r="AG132" s="33" t="n">
        <x:f>IF(ISNUMBER(O132),100*MAX(0,MIN(1,('Anchors'!$H$16-O132)/('Anchors'!$H$16-'Anchors'!$G$16))),"")</x:f>
        <x:v>0</x:v>
      </x:c>
      <x:c r="AH132" s="33" t="n">
        <x:f>IF(ISNUMBER(P132),100*MAX(0,MIN(1,('Anchors'!$H$17-P132)/('Anchors'!$H$17-'Anchors'!$G$17))),"")</x:f>
        <x:v>12.976999782986104</x:v>
      </x:c>
      <x:c r="AI132" s="33" t="n">
        <x:f>IF(ISNUMBER(Q132),100*MAX(0,MIN(1,('Anchors'!$H$18-Q132)/('Anchors'!$H$18-'Anchors'!$G$18))),"")</x:f>
        <x:v>15.37099856422062</x:v>
      </x:c>
      <x:c r="AJ132" s="33" t="n">
        <x:f>IF(ISNUMBER(R132),100*MAX(0,MIN(1,('Anchors'!$H$19-R132)/('Anchors'!$H$19-'Anchors'!$G$19))),"")</x:f>
        <x:v>27.239455231933064</x:v>
      </x:c>
      <x:c r="AK132" s="33" t="n">
        <x:f>IF(ISNUMBER(S132),100*MAX(0,MIN(1,('Anchors'!$H$20-S132)/('Anchors'!$H$20-'Anchors'!$G$20))),"")</x:f>
        <x:v>96.76577483349863</x:v>
      </x:c>
      <x:c r="AL132" s="33" t="n">
        <x:f>IF(ISNUMBER(T132),100*MAX(0,MIN(1,('Anchors'!$H$21-T132)/('Anchors'!$H$21-'Anchors'!$G$21))),"")</x:f>
        <x:v>87.0909090909091</x:v>
      </x:c>
      <x:c r="AM132" s="33" t="n">
        <x:f>IF(ISNUMBER(U132),100*MAX(0,MIN(1,('Anchors'!$H$22-U132)/('Anchors'!$H$22-'Anchors'!$G$22))),"")</x:f>
        <x:v>44.29226091355795</x:v>
      </x:c>
      <x:c r="AN132" s="33" t="n">
        <x:f>IF(ISNUMBER(V132),100*MAX(0,MIN(1,('Anchors'!$H$23-V132)/('Anchors'!$H$23-'Anchors'!$G$23))),"")</x:f>
        <x:v>68.6431055263375</x:v>
      </x:c>
      <x:c r="AO132" s="27" t="n">
        <x:f>IF(ISNUMBER(W132),IF('Scoring Setup'!$L$9=1,1-'Scoring Setup'!$B$5*(1-MAX(0,MIN(1,(W132-'Scoring Setup'!$K$9)/(100-'Scoring Setup'!$K$9)))),1),"")</x:f>
        <x:v>0.8825714285714286</x:v>
      </x:c>
      <x:c r="AP132" s="27" t="n">
        <x:f>IF(ISNUMBER(X132),IF('Scoring Setup'!$L$10=1,1-'Scoring Setup'!$B$5*(1-MAX(0,MIN(1,(X132-'Scoring Setup'!$K$10)/(100-'Scoring Setup'!$K$10)))),1),"")</x:f>
        <x:v>0.9952439886845829</x:v>
      </x:c>
      <x:c r="AQ132" s="27" t="n">
        <x:f>IF(ISNUMBER(Y132),IF('Scoring Setup'!$L$11=1,1-'Scoring Setup'!$B$5*(1-MAX(0,MIN(1,(Y132-'Scoring Setup'!$K$11)/(100-'Scoring Setup'!$K$11)))),1),"")</x:f>
        <x:v>1</x:v>
      </x:c>
      <x:c r="AR132" s="27" t="n">
        <x:f>IF(ISNUMBER(Z132),IF('Scoring Setup'!$L$12=1,1-'Scoring Setup'!$B$5*(1-MAX(0,MIN(1,(Z132-'Scoring Setup'!$K$12)/(100-'Scoring Setup'!$K$12)))),1),"")</x:f>
        <x:v>1</x:v>
      </x:c>
      <x:c r="AS132" s="27" t="n">
        <x:f>IF(ISNUMBER(AA132),IF('Scoring Setup'!$L$13=1,1-'Scoring Setup'!$B$5*(1-MAX(0,MIN(1,(AA132-'Scoring Setup'!$K$13)/(100-'Scoring Setup'!$K$13)))),1),"")</x:f>
        <x:v>0.9976898540594809</x:v>
      </x:c>
      <x:c r="AT132" s="27" t="n">
        <x:f>IF(ISNUMBER(AB132),IF('Scoring Setup'!$L$14=1,1-'Scoring Setup'!$B$5*(1-MAX(0,MIN(1,(AB132-'Scoring Setup'!$K$14)/(100-'Scoring Setup'!$K$14)))),1),"")</x:f>
        <x:v>0.9791497356269141</x:v>
      </x:c>
      <x:c r="AU132" s="27" t="n">
        <x:f>IF(ISNUMBER(AC132),IF('Scoring Setup'!$L$15=1,1-'Scoring Setup'!$B$5*(1-MAX(0,MIN(1,(AC132-'Scoring Setup'!$K$15)/(100-'Scoring Setup'!$K$15)))),1),"")</x:f>
        <x:v>0.959541617262203</x:v>
      </x:c>
      <x:c r="AV132" s="27" t="n">
        <x:f>IF(ISNUMBER(AD132),IF('Scoring Setup'!$L$16=1,1-'Scoring Setup'!$B$5*(1-MAX(0,MIN(1,(AD132-'Scoring Setup'!$K$16)/(100-'Scoring Setup'!$K$16)))),1),"")</x:f>
        <x:v>0.8</x:v>
      </x:c>
      <x:c r="AW132" s="27" t="n">
        <x:f>IF(ISNUMBER(AE132),IF('Scoring Setup'!$L$17=1,1-'Scoring Setup'!$B$5*(1-MAX(0,MIN(1,(AE132-'Scoring Setup'!$K$17)/(100-'Scoring Setup'!$K$17)))),1),"")</x:f>
        <x:v>0.80617805075</x:v>
      </x:c>
      <x:c r="AX132" s="27" t="n">
        <x:f>IF(ISNUMBER(AF132),IF('Scoring Setup'!$L$18=1,1-'Scoring Setup'!$B$5*(1-MAX(0,MIN(1,(AF132-'Scoring Setup'!$K$18)/(100-'Scoring Setup'!$K$18)))),1),"")</x:f>
        <x:v>0.8</x:v>
      </x:c>
      <x:c r="AY132" s="27" t="n">
        <x:f>IF(ISNUMBER(AG132),IF('Scoring Setup'!$L$19=1,1-'Scoring Setup'!$B$5*(1-MAX(0,MIN(1,(AG132-'Scoring Setup'!$K$19)/(100-'Scoring Setup'!$K$19)))),1),"")</x:f>
        <x:v>0.8</x:v>
      </x:c>
      <x:c r="AZ132" s="27" t="n">
        <x:f>IF(ISNUMBER(AH132),IF('Scoring Setup'!$L$20=1,1-'Scoring Setup'!$B$5*(1-MAX(0,MIN(1,(AH132-'Scoring Setup'!$K$20)/(100-'Scoring Setup'!$K$20)))),1),"")</x:f>
        <x:v>0.8259539995659722</x:v>
      </x:c>
      <x:c r="BA132" s="27" t="n">
        <x:f>IF(ISNUMBER(AI132),IF('Scoring Setup'!$L$21=1,1-'Scoring Setup'!$B$5*(1-MAX(0,MIN(1,(AI132-'Scoring Setup'!$K$21)/(100-'Scoring Setup'!$K$21)))),1),"")</x:f>
        <x:v>0.8307419971284412</x:v>
      </x:c>
      <x:c r="BB132" s="27" t="n">
        <x:f>IF(ISNUMBER(AJ132),IF('Scoring Setup'!$L$22=1,1-'Scoring Setup'!$B$5*(1-MAX(0,MIN(1,(AJ132-'Scoring Setup'!$K$22)/(100-'Scoring Setup'!$K$22)))),1),"")</x:f>
        <x:v>0.8544789104638661</x:v>
      </x:c>
      <x:c r="BC132" s="27" t="n">
        <x:f>IF(ISNUMBER(AK132),IF('Scoring Setup'!$L$23=1,1-'Scoring Setup'!$B$5*(1-MAX(0,MIN(1,(AK132-'Scoring Setup'!$K$23)/(100-'Scoring Setup'!$K$23)))),1),"")</x:f>
        <x:v>0.9935315496669973</x:v>
      </x:c>
      <x:c r="BD132" s="27" t="n">
        <x:f>IF(ISNUMBER(AL132),IF('Scoring Setup'!$L$24=1,1-'Scoring Setup'!$B$5*(1-MAX(0,MIN(1,(AL132-'Scoring Setup'!$K$24)/(100-'Scoring Setup'!$K$24)))),1),"")</x:f>
        <x:v>0.9741818181818181</x:v>
      </x:c>
      <x:c r="BE132" s="27" t="n">
        <x:f>IF(ISNUMBER(AM132),IF('Scoring Setup'!$L$25=1,1-'Scoring Setup'!$B$5*(1-MAX(0,MIN(1,(AM132-'Scoring Setup'!$K$25)/(100-'Scoring Setup'!$K$25)))),1),"")</x:f>
        <x:v>0.8885845218271159</x:v>
      </x:c>
      <x:c r="BF132" s="27" t="n">
        <x:f>IF(ISNUMBER(AN132),IF('Scoring Setup'!$L$26=1,1-'Scoring Setup'!$B$5*(1-MAX(0,MIN(1,(AN132-'Scoring Setup'!$K$26)/(100-'Scoring Setup'!$K$26)))),1),"")</x:f>
        <x:v>0.937286211052675</x:v>
      </x:c>
      <x:c r="BG132" s="34" t="n">
        <x:f>IF(COUNT(W132,X132)=2,AVERAGE(W132,X132),"")</x:f>
        <x:v>69.45385431400285</x:v>
      </x:c>
      <x:c r="BH132" s="34" t="n">
        <x:f>IF(COUNT(Y132,Z132)=2,AVERAGE(Y132,Z132),"")</x:f>
        <x:v>100</x:v>
      </x:c>
      <x:c r="BI132" s="34" t="n">
        <x:f>IF(COUNT(AA132,AB132,AC132)=3,AVERAGE(AA132,AB132,AC132),"")</x:f>
        <x:v>89.39686782476633</x:v>
      </x:c>
      <x:c r="BJ132" s="34" t="n">
        <x:f>IF(COUNT(AD132,AE132)=2,AVERAGE(AD132,AE132),"")</x:f>
        <x:v>1.5445126874999993</x:v>
      </x:c>
      <x:c r="BK132" s="34" t="n">
        <x:f>IF(COUNT(AF132,AG132)=2,AVERAGE(AF132,AG132),"")</x:f>
        <x:v>0</x:v>
      </x:c>
      <x:c r="BL132" s="34" t="n">
        <x:f>IF(COUNT(AH132,AI132)=2,AVERAGE(AH132,AI132),"")</x:f>
        <x:v>14.173999173603363</x:v>
      </x:c>
      <x:c r="BM132" s="34" t="n">
        <x:f>IF(COUNT(AJ132,AK132)=2,AVERAGE(AJ132,AK132),"")</x:f>
        <x:v>62.002615032715845</x:v>
      </x:c>
      <x:c r="BN132" s="34" t="n">
        <x:f>IF(COUNT(AL132,AM132,AN132)=3,AVERAGE(AL132,AM132,AN132),"")</x:f>
        <x:v>66.67542517693484</x:v>
      </x:c>
      <x:c r="BO132" s="35" t="n">
        <x:f>IF(AND(COUNT(BG132:BN132)=8,ABS('Scoring Setup'!$C$17-1)&lt;0.000001),BG132*'Scoring Setup'!$C$9+BH132*'Scoring Setup'!$C$10+BI132*'Scoring Setup'!$C$11+BJ132*'Scoring Setup'!$C$12+BK132*'Scoring Setup'!$C$13+BL132*'Scoring Setup'!$C$14+BM132*'Scoring Setup'!$C$15+BN132*'Scoring Setup'!$C$16,"")</x:f>
        <x:v>59.850981746023336</x:v>
      </x:c>
      <x:c r="BP132" s="36" t="n">
        <x:f>IF(COUNT(AO132:BF132)=18,MIN(AO132:BF132),"")</x:f>
        <x:v>0.8</x:v>
      </x:c>
      <x:c r="BQ132" s="35" t="n">
        <x:f>IF(AND(ISNUMBER(BO132),ISNUMBER(BP132)),BO132*BP132,"")</x:f>
        <x:v>47.88078539681867</x:v>
      </x:c>
      <x:c r="BR132" s="17" t="str">
        <x:f>IF(COUNT(AO132:BF132)=18,INDEX('Scoring Setup'!$F$9:$F$26,MATCH(MIN(AO132:BF132),AO132:BF132,0),1),"")</x:f>
        <x:v>商业光纤100/20覆盖率</x:v>
      </x:c>
    </x:row>
    <x:row r="133">
      <x:c r="A133" s="28" t="str">
        <x:v>13261</x:v>
      </x:c>
      <x:c r="B133" s="28" t="str">
        <x:v>Sumter County</x:v>
      </x:c>
      <x:c r="C133" s="28" t="str">
        <x:v>GA</x:v>
      </x:c>
      <x:c r="D133" s="31" t="n">
        <x:v>1250.646291</x:v>
      </x:c>
      <x:c r="E133" s="32" t="n">
        <x:v>0.494</x:v>
      </x:c>
      <x:c r="F133" s="32" t="n">
        <x:v>0.286200495049505</x:v>
      </x:c>
      <x:c r="G133" s="32" t="n">
        <x:v>1.1652933984148754</x:v>
      </x:c>
      <x:c r="H133" s="32" t="n">
        <x:v>1.134330805</x:v>
      </x:c>
      <x:c r="I133" s="32" t="n">
        <x:v>0.9338165056609011</x:v>
      </x:c>
      <x:c r="J133" s="32" t="n">
        <x:v>0.0022346007079203757</x:v>
      </x:c>
      <x:c r="K133" s="32" t="n">
        <x:v>0.1308608018638078</x:v>
      </x:c>
      <x:c r="L133" s="32" t="n">
        <x:v>0.866242456</x:v>
      </x:c>
      <x:c r="M133" s="32" t="n">
        <x:v>0.859551299</x:v>
      </x:c>
      <x:c r="N133" s="32" t="n">
        <x:v>11969</x:v>
      </x:c>
      <x:c r="O133" s="32" t="n">
        <x:v>0.9631</x:v>
      </x:c>
      <x:c r="P133" s="32" t="n">
        <x:v>2059.6420166015623</x:v>
      </x:c>
      <x:c r="Q133" s="32" t="n">
        <x:v>64.18044522603353</x:v>
      </x:c>
      <x:c r="R133" s="32" t="n">
        <x:v>41.61466747338646</x:v>
      </x:c>
      <x:c r="S133" s="32" t="n">
        <x:v>0.5917436618323934</x:v>
      </x:c>
      <x:c r="T133" s="32" t="n">
        <x:v>72.1</x:v>
      </x:c>
      <x:c r="U133" s="32" t="n">
        <x:v>211.4154781728841</x:v>
      </x:c>
      <x:c r="V133" s="32" t="n">
        <x:v>325.42757789465</x:v>
      </x:c>
      <x:c r="W133" s="33" t="n">
        <x:f>IF(ISNUMBER(E133),100*MAX(0,MIN(1,('Anchors'!$H$6-E133)/('Anchors'!$H$6-'Anchors'!$G$6))),"")</x:f>
        <x:v>58.00000000000001</x:v>
      </x:c>
      <x:c r="X133" s="33" t="n">
        <x:f>IF(ISNUMBER(F133),100*MAX(0,MIN(1,('Anchors'!$H$7-F133)/('Anchors'!$H$7-'Anchors'!$G$7))),"")</x:f>
        <x:v>73.39992927864215</x:v>
      </x:c>
      <x:c r="Y133" s="33" t="n">
        <x:f>IF(ISNUMBER(G133),100*MAX(0,MIN(1,('Anchors'!$H$8-G133)/('Anchors'!$H$8-'Anchors'!$G$8))),"")</x:f>
        <x:v>94.49022005283749</x:v>
      </x:c>
      <x:c r="Z133" s="33" t="n">
        <x:f>IF(ISNUMBER(H133),100*MAX(0,MIN(1,('Anchors'!$H$9-H133)/('Anchors'!$H$9-'Anchors'!$G$9))),"")</x:f>
        <x:v>95.52230649999998</x:v>
      </x:c>
      <x:c r="AA133" s="33" t="n">
        <x:f>IF(ISNUMBER(I133),100*MAX(0,MIN(1,(I133-'Anchors'!$H$10)/('Anchors'!$G$10-'Anchors'!$H$10))),"")</x:f>
        <x:v>93.67349392615084</x:v>
      </x:c>
      <x:c r="AB133" s="33" t="n">
        <x:f>IF(ISNUMBER(J133),100*MAX(0,MIN(1,('Anchors'!$H$11-J133)/('Anchors'!$H$11-'Anchors'!$G$11))),"")</x:f>
        <x:v>99.10615971683185</x:v>
      </x:c>
      <x:c r="AC133" s="33" t="n">
        <x:f>IF(ISNUMBER(K133),100*MAX(0,MIN(1,('Anchors'!$H$12-K133)/('Anchors'!$H$12-'Anchors'!$G$12))),"")</x:f>
        <x:v>67.28479953404806</x:v>
      </x:c>
      <x:c r="AD133" s="33" t="n">
        <x:f>IF(ISNUMBER(L133),100*MAX(0,MIN(1,(L133-'Anchors'!$H$13)/('Anchors'!$G$13-'Anchors'!$H$13))),"")</x:f>
        <x:v>95.17749371428572</x:v>
      </x:c>
      <x:c r="AE133" s="33" t="n">
        <x:f>IF(ISNUMBER(M133),100*MAX(0,MIN(1,(M133-'Anchors'!$H$14)/('Anchors'!$G$14-'Anchors'!$H$14))),"")</x:f>
        <x:v>94.94391237500001</x:v>
      </x:c>
      <x:c r="AF133" s="33" t="n">
        <x:f>IF(ISNUMBER(N133),100*MAX(0,MIN(1,(LN(1+N133)-LN(1+'Anchors'!$H$15))/(LN(1+'Anchors'!$G$15)-LN(1+'Anchors'!$H$15)))),"")</x:f>
        <x:v>41.43522295657301</x:v>
      </x:c>
      <x:c r="AG133" s="33" t="n">
        <x:f>IF(ISNUMBER(O133),100*MAX(0,MIN(1,('Anchors'!$H$16-O133)/('Anchors'!$H$16-'Anchors'!$G$16))),"")</x:f>
        <x:v>0</x:v>
      </x:c>
      <x:c r="AH133" s="33" t="n">
        <x:f>IF(ISNUMBER(P133),100*MAX(0,MIN(1,('Anchors'!$H$17-P133)/('Anchors'!$H$17-'Anchors'!$G$17))),"")</x:f>
        <x:v>9.35719889322918</x:v>
      </x:c>
      <x:c r="AI133" s="33" t="n">
        <x:f>IF(ISNUMBER(Q133),100*MAX(0,MIN(1,('Anchors'!$H$18-Q133)/('Anchors'!$H$18-'Anchors'!$G$18))),"")</x:f>
        <x:v>15.456506819952104</x:v>
      </x:c>
      <x:c r="AJ133" s="33" t="n">
        <x:f>IF(ISNUMBER(R133),100*MAX(0,MIN(1,('Anchors'!$H$19-R133)/('Anchors'!$H$19-'Anchors'!$G$19))),"")</x:f>
        <x:v>18.63407228136342</x:v>
      </x:c>
      <x:c r="AK133" s="33" t="n">
        <x:f>IF(ISNUMBER(S133),100*MAX(0,MIN(1,('Anchors'!$H$20-S133)/('Anchors'!$H$20-'Anchors'!$G$20))),"")</x:f>
        <x:v>100</x:v>
      </x:c>
      <x:c r="AL133" s="33" t="n">
        <x:f>IF(ISNUMBER(T133),100*MAX(0,MIN(1,('Anchors'!$H$21-T133)/('Anchors'!$H$21-'Anchors'!$G$21))),"")</x:f>
        <x:v>87.0909090909091</x:v>
      </x:c>
      <x:c r="AM133" s="33" t="n">
        <x:f>IF(ISNUMBER(U133),100*MAX(0,MIN(1,('Anchors'!$H$22-U133)/('Anchors'!$H$22-'Anchors'!$G$22))),"")</x:f>
        <x:v>44.29226091355795</x:v>
      </x:c>
      <x:c r="AN133" s="33" t="n">
        <x:f>IF(ISNUMBER(V133),100*MAX(0,MIN(1,('Anchors'!$H$23-V133)/('Anchors'!$H$23-'Anchors'!$G$23))),"")</x:f>
        <x:v>68.6431055263375</x:v>
      </x:c>
      <x:c r="AO133" s="27" t="n">
        <x:f>IF(ISNUMBER(W133),IF('Scoring Setup'!$L$9=1,1-'Scoring Setup'!$B$5*(1-MAX(0,MIN(1,(W133-'Scoring Setup'!$K$9)/(100-'Scoring Setup'!$K$9)))),1),"")</x:f>
        <x:v>0.916</x:v>
      </x:c>
      <x:c r="AP133" s="27" t="n">
        <x:f>IF(ISNUMBER(X133),IF('Scoring Setup'!$L$10=1,1-'Scoring Setup'!$B$5*(1-MAX(0,MIN(1,(X133-'Scoring Setup'!$K$10)/(100-'Scoring Setup'!$K$10)))),1),"")</x:f>
        <x:v>0.9467998585572843</x:v>
      </x:c>
      <x:c r="AQ133" s="27" t="n">
        <x:f>IF(ISNUMBER(Y133),IF('Scoring Setup'!$L$11=1,1-'Scoring Setup'!$B$5*(1-MAX(0,MIN(1,(Y133-'Scoring Setup'!$K$11)/(100-'Scoring Setup'!$K$11)))),1),"")</x:f>
        <x:v>0.988980440105675</x:v>
      </x:c>
      <x:c r="AR133" s="27" t="n">
        <x:f>IF(ISNUMBER(Z133),IF('Scoring Setup'!$L$12=1,1-'Scoring Setup'!$B$5*(1-MAX(0,MIN(1,(Z133-'Scoring Setup'!$K$12)/(100-'Scoring Setup'!$K$12)))),1),"")</x:f>
        <x:v>0.991044613</x:v>
      </x:c>
      <x:c r="AS133" s="27" t="n">
        <x:f>IF(ISNUMBER(AA133),IF('Scoring Setup'!$L$13=1,1-'Scoring Setup'!$B$5*(1-MAX(0,MIN(1,(AA133-'Scoring Setup'!$K$13)/(100-'Scoring Setup'!$K$13)))),1),"")</x:f>
        <x:v>0.9873469878523017</x:v>
      </x:c>
      <x:c r="AT133" s="27" t="n">
        <x:f>IF(ISNUMBER(AB133),IF('Scoring Setup'!$L$14=1,1-'Scoring Setup'!$B$5*(1-MAX(0,MIN(1,(AB133-'Scoring Setup'!$K$14)/(100-'Scoring Setup'!$K$14)))),1),"")</x:f>
        <x:v>0.9982123194336637</x:v>
      </x:c>
      <x:c r="AU133" s="27" t="n">
        <x:f>IF(ISNUMBER(AC133),IF('Scoring Setup'!$L$15=1,1-'Scoring Setup'!$B$5*(1-MAX(0,MIN(1,(AC133-'Scoring Setup'!$K$15)/(100-'Scoring Setup'!$K$15)))),1),"")</x:f>
        <x:v>0.9345695990680961</x:v>
      </x:c>
      <x:c r="AV133" s="27" t="n">
        <x:f>IF(ISNUMBER(AD133),IF('Scoring Setup'!$L$16=1,1-'Scoring Setup'!$B$5*(1-MAX(0,MIN(1,(AD133-'Scoring Setup'!$K$16)/(100-'Scoring Setup'!$K$16)))),1),"")</x:f>
        <x:v>0.9903549874285714</x:v>
      </x:c>
      <x:c r="AW133" s="27" t="n">
        <x:f>IF(ISNUMBER(AE133),IF('Scoring Setup'!$L$17=1,1-'Scoring Setup'!$B$5*(1-MAX(0,MIN(1,(AE133-'Scoring Setup'!$K$17)/(100-'Scoring Setup'!$K$17)))),1),"")</x:f>
        <x:v>0.98988782475</x:v>
      </x:c>
      <x:c r="AX133" s="27" t="n">
        <x:f>IF(ISNUMBER(AF133),IF('Scoring Setup'!$L$18=1,1-'Scoring Setup'!$B$5*(1-MAX(0,MIN(1,(AF133-'Scoring Setup'!$K$18)/(100-'Scoring Setup'!$K$18)))),1),"")</x:f>
        <x:v>0.882870445913146</x:v>
      </x:c>
      <x:c r="AY133" s="27" t="n">
        <x:f>IF(ISNUMBER(AG133),IF('Scoring Setup'!$L$19=1,1-'Scoring Setup'!$B$5*(1-MAX(0,MIN(1,(AG133-'Scoring Setup'!$K$19)/(100-'Scoring Setup'!$K$19)))),1),"")</x:f>
        <x:v>0.8</x:v>
      </x:c>
      <x:c r="AZ133" s="27" t="n">
        <x:f>IF(ISNUMBER(AH133),IF('Scoring Setup'!$L$20=1,1-'Scoring Setup'!$B$5*(1-MAX(0,MIN(1,(AH133-'Scoring Setup'!$K$20)/(100-'Scoring Setup'!$K$20)))),1),"")</x:f>
        <x:v>0.8187143977864584</x:v>
      </x:c>
      <x:c r="BA133" s="27" t="n">
        <x:f>IF(ISNUMBER(AI133),IF('Scoring Setup'!$L$21=1,1-'Scoring Setup'!$B$5*(1-MAX(0,MIN(1,(AI133-'Scoring Setup'!$K$21)/(100-'Scoring Setup'!$K$21)))),1),"")</x:f>
        <x:v>0.8309130136399042</x:v>
      </x:c>
      <x:c r="BB133" s="27" t="n">
        <x:f>IF(ISNUMBER(AJ133),IF('Scoring Setup'!$L$22=1,1-'Scoring Setup'!$B$5*(1-MAX(0,MIN(1,(AJ133-'Scoring Setup'!$K$22)/(100-'Scoring Setup'!$K$22)))),1),"")</x:f>
        <x:v>0.8372681445627268</x:v>
      </x:c>
      <x:c r="BC133" s="27" t="n">
        <x:f>IF(ISNUMBER(AK133),IF('Scoring Setup'!$L$23=1,1-'Scoring Setup'!$B$5*(1-MAX(0,MIN(1,(AK133-'Scoring Setup'!$K$23)/(100-'Scoring Setup'!$K$23)))),1),"")</x:f>
        <x:v>1</x:v>
      </x:c>
      <x:c r="BD133" s="27" t="n">
        <x:f>IF(ISNUMBER(AL133),IF('Scoring Setup'!$L$24=1,1-'Scoring Setup'!$B$5*(1-MAX(0,MIN(1,(AL133-'Scoring Setup'!$K$24)/(100-'Scoring Setup'!$K$24)))),1),"")</x:f>
        <x:v>0.9741818181818181</x:v>
      </x:c>
      <x:c r="BE133" s="27" t="n">
        <x:f>IF(ISNUMBER(AM133),IF('Scoring Setup'!$L$25=1,1-'Scoring Setup'!$B$5*(1-MAX(0,MIN(1,(AM133-'Scoring Setup'!$K$25)/(100-'Scoring Setup'!$K$25)))),1),"")</x:f>
        <x:v>0.8885845218271159</x:v>
      </x:c>
      <x:c r="BF133" s="27" t="n">
        <x:f>IF(ISNUMBER(AN133),IF('Scoring Setup'!$L$26=1,1-'Scoring Setup'!$B$5*(1-MAX(0,MIN(1,(AN133-'Scoring Setup'!$K$26)/(100-'Scoring Setup'!$K$26)))),1),"")</x:f>
        <x:v>0.937286211052675</x:v>
      </x:c>
      <x:c r="BG133" s="34" t="n">
        <x:f>IF(COUNT(W133,X133)=2,AVERAGE(W133,X133),"")</x:f>
        <x:v>65.69996463932108</x:v>
      </x:c>
      <x:c r="BH133" s="34" t="n">
        <x:f>IF(COUNT(Y133,Z133)=2,AVERAGE(Y133,Z133),"")</x:f>
        <x:v>95.00626327641874</x:v>
      </x:c>
      <x:c r="BI133" s="34" t="n">
        <x:f>IF(COUNT(AA133,AB133,AC133)=3,AVERAGE(AA133,AB133,AC133),"")</x:f>
        <x:v>86.68815105901024</x:v>
      </x:c>
      <x:c r="BJ133" s="34" t="n">
        <x:f>IF(COUNT(AD133,AE133)=2,AVERAGE(AD133,AE133),"")</x:f>
        <x:v>95.06070304464286</x:v>
      </x:c>
      <x:c r="BK133" s="34" t="n">
        <x:f>IF(COUNT(AF133,AG133)=2,AVERAGE(AF133,AG133),"")</x:f>
        <x:v>20.717611478286504</x:v>
      </x:c>
      <x:c r="BL133" s="34" t="n">
        <x:f>IF(COUNT(AH133,AI133)=2,AVERAGE(AH133,AI133),"")</x:f>
        <x:v>12.406852856590643</x:v>
      </x:c>
      <x:c r="BM133" s="34" t="n">
        <x:f>IF(COUNT(AJ133,AK133)=2,AVERAGE(AJ133,AK133),"")</x:f>
        <x:v>59.31703614068171</x:v>
      </x:c>
      <x:c r="BN133" s="34" t="n">
        <x:f>IF(COUNT(AL133,AM133,AN133)=3,AVERAGE(AL133,AM133,AN133),"")</x:f>
        <x:v>66.67542517693484</x:v>
      </x:c>
      <x:c r="BO133" s="35" t="n">
        <x:f>IF(AND(COUNT(BG133:BN133)=8,ABS('Scoring Setup'!$C$17-1)&lt;0.000001),BG133*'Scoring Setup'!$C$9+BH133*'Scoring Setup'!$C$10+BI133*'Scoring Setup'!$C$11+BJ133*'Scoring Setup'!$C$12+BK133*'Scoring Setup'!$C$13+BL133*'Scoring Setup'!$C$14+BM133*'Scoring Setup'!$C$15+BN133*'Scoring Setup'!$C$16,"")</x:f>
        <x:v>69.40671768035389</x:v>
      </x:c>
      <x:c r="BP133" s="36" t="n">
        <x:f>IF(COUNT(AO133:BF133)=18,MIN(AO133:BF133),"")</x:f>
        <x:v>0.8</x:v>
      </x:c>
      <x:c r="BQ133" s="35" t="n">
        <x:f>IF(AND(ISNUMBER(BO133),ISNUMBER(BP133)),BO133*BP133,"")</x:f>
        <x:v>55.52537414428312</x:v>
      </x:c>
      <x:c r="BR133" s="17" t="str">
        <x:f>IF(COUNT(AO133:BF133)=18,INDEX('Scoring Setup'!$F$9:$F$26,MATCH(MIN(AO133:BF133),AO133:BF133,0),1),"")</x:f>
        <x:v>社会脆弱性百分位</x:v>
      </x:c>
    </x:row>
    <x:row r="134">
      <x:c r="A134" s="28" t="str">
        <x:v>13263</x:v>
      </x:c>
      <x:c r="B134" s="28" t="str">
        <x:v>Talbot County</x:v>
      </x:c>
      <x:c r="C134" s="28" t="str">
        <x:v>GA</x:v>
      </x:c>
      <x:c r="D134" s="31" t="n">
        <x:v>1013.662779</x:v>
      </x:c>
      <x:c r="E134" s="32" t="n">
        <x:v>0.713</x:v>
      </x:c>
      <x:c r="F134" s="32" t="n">
        <x:v>0.24535891089108902</x:v>
      </x:c>
      <x:c r="G134" s="32" t="n">
        <x:v>0.8982515420822963</x:v>
      </x:c>
      <x:c r="H134" s="32" t="n">
        <x:v>0.8713932089581732</x:v>
      </x:c>
      <x:c r="I134" s="32" t="n">
        <x:v>0.9642914509093975</x:v>
      </x:c>
      <x:c r="J134" s="32" t="n">
        <x:v>0.06674614592410592</x:v>
      </x:c>
      <x:c r="K134" s="32" t="n">
        <x:v>0.04497335480922399</x:v>
      </x:c>
      <x:c r="L134" s="32" t="n">
        <x:v>0.492031873</x:v>
      </x:c>
      <x:c r="M134" s="32" t="n">
        <x:v>0.492031873</x:v>
      </x:c>
      <x:c r="N134" s="32" t="n">
        <x:v>2358</x:v>
      </x:c>
      <x:c r="O134" s="32" t="n">
        <x:v>0.6923</x:v>
      </x:c>
      <x:c r="P134" s="32" t="n">
        <x:v>1762.5492024739583</x:v>
      </x:c>
      <x:c r="Q134" s="32" t="n">
        <x:v>50.69904123942057</x:v>
      </x:c>
      <x:c r="R134" s="32" t="n">
        <x:v>40.71610016746583</x:v>
      </x:c>
      <x:c r="S134" s="32" t="n">
        <x:v>1.761354813510595</x:v>
      </x:c>
      <x:c r="T134" s="32" t="n">
        <x:v>72.1</x:v>
      </x:c>
      <x:c r="U134" s="32" t="n">
        <x:v>211.4154781728841</x:v>
      </x:c>
      <x:c r="V134" s="32" t="n">
        <x:v>325.42757789465</x:v>
      </x:c>
      <x:c r="W134" s="33" t="n">
        <x:f>IF(ISNUMBER(E134),100*MAX(0,MIN(1,('Anchors'!$H$6-E134)/('Anchors'!$H$6-'Anchors'!$G$6))),"")</x:f>
        <x:v>26.714285714285722</x:v>
      </x:c>
      <x:c r="X134" s="33" t="n">
        <x:f>IF(ISNUMBER(F134),100*MAX(0,MIN(1,('Anchors'!$H$7-F134)/('Anchors'!$H$7-'Anchors'!$G$7))),"")</x:f>
        <x:v>79.23444130127301</x:v>
      </x:c>
      <x:c r="Y134" s="33" t="n">
        <x:f>IF(ISNUMBER(G134),100*MAX(0,MIN(1,('Anchors'!$H$8-G134)/('Anchors'!$H$8-'Anchors'!$G$8))),"")</x:f>
        <x:v>100</x:v>
      </x:c>
      <x:c r="Z134" s="33" t="n">
        <x:f>IF(ISNUMBER(H134),100*MAX(0,MIN(1,('Anchors'!$H$9-H134)/('Anchors'!$H$9-'Anchors'!$G$9))),"")</x:f>
        <x:v>100</x:v>
      </x:c>
      <x:c r="AA134" s="33" t="n">
        <x:f>IF(ISNUMBER(I134),100*MAX(0,MIN(1,(I134-'Anchors'!$H$10)/('Anchors'!$G$10-'Anchors'!$H$10))),"")</x:f>
        <x:v>97.84814396019144</x:v>
      </x:c>
      <x:c r="AB134" s="33" t="n">
        <x:f>IF(ISNUMBER(J134),100*MAX(0,MIN(1,('Anchors'!$H$11-J134)/('Anchors'!$H$11-'Anchors'!$G$11))),"")</x:f>
        <x:v>73.30154163035762</x:v>
      </x:c>
      <x:c r="AC134" s="33" t="n">
        <x:f>IF(ISNUMBER(K134),100*MAX(0,MIN(1,('Anchors'!$H$12-K134)/('Anchors'!$H$12-'Anchors'!$G$12))),"")</x:f>
        <x:v>88.75666129769401</x:v>
      </x:c>
      <x:c r="AD134" s="33" t="n">
        <x:f>IF(ISNUMBER(L134),100*MAX(0,MIN(1,(L134-'Anchors'!$H$13)/('Anchors'!$G$13-'Anchors'!$H$13))),"")</x:f>
        <x:v>41.718839</x:v>
      </x:c>
      <x:c r="AE134" s="33" t="n">
        <x:f>IF(ISNUMBER(M134),100*MAX(0,MIN(1,(M134-'Anchors'!$H$14)/('Anchors'!$G$14-'Anchors'!$H$14))),"")</x:f>
        <x:v>49.003984124999995</x:v>
      </x:c>
      <x:c r="AF134" s="33" t="n">
        <x:f>IF(ISNUMBER(N134),100*MAX(0,MIN(1,(LN(1+N134)-LN(1+'Anchors'!$H$15))/(LN(1+'Anchors'!$G$15)-LN(1+'Anchors'!$H$15)))),"")</x:f>
        <x:v>3.81262309640456</x:v>
      </x:c>
      <x:c r="AG134" s="33" t="n">
        <x:f>IF(ISNUMBER(O134),100*MAX(0,MIN(1,('Anchors'!$H$16-O134)/('Anchors'!$H$16-'Anchors'!$G$16))),"")</x:f>
        <x:v>28.633333333333326</x:v>
      </x:c>
      <x:c r="AH134" s="33" t="n">
        <x:f>IF(ISNUMBER(P134),100*MAX(0,MIN(1,('Anchors'!$H$17-P134)/('Anchors'!$H$17-'Anchors'!$G$17))),"")</x:f>
        <x:v>29.16338650173611</x:v>
      </x:c>
      <x:c r="AI134" s="33" t="n">
        <x:f>IF(ISNUMBER(Q134),100*MAX(0,MIN(1,('Anchors'!$H$18-Q134)/('Anchors'!$H$18-'Anchors'!$G$18))),"")</x:f>
        <x:v>34.71565537225632</x:v>
      </x:c>
      <x:c r="AJ134" s="33" t="n">
        <x:f>IF(ISNUMBER(R134),100*MAX(0,MIN(1,('Anchors'!$H$19-R134)/('Anchors'!$H$19-'Anchors'!$G$19))),"")</x:f>
        <x:v>20.630888516742594</x:v>
      </x:c>
      <x:c r="AK134" s="33" t="n">
        <x:f>IF(ISNUMBER(S134),100*MAX(0,MIN(1,('Anchors'!$H$20-S134)/('Anchors'!$H$20-'Anchors'!$G$20))),"")</x:f>
        <x:v>95.9928694025758</x:v>
      </x:c>
      <x:c r="AL134" s="33" t="n">
        <x:f>IF(ISNUMBER(T134),100*MAX(0,MIN(1,('Anchors'!$H$21-T134)/('Anchors'!$H$21-'Anchors'!$G$21))),"")</x:f>
        <x:v>87.0909090909091</x:v>
      </x:c>
      <x:c r="AM134" s="33" t="n">
        <x:f>IF(ISNUMBER(U134),100*MAX(0,MIN(1,('Anchors'!$H$22-U134)/('Anchors'!$H$22-'Anchors'!$G$22))),"")</x:f>
        <x:v>44.29226091355795</x:v>
      </x:c>
      <x:c r="AN134" s="33" t="n">
        <x:f>IF(ISNUMBER(V134),100*MAX(0,MIN(1,('Anchors'!$H$23-V134)/('Anchors'!$H$23-'Anchors'!$G$23))),"")</x:f>
        <x:v>68.6431055263375</x:v>
      </x:c>
      <x:c r="AO134" s="27" t="n">
        <x:f>IF(ISNUMBER(W134),IF('Scoring Setup'!$L$9=1,1-'Scoring Setup'!$B$5*(1-MAX(0,MIN(1,(W134-'Scoring Setup'!$K$9)/(100-'Scoring Setup'!$K$9)))),1),"")</x:f>
        <x:v>0.8534285714285714</x:v>
      </x:c>
      <x:c r="AP134" s="27" t="n">
        <x:f>IF(ISNUMBER(X134),IF('Scoring Setup'!$L$10=1,1-'Scoring Setup'!$B$5*(1-MAX(0,MIN(1,(X134-'Scoring Setup'!$K$10)/(100-'Scoring Setup'!$K$10)))),1),"")</x:f>
        <x:v>0.958468882602546</x:v>
      </x:c>
      <x:c r="AQ134" s="27" t="n">
        <x:f>IF(ISNUMBER(Y134),IF('Scoring Setup'!$L$11=1,1-'Scoring Setup'!$B$5*(1-MAX(0,MIN(1,(Y134-'Scoring Setup'!$K$11)/(100-'Scoring Setup'!$K$11)))),1),"")</x:f>
        <x:v>1</x:v>
      </x:c>
      <x:c r="AR134" s="27" t="n">
        <x:f>IF(ISNUMBER(Z134),IF('Scoring Setup'!$L$12=1,1-'Scoring Setup'!$B$5*(1-MAX(0,MIN(1,(Z134-'Scoring Setup'!$K$12)/(100-'Scoring Setup'!$K$12)))),1),"")</x:f>
        <x:v>1</x:v>
      </x:c>
      <x:c r="AS134" s="27" t="n">
        <x:f>IF(ISNUMBER(AA134),IF('Scoring Setup'!$L$13=1,1-'Scoring Setup'!$B$5*(1-MAX(0,MIN(1,(AA134-'Scoring Setup'!$K$13)/(100-'Scoring Setup'!$K$13)))),1),"")</x:f>
        <x:v>0.9956962879203829</x:v>
      </x:c>
      <x:c r="AT134" s="27" t="n">
        <x:f>IF(ISNUMBER(AB134),IF('Scoring Setup'!$L$14=1,1-'Scoring Setup'!$B$5*(1-MAX(0,MIN(1,(AB134-'Scoring Setup'!$K$14)/(100-'Scoring Setup'!$K$14)))),1),"")</x:f>
        <x:v>0.9466030832607152</x:v>
      </x:c>
      <x:c r="AU134" s="27" t="n">
        <x:f>IF(ISNUMBER(AC134),IF('Scoring Setup'!$L$15=1,1-'Scoring Setup'!$B$5*(1-MAX(0,MIN(1,(AC134-'Scoring Setup'!$K$15)/(100-'Scoring Setup'!$K$15)))),1),"")</x:f>
        <x:v>0.977513322595388</x:v>
      </x:c>
      <x:c r="AV134" s="27" t="n">
        <x:f>IF(ISNUMBER(AD134),IF('Scoring Setup'!$L$16=1,1-'Scoring Setup'!$B$5*(1-MAX(0,MIN(1,(AD134-'Scoring Setup'!$K$16)/(100-'Scoring Setup'!$K$16)))),1),"")</x:f>
        <x:v>0.883437678</x:v>
      </x:c>
      <x:c r="AW134" s="27" t="n">
        <x:f>IF(ISNUMBER(AE134),IF('Scoring Setup'!$L$17=1,1-'Scoring Setup'!$B$5*(1-MAX(0,MIN(1,(AE134-'Scoring Setup'!$K$17)/(100-'Scoring Setup'!$K$17)))),1),"")</x:f>
        <x:v>0.89800796825</x:v>
      </x:c>
      <x:c r="AX134" s="27" t="n">
        <x:f>IF(ISNUMBER(AF134),IF('Scoring Setup'!$L$18=1,1-'Scoring Setup'!$B$5*(1-MAX(0,MIN(1,(AF134-'Scoring Setup'!$K$18)/(100-'Scoring Setup'!$K$18)))),1),"")</x:f>
        <x:v>0.8076252461928091</x:v>
      </x:c>
      <x:c r="AY134" s="27" t="n">
        <x:f>IF(ISNUMBER(AG134),IF('Scoring Setup'!$L$19=1,1-'Scoring Setup'!$B$5*(1-MAX(0,MIN(1,(AG134-'Scoring Setup'!$K$19)/(100-'Scoring Setup'!$K$19)))),1),"")</x:f>
        <x:v>0.8572666666666666</x:v>
      </x:c>
      <x:c r="AZ134" s="27" t="n">
        <x:f>IF(ISNUMBER(AH134),IF('Scoring Setup'!$L$20=1,1-'Scoring Setup'!$B$5*(1-MAX(0,MIN(1,(AH134-'Scoring Setup'!$K$20)/(100-'Scoring Setup'!$K$20)))),1),"")</x:f>
        <x:v>0.8583267730034723</x:v>
      </x:c>
      <x:c r="BA134" s="27" t="n">
        <x:f>IF(ISNUMBER(AI134),IF('Scoring Setup'!$L$21=1,1-'Scoring Setup'!$B$5*(1-MAX(0,MIN(1,(AI134-'Scoring Setup'!$K$21)/(100-'Scoring Setup'!$K$21)))),1),"")</x:f>
        <x:v>0.8694313107445126</x:v>
      </x:c>
      <x:c r="BB134" s="27" t="n">
        <x:f>IF(ISNUMBER(AJ134),IF('Scoring Setup'!$L$22=1,1-'Scoring Setup'!$B$5*(1-MAX(0,MIN(1,(AJ134-'Scoring Setup'!$K$22)/(100-'Scoring Setup'!$K$22)))),1),"")</x:f>
        <x:v>0.8412617770334851</x:v>
      </x:c>
      <x:c r="BC134" s="27" t="n">
        <x:f>IF(ISNUMBER(AK134),IF('Scoring Setup'!$L$23=1,1-'Scoring Setup'!$B$5*(1-MAX(0,MIN(1,(AK134-'Scoring Setup'!$K$23)/(100-'Scoring Setup'!$K$23)))),1),"")</x:f>
        <x:v>0.9919857388051516</x:v>
      </x:c>
      <x:c r="BD134" s="27" t="n">
        <x:f>IF(ISNUMBER(AL134),IF('Scoring Setup'!$L$24=1,1-'Scoring Setup'!$B$5*(1-MAX(0,MIN(1,(AL134-'Scoring Setup'!$K$24)/(100-'Scoring Setup'!$K$24)))),1),"")</x:f>
        <x:v>0.9741818181818181</x:v>
      </x:c>
      <x:c r="BE134" s="27" t="n">
        <x:f>IF(ISNUMBER(AM134),IF('Scoring Setup'!$L$25=1,1-'Scoring Setup'!$B$5*(1-MAX(0,MIN(1,(AM134-'Scoring Setup'!$K$25)/(100-'Scoring Setup'!$K$25)))),1),"")</x:f>
        <x:v>0.8885845218271159</x:v>
      </x:c>
      <x:c r="BF134" s="27" t="n">
        <x:f>IF(ISNUMBER(AN134),IF('Scoring Setup'!$L$26=1,1-'Scoring Setup'!$B$5*(1-MAX(0,MIN(1,(AN134-'Scoring Setup'!$K$26)/(100-'Scoring Setup'!$K$26)))),1),"")</x:f>
        <x:v>0.937286211052675</x:v>
      </x:c>
      <x:c r="BG134" s="34" t="n">
        <x:f>IF(COUNT(W134,X134)=2,AVERAGE(W134,X134),"")</x:f>
        <x:v>52.974363507779366</x:v>
      </x:c>
      <x:c r="BH134" s="34" t="n">
        <x:f>IF(COUNT(Y134,Z134)=2,AVERAGE(Y134,Z134),"")</x:f>
        <x:v>100</x:v>
      </x:c>
      <x:c r="BI134" s="34" t="n">
        <x:f>IF(COUNT(AA134,AB134,AC134)=3,AVERAGE(AA134,AB134,AC134),"")</x:f>
        <x:v>86.63544896274767</x:v>
      </x:c>
      <x:c r="BJ134" s="34" t="n">
        <x:f>IF(COUNT(AD134,AE134)=2,AVERAGE(AD134,AE134),"")</x:f>
        <x:v>45.361411562499995</x:v>
      </x:c>
      <x:c r="BK134" s="34" t="n">
        <x:f>IF(COUNT(AF134,AG134)=2,AVERAGE(AF134,AG134),"")</x:f>
        <x:v>16.22297821486894</x:v>
      </x:c>
      <x:c r="BL134" s="34" t="n">
        <x:f>IF(COUNT(AH134,AI134)=2,AVERAGE(AH134,AI134),"")</x:f>
        <x:v>31.939520936996217</x:v>
      </x:c>
      <x:c r="BM134" s="34" t="n">
        <x:f>IF(COUNT(AJ134,AK134)=2,AVERAGE(AJ134,AK134),"")</x:f>
        <x:v>58.3118789596592</x:v>
      </x:c>
      <x:c r="BN134" s="34" t="n">
        <x:f>IF(COUNT(AL134,AM134,AN134)=3,AVERAGE(AL134,AM134,AN134),"")</x:f>
        <x:v>66.67542517693484</x:v>
      </x:c>
      <x:c r="BO134" s="35" t="n">
        <x:f>IF(AND(COUNT(BG134:BN134)=8,ABS('Scoring Setup'!$C$17-1)&lt;0.000001),BG134*'Scoring Setup'!$C$9+BH134*'Scoring Setup'!$C$10+BI134*'Scoring Setup'!$C$11+BJ134*'Scoring Setup'!$C$12+BK134*'Scoring Setup'!$C$13+BL134*'Scoring Setup'!$C$14+BM134*'Scoring Setup'!$C$15+BN134*'Scoring Setup'!$C$16,"")</x:f>
        <x:v>64.63461777270282</x:v>
      </x:c>
      <x:c r="BP134" s="36" t="n">
        <x:f>IF(COUNT(AO134:BF134)=18,MIN(AO134:BF134),"")</x:f>
        <x:v>0.8076252461928091</x:v>
      </x:c>
      <x:c r="BQ134" s="35" t="n">
        <x:f>IF(AND(ISNUMBER(BO134),ISNUMBER(BP134)),BO134*BP134,"")</x:f>
        <x:v>52.20054909125723</x:v>
      </x:c>
      <x:c r="BR134" s="17" t="str">
        <x:f>IF(COUNT(AO134:BF134)=18,INDEX('Scoring Setup'!$F$9:$F$26,MATCH(MIN(AO134:BF134),AO134:BF134,0),1),"")</x:f>
        <x:v>劳动力人数</x:v>
      </x:c>
    </x:row>
    <x:row r="135">
      <x:c r="A135" s="28" t="str">
        <x:v>13265</x:v>
      </x:c>
      <x:c r="B135" s="28" t="str">
        <x:v>Taliaferro County</x:v>
      </x:c>
      <x:c r="C135" s="28" t="str">
        <x:v>GA</x:v>
      </x:c>
      <x:c r="D135" s="31" t="n">
        <x:v>504.029144</x:v>
      </x:c>
      <x:c r="E135" s="32" t="n">
        <x:v>0.681</x:v>
      </x:c>
      <x:c r="F135" s="32" t="n">
        <x:v>0.25990099009901</x:v>
      </x:c>
      <x:c r="G135" s="32" t="n">
        <x:v>2.167769383063446</x:v>
      </x:c>
      <x:c r="H135" s="32" t="n">
        <x:v>1.9733443217544688</x:v>
      </x:c>
      <x:c r="I135" s="32" t="n">
        <x:v>0.970068291569886</x:v>
      </x:c>
      <x:c r="J135" s="32" t="n">
        <x:v>0.0018582287664227987</x:v>
      </x:c>
      <x:c r="K135" s="32" t="n">
        <x:v>0.05347099791970081</x:v>
      </x:c>
      <x:c r="L135" s="32" t="n">
        <x:v>0.983164983</x:v>
      </x:c>
      <x:c r="M135" s="32" t="n">
        <x:v>0.983164983</x:v>
      </x:c>
      <x:c r="N135" s="32" t="n">
        <x:v>688</x:v>
      </x:c>
      <x:c r="O135" s="32" t="n">
        <x:v>0.692</x:v>
      </x:c>
      <x:c r="P135" s="32" t="n">
        <x:v>1721.379569498698</x:v>
      </x:c>
      <x:c r="Q135" s="32" t="n">
        <x:v>48.391488265991214</x:v>
      </x:c>
      <x:c r="R135" s="32" t="n">
        <x:v>3.805974018433076</x:v>
      </x:c>
      <x:c r="S135" s="32" t="n">
        <x:v>0.9675124950982116</x:v>
      </x:c>
      <x:c r="T135" s="32" t="n">
        <x:v>72.1</x:v>
      </x:c>
      <x:c r="U135" s="32" t="n">
        <x:v>211.4154781728841</x:v>
      </x:c>
      <x:c r="V135" s="32" t="n">
        <x:v>325.42757789465</x:v>
      </x:c>
      <x:c r="W135" s="33" t="n">
        <x:f>IF(ISNUMBER(E135),100*MAX(0,MIN(1,('Anchors'!$H$6-E135)/('Anchors'!$H$6-'Anchors'!$G$6))),"")</x:f>
        <x:v>31.285714285714285</x:v>
      </x:c>
      <x:c r="X135" s="33" t="n">
        <x:f>IF(ISNUMBER(F135),100*MAX(0,MIN(1,('Anchors'!$H$7-F135)/('Anchors'!$H$7-'Anchors'!$G$7))),"")</x:f>
        <x:v>77.15700141442714</x:v>
      </x:c>
      <x:c r="Y135" s="33" t="n">
        <x:f>IF(ISNUMBER(G135),100*MAX(0,MIN(1,('Anchors'!$H$8-G135)/('Anchors'!$H$8-'Anchors'!$G$8))),"")</x:f>
        <x:v>61.074353897885125</x:v>
      </x:c>
      <x:c r="Z135" s="33" t="n">
        <x:f>IF(ISNUMBER(H135),100*MAX(0,MIN(1,('Anchors'!$H$9-H135)/('Anchors'!$H$9-'Anchors'!$G$9))),"")</x:f>
        <x:v>67.55518927485103</x:v>
      </x:c>
      <x:c r="AA135" s="33" t="n">
        <x:f>IF(ISNUMBER(I135),100*MAX(0,MIN(1,(I135-'Anchors'!$H$10)/('Anchors'!$G$10-'Anchors'!$H$10))),"")</x:f>
        <x:v>98.6394919958748</x:v>
      </x:c>
      <x:c r="AB135" s="33" t="n">
        <x:f>IF(ISNUMBER(J135),100*MAX(0,MIN(1,('Anchors'!$H$11-J135)/('Anchors'!$H$11-'Anchors'!$G$11))),"")</x:f>
        <x:v>99.25670849343088</x:v>
      </x:c>
      <x:c r="AC135" s="33" t="n">
        <x:f>IF(ISNUMBER(K135),100*MAX(0,MIN(1,('Anchors'!$H$12-K135)/('Anchors'!$H$12-'Anchors'!$G$12))),"")</x:f>
        <x:v>86.6322505200748</x:v>
      </x:c>
      <x:c r="AD135" s="33" t="n">
        <x:f>IF(ISNUMBER(L135),100*MAX(0,MIN(1,(L135-'Anchors'!$H$13)/('Anchors'!$G$13-'Anchors'!$H$13))),"")</x:f>
        <x:v>100</x:v>
      </x:c>
      <x:c r="AE135" s="33" t="n">
        <x:f>IF(ISNUMBER(M135),100*MAX(0,MIN(1,(M135-'Anchors'!$H$14)/('Anchors'!$G$14-'Anchors'!$H$14))),"")</x:f>
        <x:v>100</x:v>
      </x:c>
      <x:c r="AF135" s="33" t="n">
        <x:f>IF(ISNUMBER(N135),100*MAX(0,MIN(1,(LN(1+N135)-LN(1+'Anchors'!$H$15))/(LN(1+'Anchors'!$G$15)-LN(1+'Anchors'!$H$15)))),"")</x:f>
        <x:v>0</x:v>
      </x:c>
      <x:c r="AG135" s="33" t="n">
        <x:f>IF(ISNUMBER(O135),100*MAX(0,MIN(1,('Anchors'!$H$16-O135)/('Anchors'!$H$16-'Anchors'!$G$16))),"")</x:f>
        <x:v>28.666666666666668</x:v>
      </x:c>
      <x:c r="AH135" s="33" t="n">
        <x:f>IF(ISNUMBER(P135),100*MAX(0,MIN(1,('Anchors'!$H$17-P135)/('Anchors'!$H$17-'Anchors'!$G$17))),"")</x:f>
        <x:v>31.908028700086806</x:v>
      </x:c>
      <x:c r="AI135" s="33" t="n">
        <x:f>IF(ISNUMBER(Q135),100*MAX(0,MIN(1,('Anchors'!$H$18-Q135)/('Anchors'!$H$18-'Anchors'!$G$18))),"")</x:f>
        <x:v>38.012159620012554</x:v>
      </x:c>
      <x:c r="AJ135" s="33" t="n">
        <x:f>IF(ISNUMBER(R135),100*MAX(0,MIN(1,('Anchors'!$H$19-R135)/('Anchors'!$H$19-'Anchors'!$G$19))),"")</x:f>
        <x:v>100</x:v>
      </x:c>
      <x:c r="AK135" s="33" t="n">
        <x:f>IF(ISNUMBER(S135),100*MAX(0,MIN(1,('Anchors'!$H$20-S135)/('Anchors'!$H$20-'Anchors'!$G$20))),"")</x:f>
        <x:v>100</x:v>
      </x:c>
      <x:c r="AL135" s="33" t="n">
        <x:f>IF(ISNUMBER(T135),100*MAX(0,MIN(1,('Anchors'!$H$21-T135)/('Anchors'!$H$21-'Anchors'!$G$21))),"")</x:f>
        <x:v>87.0909090909091</x:v>
      </x:c>
      <x:c r="AM135" s="33" t="n">
        <x:f>IF(ISNUMBER(U135),100*MAX(0,MIN(1,('Anchors'!$H$22-U135)/('Anchors'!$H$22-'Anchors'!$G$22))),"")</x:f>
        <x:v>44.29226091355795</x:v>
      </x:c>
      <x:c r="AN135" s="33" t="n">
        <x:f>IF(ISNUMBER(V135),100*MAX(0,MIN(1,('Anchors'!$H$23-V135)/('Anchors'!$H$23-'Anchors'!$G$23))),"")</x:f>
        <x:v>68.6431055263375</x:v>
      </x:c>
      <x:c r="AO135" s="27" t="n">
        <x:f>IF(ISNUMBER(W135),IF('Scoring Setup'!$L$9=1,1-'Scoring Setup'!$B$5*(1-MAX(0,MIN(1,(W135-'Scoring Setup'!$K$9)/(100-'Scoring Setup'!$K$9)))),1),"")</x:f>
        <x:v>0.8625714285714285</x:v>
      </x:c>
      <x:c r="AP135" s="27" t="n">
        <x:f>IF(ISNUMBER(X135),IF('Scoring Setup'!$L$10=1,1-'Scoring Setup'!$B$5*(1-MAX(0,MIN(1,(X135-'Scoring Setup'!$K$10)/(100-'Scoring Setup'!$K$10)))),1),"")</x:f>
        <x:v>0.9543140028288543</x:v>
      </x:c>
      <x:c r="AQ135" s="27" t="n">
        <x:f>IF(ISNUMBER(Y135),IF('Scoring Setup'!$L$11=1,1-'Scoring Setup'!$B$5*(1-MAX(0,MIN(1,(Y135-'Scoring Setup'!$K$11)/(100-'Scoring Setup'!$K$11)))),1),"")</x:f>
        <x:v>0.9221487077957702</x:v>
      </x:c>
      <x:c r="AR135" s="27" t="n">
        <x:f>IF(ISNUMBER(Z135),IF('Scoring Setup'!$L$12=1,1-'Scoring Setup'!$B$5*(1-MAX(0,MIN(1,(Z135-'Scoring Setup'!$K$12)/(100-'Scoring Setup'!$K$12)))),1),"")</x:f>
        <x:v>0.935110378549702</x:v>
      </x:c>
      <x:c r="AS135" s="27" t="n">
        <x:f>IF(ISNUMBER(AA135),IF('Scoring Setup'!$L$13=1,1-'Scoring Setup'!$B$5*(1-MAX(0,MIN(1,(AA135-'Scoring Setup'!$K$13)/(100-'Scoring Setup'!$K$13)))),1),"")</x:f>
        <x:v>0.9972789839917496</x:v>
      </x:c>
      <x:c r="AT135" s="27" t="n">
        <x:f>IF(ISNUMBER(AB135),IF('Scoring Setup'!$L$14=1,1-'Scoring Setup'!$B$5*(1-MAX(0,MIN(1,(AB135-'Scoring Setup'!$K$14)/(100-'Scoring Setup'!$K$14)))),1),"")</x:f>
        <x:v>0.9985134169868618</x:v>
      </x:c>
      <x:c r="AU135" s="27" t="n">
        <x:f>IF(ISNUMBER(AC135),IF('Scoring Setup'!$L$15=1,1-'Scoring Setup'!$B$5*(1-MAX(0,MIN(1,(AC135-'Scoring Setup'!$K$15)/(100-'Scoring Setup'!$K$15)))),1),"")</x:f>
        <x:v>0.9732645010401496</x:v>
      </x:c>
      <x:c r="AV135" s="27" t="n">
        <x:f>IF(ISNUMBER(AD135),IF('Scoring Setup'!$L$16=1,1-'Scoring Setup'!$B$5*(1-MAX(0,MIN(1,(AD135-'Scoring Setup'!$K$16)/(100-'Scoring Setup'!$K$16)))),1),"")</x:f>
        <x:v>1</x:v>
      </x:c>
      <x:c r="AW135" s="27" t="n">
        <x:f>IF(ISNUMBER(AE135),IF('Scoring Setup'!$L$17=1,1-'Scoring Setup'!$B$5*(1-MAX(0,MIN(1,(AE135-'Scoring Setup'!$K$17)/(100-'Scoring Setup'!$K$17)))),1),"")</x:f>
        <x:v>1</x:v>
      </x:c>
      <x:c r="AX135" s="27" t="n">
        <x:f>IF(ISNUMBER(AF135),IF('Scoring Setup'!$L$18=1,1-'Scoring Setup'!$B$5*(1-MAX(0,MIN(1,(AF135-'Scoring Setup'!$K$18)/(100-'Scoring Setup'!$K$18)))),1),"")</x:f>
        <x:v>0.8</x:v>
      </x:c>
      <x:c r="AY135" s="27" t="n">
        <x:f>IF(ISNUMBER(AG135),IF('Scoring Setup'!$L$19=1,1-'Scoring Setup'!$B$5*(1-MAX(0,MIN(1,(AG135-'Scoring Setup'!$K$19)/(100-'Scoring Setup'!$K$19)))),1),"")</x:f>
        <x:v>0.8573333333333333</x:v>
      </x:c>
      <x:c r="AZ135" s="27" t="n">
        <x:f>IF(ISNUMBER(AH135),IF('Scoring Setup'!$L$20=1,1-'Scoring Setup'!$B$5*(1-MAX(0,MIN(1,(AH135-'Scoring Setup'!$K$20)/(100-'Scoring Setup'!$K$20)))),1),"")</x:f>
        <x:v>0.8638160574001736</x:v>
      </x:c>
      <x:c r="BA135" s="27" t="n">
        <x:f>IF(ISNUMBER(AI135),IF('Scoring Setup'!$L$21=1,1-'Scoring Setup'!$B$5*(1-MAX(0,MIN(1,(AI135-'Scoring Setup'!$K$21)/(100-'Scoring Setup'!$K$21)))),1),"")</x:f>
        <x:v>0.8760243192400251</x:v>
      </x:c>
      <x:c r="BB135" s="27" t="n">
        <x:f>IF(ISNUMBER(AJ135),IF('Scoring Setup'!$L$22=1,1-'Scoring Setup'!$B$5*(1-MAX(0,MIN(1,(AJ135-'Scoring Setup'!$K$22)/(100-'Scoring Setup'!$K$22)))),1),"")</x:f>
        <x:v>1</x:v>
      </x:c>
      <x:c r="BC135" s="27" t="n">
        <x:f>IF(ISNUMBER(AK135),IF('Scoring Setup'!$L$23=1,1-'Scoring Setup'!$B$5*(1-MAX(0,MIN(1,(AK135-'Scoring Setup'!$K$23)/(100-'Scoring Setup'!$K$23)))),1),"")</x:f>
        <x:v>1</x:v>
      </x:c>
      <x:c r="BD135" s="27" t="n">
        <x:f>IF(ISNUMBER(AL135),IF('Scoring Setup'!$L$24=1,1-'Scoring Setup'!$B$5*(1-MAX(0,MIN(1,(AL135-'Scoring Setup'!$K$24)/(100-'Scoring Setup'!$K$24)))),1),"")</x:f>
        <x:v>0.9741818181818181</x:v>
      </x:c>
      <x:c r="BE135" s="27" t="n">
        <x:f>IF(ISNUMBER(AM135),IF('Scoring Setup'!$L$25=1,1-'Scoring Setup'!$B$5*(1-MAX(0,MIN(1,(AM135-'Scoring Setup'!$K$25)/(100-'Scoring Setup'!$K$25)))),1),"")</x:f>
        <x:v>0.8885845218271159</x:v>
      </x:c>
      <x:c r="BF135" s="27" t="n">
        <x:f>IF(ISNUMBER(AN135),IF('Scoring Setup'!$L$26=1,1-'Scoring Setup'!$B$5*(1-MAX(0,MIN(1,(AN135-'Scoring Setup'!$K$26)/(100-'Scoring Setup'!$K$26)))),1),"")</x:f>
        <x:v>0.937286211052675</x:v>
      </x:c>
      <x:c r="BG135" s="34" t="n">
        <x:f>IF(COUNT(W135,X135)=2,AVERAGE(W135,X135),"")</x:f>
        <x:v>54.22135785007072</x:v>
      </x:c>
      <x:c r="BH135" s="34" t="n">
        <x:f>IF(COUNT(Y135,Z135)=2,AVERAGE(Y135,Z135),"")</x:f>
        <x:v>64.31477158636808</x:v>
      </x:c>
      <x:c r="BI135" s="34" t="n">
        <x:f>IF(COUNT(AA135,AB135,AC135)=3,AVERAGE(AA135,AB135,AC135),"")</x:f>
        <x:v>94.84281700312683</x:v>
      </x:c>
      <x:c r="BJ135" s="34" t="n">
        <x:f>IF(COUNT(AD135,AE135)=2,AVERAGE(AD135,AE135),"")</x:f>
        <x:v>100</x:v>
      </x:c>
      <x:c r="BK135" s="34" t="n">
        <x:f>IF(COUNT(AF135,AG135)=2,AVERAGE(AF135,AG135),"")</x:f>
        <x:v>14.333333333333334</x:v>
      </x:c>
      <x:c r="BL135" s="34" t="n">
        <x:f>IF(COUNT(AH135,AI135)=2,AVERAGE(AH135,AI135),"")</x:f>
        <x:v>34.96009416004968</x:v>
      </x:c>
      <x:c r="BM135" s="34" t="n">
        <x:f>IF(COUNT(AJ135,AK135)=2,AVERAGE(AJ135,AK135),"")</x:f>
        <x:v>100</x:v>
      </x:c>
      <x:c r="BN135" s="34" t="n">
        <x:f>IF(COUNT(AL135,AM135,AN135)=3,AVERAGE(AL135,AM135,AN135),"")</x:f>
        <x:v>66.67542517693484</x:v>
      </x:c>
      <x:c r="BO135" s="35" t="n">
        <x:f>IF(AND(COUNT(BG135:BN135)=8,ABS('Scoring Setup'!$C$17-1)&lt;0.000001),BG135*'Scoring Setup'!$C$9+BH135*'Scoring Setup'!$C$10+BI135*'Scoring Setup'!$C$11+BJ135*'Scoring Setup'!$C$12+BK135*'Scoring Setup'!$C$13+BL135*'Scoring Setup'!$C$14+BM135*'Scoring Setup'!$C$15+BN135*'Scoring Setup'!$C$16,"")</x:f>
        <x:v>65.95333739700965</x:v>
      </x:c>
      <x:c r="BP135" s="36" t="n">
        <x:f>IF(COUNT(AO135:BF135)=18,MIN(AO135:BF135),"")</x:f>
        <x:v>0.8</x:v>
      </x:c>
      <x:c r="BQ135" s="35" t="n">
        <x:f>IF(AND(ISNUMBER(BO135),ISNUMBER(BP135)),BO135*BP135,"")</x:f>
        <x:v>52.762669917607724</x:v>
      </x:c>
      <x:c r="BR135" s="17" t="str">
        <x:f>IF(COUNT(AO135:BF135)=18,INDEX('Scoring Setup'!$F$9:$F$26,MATCH(MIN(AO135:BF135),AO135:BF135,0),1),"")</x:f>
        <x:v>劳动力人数</x:v>
      </x:c>
    </x:row>
    <x:row r="136">
      <x:c r="A136" s="28" t="str">
        <x:v>13267</x:v>
      </x:c>
      <x:c r="B136" s="28" t="str">
        <x:v>Tattnall County</x:v>
      </x:c>
      <x:c r="C136" s="28" t="str">
        <x:v>GA</x:v>
      </x:c>
      <x:c r="D136" s="31" t="n">
        <x:v>1245.369508</x:v>
      </x:c>
      <x:c r="E136" s="32" t="n">
        <x:v>0.576</x:v>
      </x:c>
      <x:c r="F136" s="32" t="n">
        <x:v>0.245668316831683</x:v>
      </x:c>
      <x:c r="G136" s="32" t="n">
        <x:v>1.0761604079312106</x:v>
      </x:c>
      <x:c r="H136" s="32" t="n">
        <x:v>0.9777291367022928</x:v>
      </x:c>
      <x:c r="I136" s="32" t="n">
        <x:v>0.9288810635042907</x:v>
      </x:c>
      <x:c r="J136" s="32" t="n">
        <x:v>0.025414634851616994</x:v>
      </x:c>
      <x:c r="K136" s="32" t="n">
        <x:v>0.3063407911837836</x:v>
      </x:c>
      <x:c r="L136" s="32" t="n">
        <x:v>0.387440982</x:v>
      </x:c>
      <x:c r="M136" s="32" t="n">
        <x:v>0.387440982</x:v>
      </x:c>
      <x:c r="N136" s="32" t="n">
        <x:v>8489</x:v>
      </x:c>
      <x:c r="O136" s="32" t="n">
        <x:v>0.9287</x:v>
      </x:c>
      <x:c r="P136" s="32" t="n">
        <x:v>2282.7759358723956</x:v>
      </x:c>
      <x:c r="Q136" s="32" t="n">
        <x:v>73.5531494140625</x:v>
      </x:c>
      <x:c r="R136" s="32" t="n">
        <x:v>33.41071896480303</x:v>
      </x:c>
      <x:c r="S136" s="32" t="n">
        <x:v>13.405254869003315</x:v>
      </x:c>
      <x:c r="T136" s="32" t="n">
        <x:v>72.1</x:v>
      </x:c>
      <x:c r="U136" s="32" t="n">
        <x:v>211.4154781728841</x:v>
      </x:c>
      <x:c r="V136" s="32" t="n">
        <x:v>325.42757789465</x:v>
      </x:c>
      <x:c r="W136" s="33" t="n">
        <x:f>IF(ISNUMBER(E136),100*MAX(0,MIN(1,('Anchors'!$H$6-E136)/('Anchors'!$H$6-'Anchors'!$G$6))),"")</x:f>
        <x:v>46.2857142857143</x:v>
      </x:c>
      <x:c r="X136" s="33" t="n">
        <x:f>IF(ISNUMBER(F136),100*MAX(0,MIN(1,('Anchors'!$H$7-F136)/('Anchors'!$H$7-'Anchors'!$G$7))),"")</x:f>
        <x:v>79.1902404526167</x:v>
      </x:c>
      <x:c r="Y136" s="33" t="n">
        <x:f>IF(ISNUMBER(G136),100*MAX(0,MIN(1,('Anchors'!$H$8-G136)/('Anchors'!$H$8-'Anchors'!$G$8))),"")</x:f>
        <x:v>97.46131973562632</x:v>
      </x:c>
      <x:c r="Z136" s="33" t="n">
        <x:f>IF(ISNUMBER(H136),100*MAX(0,MIN(1,('Anchors'!$H$9-H136)/('Anchors'!$H$9-'Anchors'!$G$9))),"")</x:f>
        <x:v>100</x:v>
      </x:c>
      <x:c r="AA136" s="33" t="n">
        <x:f>IF(ISNUMBER(I136),100*MAX(0,MIN(1,(I136-'Anchors'!$H$10)/('Anchors'!$G$10-'Anchors'!$H$10))),"")</x:f>
        <x:v>92.99740595949187</x:v>
      </x:c>
      <x:c r="AB136" s="33" t="n">
        <x:f>IF(ISNUMBER(J136),100*MAX(0,MIN(1,('Anchors'!$H$11-J136)/('Anchors'!$H$11-'Anchors'!$G$11))),"")</x:f>
        <x:v>89.8341460593532</x:v>
      </x:c>
      <x:c r="AC136" s="33" t="n">
        <x:f>IF(ISNUMBER(K136),100*MAX(0,MIN(1,('Anchors'!$H$12-K136)/('Anchors'!$H$12-'Anchors'!$G$12))),"")</x:f>
        <x:v>23.414802204054105</x:v>
      </x:c>
      <x:c r="AD136" s="33" t="n">
        <x:f>IF(ISNUMBER(L136),100*MAX(0,MIN(1,(L136-'Anchors'!$H$13)/('Anchors'!$G$13-'Anchors'!$H$13))),"")</x:f>
        <x:v>26.77728314285714</x:v>
      </x:c>
      <x:c r="AE136" s="33" t="n">
        <x:f>IF(ISNUMBER(M136),100*MAX(0,MIN(1,(M136-'Anchors'!$H$14)/('Anchors'!$G$14-'Anchors'!$H$14))),"")</x:f>
        <x:v>35.930122749999995</x:v>
      </x:c>
      <x:c r="AF136" s="33" t="n">
        <x:f>IF(ISNUMBER(N136),100*MAX(0,MIN(1,(LN(1+N136)-LN(1+'Anchors'!$H$15))/(LN(1+'Anchors'!$G$15)-LN(1+'Anchors'!$H$15)))),"")</x:f>
        <x:v>33.47796271432224</x:v>
      </x:c>
      <x:c r="AG136" s="33" t="n">
        <x:f>IF(ISNUMBER(O136),100*MAX(0,MIN(1,('Anchors'!$H$16-O136)/('Anchors'!$H$16-'Anchors'!$G$16))),"")</x:f>
        <x:v>2.3666666666666654</x:v>
      </x:c>
      <x:c r="AH136" s="33" t="n">
        <x:f>IF(ISNUMBER(P136),100*MAX(0,MIN(1,('Anchors'!$H$17-P136)/('Anchors'!$H$17-'Anchors'!$G$17))),"")</x:f>
        <x:v>0</x:v>
      </x:c>
      <x:c r="AI136" s="33" t="n">
        <x:f>IF(ISNUMBER(Q136),100*MAX(0,MIN(1,('Anchors'!$H$18-Q136)/('Anchors'!$H$18-'Anchors'!$G$18))),"")</x:f>
        <x:v>2.066929408482139</x:v>
      </x:c>
      <x:c r="AJ136" s="33" t="n">
        <x:f>IF(ISNUMBER(R136),100*MAX(0,MIN(1,('Anchors'!$H$19-R136)/('Anchors'!$H$19-'Anchors'!$G$19))),"")</x:f>
        <x:v>36.86506896710438</x:v>
      </x:c>
      <x:c r="AK136" s="33" t="n">
        <x:f>IF(ISNUMBER(S136),100*MAX(0,MIN(1,('Anchors'!$H$20-S136)/('Anchors'!$H$20-'Anchors'!$G$20))),"")</x:f>
        <x:v>34.70918489998255</x:v>
      </x:c>
      <x:c r="AL136" s="33" t="n">
        <x:f>IF(ISNUMBER(T136),100*MAX(0,MIN(1,('Anchors'!$H$21-T136)/('Anchors'!$H$21-'Anchors'!$G$21))),"")</x:f>
        <x:v>87.0909090909091</x:v>
      </x:c>
      <x:c r="AM136" s="33" t="n">
        <x:f>IF(ISNUMBER(U136),100*MAX(0,MIN(1,('Anchors'!$H$22-U136)/('Anchors'!$H$22-'Anchors'!$G$22))),"")</x:f>
        <x:v>44.29226091355795</x:v>
      </x:c>
      <x:c r="AN136" s="33" t="n">
        <x:f>IF(ISNUMBER(V136),100*MAX(0,MIN(1,('Anchors'!$H$23-V136)/('Anchors'!$H$23-'Anchors'!$G$23))),"")</x:f>
        <x:v>68.6431055263375</x:v>
      </x:c>
      <x:c r="AO136" s="27" t="n">
        <x:f>IF(ISNUMBER(W136),IF('Scoring Setup'!$L$9=1,1-'Scoring Setup'!$B$5*(1-MAX(0,MIN(1,(W136-'Scoring Setup'!$K$9)/(100-'Scoring Setup'!$K$9)))),1),"")</x:f>
        <x:v>0.8925714285714286</x:v>
      </x:c>
      <x:c r="AP136" s="27" t="n">
        <x:f>IF(ISNUMBER(X136),IF('Scoring Setup'!$L$10=1,1-'Scoring Setup'!$B$5*(1-MAX(0,MIN(1,(X136-'Scoring Setup'!$K$10)/(100-'Scoring Setup'!$K$10)))),1),"")</x:f>
        <x:v>0.9583804809052334</x:v>
      </x:c>
      <x:c r="AQ136" s="27" t="n">
        <x:f>IF(ISNUMBER(Y136),IF('Scoring Setup'!$L$11=1,1-'Scoring Setup'!$B$5*(1-MAX(0,MIN(1,(Y136-'Scoring Setup'!$K$11)/(100-'Scoring Setup'!$K$11)))),1),"")</x:f>
        <x:v>0.9949226394712526</x:v>
      </x:c>
      <x:c r="AR136" s="27" t="n">
        <x:f>IF(ISNUMBER(Z136),IF('Scoring Setup'!$L$12=1,1-'Scoring Setup'!$B$5*(1-MAX(0,MIN(1,(Z136-'Scoring Setup'!$K$12)/(100-'Scoring Setup'!$K$12)))),1),"")</x:f>
        <x:v>1</x:v>
      </x:c>
      <x:c r="AS136" s="27" t="n">
        <x:f>IF(ISNUMBER(AA136),IF('Scoring Setup'!$L$13=1,1-'Scoring Setup'!$B$5*(1-MAX(0,MIN(1,(AA136-'Scoring Setup'!$K$13)/(100-'Scoring Setup'!$K$13)))),1),"")</x:f>
        <x:v>0.9859948119189837</x:v>
      </x:c>
      <x:c r="AT136" s="27" t="n">
        <x:f>IF(ISNUMBER(AB136),IF('Scoring Setup'!$L$14=1,1-'Scoring Setup'!$B$5*(1-MAX(0,MIN(1,(AB136-'Scoring Setup'!$K$14)/(100-'Scoring Setup'!$K$14)))),1),"")</x:f>
        <x:v>0.9796682921187064</x:v>
      </x:c>
      <x:c r="AU136" s="27" t="n">
        <x:f>IF(ISNUMBER(AC136),IF('Scoring Setup'!$L$15=1,1-'Scoring Setup'!$B$5*(1-MAX(0,MIN(1,(AC136-'Scoring Setup'!$K$15)/(100-'Scoring Setup'!$K$15)))),1),"")</x:f>
        <x:v>0.8468296044081082</x:v>
      </x:c>
      <x:c r="AV136" s="27" t="n">
        <x:f>IF(ISNUMBER(AD136),IF('Scoring Setup'!$L$16=1,1-'Scoring Setup'!$B$5*(1-MAX(0,MIN(1,(AD136-'Scoring Setup'!$K$16)/(100-'Scoring Setup'!$K$16)))),1),"")</x:f>
        <x:v>0.8535545662857142</x:v>
      </x:c>
      <x:c r="AW136" s="27" t="n">
        <x:f>IF(ISNUMBER(AE136),IF('Scoring Setup'!$L$17=1,1-'Scoring Setup'!$B$5*(1-MAX(0,MIN(1,(AE136-'Scoring Setup'!$K$17)/(100-'Scoring Setup'!$K$17)))),1),"")</x:f>
        <x:v>0.8718602455</x:v>
      </x:c>
      <x:c r="AX136" s="27" t="n">
        <x:f>IF(ISNUMBER(AF136),IF('Scoring Setup'!$L$18=1,1-'Scoring Setup'!$B$5*(1-MAX(0,MIN(1,(AF136-'Scoring Setup'!$K$18)/(100-'Scoring Setup'!$K$18)))),1),"")</x:f>
        <x:v>0.8669559254286445</x:v>
      </x:c>
      <x:c r="AY136" s="27" t="n">
        <x:f>IF(ISNUMBER(AG136),IF('Scoring Setup'!$L$19=1,1-'Scoring Setup'!$B$5*(1-MAX(0,MIN(1,(AG136-'Scoring Setup'!$K$19)/(100-'Scoring Setup'!$K$19)))),1),"")</x:f>
        <x:v>0.8047333333333333</x:v>
      </x:c>
      <x:c r="AZ136" s="27" t="n">
        <x:f>IF(ISNUMBER(AH136),IF('Scoring Setup'!$L$20=1,1-'Scoring Setup'!$B$5*(1-MAX(0,MIN(1,(AH136-'Scoring Setup'!$K$20)/(100-'Scoring Setup'!$K$20)))),1),"")</x:f>
        <x:v>0.8</x:v>
      </x:c>
      <x:c r="BA136" s="27" t="n">
        <x:f>IF(ISNUMBER(AI136),IF('Scoring Setup'!$L$21=1,1-'Scoring Setup'!$B$5*(1-MAX(0,MIN(1,(AI136-'Scoring Setup'!$K$21)/(100-'Scoring Setup'!$K$21)))),1),"")</x:f>
        <x:v>0.8041338588169643</x:v>
      </x:c>
      <x:c r="BB136" s="27" t="n">
        <x:f>IF(ISNUMBER(AJ136),IF('Scoring Setup'!$L$22=1,1-'Scoring Setup'!$B$5*(1-MAX(0,MIN(1,(AJ136-'Scoring Setup'!$K$22)/(100-'Scoring Setup'!$K$22)))),1),"")</x:f>
        <x:v>0.8737301379342087</x:v>
      </x:c>
      <x:c r="BC136" s="27" t="n">
        <x:f>IF(ISNUMBER(AK136),IF('Scoring Setup'!$L$23=1,1-'Scoring Setup'!$B$5*(1-MAX(0,MIN(1,(AK136-'Scoring Setup'!$K$23)/(100-'Scoring Setup'!$K$23)))),1),"")</x:f>
        <x:v>0.8694183697999651</x:v>
      </x:c>
      <x:c r="BD136" s="27" t="n">
        <x:f>IF(ISNUMBER(AL136),IF('Scoring Setup'!$L$24=1,1-'Scoring Setup'!$B$5*(1-MAX(0,MIN(1,(AL136-'Scoring Setup'!$K$24)/(100-'Scoring Setup'!$K$24)))),1),"")</x:f>
        <x:v>0.9741818181818181</x:v>
      </x:c>
      <x:c r="BE136" s="27" t="n">
        <x:f>IF(ISNUMBER(AM136),IF('Scoring Setup'!$L$25=1,1-'Scoring Setup'!$B$5*(1-MAX(0,MIN(1,(AM136-'Scoring Setup'!$K$25)/(100-'Scoring Setup'!$K$25)))),1),"")</x:f>
        <x:v>0.8885845218271159</x:v>
      </x:c>
      <x:c r="BF136" s="27" t="n">
        <x:f>IF(ISNUMBER(AN136),IF('Scoring Setup'!$L$26=1,1-'Scoring Setup'!$B$5*(1-MAX(0,MIN(1,(AN136-'Scoring Setup'!$K$26)/(100-'Scoring Setup'!$K$26)))),1),"")</x:f>
        <x:v>0.937286211052675</x:v>
      </x:c>
      <x:c r="BG136" s="34" t="n">
        <x:f>IF(COUNT(W136,X136)=2,AVERAGE(W136,X136),"")</x:f>
        <x:v>62.737977369165506</x:v>
      </x:c>
      <x:c r="BH136" s="34" t="n">
        <x:f>IF(COUNT(Y136,Z136)=2,AVERAGE(Y136,Z136),"")</x:f>
        <x:v>98.73065986781316</x:v>
      </x:c>
      <x:c r="BI136" s="34" t="n">
        <x:f>IF(COUNT(AA136,AB136,AC136)=3,AVERAGE(AA136,AB136,AC136),"")</x:f>
        <x:v>68.74878474096639</x:v>
      </x:c>
      <x:c r="BJ136" s="34" t="n">
        <x:f>IF(COUNT(AD136,AE136)=2,AVERAGE(AD136,AE136),"")</x:f>
        <x:v>31.35370294642857</x:v>
      </x:c>
      <x:c r="BK136" s="34" t="n">
        <x:f>IF(COUNT(AF136,AG136)=2,AVERAGE(AF136,AG136),"")</x:f>
        <x:v>17.922314690494453</x:v>
      </x:c>
      <x:c r="BL136" s="34" t="n">
        <x:f>IF(COUNT(AH136,AI136)=2,AVERAGE(AH136,AI136),"")</x:f>
        <x:v>1.0334647042410694</x:v>
      </x:c>
      <x:c r="BM136" s="34" t="n">
        <x:f>IF(COUNT(AJ136,AK136)=2,AVERAGE(AJ136,AK136),"")</x:f>
        <x:v>35.78712693354346</x:v>
      </x:c>
      <x:c r="BN136" s="34" t="n">
        <x:f>IF(COUNT(AL136,AM136,AN136)=3,AVERAGE(AL136,AM136,AN136),"")</x:f>
        <x:v>66.67542517693484</x:v>
      </x:c>
      <x:c r="BO136" s="35" t="n">
        <x:f>IF(AND(COUNT(BG136:BN136)=8,ABS('Scoring Setup'!$C$17-1)&lt;0.000001),BG136*'Scoring Setup'!$C$9+BH136*'Scoring Setup'!$C$10+BI136*'Scoring Setup'!$C$11+BJ136*'Scoring Setup'!$C$12+BK136*'Scoring Setup'!$C$13+BL136*'Scoring Setup'!$C$14+BM136*'Scoring Setup'!$C$15+BN136*'Scoring Setup'!$C$16,"")</x:f>
        <x:v>59.666067083237806</x:v>
      </x:c>
      <x:c r="BP136" s="36" t="n">
        <x:f>IF(COUNT(AO136:BF136)=18,MIN(AO136:BF136),"")</x:f>
        <x:v>0.8</x:v>
      </x:c>
      <x:c r="BQ136" s="35" t="n">
        <x:f>IF(AND(ISNUMBER(BO136),ISNUMBER(BP136)),BO136*BP136,"")</x:f>
        <x:v>47.732853666590245</x:v>
      </x:c>
      <x:c r="BR136" s="17" t="str">
        <x:f>IF(COUNT(AO136:BF136)=18,INDEX('Scoring Setup'!$F$9:$F$26,MATCH(MIN(AO136:BF136),AO136:BF136,0),1),"")</x:f>
        <x:v>历史CDD65</x:v>
      </x:c>
    </x:row>
    <x:row r="137">
      <x:c r="A137" s="28" t="str">
        <x:v>13269</x:v>
      </x:c>
      <x:c r="B137" s="28" t="str">
        <x:v>Taylor County</x:v>
      </x:c>
      <x:c r="C137" s="28" t="str">
        <x:v>GA</x:v>
      </x:c>
      <x:c r="D137" s="31" t="n">
        <x:v>975.613073</x:v>
      </x:c>
      <x:c r="E137" s="32" t="n">
        <x:v>0.615</x:v>
      </x:c>
      <x:c r="F137" s="32" t="n">
        <x:v>0.382116336633663</x:v>
      </x:c>
      <x:c r="G137" s="32" t="n">
        <x:v>1.1628286324523232</x:v>
      </x:c>
      <x:c r="H137" s="32" t="n">
        <x:v>1.1317670459021731</x:v>
      </x:c>
      <x:c r="I137" s="32" t="n">
        <x:v>0.9307183390085594</x:v>
      </x:c>
      <x:c r="J137" s="32" t="n">
        <x:v>0.014220775193700371</x:v>
      </x:c>
      <x:c r="K137" s="32" t="n">
        <x:v>0.10755696947535859</x:v>
      </x:c>
      <x:c r="L137" s="32" t="n">
        <x:v>0.724560232</x:v>
      </x:c>
      <x:c r="M137" s="32" t="n">
        <x:v>0.724560232</x:v>
      </x:c>
      <x:c r="N137" s="32" t="n">
        <x:v>2889</x:v>
      </x:c>
      <x:c r="O137" s="32" t="n">
        <x:v>0.9555</x:v>
      </x:c>
      <x:c r="P137" s="32" t="n">
        <x:v>1861.5720784505208</x:v>
      </x:c>
      <x:c r="Q137" s="32" t="n">
        <x:v>56.37840232849121</x:v>
      </x:c>
      <x:c r="R137" s="32" t="n">
        <x:v>47.651215451163594</x:v>
      </x:c>
      <x:c r="S137" s="32" t="n">
        <x:v>0.8037979256543115</x:v>
      </x:c>
      <x:c r="T137" s="32" t="n">
        <x:v>72.1</x:v>
      </x:c>
      <x:c r="U137" s="32" t="n">
        <x:v>211.4154781728841</x:v>
      </x:c>
      <x:c r="V137" s="32" t="n">
        <x:v>325.42757789465</x:v>
      </x:c>
      <x:c r="W137" s="33" t="n">
        <x:f>IF(ISNUMBER(E137),100*MAX(0,MIN(1,('Anchors'!$H$6-E137)/('Anchors'!$H$6-'Anchors'!$G$6))),"")</x:f>
        <x:v>40.71428571428572</x:v>
      </x:c>
      <x:c r="X137" s="33" t="n">
        <x:f>IF(ISNUMBER(F137),100*MAX(0,MIN(1,('Anchors'!$H$7-F137)/('Anchors'!$H$7-'Anchors'!$G$7))),"")</x:f>
        <x:v>59.697666195191005</x:v>
      </x:c>
      <x:c r="Y137" s="33" t="n">
        <x:f>IF(ISNUMBER(G137),100*MAX(0,MIN(1,('Anchors'!$H$8-G137)/('Anchors'!$H$8-'Anchors'!$G$8))),"")</x:f>
        <x:v>94.5723789182559</x:v>
      </x:c>
      <x:c r="Z137" s="33" t="n">
        <x:f>IF(ISNUMBER(H137),100*MAX(0,MIN(1,('Anchors'!$H$9-H137)/('Anchors'!$H$9-'Anchors'!$G$9))),"")</x:f>
        <x:v>95.60776513659422</x:v>
      </x:c>
      <x:c r="AA137" s="33" t="n">
        <x:f>IF(ISNUMBER(I137),100*MAX(0,MIN(1,(I137-'Anchors'!$H$10)/('Anchors'!$G$10-'Anchors'!$H$10))),"")</x:f>
        <x:v>93.2490875354191</x:v>
      </x:c>
      <x:c r="AB137" s="33" t="n">
        <x:f>IF(ISNUMBER(J137),100*MAX(0,MIN(1,('Anchors'!$H$11-J137)/('Anchors'!$H$11-'Anchors'!$G$11))),"")</x:f>
        <x:v>94.31168992251985</x:v>
      </x:c>
      <x:c r="AC137" s="33" t="n">
        <x:f>IF(ISNUMBER(K137),100*MAX(0,MIN(1,('Anchors'!$H$12-K137)/('Anchors'!$H$12-'Anchors'!$G$12))),"")</x:f>
        <x:v>73.11075763116035</x:v>
      </x:c>
      <x:c r="AD137" s="33" t="n">
        <x:f>IF(ISNUMBER(L137),100*MAX(0,MIN(1,(L137-'Anchors'!$H$13)/('Anchors'!$G$13-'Anchors'!$H$13))),"")</x:f>
        <x:v>74.93717600000001</x:v>
      </x:c>
      <x:c r="AE137" s="33" t="n">
        <x:f>IF(ISNUMBER(M137),100*MAX(0,MIN(1,(M137-'Anchors'!$H$14)/('Anchors'!$G$14-'Anchors'!$H$14))),"")</x:f>
        <x:v>78.07002899999999</x:v>
      </x:c>
      <x:c r="AF137" s="33" t="n">
        <x:f>IF(ISNUMBER(N137),100*MAX(0,MIN(1,(LN(1+N137)-LN(1+'Anchors'!$H$15))/(LN(1+'Anchors'!$G$15)-LN(1+'Anchors'!$H$15)))),"")</x:f>
        <x:v>8.515401444767273</x:v>
      </x:c>
      <x:c r="AG137" s="33" t="n">
        <x:f>IF(ISNUMBER(O137),100*MAX(0,MIN(1,('Anchors'!$H$16-O137)/('Anchors'!$H$16-'Anchors'!$G$16))),"")</x:f>
        <x:v>0</x:v>
      </x:c>
      <x:c r="AH137" s="33" t="n">
        <x:f>IF(ISNUMBER(P137),100*MAX(0,MIN(1,('Anchors'!$H$17-P137)/('Anchors'!$H$17-'Anchors'!$G$17))),"")</x:f>
        <x:v>22.561861436631943</x:v>
      </x:c>
      <x:c r="AI137" s="33" t="n">
        <x:f>IF(ISNUMBER(Q137),100*MAX(0,MIN(1,('Anchors'!$H$18-Q137)/('Anchors'!$H$18-'Anchors'!$G$18))),"")</x:f>
        <x:v>26.602282387869696</x:v>
      </x:c>
      <x:c r="AJ137" s="33" t="n">
        <x:f>IF(ISNUMBER(R137),100*MAX(0,MIN(1,('Anchors'!$H$19-R137)/('Anchors'!$H$19-'Anchors'!$G$19))),"")</x:f>
        <x:v>5.219521219636458</x:v>
      </x:c>
      <x:c r="AK137" s="33" t="n">
        <x:f>IF(ISNUMBER(S137),100*MAX(0,MIN(1,('Anchors'!$H$20-S137)/('Anchors'!$H$20-'Anchors'!$G$20))),"")</x:f>
        <x:v>100</x:v>
      </x:c>
      <x:c r="AL137" s="33" t="n">
        <x:f>IF(ISNUMBER(T137),100*MAX(0,MIN(1,('Anchors'!$H$21-T137)/('Anchors'!$H$21-'Anchors'!$G$21))),"")</x:f>
        <x:v>87.0909090909091</x:v>
      </x:c>
      <x:c r="AM137" s="33" t="n">
        <x:f>IF(ISNUMBER(U137),100*MAX(0,MIN(1,('Anchors'!$H$22-U137)/('Anchors'!$H$22-'Anchors'!$G$22))),"")</x:f>
        <x:v>44.29226091355795</x:v>
      </x:c>
      <x:c r="AN137" s="33" t="n">
        <x:f>IF(ISNUMBER(V137),100*MAX(0,MIN(1,('Anchors'!$H$23-V137)/('Anchors'!$H$23-'Anchors'!$G$23))),"")</x:f>
        <x:v>68.6431055263375</x:v>
      </x:c>
      <x:c r="AO137" s="27" t="n">
        <x:f>IF(ISNUMBER(W137),IF('Scoring Setup'!$L$9=1,1-'Scoring Setup'!$B$5*(1-MAX(0,MIN(1,(W137-'Scoring Setup'!$K$9)/(100-'Scoring Setup'!$K$9)))),1),"")</x:f>
        <x:v>0.8814285714285715</x:v>
      </x:c>
      <x:c r="AP137" s="27" t="n">
        <x:f>IF(ISNUMBER(X137),IF('Scoring Setup'!$L$10=1,1-'Scoring Setup'!$B$5*(1-MAX(0,MIN(1,(X137-'Scoring Setup'!$K$10)/(100-'Scoring Setup'!$K$10)))),1),"")</x:f>
        <x:v>0.919395332390382</x:v>
      </x:c>
      <x:c r="AQ137" s="27" t="n">
        <x:f>IF(ISNUMBER(Y137),IF('Scoring Setup'!$L$11=1,1-'Scoring Setup'!$B$5*(1-MAX(0,MIN(1,(Y137-'Scoring Setup'!$K$11)/(100-'Scoring Setup'!$K$11)))),1),"")</x:f>
        <x:v>0.9891447578365118</x:v>
      </x:c>
      <x:c r="AR137" s="27" t="n">
        <x:f>IF(ISNUMBER(Z137),IF('Scoring Setup'!$L$12=1,1-'Scoring Setup'!$B$5*(1-MAX(0,MIN(1,(Z137-'Scoring Setup'!$K$12)/(100-'Scoring Setup'!$K$12)))),1),"")</x:f>
        <x:v>0.9912155302731884</x:v>
      </x:c>
      <x:c r="AS137" s="27" t="n">
        <x:f>IF(ISNUMBER(AA137),IF('Scoring Setup'!$L$13=1,1-'Scoring Setup'!$B$5*(1-MAX(0,MIN(1,(AA137-'Scoring Setup'!$K$13)/(100-'Scoring Setup'!$K$13)))),1),"")</x:f>
        <x:v>0.9864981750708381</x:v>
      </x:c>
      <x:c r="AT137" s="27" t="n">
        <x:f>IF(ISNUMBER(AB137),IF('Scoring Setup'!$L$14=1,1-'Scoring Setup'!$B$5*(1-MAX(0,MIN(1,(AB137-'Scoring Setup'!$K$14)/(100-'Scoring Setup'!$K$14)))),1),"")</x:f>
        <x:v>0.9886233798450397</x:v>
      </x:c>
      <x:c r="AU137" s="27" t="n">
        <x:f>IF(ISNUMBER(AC137),IF('Scoring Setup'!$L$15=1,1-'Scoring Setup'!$B$5*(1-MAX(0,MIN(1,(AC137-'Scoring Setup'!$K$15)/(100-'Scoring Setup'!$K$15)))),1),"")</x:f>
        <x:v>0.9462215152623207</x:v>
      </x:c>
      <x:c r="AV137" s="27" t="n">
        <x:f>IF(ISNUMBER(AD137),IF('Scoring Setup'!$L$16=1,1-'Scoring Setup'!$B$5*(1-MAX(0,MIN(1,(AD137-'Scoring Setup'!$K$16)/(100-'Scoring Setup'!$K$16)))),1),"")</x:f>
        <x:v>0.949874352</x:v>
      </x:c>
      <x:c r="AW137" s="27" t="n">
        <x:f>IF(ISNUMBER(AE137),IF('Scoring Setup'!$L$17=1,1-'Scoring Setup'!$B$5*(1-MAX(0,MIN(1,(AE137-'Scoring Setup'!$K$17)/(100-'Scoring Setup'!$K$17)))),1),"")</x:f>
        <x:v>0.956140058</x:v>
      </x:c>
      <x:c r="AX137" s="27" t="n">
        <x:f>IF(ISNUMBER(AF137),IF('Scoring Setup'!$L$18=1,1-'Scoring Setup'!$B$5*(1-MAX(0,MIN(1,(AF137-'Scoring Setup'!$K$18)/(100-'Scoring Setup'!$K$18)))),1),"")</x:f>
        <x:v>0.8170308028895346</x:v>
      </x:c>
      <x:c r="AY137" s="27" t="n">
        <x:f>IF(ISNUMBER(AG137),IF('Scoring Setup'!$L$19=1,1-'Scoring Setup'!$B$5*(1-MAX(0,MIN(1,(AG137-'Scoring Setup'!$K$19)/(100-'Scoring Setup'!$K$19)))),1),"")</x:f>
        <x:v>0.8</x:v>
      </x:c>
      <x:c r="AZ137" s="27" t="n">
        <x:f>IF(ISNUMBER(AH137),IF('Scoring Setup'!$L$20=1,1-'Scoring Setup'!$B$5*(1-MAX(0,MIN(1,(AH137-'Scoring Setup'!$K$20)/(100-'Scoring Setup'!$K$20)))),1),"")</x:f>
        <x:v>0.8451237228732639</x:v>
      </x:c>
      <x:c r="BA137" s="27" t="n">
        <x:f>IF(ISNUMBER(AI137),IF('Scoring Setup'!$L$21=1,1-'Scoring Setup'!$B$5*(1-MAX(0,MIN(1,(AI137-'Scoring Setup'!$K$21)/(100-'Scoring Setup'!$K$21)))),1),"")</x:f>
        <x:v>0.8532045647757394</x:v>
      </x:c>
      <x:c r="BB137" s="27" t="n">
        <x:f>IF(ISNUMBER(AJ137),IF('Scoring Setup'!$L$22=1,1-'Scoring Setup'!$B$5*(1-MAX(0,MIN(1,(AJ137-'Scoring Setup'!$K$22)/(100-'Scoring Setup'!$K$22)))),1),"")</x:f>
        <x:v>0.8104390424392729</x:v>
      </x:c>
      <x:c r="BC137" s="27" t="n">
        <x:f>IF(ISNUMBER(AK137),IF('Scoring Setup'!$L$23=1,1-'Scoring Setup'!$B$5*(1-MAX(0,MIN(1,(AK137-'Scoring Setup'!$K$23)/(100-'Scoring Setup'!$K$23)))),1),"")</x:f>
        <x:v>1</x:v>
      </x:c>
      <x:c r="BD137" s="27" t="n">
        <x:f>IF(ISNUMBER(AL137),IF('Scoring Setup'!$L$24=1,1-'Scoring Setup'!$B$5*(1-MAX(0,MIN(1,(AL137-'Scoring Setup'!$K$24)/(100-'Scoring Setup'!$K$24)))),1),"")</x:f>
        <x:v>0.9741818181818181</x:v>
      </x:c>
      <x:c r="BE137" s="27" t="n">
        <x:f>IF(ISNUMBER(AM137),IF('Scoring Setup'!$L$25=1,1-'Scoring Setup'!$B$5*(1-MAX(0,MIN(1,(AM137-'Scoring Setup'!$K$25)/(100-'Scoring Setup'!$K$25)))),1),"")</x:f>
        <x:v>0.8885845218271159</x:v>
      </x:c>
      <x:c r="BF137" s="27" t="n">
        <x:f>IF(ISNUMBER(AN137),IF('Scoring Setup'!$L$26=1,1-'Scoring Setup'!$B$5*(1-MAX(0,MIN(1,(AN137-'Scoring Setup'!$K$26)/(100-'Scoring Setup'!$K$26)))),1),"")</x:f>
        <x:v>0.937286211052675</x:v>
      </x:c>
      <x:c r="BG137" s="34" t="n">
        <x:f>IF(COUNT(W137,X137)=2,AVERAGE(W137,X137),"")</x:f>
        <x:v>50.20597595473836</x:v>
      </x:c>
      <x:c r="BH137" s="34" t="n">
        <x:f>IF(COUNT(Y137,Z137)=2,AVERAGE(Y137,Z137),"")</x:f>
        <x:v>95.09007202742507</x:v>
      </x:c>
      <x:c r="BI137" s="34" t="n">
        <x:f>IF(COUNT(AA137,AB137,AC137)=3,AVERAGE(AA137,AB137,AC137),"")</x:f>
        <x:v>86.89051169636643</x:v>
      </x:c>
      <x:c r="BJ137" s="34" t="n">
        <x:f>IF(COUNT(AD137,AE137)=2,AVERAGE(AD137,AE137),"")</x:f>
        <x:v>76.5036025</x:v>
      </x:c>
      <x:c r="BK137" s="34" t="n">
        <x:f>IF(COUNT(AF137,AG137)=2,AVERAGE(AF137,AG137),"")</x:f>
        <x:v>4.257700722383636</x:v>
      </x:c>
      <x:c r="BL137" s="34" t="n">
        <x:f>IF(COUNT(AH137,AI137)=2,AVERAGE(AH137,AI137),"")</x:f>
        <x:v>24.582071912250818</x:v>
      </x:c>
      <x:c r="BM137" s="34" t="n">
        <x:f>IF(COUNT(AJ137,AK137)=2,AVERAGE(AJ137,AK137),"")</x:f>
        <x:v>52.60976060981823</x:v>
      </x:c>
      <x:c r="BN137" s="34" t="n">
        <x:f>IF(COUNT(AL137,AM137,AN137)=3,AVERAGE(AL137,AM137,AN137),"")</x:f>
        <x:v>66.67542517693484</x:v>
      </x:c>
      <x:c r="BO137" s="35" t="n">
        <x:f>IF(AND(COUNT(BG137:BN137)=8,ABS('Scoring Setup'!$C$17-1)&lt;0.000001),BG137*'Scoring Setup'!$C$9+BH137*'Scoring Setup'!$C$10+BI137*'Scoring Setup'!$C$11+BJ137*'Scoring Setup'!$C$12+BK137*'Scoring Setup'!$C$13+BL137*'Scoring Setup'!$C$14+BM137*'Scoring Setup'!$C$15+BN137*'Scoring Setup'!$C$16,"")</x:f>
        <x:v>64.66601267201776</x:v>
      </x:c>
      <x:c r="BP137" s="36" t="n">
        <x:f>IF(COUNT(AO137:BF137)=18,MIN(AO137:BF137),"")</x:f>
        <x:v>0.8</x:v>
      </x:c>
      <x:c r="BQ137" s="35" t="n">
        <x:f>IF(AND(ISNUMBER(BO137),ISNUMBER(BP137)),BO137*BP137,"")</x:f>
        <x:v>51.73281013761421</x:v>
      </x:c>
      <x:c r="BR137" s="17" t="str">
        <x:f>IF(COUNT(AO137:BF137)=18,INDEX('Scoring Setup'!$F$9:$F$26,MATCH(MIN(AO137:BF137),AO137:BF137,0),1),"")</x:f>
        <x:v>社会脆弱性百分位</x:v>
      </x:c>
    </x:row>
    <x:row r="138">
      <x:c r="A138" s="28" t="str">
        <x:v>13271</x:v>
      </x:c>
      <x:c r="B138" s="28" t="str">
        <x:v>Telfair County</x:v>
      </x:c>
      <x:c r="C138" s="28" t="str">
        <x:v>GA</x:v>
      </x:c>
      <x:c r="D138" s="31" t="n">
        <x:v>1132.621092</x:v>
      </x:c>
      <x:c r="E138" s="32" t="n">
        <x:v>0.571</x:v>
      </x:c>
      <x:c r="F138" s="32" t="n">
        <x:v>0.32271039603960405</x:v>
      </x:c>
      <x:c r="G138" s="32" t="n">
        <x:v>2.544957488178401</x:v>
      </x:c>
      <x:c r="H138" s="32" t="n">
        <x:v>2.40952729901101</x:v>
      </x:c>
      <x:c r="I138" s="32" t="n">
        <x:v>0.9476965801367061</x:v>
      </x:c>
      <x:c r="J138" s="32" t="n">
        <x:v>0.03081986788598257</x:v>
      </x:c>
      <x:c r="K138" s="32" t="n">
        <x:v>0.2992526503190177</x:v>
      </x:c>
      <x:c r="L138" s="32" t="n">
        <x:v>0.403385049</x:v>
      </x:c>
      <x:c r="M138" s="32" t="n">
        <x:v>0.401269394</x:v>
      </x:c>
      <x:c r="N138" s="32" t="n">
        <x:v>2998</x:v>
      </x:c>
      <x:c r="O138" s="32" t="n">
        <x:v>0.9765</x:v>
      </x:c>
      <x:c r="P138" s="32" t="n">
        <x:v>2208.0450032552085</x:v>
      </x:c>
      <x:c r="Q138" s="32" t="n">
        <x:v>76.7364377339681</x:v>
      </x:c>
      <x:c r="R138" s="32" t="n">
        <x:v>61.6424258215371</x:v>
      </x:c>
      <x:c r="S138" s="32" t="n">
        <x:v>14.809350192979352</x:v>
      </x:c>
      <x:c r="T138" s="32" t="n">
        <x:v>72.1</x:v>
      </x:c>
      <x:c r="U138" s="32" t="n">
        <x:v>211.4154781728841</x:v>
      </x:c>
      <x:c r="V138" s="32" t="n">
        <x:v>325.42757789465</x:v>
      </x:c>
      <x:c r="W138" s="33" t="n">
        <x:f>IF(ISNUMBER(E138),100*MAX(0,MIN(1,('Anchors'!$H$6-E138)/('Anchors'!$H$6-'Anchors'!$G$6))),"")</x:f>
        <x:v>47.000000000000014</x:v>
      </x:c>
      <x:c r="X138" s="33" t="n">
        <x:f>IF(ISNUMBER(F138),100*MAX(0,MIN(1,('Anchors'!$H$7-F138)/('Anchors'!$H$7-'Anchors'!$G$7))),"")</x:f>
        <x:v>68.18422913719942</x:v>
      </x:c>
      <x:c r="Y138" s="33" t="n">
        <x:f>IF(ISNUMBER(G138),100*MAX(0,MIN(1,('Anchors'!$H$8-G138)/('Anchors'!$H$8-'Anchors'!$G$8))),"")</x:f>
        <x:v>48.50141706071997</x:v>
      </x:c>
      <x:c r="Z138" s="33" t="n">
        <x:f>IF(ISNUMBER(H138),100*MAX(0,MIN(1,('Anchors'!$H$9-H138)/('Anchors'!$H$9-'Anchors'!$G$9))),"")</x:f>
        <x:v>53.015756699633</x:v>
      </x:c>
      <x:c r="AA138" s="33" t="n">
        <x:f>IF(ISNUMBER(I138),100*MAX(0,MIN(1,(I138-'Anchors'!$H$10)/('Anchors'!$G$10-'Anchors'!$H$10))),"")</x:f>
        <x:v>95.5748739913296</x:v>
      </x:c>
      <x:c r="AB138" s="33" t="n">
        <x:f>IF(ISNUMBER(J138),100*MAX(0,MIN(1,('Anchors'!$H$11-J138)/('Anchors'!$H$11-'Anchors'!$G$11))),"")</x:f>
        <x:v>87.67205284560697</x:v>
      </x:c>
      <x:c r="AC138" s="33" t="n">
        <x:f>IF(ISNUMBER(K138),100*MAX(0,MIN(1,('Anchors'!$H$12-K138)/('Anchors'!$H$12-'Anchors'!$G$12))),"")</x:f>
        <x:v>25.186837420245578</x:v>
      </x:c>
      <x:c r="AD138" s="33" t="n">
        <x:f>IF(ISNUMBER(L138),100*MAX(0,MIN(1,(L138-'Anchors'!$H$13)/('Anchors'!$G$13-'Anchors'!$H$13))),"")</x:f>
        <x:v>29.055007</x:v>
      </x:c>
      <x:c r="AE138" s="33" t="n">
        <x:f>IF(ISNUMBER(M138),100*MAX(0,MIN(1,(M138-'Anchors'!$H$14)/('Anchors'!$G$14-'Anchors'!$H$14))),"")</x:f>
        <x:v>37.65867425</x:v>
      </x:c>
      <x:c r="AF138" s="33" t="n">
        <x:f>IF(ISNUMBER(N138),100*MAX(0,MIN(1,(LN(1+N138)-LN(1+'Anchors'!$H$15))/(LN(1+'Anchors'!$G$15)-LN(1+'Anchors'!$H$15)))),"")</x:f>
        <x:v>9.3729979547483</x:v>
      </x:c>
      <x:c r="AG138" s="33" t="n">
        <x:f>IF(ISNUMBER(O138),100*MAX(0,MIN(1,('Anchors'!$H$16-O138)/('Anchors'!$H$16-'Anchors'!$G$16))),"")</x:f>
        <x:v>0</x:v>
      </x:c>
      <x:c r="AH138" s="33" t="n">
        <x:f>IF(ISNUMBER(P138),100*MAX(0,MIN(1,('Anchors'!$H$17-P138)/('Anchors'!$H$17-'Anchors'!$G$17))),"")</x:f>
        <x:v>0</x:v>
      </x:c>
      <x:c r="AI138" s="33" t="n">
        <x:f>IF(ISNUMBER(Q138),100*MAX(0,MIN(1,('Anchors'!$H$18-Q138)/('Anchors'!$H$18-'Anchors'!$G$18))),"")</x:f>
        <x:v>0</x:v>
      </x:c>
      <x:c r="AJ138" s="33" t="n">
        <x:f>IF(ISNUMBER(R138),100*MAX(0,MIN(1,('Anchors'!$H$19-R138)/('Anchors'!$H$19-'Anchors'!$G$19))),"")</x:f>
        <x:v>0</x:v>
      </x:c>
      <x:c r="AK138" s="33" t="n">
        <x:f>IF(ISNUMBER(S138),100*MAX(0,MIN(1,('Anchors'!$H$20-S138)/('Anchors'!$H$20-'Anchors'!$G$20))),"")</x:f>
        <x:v>27.31920951063499</x:v>
      </x:c>
      <x:c r="AL138" s="33" t="n">
        <x:f>IF(ISNUMBER(T138),100*MAX(0,MIN(1,('Anchors'!$H$21-T138)/('Anchors'!$H$21-'Anchors'!$G$21))),"")</x:f>
        <x:v>87.0909090909091</x:v>
      </x:c>
      <x:c r="AM138" s="33" t="n">
        <x:f>IF(ISNUMBER(U138),100*MAX(0,MIN(1,('Anchors'!$H$22-U138)/('Anchors'!$H$22-'Anchors'!$G$22))),"")</x:f>
        <x:v>44.29226091355795</x:v>
      </x:c>
      <x:c r="AN138" s="33" t="n">
        <x:f>IF(ISNUMBER(V138),100*MAX(0,MIN(1,('Anchors'!$H$23-V138)/('Anchors'!$H$23-'Anchors'!$G$23))),"")</x:f>
        <x:v>68.6431055263375</x:v>
      </x:c>
      <x:c r="AO138" s="27" t="n">
        <x:f>IF(ISNUMBER(W138),IF('Scoring Setup'!$L$9=1,1-'Scoring Setup'!$B$5*(1-MAX(0,MIN(1,(W138-'Scoring Setup'!$K$9)/(100-'Scoring Setup'!$K$9)))),1),"")</x:f>
        <x:v>0.894</x:v>
      </x:c>
      <x:c r="AP138" s="27" t="n">
        <x:f>IF(ISNUMBER(X138),IF('Scoring Setup'!$L$10=1,1-'Scoring Setup'!$B$5*(1-MAX(0,MIN(1,(X138-'Scoring Setup'!$K$10)/(100-'Scoring Setup'!$K$10)))),1),"")</x:f>
        <x:v>0.9363684582743989</x:v>
      </x:c>
      <x:c r="AQ138" s="27" t="n">
        <x:f>IF(ISNUMBER(Y138),IF('Scoring Setup'!$L$11=1,1-'Scoring Setup'!$B$5*(1-MAX(0,MIN(1,(Y138-'Scoring Setup'!$K$11)/(100-'Scoring Setup'!$K$11)))),1),"")</x:f>
        <x:v>0.89700283412144</x:v>
      </x:c>
      <x:c r="AR138" s="27" t="n">
        <x:f>IF(ISNUMBER(Z138),IF('Scoring Setup'!$L$12=1,1-'Scoring Setup'!$B$5*(1-MAX(0,MIN(1,(Z138-'Scoring Setup'!$K$12)/(100-'Scoring Setup'!$K$12)))),1),"")</x:f>
        <x:v>0.906031513399266</x:v>
      </x:c>
      <x:c r="AS138" s="27" t="n">
        <x:f>IF(ISNUMBER(AA138),IF('Scoring Setup'!$L$13=1,1-'Scoring Setup'!$B$5*(1-MAX(0,MIN(1,(AA138-'Scoring Setup'!$K$13)/(100-'Scoring Setup'!$K$13)))),1),"")</x:f>
        <x:v>0.9911497479826592</x:v>
      </x:c>
      <x:c r="AT138" s="27" t="n">
        <x:f>IF(ISNUMBER(AB138),IF('Scoring Setup'!$L$14=1,1-'Scoring Setup'!$B$5*(1-MAX(0,MIN(1,(AB138-'Scoring Setup'!$K$14)/(100-'Scoring Setup'!$K$14)))),1),"")</x:f>
        <x:v>0.975344105691214</x:v>
      </x:c>
      <x:c r="AU138" s="27" t="n">
        <x:f>IF(ISNUMBER(AC138),IF('Scoring Setup'!$L$15=1,1-'Scoring Setup'!$B$5*(1-MAX(0,MIN(1,(AC138-'Scoring Setup'!$K$15)/(100-'Scoring Setup'!$K$15)))),1),"")</x:f>
        <x:v>0.8503736748404911</x:v>
      </x:c>
      <x:c r="AV138" s="27" t="n">
        <x:f>IF(ISNUMBER(AD138),IF('Scoring Setup'!$L$16=1,1-'Scoring Setup'!$B$5*(1-MAX(0,MIN(1,(AD138-'Scoring Setup'!$K$16)/(100-'Scoring Setup'!$K$16)))),1),"")</x:f>
        <x:v>0.858110014</x:v>
      </x:c>
      <x:c r="AW138" s="27" t="n">
        <x:f>IF(ISNUMBER(AE138),IF('Scoring Setup'!$L$17=1,1-'Scoring Setup'!$B$5*(1-MAX(0,MIN(1,(AE138-'Scoring Setup'!$K$17)/(100-'Scoring Setup'!$K$17)))),1),"")</x:f>
        <x:v>0.8753173485</x:v>
      </x:c>
      <x:c r="AX138" s="27" t="n">
        <x:f>IF(ISNUMBER(AF138),IF('Scoring Setup'!$L$18=1,1-'Scoring Setup'!$B$5*(1-MAX(0,MIN(1,(AF138-'Scoring Setup'!$K$18)/(100-'Scoring Setup'!$K$18)))),1),"")</x:f>
        <x:v>0.8187459959094966</x:v>
      </x:c>
      <x:c r="AY138" s="27" t="n">
        <x:f>IF(ISNUMBER(AG138),IF('Scoring Setup'!$L$19=1,1-'Scoring Setup'!$B$5*(1-MAX(0,MIN(1,(AG138-'Scoring Setup'!$K$19)/(100-'Scoring Setup'!$K$19)))),1),"")</x:f>
        <x:v>0.8</x:v>
      </x:c>
      <x:c r="AZ138" s="27" t="n">
        <x:f>IF(ISNUMBER(AH138),IF('Scoring Setup'!$L$20=1,1-'Scoring Setup'!$B$5*(1-MAX(0,MIN(1,(AH138-'Scoring Setup'!$K$20)/(100-'Scoring Setup'!$K$20)))),1),"")</x:f>
        <x:v>0.8</x:v>
      </x:c>
      <x:c r="BA138" s="27" t="n">
        <x:f>IF(ISNUMBER(AI138),IF('Scoring Setup'!$L$21=1,1-'Scoring Setup'!$B$5*(1-MAX(0,MIN(1,(AI138-'Scoring Setup'!$K$21)/(100-'Scoring Setup'!$K$21)))),1),"")</x:f>
        <x:v>0.8</x:v>
      </x:c>
      <x:c r="BB138" s="27" t="n">
        <x:f>IF(ISNUMBER(AJ138),IF('Scoring Setup'!$L$22=1,1-'Scoring Setup'!$B$5*(1-MAX(0,MIN(1,(AJ138-'Scoring Setup'!$K$22)/(100-'Scoring Setup'!$K$22)))),1),"")</x:f>
        <x:v>0.8</x:v>
      </x:c>
      <x:c r="BC138" s="27" t="n">
        <x:f>IF(ISNUMBER(AK138),IF('Scoring Setup'!$L$23=1,1-'Scoring Setup'!$B$5*(1-MAX(0,MIN(1,(AK138-'Scoring Setup'!$K$23)/(100-'Scoring Setup'!$K$23)))),1),"")</x:f>
        <x:v>0.8546384190212699</x:v>
      </x:c>
      <x:c r="BD138" s="27" t="n">
        <x:f>IF(ISNUMBER(AL138),IF('Scoring Setup'!$L$24=1,1-'Scoring Setup'!$B$5*(1-MAX(0,MIN(1,(AL138-'Scoring Setup'!$K$24)/(100-'Scoring Setup'!$K$24)))),1),"")</x:f>
        <x:v>0.9741818181818181</x:v>
      </x:c>
      <x:c r="BE138" s="27" t="n">
        <x:f>IF(ISNUMBER(AM138),IF('Scoring Setup'!$L$25=1,1-'Scoring Setup'!$B$5*(1-MAX(0,MIN(1,(AM138-'Scoring Setup'!$K$25)/(100-'Scoring Setup'!$K$25)))),1),"")</x:f>
        <x:v>0.8885845218271159</x:v>
      </x:c>
      <x:c r="BF138" s="27" t="n">
        <x:f>IF(ISNUMBER(AN138),IF('Scoring Setup'!$L$26=1,1-'Scoring Setup'!$B$5*(1-MAX(0,MIN(1,(AN138-'Scoring Setup'!$K$26)/(100-'Scoring Setup'!$K$26)))),1),"")</x:f>
        <x:v>0.937286211052675</x:v>
      </x:c>
      <x:c r="BG138" s="34" t="n">
        <x:f>IF(COUNT(W138,X138)=2,AVERAGE(W138,X138),"")</x:f>
        <x:v>57.59211456859972</x:v>
      </x:c>
      <x:c r="BH138" s="34" t="n">
        <x:f>IF(COUNT(Y138,Z138)=2,AVERAGE(Y138,Z138),"")</x:f>
        <x:v>50.75858688017649</x:v>
      </x:c>
      <x:c r="BI138" s="34" t="n">
        <x:f>IF(COUNT(AA138,AB138,AC138)=3,AVERAGE(AA138,AB138,AC138),"")</x:f>
        <x:v>69.4779214190607</x:v>
      </x:c>
      <x:c r="BJ138" s="34" t="n">
        <x:f>IF(COUNT(AD138,AE138)=2,AVERAGE(AD138,AE138),"")</x:f>
        <x:v>33.356840625</x:v>
      </x:c>
      <x:c r="BK138" s="34" t="n">
        <x:f>IF(COUNT(AF138,AG138)=2,AVERAGE(AF138,AG138),"")</x:f>
        <x:v>4.68649897737415</x:v>
      </x:c>
      <x:c r="BL138" s="34" t="n">
        <x:f>IF(COUNT(AH138,AI138)=2,AVERAGE(AH138,AI138),"")</x:f>
        <x:v>0</x:v>
      </x:c>
      <x:c r="BM138" s="34" t="n">
        <x:f>IF(COUNT(AJ138,AK138)=2,AVERAGE(AJ138,AK138),"")</x:f>
        <x:v>13.659604755317496</x:v>
      </x:c>
      <x:c r="BN138" s="34" t="n">
        <x:f>IF(COUNT(AL138,AM138,AN138)=3,AVERAGE(AL138,AM138,AN138),"")</x:f>
        <x:v>66.67542517693484</x:v>
      </x:c>
      <x:c r="BO138" s="35" t="n">
        <x:f>IF(AND(COUNT(BG138:BN138)=8,ABS('Scoring Setup'!$C$17-1)&lt;0.000001),BG138*'Scoring Setup'!$C$9+BH138*'Scoring Setup'!$C$10+BI138*'Scoring Setup'!$C$11+BJ138*'Scoring Setup'!$C$12+BK138*'Scoring Setup'!$C$13+BL138*'Scoring Setup'!$C$14+BM138*'Scoring Setup'!$C$15+BN138*'Scoring Setup'!$C$16,"")</x:f>
        <x:v>47.348662725885085</x:v>
      </x:c>
      <x:c r="BP138" s="36" t="n">
        <x:f>IF(COUNT(AO138:BF138)=18,MIN(AO138:BF138),"")</x:f>
        <x:v>0.8</x:v>
      </x:c>
      <x:c r="BQ138" s="35" t="n">
        <x:f>IF(AND(ISNUMBER(BO138),ISNUMBER(BP138)),BO138*BP138,"")</x:f>
        <x:v>37.87893018070807</x:v>
      </x:c>
      <x:c r="BR138" s="17" t="str">
        <x:f>IF(COUNT(AO138:BF138)=18,INDEX('Scoring Setup'!$F$9:$F$26,MATCH(MIN(AO138:BF138),AO138:BF138,0),1),"")</x:f>
        <x:v>社会脆弱性百分位</x:v>
      </x:c>
    </x:row>
    <x:row r="139">
      <x:c r="A139" s="28" t="str">
        <x:v>13273</x:v>
      </x:c>
      <x:c r="B139" s="28" t="str">
        <x:v>Terrell County</x:v>
      </x:c>
      <x:c r="C139" s="28" t="str">
        <x:v>GA</x:v>
      </x:c>
      <x:c r="D139" s="31" t="n">
        <x:v>869.69579</x:v>
      </x:c>
      <x:c r="E139" s="32" t="n">
        <x:v>0.472</x:v>
      </x:c>
      <x:c r="F139" s="32" t="n">
        <x:v>0.14944306930693102</x:v>
      </x:c>
      <x:c r="G139" s="32" t="n">
        <x:v>1.1652933984148754</x:v>
      </x:c>
      <x:c r="H139" s="32" t="n">
        <x:v>1.134330805</x:v>
      </x:c>
      <x:c r="I139" s="32" t="n">
        <x:v>0.9531279400361851</x:v>
      </x:c>
      <x:c r="J139" s="32" t="n">
        <x:v>0.006811670933776769</x:v>
      </x:c>
      <x:c r="K139" s="32" t="n">
        <x:v>0.18099870767640217</x:v>
      </x:c>
      <x:c r="L139" s="32" t="n">
        <x:v>0.711756228</x:v>
      </x:c>
      <x:c r="M139" s="32" t="n">
        <x:v>0.710520898</x:v>
      </x:c>
      <x:c r="N139" s="32" t="n">
        <x:v>3235</x:v>
      </x:c>
      <x:c r="O139" s="32" t="n">
        <x:v>0.9809</x:v>
      </x:c>
      <x:c r="P139" s="32" t="n">
        <x:v>2130.9595662434895</x:v>
      </x:c>
      <x:c r="Q139" s="32" t="n">
        <x:v>67.89384129842122</x:v>
      </x:c>
      <x:c r="R139" s="32" t="n">
        <x:v>67.72816122176704</x:v>
      </x:c>
      <x:c r="S139" s="32" t="n">
        <x:v>0.13225378073989608</x:v>
      </x:c>
      <x:c r="T139" s="32" t="n">
        <x:v>72.1</x:v>
      </x:c>
      <x:c r="U139" s="32" t="n">
        <x:v>211.4154781728841</x:v>
      </x:c>
      <x:c r="V139" s="32" t="n">
        <x:v>325.42757789465</x:v>
      </x:c>
      <x:c r="W139" s="33" t="n">
        <x:f>IF(ISNUMBER(E139),100*MAX(0,MIN(1,('Anchors'!$H$6-E139)/('Anchors'!$H$6-'Anchors'!$G$6))),"")</x:f>
        <x:v>61.14285714285715</x:v>
      </x:c>
      <x:c r="X139" s="33" t="n">
        <x:f>IF(ISNUMBER(F139),100*MAX(0,MIN(1,('Anchors'!$H$7-F139)/('Anchors'!$H$7-'Anchors'!$G$7))),"")</x:f>
        <x:v>92.93670438472414</x:v>
      </x:c>
      <x:c r="Y139" s="33" t="n">
        <x:f>IF(ISNUMBER(G139),100*MAX(0,MIN(1,('Anchors'!$H$8-G139)/('Anchors'!$H$8-'Anchors'!$G$8))),"")</x:f>
        <x:v>94.49022005283749</x:v>
      </x:c>
      <x:c r="Z139" s="33" t="n">
        <x:f>IF(ISNUMBER(H139),100*MAX(0,MIN(1,('Anchors'!$H$9-H139)/('Anchors'!$H$9-'Anchors'!$G$9))),"")</x:f>
        <x:v>95.52230649999998</x:v>
      </x:c>
      <x:c r="AA139" s="33" t="n">
        <x:f>IF(ISNUMBER(I139),100*MAX(0,MIN(1,(I139-'Anchors'!$H$10)/('Anchors'!$G$10-'Anchors'!$H$10))),"")</x:f>
        <x:v>96.31889589536782</x:v>
      </x:c>
      <x:c r="AB139" s="33" t="n">
        <x:f>IF(ISNUMBER(J139),100*MAX(0,MIN(1,('Anchors'!$H$11-J139)/('Anchors'!$H$11-'Anchors'!$G$11))),"")</x:f>
        <x:v>97.27533162648929</x:v>
      </x:c>
      <x:c r="AC139" s="33" t="n">
        <x:f>IF(ISNUMBER(K139),100*MAX(0,MIN(1,('Anchors'!$H$12-K139)/('Anchors'!$H$12-'Anchors'!$G$12))),"")</x:f>
        <x:v>54.75032308089946</x:v>
      </x:c>
      <x:c r="AD139" s="33" t="n">
        <x:f>IF(ISNUMBER(L139),100*MAX(0,MIN(1,(L139-'Anchors'!$H$13)/('Anchors'!$G$13-'Anchors'!$H$13))),"")</x:f>
        <x:v>73.1080325714286</x:v>
      </x:c>
      <x:c r="AE139" s="33" t="n">
        <x:f>IF(ISNUMBER(M139),100*MAX(0,MIN(1,(M139-'Anchors'!$H$14)/('Anchors'!$G$14-'Anchors'!$H$14))),"")</x:f>
        <x:v>76.31511225</x:v>
      </x:c>
      <x:c r="AF139" s="33" t="n">
        <x:f>IF(ISNUMBER(N139),100*MAX(0,MIN(1,(LN(1+N139)-LN(1+'Anchors'!$H$15))/(LN(1+'Anchors'!$G$15)-LN(1+'Anchors'!$H$15)))),"")</x:f>
        <x:v>11.134850843173734</x:v>
      </x:c>
      <x:c r="AG139" s="33" t="n">
        <x:f>IF(ISNUMBER(O139),100*MAX(0,MIN(1,('Anchors'!$H$16-O139)/('Anchors'!$H$16-'Anchors'!$G$16))),"")</x:f>
        <x:v>0</x:v>
      </x:c>
      <x:c r="AH139" s="33" t="n">
        <x:f>IF(ISNUMBER(P139),100*MAX(0,MIN(1,('Anchors'!$H$17-P139)/('Anchors'!$H$17-'Anchors'!$G$17))),"")</x:f>
        <x:v>4.602695583767369</x:v>
      </x:c>
      <x:c r="AI139" s="33" t="n">
        <x:f>IF(ISNUMBER(Q139),100*MAX(0,MIN(1,('Anchors'!$H$18-Q139)/('Anchors'!$H$18-'Anchors'!$G$18))),"")</x:f>
        <x:v>10.151655287969682</x:v>
      </x:c>
      <x:c r="AJ139" s="33" t="n">
        <x:f>IF(ISNUMBER(R139),100*MAX(0,MIN(1,('Anchors'!$H$19-R139)/('Anchors'!$H$19-'Anchors'!$G$19))),"")</x:f>
        <x:v>0</x:v>
      </x:c>
      <x:c r="AK139" s="33" t="n">
        <x:f>IF(ISNUMBER(S139),100*MAX(0,MIN(1,('Anchors'!$H$20-S139)/('Anchors'!$H$20-'Anchors'!$G$20))),"")</x:f>
        <x:v>100</x:v>
      </x:c>
      <x:c r="AL139" s="33" t="n">
        <x:f>IF(ISNUMBER(T139),100*MAX(0,MIN(1,('Anchors'!$H$21-T139)/('Anchors'!$H$21-'Anchors'!$G$21))),"")</x:f>
        <x:v>87.0909090909091</x:v>
      </x:c>
      <x:c r="AM139" s="33" t="n">
        <x:f>IF(ISNUMBER(U139),100*MAX(0,MIN(1,('Anchors'!$H$22-U139)/('Anchors'!$H$22-'Anchors'!$G$22))),"")</x:f>
        <x:v>44.29226091355795</x:v>
      </x:c>
      <x:c r="AN139" s="33" t="n">
        <x:f>IF(ISNUMBER(V139),100*MAX(0,MIN(1,('Anchors'!$H$23-V139)/('Anchors'!$H$23-'Anchors'!$G$23))),"")</x:f>
        <x:v>68.6431055263375</x:v>
      </x:c>
      <x:c r="AO139" s="27" t="n">
        <x:f>IF(ISNUMBER(W139),IF('Scoring Setup'!$L$9=1,1-'Scoring Setup'!$B$5*(1-MAX(0,MIN(1,(W139-'Scoring Setup'!$K$9)/(100-'Scoring Setup'!$K$9)))),1),"")</x:f>
        <x:v>0.9222857142857143</x:v>
      </x:c>
      <x:c r="AP139" s="27" t="n">
        <x:f>IF(ISNUMBER(X139),IF('Scoring Setup'!$L$10=1,1-'Scoring Setup'!$B$5*(1-MAX(0,MIN(1,(X139-'Scoring Setup'!$K$10)/(100-'Scoring Setup'!$K$10)))),1),"")</x:f>
        <x:v>0.9858734087694483</x:v>
      </x:c>
      <x:c r="AQ139" s="27" t="n">
        <x:f>IF(ISNUMBER(Y139),IF('Scoring Setup'!$L$11=1,1-'Scoring Setup'!$B$5*(1-MAX(0,MIN(1,(Y139-'Scoring Setup'!$K$11)/(100-'Scoring Setup'!$K$11)))),1),"")</x:f>
        <x:v>0.988980440105675</x:v>
      </x:c>
      <x:c r="AR139" s="27" t="n">
        <x:f>IF(ISNUMBER(Z139),IF('Scoring Setup'!$L$12=1,1-'Scoring Setup'!$B$5*(1-MAX(0,MIN(1,(Z139-'Scoring Setup'!$K$12)/(100-'Scoring Setup'!$K$12)))),1),"")</x:f>
        <x:v>0.991044613</x:v>
      </x:c>
      <x:c r="AS139" s="27" t="n">
        <x:f>IF(ISNUMBER(AA139),IF('Scoring Setup'!$L$13=1,1-'Scoring Setup'!$B$5*(1-MAX(0,MIN(1,(AA139-'Scoring Setup'!$K$13)/(100-'Scoring Setup'!$K$13)))),1),"")</x:f>
        <x:v>0.9926377917907356</x:v>
      </x:c>
      <x:c r="AT139" s="27" t="n">
        <x:f>IF(ISNUMBER(AB139),IF('Scoring Setup'!$L$14=1,1-'Scoring Setup'!$B$5*(1-MAX(0,MIN(1,(AB139-'Scoring Setup'!$K$14)/(100-'Scoring Setup'!$K$14)))),1),"")</x:f>
        <x:v>0.9945506632529786</x:v>
      </x:c>
      <x:c r="AU139" s="27" t="n">
        <x:f>IF(ISNUMBER(AC139),IF('Scoring Setup'!$L$15=1,1-'Scoring Setup'!$B$5*(1-MAX(0,MIN(1,(AC139-'Scoring Setup'!$K$15)/(100-'Scoring Setup'!$K$15)))),1),"")</x:f>
        <x:v>0.9095006461617989</x:v>
      </x:c>
      <x:c r="AV139" s="27" t="n">
        <x:f>IF(ISNUMBER(AD139),IF('Scoring Setup'!$L$16=1,1-'Scoring Setup'!$B$5*(1-MAX(0,MIN(1,(AD139-'Scoring Setup'!$K$16)/(100-'Scoring Setup'!$K$16)))),1),"")</x:f>
        <x:v>0.9462160651428572</x:v>
      </x:c>
      <x:c r="AW139" s="27" t="n">
        <x:f>IF(ISNUMBER(AE139),IF('Scoring Setup'!$L$17=1,1-'Scoring Setup'!$B$5*(1-MAX(0,MIN(1,(AE139-'Scoring Setup'!$K$17)/(100-'Scoring Setup'!$K$17)))),1),"")</x:f>
        <x:v>0.9526302245</x:v>
      </x:c>
      <x:c r="AX139" s="27" t="n">
        <x:f>IF(ISNUMBER(AF139),IF('Scoring Setup'!$L$18=1,1-'Scoring Setup'!$B$5*(1-MAX(0,MIN(1,(AF139-'Scoring Setup'!$K$18)/(100-'Scoring Setup'!$K$18)))),1),"")</x:f>
        <x:v>0.8222697016863475</x:v>
      </x:c>
      <x:c r="AY139" s="27" t="n">
        <x:f>IF(ISNUMBER(AG139),IF('Scoring Setup'!$L$19=1,1-'Scoring Setup'!$B$5*(1-MAX(0,MIN(1,(AG139-'Scoring Setup'!$K$19)/(100-'Scoring Setup'!$K$19)))),1),"")</x:f>
        <x:v>0.8</x:v>
      </x:c>
      <x:c r="AZ139" s="27" t="n">
        <x:f>IF(ISNUMBER(AH139),IF('Scoring Setup'!$L$20=1,1-'Scoring Setup'!$B$5*(1-MAX(0,MIN(1,(AH139-'Scoring Setup'!$K$20)/(100-'Scoring Setup'!$K$20)))),1),"")</x:f>
        <x:v>0.8092053911675348</x:v>
      </x:c>
      <x:c r="BA139" s="27" t="n">
        <x:f>IF(ISNUMBER(AI139),IF('Scoring Setup'!$L$21=1,1-'Scoring Setup'!$B$5*(1-MAX(0,MIN(1,(AI139-'Scoring Setup'!$K$21)/(100-'Scoring Setup'!$K$21)))),1),"")</x:f>
        <x:v>0.8203033105759394</x:v>
      </x:c>
      <x:c r="BB139" s="27" t="n">
        <x:f>IF(ISNUMBER(AJ139),IF('Scoring Setup'!$L$22=1,1-'Scoring Setup'!$B$5*(1-MAX(0,MIN(1,(AJ139-'Scoring Setup'!$K$22)/(100-'Scoring Setup'!$K$22)))),1),"")</x:f>
        <x:v>0.8</x:v>
      </x:c>
      <x:c r="BC139" s="27" t="n">
        <x:f>IF(ISNUMBER(AK139),IF('Scoring Setup'!$L$23=1,1-'Scoring Setup'!$B$5*(1-MAX(0,MIN(1,(AK139-'Scoring Setup'!$K$23)/(100-'Scoring Setup'!$K$23)))),1),"")</x:f>
        <x:v>1</x:v>
      </x:c>
      <x:c r="BD139" s="27" t="n">
        <x:f>IF(ISNUMBER(AL139),IF('Scoring Setup'!$L$24=1,1-'Scoring Setup'!$B$5*(1-MAX(0,MIN(1,(AL139-'Scoring Setup'!$K$24)/(100-'Scoring Setup'!$K$24)))),1),"")</x:f>
        <x:v>0.9741818181818181</x:v>
      </x:c>
      <x:c r="BE139" s="27" t="n">
        <x:f>IF(ISNUMBER(AM139),IF('Scoring Setup'!$L$25=1,1-'Scoring Setup'!$B$5*(1-MAX(0,MIN(1,(AM139-'Scoring Setup'!$K$25)/(100-'Scoring Setup'!$K$25)))),1),"")</x:f>
        <x:v>0.8885845218271159</x:v>
      </x:c>
      <x:c r="BF139" s="27" t="n">
        <x:f>IF(ISNUMBER(AN139),IF('Scoring Setup'!$L$26=1,1-'Scoring Setup'!$B$5*(1-MAX(0,MIN(1,(AN139-'Scoring Setup'!$K$26)/(100-'Scoring Setup'!$K$26)))),1),"")</x:f>
        <x:v>0.937286211052675</x:v>
      </x:c>
      <x:c r="BG139" s="34" t="n">
        <x:f>IF(COUNT(W139,X139)=2,AVERAGE(W139,X139),"")</x:f>
        <x:v>77.03978076379065</x:v>
      </x:c>
      <x:c r="BH139" s="34" t="n">
        <x:f>IF(COUNT(Y139,Z139)=2,AVERAGE(Y139,Z139),"")</x:f>
        <x:v>95.00626327641874</x:v>
      </x:c>
      <x:c r="BI139" s="34" t="n">
        <x:f>IF(COUNT(AA139,AB139,AC139)=3,AVERAGE(AA139,AB139,AC139),"")</x:f>
        <x:v>82.78151686758552</x:v>
      </x:c>
      <x:c r="BJ139" s="34" t="n">
        <x:f>IF(COUNT(AD139,AE139)=2,AVERAGE(AD139,AE139),"")</x:f>
        <x:v>74.7115724107143</x:v>
      </x:c>
      <x:c r="BK139" s="34" t="n">
        <x:f>IF(COUNT(AF139,AG139)=2,AVERAGE(AF139,AG139),"")</x:f>
        <x:v>5.567425421586867</x:v>
      </x:c>
      <x:c r="BL139" s="34" t="n">
        <x:f>IF(COUNT(AH139,AI139)=2,AVERAGE(AH139,AI139),"")</x:f>
        <x:v>7.3771754358685255</x:v>
      </x:c>
      <x:c r="BM139" s="34" t="n">
        <x:f>IF(COUNT(AJ139,AK139)=2,AVERAGE(AJ139,AK139),"")</x:f>
        <x:v>50</x:v>
      </x:c>
      <x:c r="BN139" s="34" t="n">
        <x:f>IF(COUNT(AL139,AM139,AN139)=3,AVERAGE(AL139,AM139,AN139),"")</x:f>
        <x:v>66.67542517693484</x:v>
      </x:c>
      <x:c r="BO139" s="35" t="n">
        <x:f>IF(AND(COUNT(BG139:BN139)=8,ABS('Scoring Setup'!$C$17-1)&lt;0.000001),BG139*'Scoring Setup'!$C$9+BH139*'Scoring Setup'!$C$10+BI139*'Scoring Setup'!$C$11+BJ139*'Scoring Setup'!$C$12+BK139*'Scoring Setup'!$C$13+BL139*'Scoring Setup'!$C$14+BM139*'Scoring Setup'!$C$15+BN139*'Scoring Setup'!$C$16,"")</x:f>
        <x:v>65.88276852652535</x:v>
      </x:c>
      <x:c r="BP139" s="36" t="n">
        <x:f>IF(COUNT(AO139:BF139)=18,MIN(AO139:BF139),"")</x:f>
        <x:v>0.8</x:v>
      </x:c>
      <x:c r="BQ139" s="35" t="n">
        <x:f>IF(AND(ISNUMBER(BO139),ISNUMBER(BP139)),BO139*BP139,"")</x:f>
        <x:v>52.706214821220286</x:v>
      </x:c>
      <x:c r="BR139" s="17" t="str">
        <x:f>IF(COUNT(AO139:BF139)=18,INDEX('Scoring Setup'!$F$9:$F$26,MATCH(MIN(AO139:BF139),AO139:BF139,0),1),"")</x:f>
        <x:v>社会脆弱性百分位</x:v>
      </x:c>
    </x:row>
    <x:row r="140">
      <x:c r="A140" s="28" t="str">
        <x:v>13275</x:v>
      </x:c>
      <x:c r="B140" s="28" t="str">
        <x:v>Thomas County</x:v>
      </x:c>
      <x:c r="C140" s="28" t="str">
        <x:v>GA</x:v>
      </x:c>
      <x:c r="D140" s="31" t="n">
        <x:v>1410.592607</x:v>
      </x:c>
      <x:c r="E140" s="32" t="n">
        <x:v>0.561</x:v>
      </x:c>
      <x:c r="F140" s="32" t="n">
        <x:v>0.122215346534653</x:v>
      </x:c>
      <x:c r="G140" s="32" t="n">
        <x:v>2.731892635878871</x:v>
      </x:c>
      <x:c r="H140" s="32" t="n">
        <x:v>2.8324890371559883</x:v>
      </x:c>
      <x:c r="I140" s="32" t="n">
        <x:v>0.9270612544327029</x:v>
      </x:c>
      <x:c r="J140" s="32" t="n">
        <x:v>0.02025130121812749</x:v>
      </x:c>
      <x:c r="K140" s="32" t="n">
        <x:v>0.22131086161336425</x:v>
      </x:c>
      <x:c r="L140" s="32" t="n">
        <x:v>0.510893472</x:v>
      </x:c>
      <x:c r="M140" s="32" t="n">
        <x:v>0.434784413</x:v>
      </x:c>
      <x:c r="N140" s="32" t="n">
        <x:v>21181</x:v>
      </x:c>
      <x:c r="O140" s="32" t="n">
        <x:v>0.8158</x:v>
      </x:c>
      <x:c r="P140" s="32" t="n">
        <x:v>2307.610001627604</x:v>
      </x:c>
      <x:c r="Q140" s="32" t="n">
        <x:v>74.32741470336914</x:v>
      </x:c>
      <x:c r="R140" s="32" t="n">
        <x:v>41.99748330480869</x:v>
      </x:c>
      <x:c r="S140" s="32" t="n">
        <x:v>0.5416291290189436</x:v>
      </x:c>
      <x:c r="T140" s="32" t="n">
        <x:v>72.1</x:v>
      </x:c>
      <x:c r="U140" s="32" t="n">
        <x:v>211.4154781728841</x:v>
      </x:c>
      <x:c r="V140" s="32" t="n">
        <x:v>325.42757789465</x:v>
      </x:c>
      <x:c r="W140" s="33" t="n">
        <x:f>IF(ISNUMBER(E140),100*MAX(0,MIN(1,('Anchors'!$H$6-E140)/('Anchors'!$H$6-'Anchors'!$G$6))),"")</x:f>
        <x:v>48.42857142857142</x:v>
      </x:c>
      <x:c r="X140" s="33" t="n">
        <x:f>IF(ISNUMBER(F140),100*MAX(0,MIN(1,('Anchors'!$H$7-F140)/('Anchors'!$H$7-'Anchors'!$G$7))),"")</x:f>
        <x:v>96.82637906647813</x:v>
      </x:c>
      <x:c r="Y140" s="33" t="n">
        <x:f>IF(ISNUMBER(G140),100*MAX(0,MIN(1,('Anchors'!$H$8-G140)/('Anchors'!$H$8-'Anchors'!$G$8))),"")</x:f>
        <x:v>42.270245470704296</x:v>
      </x:c>
      <x:c r="Z140" s="33" t="n">
        <x:f>IF(ISNUMBER(H140),100*MAX(0,MIN(1,('Anchors'!$H$9-H140)/('Anchors'!$H$9-'Anchors'!$G$9))),"")</x:f>
        <x:v>38.91703209480039</x:v>
      </x:c>
      <x:c r="AA140" s="33" t="n">
        <x:f>IF(ISNUMBER(I140),100*MAX(0,MIN(1,(I140-'Anchors'!$H$10)/('Anchors'!$G$10-'Anchors'!$H$10))),"")</x:f>
        <x:v>92.74811704557575</x:v>
      </x:c>
      <x:c r="AB140" s="33" t="n">
        <x:f>IF(ISNUMBER(J140),100*MAX(0,MIN(1,('Anchors'!$H$11-J140)/('Anchors'!$H$11-'Anchors'!$G$11))),"")</x:f>
        <x:v>91.89947951274901</x:v>
      </x:c>
      <x:c r="AC140" s="33" t="n">
        <x:f>IF(ISNUMBER(K140),100*MAX(0,MIN(1,('Anchors'!$H$12-K140)/('Anchors'!$H$12-'Anchors'!$G$12))),"")</x:f>
        <x:v>44.67228459665894</x:v>
      </x:c>
      <x:c r="AD140" s="33" t="n">
        <x:f>IF(ISNUMBER(L140),100*MAX(0,MIN(1,(L140-'Anchors'!$H$13)/('Anchors'!$G$13-'Anchors'!$H$13))),"")</x:f>
        <x:v>44.41335314285715</x:v>
      </x:c>
      <x:c r="AE140" s="33" t="n">
        <x:f>IF(ISNUMBER(M140),100*MAX(0,MIN(1,(M140-'Anchors'!$H$14)/('Anchors'!$G$14-'Anchors'!$H$14))),"")</x:f>
        <x:v>41.848051625</x:v>
      </x:c>
      <x:c r="AF140" s="33" t="n">
        <x:f>IF(ISNUMBER(N140),100*MAX(0,MIN(1,(LN(1+N140)-LN(1+'Anchors'!$H$15))/(LN(1+'Anchors'!$G$15)-LN(1+'Anchors'!$H$15)))),"")</x:f>
        <x:v>54.65618469947792</x:v>
      </x:c>
      <x:c r="AG140" s="33" t="n">
        <x:f>IF(ISNUMBER(O140),100*MAX(0,MIN(1,('Anchors'!$H$16-O140)/('Anchors'!$H$16-'Anchors'!$G$16))),"")</x:f>
        <x:v>14.911111111111111</x:v>
      </x:c>
      <x:c r="AH140" s="33" t="n">
        <x:f>IF(ISNUMBER(P140),100*MAX(0,MIN(1,('Anchors'!$H$17-P140)/('Anchors'!$H$17-'Anchors'!$G$17))),"")</x:f>
        <x:v>0</x:v>
      </x:c>
      <x:c r="AI140" s="33" t="n">
        <x:f>IF(ISNUMBER(Q140),100*MAX(0,MIN(1,('Anchors'!$H$18-Q140)/('Anchors'!$H$18-'Anchors'!$G$18))),"")</x:f>
        <x:v>0.9608361380440809</x:v>
      </x:c>
      <x:c r="AJ140" s="33" t="n">
        <x:f>IF(ISNUMBER(R140),100*MAX(0,MIN(1,('Anchors'!$H$19-R140)/('Anchors'!$H$19-'Anchors'!$G$19))),"")</x:f>
        <x:v>17.78337043375847</x:v>
      </x:c>
      <x:c r="AK140" s="33" t="n">
        <x:f>IF(ISNUMBER(S140),100*MAX(0,MIN(1,('Anchors'!$H$20-S140)/('Anchors'!$H$20-'Anchors'!$G$20))),"")</x:f>
        <x:v>100</x:v>
      </x:c>
      <x:c r="AL140" s="33" t="n">
        <x:f>IF(ISNUMBER(T140),100*MAX(0,MIN(1,('Anchors'!$H$21-T140)/('Anchors'!$H$21-'Anchors'!$G$21))),"")</x:f>
        <x:v>87.0909090909091</x:v>
      </x:c>
      <x:c r="AM140" s="33" t="n">
        <x:f>IF(ISNUMBER(U140),100*MAX(0,MIN(1,('Anchors'!$H$22-U140)/('Anchors'!$H$22-'Anchors'!$G$22))),"")</x:f>
        <x:v>44.29226091355795</x:v>
      </x:c>
      <x:c r="AN140" s="33" t="n">
        <x:f>IF(ISNUMBER(V140),100*MAX(0,MIN(1,('Anchors'!$H$23-V140)/('Anchors'!$H$23-'Anchors'!$G$23))),"")</x:f>
        <x:v>68.6431055263375</x:v>
      </x:c>
      <x:c r="AO140" s="27" t="n">
        <x:f>IF(ISNUMBER(W140),IF('Scoring Setup'!$L$9=1,1-'Scoring Setup'!$B$5*(1-MAX(0,MIN(1,(W140-'Scoring Setup'!$K$9)/(100-'Scoring Setup'!$K$9)))),1),"")</x:f>
        <x:v>0.8968571428571428</x:v>
      </x:c>
      <x:c r="AP140" s="27" t="n">
        <x:f>IF(ISNUMBER(X140),IF('Scoring Setup'!$L$10=1,1-'Scoring Setup'!$B$5*(1-MAX(0,MIN(1,(X140-'Scoring Setup'!$K$10)/(100-'Scoring Setup'!$K$10)))),1),"")</x:f>
        <x:v>0.9936527581329563</x:v>
      </x:c>
      <x:c r="AQ140" s="27" t="n">
        <x:f>IF(ISNUMBER(Y140),IF('Scoring Setup'!$L$11=1,1-'Scoring Setup'!$B$5*(1-MAX(0,MIN(1,(Y140-'Scoring Setup'!$K$11)/(100-'Scoring Setup'!$K$11)))),1),"")</x:f>
        <x:v>0.8845404909414086</x:v>
      </x:c>
      <x:c r="AR140" s="27" t="n">
        <x:f>IF(ISNUMBER(Z140),IF('Scoring Setup'!$L$12=1,1-'Scoring Setup'!$B$5*(1-MAX(0,MIN(1,(Z140-'Scoring Setup'!$K$12)/(100-'Scoring Setup'!$K$12)))),1),"")</x:f>
        <x:v>0.8778340641896007</x:v>
      </x:c>
      <x:c r="AS140" s="27" t="n">
        <x:f>IF(ISNUMBER(AA140),IF('Scoring Setup'!$L$13=1,1-'Scoring Setup'!$B$5*(1-MAX(0,MIN(1,(AA140-'Scoring Setup'!$K$13)/(100-'Scoring Setup'!$K$13)))),1),"")</x:f>
        <x:v>0.9854962340911515</x:v>
      </x:c>
      <x:c r="AT140" s="27" t="n">
        <x:f>IF(ISNUMBER(AB140),IF('Scoring Setup'!$L$14=1,1-'Scoring Setup'!$B$5*(1-MAX(0,MIN(1,(AB140-'Scoring Setup'!$K$14)/(100-'Scoring Setup'!$K$14)))),1),"")</x:f>
        <x:v>0.9837989590254981</x:v>
      </x:c>
      <x:c r="AU140" s="27" t="n">
        <x:f>IF(ISNUMBER(AC140),IF('Scoring Setup'!$L$15=1,1-'Scoring Setup'!$B$5*(1-MAX(0,MIN(1,(AC140-'Scoring Setup'!$K$15)/(100-'Scoring Setup'!$K$15)))),1),"")</x:f>
        <x:v>0.8893445691933178</x:v>
      </x:c>
      <x:c r="AV140" s="27" t="n">
        <x:f>IF(ISNUMBER(AD140),IF('Scoring Setup'!$L$16=1,1-'Scoring Setup'!$B$5*(1-MAX(0,MIN(1,(AD140-'Scoring Setup'!$K$16)/(100-'Scoring Setup'!$K$16)))),1),"")</x:f>
        <x:v>0.8888267062857143</x:v>
      </x:c>
      <x:c r="AW140" s="27" t="n">
        <x:f>IF(ISNUMBER(AE140),IF('Scoring Setup'!$L$17=1,1-'Scoring Setup'!$B$5*(1-MAX(0,MIN(1,(AE140-'Scoring Setup'!$K$17)/(100-'Scoring Setup'!$K$17)))),1),"")</x:f>
        <x:v>0.88369610325</x:v>
      </x:c>
      <x:c r="AX140" s="27" t="n">
        <x:f>IF(ISNUMBER(AF140),IF('Scoring Setup'!$L$18=1,1-'Scoring Setup'!$B$5*(1-MAX(0,MIN(1,(AF140-'Scoring Setup'!$K$18)/(100-'Scoring Setup'!$K$18)))),1),"")</x:f>
        <x:v>0.9093123693989558</x:v>
      </x:c>
      <x:c r="AY140" s="27" t="n">
        <x:f>IF(ISNUMBER(AG140),IF('Scoring Setup'!$L$19=1,1-'Scoring Setup'!$B$5*(1-MAX(0,MIN(1,(AG140-'Scoring Setup'!$K$19)/(100-'Scoring Setup'!$K$19)))),1),"")</x:f>
        <x:v>0.8298222222222222</x:v>
      </x:c>
      <x:c r="AZ140" s="27" t="n">
        <x:f>IF(ISNUMBER(AH140),IF('Scoring Setup'!$L$20=1,1-'Scoring Setup'!$B$5*(1-MAX(0,MIN(1,(AH140-'Scoring Setup'!$K$20)/(100-'Scoring Setup'!$K$20)))),1),"")</x:f>
        <x:v>0.8</x:v>
      </x:c>
      <x:c r="BA140" s="27" t="n">
        <x:f>IF(ISNUMBER(AI140),IF('Scoring Setup'!$L$21=1,1-'Scoring Setup'!$B$5*(1-MAX(0,MIN(1,(AI140-'Scoring Setup'!$K$21)/(100-'Scoring Setup'!$K$21)))),1),"")</x:f>
        <x:v>0.8019216722760881</x:v>
      </x:c>
      <x:c r="BB140" s="27" t="n">
        <x:f>IF(ISNUMBER(AJ140),IF('Scoring Setup'!$L$22=1,1-'Scoring Setup'!$B$5*(1-MAX(0,MIN(1,(AJ140-'Scoring Setup'!$K$22)/(100-'Scoring Setup'!$K$22)))),1),"")</x:f>
        <x:v>0.8355667408675169</x:v>
      </x:c>
      <x:c r="BC140" s="27" t="n">
        <x:f>IF(ISNUMBER(AK140),IF('Scoring Setup'!$L$23=1,1-'Scoring Setup'!$B$5*(1-MAX(0,MIN(1,(AK140-'Scoring Setup'!$K$23)/(100-'Scoring Setup'!$K$23)))),1),"")</x:f>
        <x:v>1</x:v>
      </x:c>
      <x:c r="BD140" s="27" t="n">
        <x:f>IF(ISNUMBER(AL140),IF('Scoring Setup'!$L$24=1,1-'Scoring Setup'!$B$5*(1-MAX(0,MIN(1,(AL140-'Scoring Setup'!$K$24)/(100-'Scoring Setup'!$K$24)))),1),"")</x:f>
        <x:v>0.9741818181818181</x:v>
      </x:c>
      <x:c r="BE140" s="27" t="n">
        <x:f>IF(ISNUMBER(AM140),IF('Scoring Setup'!$L$25=1,1-'Scoring Setup'!$B$5*(1-MAX(0,MIN(1,(AM140-'Scoring Setup'!$K$25)/(100-'Scoring Setup'!$K$25)))),1),"")</x:f>
        <x:v>0.8885845218271159</x:v>
      </x:c>
      <x:c r="BF140" s="27" t="n">
        <x:f>IF(ISNUMBER(AN140),IF('Scoring Setup'!$L$26=1,1-'Scoring Setup'!$B$5*(1-MAX(0,MIN(1,(AN140-'Scoring Setup'!$K$26)/(100-'Scoring Setup'!$K$26)))),1),"")</x:f>
        <x:v>0.937286211052675</x:v>
      </x:c>
      <x:c r="BG140" s="34" t="n">
        <x:f>IF(COUNT(W140,X140)=2,AVERAGE(W140,X140),"")</x:f>
        <x:v>72.62747524752477</x:v>
      </x:c>
      <x:c r="BH140" s="34" t="n">
        <x:f>IF(COUNT(Y140,Z140)=2,AVERAGE(Y140,Z140),"")</x:f>
        <x:v>40.59363878275234</x:v>
      </x:c>
      <x:c r="BI140" s="34" t="n">
        <x:f>IF(COUNT(AA140,AB140,AC140)=3,AVERAGE(AA140,AB140,AC140),"")</x:f>
        <x:v>76.43996038499456</x:v>
      </x:c>
      <x:c r="BJ140" s="34" t="n">
        <x:f>IF(COUNT(AD140,AE140)=2,AVERAGE(AD140,AE140),"")</x:f>
        <x:v>43.13070238392857</x:v>
      </x:c>
      <x:c r="BK140" s="34" t="n">
        <x:f>IF(COUNT(AF140,AG140)=2,AVERAGE(AF140,AG140),"")</x:f>
        <x:v>34.783647905294515</x:v>
      </x:c>
      <x:c r="BL140" s="34" t="n">
        <x:f>IF(COUNT(AH140,AI140)=2,AVERAGE(AH140,AI140),"")</x:f>
        <x:v>0.48041806902204043</x:v>
      </x:c>
      <x:c r="BM140" s="34" t="n">
        <x:f>IF(COUNT(AJ140,AK140)=2,AVERAGE(AJ140,AK140),"")</x:f>
        <x:v>58.89168521687924</x:v>
      </x:c>
      <x:c r="BN140" s="34" t="n">
        <x:f>IF(COUNT(AL140,AM140,AN140)=3,AVERAGE(AL140,AM140,AN140),"")</x:f>
        <x:v>66.67542517693484</x:v>
      </x:c>
      <x:c r="BO140" s="35" t="n">
        <x:f>IF(AND(COUNT(BG140:BN140)=8,ABS('Scoring Setup'!$C$17-1)&lt;0.000001),BG140*'Scoring Setup'!$C$9+BH140*'Scoring Setup'!$C$10+BI140*'Scoring Setup'!$C$11+BJ140*'Scoring Setup'!$C$12+BK140*'Scoring Setup'!$C$13+BL140*'Scoring Setup'!$C$14+BM140*'Scoring Setup'!$C$15+BN140*'Scoring Setup'!$C$16,"")</x:f>
        <x:v>53.78813906610023</x:v>
      </x:c>
      <x:c r="BP140" s="36" t="n">
        <x:f>IF(COUNT(AO140:BF140)=18,MIN(AO140:BF140),"")</x:f>
        <x:v>0.8</x:v>
      </x:c>
      <x:c r="BQ140" s="35" t="n">
        <x:f>IF(AND(ISNUMBER(BO140),ISNUMBER(BP140)),BO140*BP140,"")</x:f>
        <x:v>43.03051125288019</x:v>
      </x:c>
      <x:c r="BR140" s="17" t="str">
        <x:f>IF(COUNT(AO140:BF140)=18,INDEX('Scoring Setup'!$F$9:$F$26,MATCH(MIN(AO140:BF140),AO140:BF140,0),1),"")</x:f>
        <x:v>历史CDD65</x:v>
      </x:c>
    </x:row>
    <x:row r="141">
      <x:c r="A141" s="28" t="str">
        <x:v>13277</x:v>
      </x:c>
      <x:c r="B141" s="28" t="str">
        <x:v>Tift County</x:v>
      </x:c>
      <x:c r="C141" s="28" t="str">
        <x:v>GA</x:v>
      </x:c>
      <x:c r="D141" s="31" t="n">
        <x:v>675.702322</x:v>
      </x:c>
      <x:c r="E141" s="32" t="n">
        <x:v>0.473</x:v>
      </x:c>
      <x:c r="F141" s="32" t="n">
        <x:v>0.0798267326732673</x:v>
      </x:c>
      <x:c r="G141" s="32" t="n">
        <x:v>2.8615833765292407</x:v>
      </x:c>
      <x:c r="H141" s="32" t="n">
        <x:v>3.072920026</x:v>
      </x:c>
      <x:c r="I141" s="32" t="n">
        <x:v>0.855474444829566</x:v>
      </x:c>
      <x:c r="J141" s="32" t="n">
        <x:v>0.00000734345486938227</x:v>
      </x:c>
      <x:c r="K141" s="32" t="n">
        <x:v>0.20412253569944994</x:v>
      </x:c>
      <x:c r="L141" s="32" t="n">
        <x:v>0.433346232</x:v>
      </x:c>
      <x:c r="M141" s="32" t="n">
        <x:v>0.418835252</x:v>
      </x:c>
      <x:c r="N141" s="32" t="n">
        <x:v>19750</x:v>
      </x:c>
      <x:c r="O141" s="32" t="n">
        <x:v>0.8759</x:v>
      </x:c>
      <x:c r="P141" s="32" t="n">
        <x:v>2216.314933268229</x:v>
      </x:c>
      <x:c r="Q141" s="32" t="n">
        <x:v>66.05258814493816</x:v>
      </x:c>
      <x:c r="R141" s="32" t="n">
        <x:v>0.40324501430879095</x:v>
      </x:c>
      <x:c r="S141" s="32" t="n">
        <x:v>1.016103363042785</x:v>
      </x:c>
      <x:c r="T141" s="32" t="n">
        <x:v>72.1</x:v>
      </x:c>
      <x:c r="U141" s="32" t="n">
        <x:v>211.4154781728841</x:v>
      </x:c>
      <x:c r="V141" s="32" t="n">
        <x:v>325.42757789465</x:v>
      </x:c>
      <x:c r="W141" s="33" t="n">
        <x:f>IF(ISNUMBER(E141),100*MAX(0,MIN(1,('Anchors'!$H$6-E141)/('Anchors'!$H$6-'Anchors'!$G$6))),"")</x:f>
        <x:v>61.00000000000001</x:v>
      </x:c>
      <x:c r="X141" s="33" t="n">
        <x:f>IF(ISNUMBER(F141),100*MAX(0,MIN(1,('Anchors'!$H$7-F141)/('Anchors'!$H$7-'Anchors'!$G$7))),"")</x:f>
        <x:v>100</x:v>
      </x:c>
      <x:c r="Y141" s="33" t="n">
        <x:f>IF(ISNUMBER(G141),100*MAX(0,MIN(1,('Anchors'!$H$8-G141)/('Anchors'!$H$8-'Anchors'!$G$8))),"")</x:f>
        <x:v>37.94722078235864</x:v>
      </x:c>
      <x:c r="Z141" s="33" t="n">
        <x:f>IF(ISNUMBER(H141),100*MAX(0,MIN(1,('Anchors'!$H$9-H141)/('Anchors'!$H$9-'Anchors'!$G$9))),"")</x:f>
        <x:v>30.90266580000001</x:v>
      </x:c>
      <x:c r="AA141" s="33" t="n">
        <x:f>IF(ISNUMBER(I141),100*MAX(0,MIN(1,(I141-'Anchors'!$H$10)/('Anchors'!$G$10-'Anchors'!$H$10))),"")</x:f>
        <x:v>82.94170477117343</x:v>
      </x:c>
      <x:c r="AB141" s="33" t="n">
        <x:f>IF(ISNUMBER(J141),100*MAX(0,MIN(1,('Anchors'!$H$11-J141)/('Anchors'!$H$11-'Anchors'!$G$11))),"")</x:f>
        <x:v>99.99706261805224</x:v>
      </x:c>
      <x:c r="AC141" s="33" t="n">
        <x:f>IF(ISNUMBER(K141),100*MAX(0,MIN(1,('Anchors'!$H$12-K141)/('Anchors'!$H$12-'Anchors'!$G$12))),"")</x:f>
        <x:v>48.96936607513752</x:v>
      </x:c>
      <x:c r="AD141" s="33" t="n">
        <x:f>IF(ISNUMBER(L141),100*MAX(0,MIN(1,(L141-'Anchors'!$H$13)/('Anchors'!$G$13-'Anchors'!$H$13))),"")</x:f>
        <x:v>33.335176</x:v>
      </x:c>
      <x:c r="AE141" s="33" t="n">
        <x:f>IF(ISNUMBER(M141),100*MAX(0,MIN(1,(M141-'Anchors'!$H$14)/('Anchors'!$G$14-'Anchors'!$H$14))),"")</x:f>
        <x:v>39.854406499999996</x:v>
      </x:c>
      <x:c r="AF141" s="33" t="n">
        <x:f>IF(ISNUMBER(N141),100*MAX(0,MIN(1,(LN(1+N141)-LN(1+'Anchors'!$H$15))/(LN(1+'Anchors'!$G$15)-LN(1+'Anchors'!$H$15)))),"")</x:f>
        <x:v>53.03589922354447</x:v>
      </x:c>
      <x:c r="AG141" s="33" t="n">
        <x:f>IF(ISNUMBER(O141),100*MAX(0,MIN(1,('Anchors'!$H$16-O141)/('Anchors'!$H$16-'Anchors'!$G$16))),"")</x:f>
        <x:v>8.233333333333327</x:v>
      </x:c>
      <x:c r="AH141" s="33" t="n">
        <x:f>IF(ISNUMBER(P141),100*MAX(0,MIN(1,('Anchors'!$H$17-P141)/('Anchors'!$H$17-'Anchors'!$G$17))),"")</x:f>
        <x:v>0</x:v>
      </x:c>
      <x:c r="AI141" s="33" t="n">
        <x:f>IF(ISNUMBER(Q141),100*MAX(0,MIN(1,('Anchors'!$H$18-Q141)/('Anchors'!$H$18-'Anchors'!$G$18))),"")</x:f>
        <x:v>12.782016935802634</x:v>
      </x:c>
      <x:c r="AJ141" s="33" t="n">
        <x:f>IF(ISNUMBER(R141),100*MAX(0,MIN(1,('Anchors'!$H$19-R141)/('Anchors'!$H$19-'Anchors'!$G$19))),"")</x:f>
        <x:v>100</x:v>
      </x:c>
      <x:c r="AK141" s="33" t="n">
        <x:f>IF(ISNUMBER(S141),100*MAX(0,MIN(1,('Anchors'!$H$20-S141)/('Anchors'!$H$20-'Anchors'!$G$20))),"")</x:f>
        <x:v>99.91524545766956</x:v>
      </x:c>
      <x:c r="AL141" s="33" t="n">
        <x:f>IF(ISNUMBER(T141),100*MAX(0,MIN(1,('Anchors'!$H$21-T141)/('Anchors'!$H$21-'Anchors'!$G$21))),"")</x:f>
        <x:v>87.0909090909091</x:v>
      </x:c>
      <x:c r="AM141" s="33" t="n">
        <x:f>IF(ISNUMBER(U141),100*MAX(0,MIN(1,('Anchors'!$H$22-U141)/('Anchors'!$H$22-'Anchors'!$G$22))),"")</x:f>
        <x:v>44.29226091355795</x:v>
      </x:c>
      <x:c r="AN141" s="33" t="n">
        <x:f>IF(ISNUMBER(V141),100*MAX(0,MIN(1,('Anchors'!$H$23-V141)/('Anchors'!$H$23-'Anchors'!$G$23))),"")</x:f>
        <x:v>68.6431055263375</x:v>
      </x:c>
      <x:c r="AO141" s="27" t="n">
        <x:f>IF(ISNUMBER(W141),IF('Scoring Setup'!$L$9=1,1-'Scoring Setup'!$B$5*(1-MAX(0,MIN(1,(W141-'Scoring Setup'!$K$9)/(100-'Scoring Setup'!$K$9)))),1),"")</x:f>
        <x:v>0.922</x:v>
      </x:c>
      <x:c r="AP141" s="27" t="n">
        <x:f>IF(ISNUMBER(X141),IF('Scoring Setup'!$L$10=1,1-'Scoring Setup'!$B$5*(1-MAX(0,MIN(1,(X141-'Scoring Setup'!$K$10)/(100-'Scoring Setup'!$K$10)))),1),"")</x:f>
        <x:v>1</x:v>
      </x:c>
      <x:c r="AQ141" s="27" t="n">
        <x:f>IF(ISNUMBER(Y141),IF('Scoring Setup'!$L$11=1,1-'Scoring Setup'!$B$5*(1-MAX(0,MIN(1,(Y141-'Scoring Setup'!$K$11)/(100-'Scoring Setup'!$K$11)))),1),"")</x:f>
        <x:v>0.8758944415647173</x:v>
      </x:c>
      <x:c r="AR141" s="27" t="n">
        <x:f>IF(ISNUMBER(Z141),IF('Scoring Setup'!$L$12=1,1-'Scoring Setup'!$B$5*(1-MAX(0,MIN(1,(Z141-'Scoring Setup'!$K$12)/(100-'Scoring Setup'!$K$12)))),1),"")</x:f>
        <x:v>0.8618053316000001</x:v>
      </x:c>
      <x:c r="AS141" s="27" t="n">
        <x:f>IF(ISNUMBER(AA141),IF('Scoring Setup'!$L$13=1,1-'Scoring Setup'!$B$5*(1-MAX(0,MIN(1,(AA141-'Scoring Setup'!$K$13)/(100-'Scoring Setup'!$K$13)))),1),"")</x:f>
        <x:v>0.9658834095423469</x:v>
      </x:c>
      <x:c r="AT141" s="27" t="n">
        <x:f>IF(ISNUMBER(AB141),IF('Scoring Setup'!$L$14=1,1-'Scoring Setup'!$B$5*(1-MAX(0,MIN(1,(AB141-'Scoring Setup'!$K$14)/(100-'Scoring Setup'!$K$14)))),1),"")</x:f>
        <x:v>0.9999941252361044</x:v>
      </x:c>
      <x:c r="AU141" s="27" t="n">
        <x:f>IF(ISNUMBER(AC141),IF('Scoring Setup'!$L$15=1,1-'Scoring Setup'!$B$5*(1-MAX(0,MIN(1,(AC141-'Scoring Setup'!$K$15)/(100-'Scoring Setup'!$K$15)))),1),"")</x:f>
        <x:v>0.897938732150275</x:v>
      </x:c>
      <x:c r="AV141" s="27" t="n">
        <x:f>IF(ISNUMBER(AD141),IF('Scoring Setup'!$L$16=1,1-'Scoring Setup'!$B$5*(1-MAX(0,MIN(1,(AD141-'Scoring Setup'!$K$16)/(100-'Scoring Setup'!$K$16)))),1),"")</x:f>
        <x:v>0.866670352</x:v>
      </x:c>
      <x:c r="AW141" s="27" t="n">
        <x:f>IF(ISNUMBER(AE141),IF('Scoring Setup'!$L$17=1,1-'Scoring Setup'!$B$5*(1-MAX(0,MIN(1,(AE141-'Scoring Setup'!$K$17)/(100-'Scoring Setup'!$K$17)))),1),"")</x:f>
        <x:v>0.8797088129999999</x:v>
      </x:c>
      <x:c r="AX141" s="27" t="n">
        <x:f>IF(ISNUMBER(AF141),IF('Scoring Setup'!$L$18=1,1-'Scoring Setup'!$B$5*(1-MAX(0,MIN(1,(AF141-'Scoring Setup'!$K$18)/(100-'Scoring Setup'!$K$18)))),1),"")</x:f>
        <x:v>0.906071798447089</x:v>
      </x:c>
      <x:c r="AY141" s="27" t="n">
        <x:f>IF(ISNUMBER(AG141),IF('Scoring Setup'!$L$19=1,1-'Scoring Setup'!$B$5*(1-MAX(0,MIN(1,(AG141-'Scoring Setup'!$K$19)/(100-'Scoring Setup'!$K$19)))),1),"")</x:f>
        <x:v>0.8164666666666667</x:v>
      </x:c>
      <x:c r="AZ141" s="27" t="n">
        <x:f>IF(ISNUMBER(AH141),IF('Scoring Setup'!$L$20=1,1-'Scoring Setup'!$B$5*(1-MAX(0,MIN(1,(AH141-'Scoring Setup'!$K$20)/(100-'Scoring Setup'!$K$20)))),1),"")</x:f>
        <x:v>0.8</x:v>
      </x:c>
      <x:c r="BA141" s="27" t="n">
        <x:f>IF(ISNUMBER(AI141),IF('Scoring Setup'!$L$21=1,1-'Scoring Setup'!$B$5*(1-MAX(0,MIN(1,(AI141-'Scoring Setup'!$K$21)/(100-'Scoring Setup'!$K$21)))),1),"")</x:f>
        <x:v>0.8255640338716053</x:v>
      </x:c>
      <x:c r="BB141" s="27" t="n">
        <x:f>IF(ISNUMBER(AJ141),IF('Scoring Setup'!$L$22=1,1-'Scoring Setup'!$B$5*(1-MAX(0,MIN(1,(AJ141-'Scoring Setup'!$K$22)/(100-'Scoring Setup'!$K$22)))),1),"")</x:f>
        <x:v>1</x:v>
      </x:c>
      <x:c r="BC141" s="27" t="n">
        <x:f>IF(ISNUMBER(AK141),IF('Scoring Setup'!$L$23=1,1-'Scoring Setup'!$B$5*(1-MAX(0,MIN(1,(AK141-'Scoring Setup'!$K$23)/(100-'Scoring Setup'!$K$23)))),1),"")</x:f>
        <x:v>0.9998304909153392</x:v>
      </x:c>
      <x:c r="BD141" s="27" t="n">
        <x:f>IF(ISNUMBER(AL141),IF('Scoring Setup'!$L$24=1,1-'Scoring Setup'!$B$5*(1-MAX(0,MIN(1,(AL141-'Scoring Setup'!$K$24)/(100-'Scoring Setup'!$K$24)))),1),"")</x:f>
        <x:v>0.9741818181818181</x:v>
      </x:c>
      <x:c r="BE141" s="27" t="n">
        <x:f>IF(ISNUMBER(AM141),IF('Scoring Setup'!$L$25=1,1-'Scoring Setup'!$B$5*(1-MAX(0,MIN(1,(AM141-'Scoring Setup'!$K$25)/(100-'Scoring Setup'!$K$25)))),1),"")</x:f>
        <x:v>0.8885845218271159</x:v>
      </x:c>
      <x:c r="BF141" s="27" t="n">
        <x:f>IF(ISNUMBER(AN141),IF('Scoring Setup'!$L$26=1,1-'Scoring Setup'!$B$5*(1-MAX(0,MIN(1,(AN141-'Scoring Setup'!$K$26)/(100-'Scoring Setup'!$K$26)))),1),"")</x:f>
        <x:v>0.937286211052675</x:v>
      </x:c>
      <x:c r="BG141" s="34" t="n">
        <x:f>IF(COUNT(W141,X141)=2,AVERAGE(W141,X141),"")</x:f>
        <x:v>80.5</x:v>
      </x:c>
      <x:c r="BH141" s="34" t="n">
        <x:f>IF(COUNT(Y141,Z141)=2,AVERAGE(Y141,Z141),"")</x:f>
        <x:v>34.424943291179325</x:v>
      </x:c>
      <x:c r="BI141" s="34" t="n">
        <x:f>IF(COUNT(AA141,AB141,AC141)=3,AVERAGE(AA141,AB141,AC141),"")</x:f>
        <x:v>77.30271115478773</x:v>
      </x:c>
      <x:c r="BJ141" s="34" t="n">
        <x:f>IF(COUNT(AD141,AE141)=2,AVERAGE(AD141,AE141),"")</x:f>
        <x:v>36.59479125</x:v>
      </x:c>
      <x:c r="BK141" s="34" t="n">
        <x:f>IF(COUNT(AF141,AG141)=2,AVERAGE(AF141,AG141),"")</x:f>
        <x:v>30.634616278438898</x:v>
      </x:c>
      <x:c r="BL141" s="34" t="n">
        <x:f>IF(COUNT(AH141,AI141)=2,AVERAGE(AH141,AI141),"")</x:f>
        <x:v>6.391008467901317</x:v>
      </x:c>
      <x:c r="BM141" s="34" t="n">
        <x:f>IF(COUNT(AJ141,AK141)=2,AVERAGE(AJ141,AK141),"")</x:f>
        <x:v>99.95762272883478</x:v>
      </x:c>
      <x:c r="BN141" s="34" t="n">
        <x:f>IF(COUNT(AL141,AM141,AN141)=3,AVERAGE(AL141,AM141,AN141),"")</x:f>
        <x:v>66.67542517693484</x:v>
      </x:c>
      <x:c r="BO141" s="35" t="n">
        <x:f>IF(AND(COUNT(BG141:BN141)=8,ABS('Scoring Setup'!$C$17-1)&lt;0.000001),BG141*'Scoring Setup'!$C$9+BH141*'Scoring Setup'!$C$10+BI141*'Scoring Setup'!$C$11+BJ141*'Scoring Setup'!$C$12+BK141*'Scoring Setup'!$C$13+BL141*'Scoring Setup'!$C$14+BM141*'Scoring Setup'!$C$15+BN141*'Scoring Setup'!$C$16,"")</x:f>
        <x:v>54.708259639475784</x:v>
      </x:c>
      <x:c r="BP141" s="36" t="n">
        <x:f>IF(COUNT(AO141:BF141)=18,MIN(AO141:BF141),"")</x:f>
        <x:v>0.8</x:v>
      </x:c>
      <x:c r="BQ141" s="35" t="n">
        <x:f>IF(AND(ISNUMBER(BO141),ISNUMBER(BP141)),BO141*BP141,"")</x:f>
        <x:v>43.76660771158063</x:v>
      </x:c>
      <x:c r="BR141" s="17" t="str">
        <x:f>IF(COUNT(AO141:BF141)=18,INDEX('Scoring Setup'!$F$9:$F$26,MATCH(MIN(AO141:BF141),AO141:BF141,0),1),"")</x:f>
        <x:v>历史CDD65</x:v>
      </x:c>
    </x:row>
    <x:row r="142">
      <x:c r="A142" s="28" t="str">
        <x:v>13279</x:v>
      </x:c>
      <x:c r="B142" s="28" t="str">
        <x:v>Toombs County</x:v>
      </x:c>
      <x:c r="C142" s="28" t="str">
        <x:v>GA</x:v>
      </x:c>
      <x:c r="D142" s="31" t="n">
        <x:v>942.794614</x:v>
      </x:c>
      <x:c r="E142" s="32" t="n">
        <x:v>0.559</x:v>
      </x:c>
      <x:c r="F142" s="32" t="n">
        <x:v>0.150371287128713</x:v>
      </x:c>
      <x:c r="G142" s="32" t="n">
        <x:v>1.2453864981173215</x:v>
      </x:c>
      <x:c r="H142" s="32" t="n">
        <x:v>1.1602979975751078</x:v>
      </x:c>
      <x:c r="I142" s="32" t="n">
        <x:v>0.9056817436298238</x:v>
      </x:c>
      <x:c r="J142" s="32" t="n">
        <x:v>0.00045584419070123904</x:v>
      </x:c>
      <x:c r="K142" s="32" t="n">
        <x:v>0.2491136092007793</x:v>
      </x:c>
      <x:c r="L142" s="32" t="n">
        <x:v>0.921041246</x:v>
      </x:c>
      <x:c r="M142" s="32" t="n">
        <x:v>0.921041246</x:v>
      </x:c>
      <x:c r="N142" s="32" t="n">
        <x:v>11229</x:v>
      </x:c>
      <x:c r="O142" s="32" t="n">
        <x:v>0.9857</x:v>
      </x:c>
      <x:c r="P142" s="32" t="n">
        <x:v>2207.6755615234374</x:v>
      </x:c>
      <x:c r="Q142" s="32" t="n">
        <x:v>74.87873916625976</x:v>
      </x:c>
      <x:c r="R142" s="32" t="n">
        <x:v>30.48820897647509</x:v>
      </x:c>
      <x:c r="S142" s="32" t="n">
        <x:v>9.329202467944071</x:v>
      </x:c>
      <x:c r="T142" s="32" t="n">
        <x:v>72.1</x:v>
      </x:c>
      <x:c r="U142" s="32" t="n">
        <x:v>211.4154781728841</x:v>
      </x:c>
      <x:c r="V142" s="32" t="n">
        <x:v>325.42757789465</x:v>
      </x:c>
      <x:c r="W142" s="33" t="n">
        <x:f>IF(ISNUMBER(E142),100*MAX(0,MIN(1,('Anchors'!$H$6-E142)/('Anchors'!$H$6-'Anchors'!$G$6))),"")</x:f>
        <x:v>48.714285714285715</x:v>
      </x:c>
      <x:c r="X142" s="33" t="n">
        <x:f>IF(ISNUMBER(F142),100*MAX(0,MIN(1,('Anchors'!$H$7-F142)/('Anchors'!$H$7-'Anchors'!$G$7))),"")</x:f>
        <x:v>92.80410183875527</x:v>
      </x:c>
      <x:c r="Y142" s="33" t="n">
        <x:f>IF(ISNUMBER(G142),100*MAX(0,MIN(1,('Anchors'!$H$8-G142)/('Anchors'!$H$8-'Anchors'!$G$8))),"")</x:f>
        <x:v>91.82045006275595</x:v>
      </x:c>
      <x:c r="Z142" s="33" t="n">
        <x:f>IF(ISNUMBER(H142),100*MAX(0,MIN(1,('Anchors'!$H$9-H142)/('Anchors'!$H$9-'Anchors'!$G$9))),"")</x:f>
        <x:v>94.65673341416307</x:v>
      </x:c>
      <x:c r="AA142" s="33" t="n">
        <x:f>IF(ISNUMBER(I142),100*MAX(0,MIN(1,(I142-'Anchors'!$H$10)/('Anchors'!$G$10-'Anchors'!$H$10))),"")</x:f>
        <x:v>89.8194169355923</x:v>
      </x:c>
      <x:c r="AB142" s="33" t="n">
        <x:f>IF(ISNUMBER(J142),100*MAX(0,MIN(1,('Anchors'!$H$11-J142)/('Anchors'!$H$11-'Anchors'!$G$11))),"")</x:f>
        <x:v>99.8176623237195</x:v>
      </x:c>
      <x:c r="AC142" s="33" t="n">
        <x:f>IF(ISNUMBER(K142),100*MAX(0,MIN(1,('Anchors'!$H$12-K142)/('Anchors'!$H$12-'Anchors'!$G$12))),"")</x:f>
        <x:v>37.72159769980518</x:v>
      </x:c>
      <x:c r="AD142" s="33" t="n">
        <x:f>IF(ISNUMBER(L142),100*MAX(0,MIN(1,(L142-'Anchors'!$H$13)/('Anchors'!$G$13-'Anchors'!$H$13))),"")</x:f>
        <x:v>100</x:v>
      </x:c>
      <x:c r="AE142" s="33" t="n">
        <x:f>IF(ISNUMBER(M142),100*MAX(0,MIN(1,(M142-'Anchors'!$H$14)/('Anchors'!$G$14-'Anchors'!$H$14))),"")</x:f>
        <x:v>100</x:v>
      </x:c>
      <x:c r="AF142" s="33" t="n">
        <x:f>IF(ISNUMBER(N142),100*MAX(0,MIN(1,(LN(1+N142)-LN(1+'Anchors'!$H$15))/(LN(1+'Anchors'!$G$15)-LN(1+'Anchors'!$H$15)))),"")</x:f>
        <x:v>39.95700136442884</x:v>
      </x:c>
      <x:c r="AG142" s="33" t="n">
        <x:f>IF(ISNUMBER(O142),100*MAX(0,MIN(1,('Anchors'!$H$16-O142)/('Anchors'!$H$16-'Anchors'!$G$16))),"")</x:f>
        <x:v>0</x:v>
      </x:c>
      <x:c r="AH142" s="33" t="n">
        <x:f>IF(ISNUMBER(P142),100*MAX(0,MIN(1,('Anchors'!$H$17-P142)/('Anchors'!$H$17-'Anchors'!$G$17))),"")</x:f>
        <x:v>0</x:v>
      </x:c>
      <x:c r="AI142" s="33" t="n">
        <x:f>IF(ISNUMBER(Q142),100*MAX(0,MIN(1,('Anchors'!$H$18-Q142)/('Anchors'!$H$18-'Anchors'!$G$18))),"")</x:f>
        <x:v>0.17322976248605315</x:v>
      </x:c>
      <x:c r="AJ142" s="33" t="n">
        <x:f>IF(ISNUMBER(R142),100*MAX(0,MIN(1,('Anchors'!$H$19-R142)/('Anchors'!$H$19-'Anchors'!$G$19))),"")</x:f>
        <x:v>43.35953560783313</x:v>
      </x:c>
      <x:c r="AK142" s="33" t="n">
        <x:f>IF(ISNUMBER(S142),100*MAX(0,MIN(1,('Anchors'!$H$20-S142)/('Anchors'!$H$20-'Anchors'!$G$20))),"")</x:f>
        <x:v>56.16209227397857</x:v>
      </x:c>
      <x:c r="AL142" s="33" t="n">
        <x:f>IF(ISNUMBER(T142),100*MAX(0,MIN(1,('Anchors'!$H$21-T142)/('Anchors'!$H$21-'Anchors'!$G$21))),"")</x:f>
        <x:v>87.0909090909091</x:v>
      </x:c>
      <x:c r="AM142" s="33" t="n">
        <x:f>IF(ISNUMBER(U142),100*MAX(0,MIN(1,('Anchors'!$H$22-U142)/('Anchors'!$H$22-'Anchors'!$G$22))),"")</x:f>
        <x:v>44.29226091355795</x:v>
      </x:c>
      <x:c r="AN142" s="33" t="n">
        <x:f>IF(ISNUMBER(V142),100*MAX(0,MIN(1,('Anchors'!$H$23-V142)/('Anchors'!$H$23-'Anchors'!$G$23))),"")</x:f>
        <x:v>68.6431055263375</x:v>
      </x:c>
      <x:c r="AO142" s="27" t="n">
        <x:f>IF(ISNUMBER(W142),IF('Scoring Setup'!$L$9=1,1-'Scoring Setup'!$B$5*(1-MAX(0,MIN(1,(W142-'Scoring Setup'!$K$9)/(100-'Scoring Setup'!$K$9)))),1),"")</x:f>
        <x:v>0.8974285714285715</x:v>
      </x:c>
      <x:c r="AP142" s="27" t="n">
        <x:f>IF(ISNUMBER(X142),IF('Scoring Setup'!$L$10=1,1-'Scoring Setup'!$B$5*(1-MAX(0,MIN(1,(X142-'Scoring Setup'!$K$10)/(100-'Scoring Setup'!$K$10)))),1),"")</x:f>
        <x:v>0.9856082036775106</x:v>
      </x:c>
      <x:c r="AQ142" s="27" t="n">
        <x:f>IF(ISNUMBER(Y142),IF('Scoring Setup'!$L$11=1,1-'Scoring Setup'!$B$5*(1-MAX(0,MIN(1,(Y142-'Scoring Setup'!$K$11)/(100-'Scoring Setup'!$K$11)))),1),"")</x:f>
        <x:v>0.9836409001255119</x:v>
      </x:c>
      <x:c r="AR142" s="27" t="n">
        <x:f>IF(ISNUMBER(Z142),IF('Scoring Setup'!$L$12=1,1-'Scoring Setup'!$B$5*(1-MAX(0,MIN(1,(Z142-'Scoring Setup'!$K$12)/(100-'Scoring Setup'!$K$12)))),1),"")</x:f>
        <x:v>0.9893134668283261</x:v>
      </x:c>
      <x:c r="AS142" s="27" t="n">
        <x:f>IF(ISNUMBER(AA142),IF('Scoring Setup'!$L$13=1,1-'Scoring Setup'!$B$5*(1-MAX(0,MIN(1,(AA142-'Scoring Setup'!$K$13)/(100-'Scoring Setup'!$K$13)))),1),"")</x:f>
        <x:v>0.9796388338711846</x:v>
      </x:c>
      <x:c r="AT142" s="27" t="n">
        <x:f>IF(ISNUMBER(AB142),IF('Scoring Setup'!$L$14=1,1-'Scoring Setup'!$B$5*(1-MAX(0,MIN(1,(AB142-'Scoring Setup'!$K$14)/(100-'Scoring Setup'!$K$14)))),1),"")</x:f>
        <x:v>0.999635324647439</x:v>
      </x:c>
      <x:c r="AU142" s="27" t="n">
        <x:f>IF(ISNUMBER(AC142),IF('Scoring Setup'!$L$15=1,1-'Scoring Setup'!$B$5*(1-MAX(0,MIN(1,(AC142-'Scoring Setup'!$K$15)/(100-'Scoring Setup'!$K$15)))),1),"")</x:f>
        <x:v>0.8754431953996104</x:v>
      </x:c>
      <x:c r="AV142" s="27" t="n">
        <x:f>IF(ISNUMBER(AD142),IF('Scoring Setup'!$L$16=1,1-'Scoring Setup'!$B$5*(1-MAX(0,MIN(1,(AD142-'Scoring Setup'!$K$16)/(100-'Scoring Setup'!$K$16)))),1),"")</x:f>
        <x:v>1</x:v>
      </x:c>
      <x:c r="AW142" s="27" t="n">
        <x:f>IF(ISNUMBER(AE142),IF('Scoring Setup'!$L$17=1,1-'Scoring Setup'!$B$5*(1-MAX(0,MIN(1,(AE142-'Scoring Setup'!$K$17)/(100-'Scoring Setup'!$K$17)))),1),"")</x:f>
        <x:v>1</x:v>
      </x:c>
      <x:c r="AX142" s="27" t="n">
        <x:f>IF(ISNUMBER(AF142),IF('Scoring Setup'!$L$18=1,1-'Scoring Setup'!$B$5*(1-MAX(0,MIN(1,(AF142-'Scoring Setup'!$K$18)/(100-'Scoring Setup'!$K$18)))),1),"")</x:f>
        <x:v>0.8799140027288577</x:v>
      </x:c>
      <x:c r="AY142" s="27" t="n">
        <x:f>IF(ISNUMBER(AG142),IF('Scoring Setup'!$L$19=1,1-'Scoring Setup'!$B$5*(1-MAX(0,MIN(1,(AG142-'Scoring Setup'!$K$19)/(100-'Scoring Setup'!$K$19)))),1),"")</x:f>
        <x:v>0.8</x:v>
      </x:c>
      <x:c r="AZ142" s="27" t="n">
        <x:f>IF(ISNUMBER(AH142),IF('Scoring Setup'!$L$20=1,1-'Scoring Setup'!$B$5*(1-MAX(0,MIN(1,(AH142-'Scoring Setup'!$K$20)/(100-'Scoring Setup'!$K$20)))),1),"")</x:f>
        <x:v>0.8</x:v>
      </x:c>
      <x:c r="BA142" s="27" t="n">
        <x:f>IF(ISNUMBER(AI142),IF('Scoring Setup'!$L$21=1,1-'Scoring Setup'!$B$5*(1-MAX(0,MIN(1,(AI142-'Scoring Setup'!$K$21)/(100-'Scoring Setup'!$K$21)))),1),"")</x:f>
        <x:v>0.8003464595249721</x:v>
      </x:c>
      <x:c r="BB142" s="27" t="n">
        <x:f>IF(ISNUMBER(AJ142),IF('Scoring Setup'!$L$22=1,1-'Scoring Setup'!$B$5*(1-MAX(0,MIN(1,(AJ142-'Scoring Setup'!$K$22)/(100-'Scoring Setup'!$K$22)))),1),"")</x:f>
        <x:v>0.8867190712156663</x:v>
      </x:c>
      <x:c r="BC142" s="27" t="n">
        <x:f>IF(ISNUMBER(AK142),IF('Scoring Setup'!$L$23=1,1-'Scoring Setup'!$B$5*(1-MAX(0,MIN(1,(AK142-'Scoring Setup'!$K$23)/(100-'Scoring Setup'!$K$23)))),1),"")</x:f>
        <x:v>0.9123241845479572</x:v>
      </x:c>
      <x:c r="BD142" s="27" t="n">
        <x:f>IF(ISNUMBER(AL142),IF('Scoring Setup'!$L$24=1,1-'Scoring Setup'!$B$5*(1-MAX(0,MIN(1,(AL142-'Scoring Setup'!$K$24)/(100-'Scoring Setup'!$K$24)))),1),"")</x:f>
        <x:v>0.9741818181818181</x:v>
      </x:c>
      <x:c r="BE142" s="27" t="n">
        <x:f>IF(ISNUMBER(AM142),IF('Scoring Setup'!$L$25=1,1-'Scoring Setup'!$B$5*(1-MAX(0,MIN(1,(AM142-'Scoring Setup'!$K$25)/(100-'Scoring Setup'!$K$25)))),1),"")</x:f>
        <x:v>0.8885845218271159</x:v>
      </x:c>
      <x:c r="BF142" s="27" t="n">
        <x:f>IF(ISNUMBER(AN142),IF('Scoring Setup'!$L$26=1,1-'Scoring Setup'!$B$5*(1-MAX(0,MIN(1,(AN142-'Scoring Setup'!$K$26)/(100-'Scoring Setup'!$K$26)))),1),"")</x:f>
        <x:v>0.937286211052675</x:v>
      </x:c>
      <x:c r="BG142" s="34" t="n">
        <x:f>IF(COUNT(W142,X142)=2,AVERAGE(W142,X142),"")</x:f>
        <x:v>70.75919377652049</x:v>
      </x:c>
      <x:c r="BH142" s="34" t="n">
        <x:f>IF(COUNT(Y142,Z142)=2,AVERAGE(Y142,Z142),"")</x:f>
        <x:v>93.23859173845952</x:v>
      </x:c>
      <x:c r="BI142" s="34" t="n">
        <x:f>IF(COUNT(AA142,AB142,AC142)=3,AVERAGE(AA142,AB142,AC142),"")</x:f>
        <x:v>75.786225653039</x:v>
      </x:c>
      <x:c r="BJ142" s="34" t="n">
        <x:f>IF(COUNT(AD142,AE142)=2,AVERAGE(AD142,AE142),"")</x:f>
        <x:v>100</x:v>
      </x:c>
      <x:c r="BK142" s="34" t="n">
        <x:f>IF(COUNT(AF142,AG142)=2,AVERAGE(AF142,AG142),"")</x:f>
        <x:v>19.97850068221442</x:v>
      </x:c>
      <x:c r="BL142" s="34" t="n">
        <x:f>IF(COUNT(AH142,AI142)=2,AVERAGE(AH142,AI142),"")</x:f>
        <x:v>0.08661488124302658</x:v>
      </x:c>
      <x:c r="BM142" s="34" t="n">
        <x:f>IF(COUNT(AJ142,AK142)=2,AVERAGE(AJ142,AK142),"")</x:f>
        <x:v>49.76081394090585</x:v>
      </x:c>
      <x:c r="BN142" s="34" t="n">
        <x:f>IF(COUNT(AL142,AM142,AN142)=3,AVERAGE(AL142,AM142,AN142),"")</x:f>
        <x:v>66.67542517693484</x:v>
      </x:c>
      <x:c r="BO142" s="35" t="n">
        <x:f>IF(AND(COUNT(BG142:BN142)=8,ABS('Scoring Setup'!$C$17-1)&lt;0.000001),BG142*'Scoring Setup'!$C$9+BH142*'Scoring Setup'!$C$10+BI142*'Scoring Setup'!$C$11+BJ142*'Scoring Setup'!$C$12+BK142*'Scoring Setup'!$C$13+BL142*'Scoring Setup'!$C$14+BM142*'Scoring Setup'!$C$15+BN142*'Scoring Setup'!$C$16,"")</x:f>
        <x:v>67.79510935305719</x:v>
      </x:c>
      <x:c r="BP142" s="36" t="n">
        <x:f>IF(COUNT(AO142:BF142)=18,MIN(AO142:BF142),"")</x:f>
        <x:v>0.8</x:v>
      </x:c>
      <x:c r="BQ142" s="35" t="n">
        <x:f>IF(AND(ISNUMBER(BO142),ISNUMBER(BP142)),BO142*BP142,"")</x:f>
        <x:v>54.236087482445754</x:v>
      </x:c>
      <x:c r="BR142" s="17" t="str">
        <x:f>IF(COUNT(AO142:BF142)=18,INDEX('Scoring Setup'!$F$9:$F$26,MATCH(MIN(AO142:BF142),AO142:BF142,0),1),"")</x:f>
        <x:v>社会脆弱性百分位</x:v>
      </x:c>
    </x:row>
    <x:row r="143">
      <x:c r="A143" s="28" t="str">
        <x:v>13281</x:v>
      </x:c>
      <x:c r="B143" s="28" t="str">
        <x:v>Towns County</x:v>
      </x:c>
      <x:c r="C143" s="28" t="str">
        <x:v>GA</x:v>
      </x:c>
      <x:c r="D143" s="31" t="n">
        <x:v>431.17809</x:v>
      </x:c>
      <x:c r="E143" s="32" t="n">
        <x:v>0.742</x:v>
      </x:c>
      <x:c r="F143" s="32" t="n">
        <x:v>0.8799504950495051</x:v>
      </x:c>
      <x:c r="G143" s="32" t="n">
        <x:v>0.18873400563709705</x:v>
      </x:c>
      <x:c r="H143" s="32" t="n">
        <x:v>0.1760954382422832</x:v>
      </x:c>
      <x:c r="I143" s="32" t="n">
        <x:v>0.9552448570151457</x:v>
      </x:c>
      <x:c r="J143" s="32" t="n">
        <x:v>0.3289024969581321</x:v>
      </x:c>
      <x:c r="K143" s="32" t="n">
        <x:v>0.0007463695048805082</x:v>
      </x:c>
      <x:c r="L143" s="32" t="n">
        <x:v>0.469975738</x:v>
      </x:c>
      <x:c r="M143" s="32" t="n">
        <x:v>0.469975738</x:v>
      </x:c>
      <x:c r="N143" s="32" t="n">
        <x:v>5196</x:v>
      </x:c>
      <x:c r="O143" s="32" t="n">
        <x:v>0.5622</x:v>
      </x:c>
      <x:c r="P143" s="32" t="n">
        <x:v>480.625639851888</x:v>
      </x:c>
      <x:c r="Q143" s="32" t="n">
        <x:v>1.7771230638027191</x:v>
      </x:c>
      <x:c r="R143" s="32" t="n">
        <x:v>64.7246138833274</x:v>
      </x:c>
      <x:c r="S143" s="32" t="n">
        <x:v>33.52117467164376</x:v>
      </x:c>
      <x:c r="T143" s="32" t="n">
        <x:v>72.1</x:v>
      </x:c>
      <x:c r="U143" s="32" t="n">
        <x:v>211.4154781728841</x:v>
      </x:c>
      <x:c r="V143" s="32" t="n">
        <x:v>325.42757789465</x:v>
      </x:c>
      <x:c r="W143" s="33" t="n">
        <x:f>IF(ISNUMBER(E143),100*MAX(0,MIN(1,('Anchors'!$H$6-E143)/('Anchors'!$H$6-'Anchors'!$G$6))),"")</x:f>
        <x:v>22.57142857142858</x:v>
      </x:c>
      <x:c r="X143" s="33" t="n">
        <x:f>IF(ISNUMBER(F143),100*MAX(0,MIN(1,('Anchors'!$H$7-F143)/('Anchors'!$H$7-'Anchors'!$G$7))),"")</x:f>
        <x:v>0</x:v>
      </x:c>
      <x:c r="Y143" s="33" t="n">
        <x:f>IF(ISNUMBER(G143),100*MAX(0,MIN(1,('Anchors'!$H$8-G143)/('Anchors'!$H$8-'Anchors'!$G$8))),"")</x:f>
        <x:v>100</x:v>
      </x:c>
      <x:c r="Z143" s="33" t="n">
        <x:f>IF(ISNUMBER(H143),100*MAX(0,MIN(1,('Anchors'!$H$9-H143)/('Anchors'!$H$9-'Anchors'!$G$9))),"")</x:f>
        <x:v>100</x:v>
      </x:c>
      <x:c r="AA143" s="33" t="n">
        <x:f>IF(ISNUMBER(I143),100*MAX(0,MIN(1,(I143-'Anchors'!$H$10)/('Anchors'!$G$10-'Anchors'!$H$10))),"")</x:f>
        <x:v>96.6088845226227</x:v>
      </x:c>
      <x:c r="AB143" s="33" t="n">
        <x:f>IF(ISNUMBER(J143),100*MAX(0,MIN(1,('Anchors'!$H$11-J143)/('Anchors'!$H$11-'Anchors'!$G$11))),"")</x:f>
        <x:v>0</x:v>
      </x:c>
      <x:c r="AC143" s="33" t="n">
        <x:f>IF(ISNUMBER(K143),100*MAX(0,MIN(1,('Anchors'!$H$12-K143)/('Anchors'!$H$12-'Anchors'!$G$12))),"")</x:f>
        <x:v>99.81340762377988</x:v>
      </x:c>
      <x:c r="AD143" s="33" t="n">
        <x:f>IF(ISNUMBER(L143),100*MAX(0,MIN(1,(L143-'Anchors'!$H$13)/('Anchors'!$G$13-'Anchors'!$H$13))),"")</x:f>
        <x:v>38.56796257142857</x:v>
      </x:c>
      <x:c r="AE143" s="33" t="n">
        <x:f>IF(ISNUMBER(M143),100*MAX(0,MIN(1,(M143-'Anchors'!$H$14)/('Anchors'!$G$14-'Anchors'!$H$14))),"")</x:f>
        <x:v>46.24696724999999</x:v>
      </x:c>
      <x:c r="AF143" s="33" t="n">
        <x:f>IF(ISNUMBER(N143),100*MAX(0,MIN(1,(LN(1+N143)-LN(1+'Anchors'!$H$15))/(LN(1+'Anchors'!$G$15)-LN(1+'Anchors'!$H$15)))),"")</x:f>
        <x:v>22.108770137498105</x:v>
      </x:c>
      <x:c r="AG143" s="33" t="n">
        <x:f>IF(ISNUMBER(O143),100*MAX(0,MIN(1,('Anchors'!$H$16-O143)/('Anchors'!$H$16-'Anchors'!$G$16))),"")</x:f>
        <x:v>43.08888888888888</x:v>
      </x:c>
      <x:c r="AH143" s="33" t="n">
        <x:f>IF(ISNUMBER(P143),100*MAX(0,MIN(1,('Anchors'!$H$17-P143)/('Anchors'!$H$17-'Anchors'!$G$17))),"")</x:f>
        <x:v>100</x:v>
      </x:c>
      <x:c r="AI143" s="33" t="n">
        <x:f>IF(ISNUMBER(Q143),100*MAX(0,MIN(1,('Anchors'!$H$18-Q143)/('Anchors'!$H$18-'Anchors'!$G$18))),"")</x:f>
        <x:v>100</x:v>
      </x:c>
      <x:c r="AJ143" s="33" t="n">
        <x:f>IF(ISNUMBER(R143),100*MAX(0,MIN(1,('Anchors'!$H$19-R143)/('Anchors'!$H$19-'Anchors'!$G$19))),"")</x:f>
        <x:v>0</x:v>
      </x:c>
      <x:c r="AK143" s="33" t="n">
        <x:f>IF(ISNUMBER(S143),100*MAX(0,MIN(1,('Anchors'!$H$20-S143)/('Anchors'!$H$20-'Anchors'!$G$20))),"")</x:f>
        <x:v>0</x:v>
      </x:c>
      <x:c r="AL143" s="33" t="n">
        <x:f>IF(ISNUMBER(T143),100*MAX(0,MIN(1,('Anchors'!$H$21-T143)/('Anchors'!$H$21-'Anchors'!$G$21))),"")</x:f>
        <x:v>87.0909090909091</x:v>
      </x:c>
      <x:c r="AM143" s="33" t="n">
        <x:f>IF(ISNUMBER(U143),100*MAX(0,MIN(1,('Anchors'!$H$22-U143)/('Anchors'!$H$22-'Anchors'!$G$22))),"")</x:f>
        <x:v>44.29226091355795</x:v>
      </x:c>
      <x:c r="AN143" s="33" t="n">
        <x:f>IF(ISNUMBER(V143),100*MAX(0,MIN(1,('Anchors'!$H$23-V143)/('Anchors'!$H$23-'Anchors'!$G$23))),"")</x:f>
        <x:v>68.6431055263375</x:v>
      </x:c>
      <x:c r="AO143" s="27" t="n">
        <x:f>IF(ISNUMBER(W143),IF('Scoring Setup'!$L$9=1,1-'Scoring Setup'!$B$5*(1-MAX(0,MIN(1,(W143-'Scoring Setup'!$K$9)/(100-'Scoring Setup'!$K$9)))),1),"")</x:f>
        <x:v>0.8451428571428572</x:v>
      </x:c>
      <x:c r="AP143" s="27" t="n">
        <x:f>IF(ISNUMBER(X143),IF('Scoring Setup'!$L$10=1,1-'Scoring Setup'!$B$5*(1-MAX(0,MIN(1,(X143-'Scoring Setup'!$K$10)/(100-'Scoring Setup'!$K$10)))),1),"")</x:f>
        <x:v>0.8</x:v>
      </x:c>
      <x:c r="AQ143" s="27" t="n">
        <x:f>IF(ISNUMBER(Y143),IF('Scoring Setup'!$L$11=1,1-'Scoring Setup'!$B$5*(1-MAX(0,MIN(1,(Y143-'Scoring Setup'!$K$11)/(100-'Scoring Setup'!$K$11)))),1),"")</x:f>
        <x:v>1</x:v>
      </x:c>
      <x:c r="AR143" s="27" t="n">
        <x:f>IF(ISNUMBER(Z143),IF('Scoring Setup'!$L$12=1,1-'Scoring Setup'!$B$5*(1-MAX(0,MIN(1,(Z143-'Scoring Setup'!$K$12)/(100-'Scoring Setup'!$K$12)))),1),"")</x:f>
        <x:v>1</x:v>
      </x:c>
      <x:c r="AS143" s="27" t="n">
        <x:f>IF(ISNUMBER(AA143),IF('Scoring Setup'!$L$13=1,1-'Scoring Setup'!$B$5*(1-MAX(0,MIN(1,(AA143-'Scoring Setup'!$K$13)/(100-'Scoring Setup'!$K$13)))),1),"")</x:f>
        <x:v>0.9932177690452454</x:v>
      </x:c>
      <x:c r="AT143" s="27" t="n">
        <x:f>IF(ISNUMBER(AB143),IF('Scoring Setup'!$L$14=1,1-'Scoring Setup'!$B$5*(1-MAX(0,MIN(1,(AB143-'Scoring Setup'!$K$14)/(100-'Scoring Setup'!$K$14)))),1),"")</x:f>
        <x:v>0.8</x:v>
      </x:c>
      <x:c r="AU143" s="27" t="n">
        <x:f>IF(ISNUMBER(AC143),IF('Scoring Setup'!$L$15=1,1-'Scoring Setup'!$B$5*(1-MAX(0,MIN(1,(AC143-'Scoring Setup'!$K$15)/(100-'Scoring Setup'!$K$15)))),1),"")</x:f>
        <x:v>0.9996268152475598</x:v>
      </x:c>
      <x:c r="AV143" s="27" t="n">
        <x:f>IF(ISNUMBER(AD143),IF('Scoring Setup'!$L$16=1,1-'Scoring Setup'!$B$5*(1-MAX(0,MIN(1,(AD143-'Scoring Setup'!$K$16)/(100-'Scoring Setup'!$K$16)))),1),"")</x:f>
        <x:v>0.8771359251428571</x:v>
      </x:c>
      <x:c r="AW143" s="27" t="n">
        <x:f>IF(ISNUMBER(AE143),IF('Scoring Setup'!$L$17=1,1-'Scoring Setup'!$B$5*(1-MAX(0,MIN(1,(AE143-'Scoring Setup'!$K$17)/(100-'Scoring Setup'!$K$17)))),1),"")</x:f>
        <x:v>0.8924939345</x:v>
      </x:c>
      <x:c r="AX143" s="27" t="n">
        <x:f>IF(ISNUMBER(AF143),IF('Scoring Setup'!$L$18=1,1-'Scoring Setup'!$B$5*(1-MAX(0,MIN(1,(AF143-'Scoring Setup'!$K$18)/(100-'Scoring Setup'!$K$18)))),1),"")</x:f>
        <x:v>0.8442175402749962</x:v>
      </x:c>
      <x:c r="AY143" s="27" t="n">
        <x:f>IF(ISNUMBER(AG143),IF('Scoring Setup'!$L$19=1,1-'Scoring Setup'!$B$5*(1-MAX(0,MIN(1,(AG143-'Scoring Setup'!$K$19)/(100-'Scoring Setup'!$K$19)))),1),"")</x:f>
        <x:v>0.8861777777777777</x:v>
      </x:c>
      <x:c r="AZ143" s="27" t="n">
        <x:f>IF(ISNUMBER(AH143),IF('Scoring Setup'!$L$20=1,1-'Scoring Setup'!$B$5*(1-MAX(0,MIN(1,(AH143-'Scoring Setup'!$K$20)/(100-'Scoring Setup'!$K$20)))),1),"")</x:f>
        <x:v>1</x:v>
      </x:c>
      <x:c r="BA143" s="27" t="n">
        <x:f>IF(ISNUMBER(AI143),IF('Scoring Setup'!$L$21=1,1-'Scoring Setup'!$B$5*(1-MAX(0,MIN(1,(AI143-'Scoring Setup'!$K$21)/(100-'Scoring Setup'!$K$21)))),1),"")</x:f>
        <x:v>1</x:v>
      </x:c>
      <x:c r="BB143" s="27" t="n">
        <x:f>IF(ISNUMBER(AJ143),IF('Scoring Setup'!$L$22=1,1-'Scoring Setup'!$B$5*(1-MAX(0,MIN(1,(AJ143-'Scoring Setup'!$K$22)/(100-'Scoring Setup'!$K$22)))),1),"")</x:f>
        <x:v>0.8</x:v>
      </x:c>
      <x:c r="BC143" s="27" t="n">
        <x:f>IF(ISNUMBER(AK143),IF('Scoring Setup'!$L$23=1,1-'Scoring Setup'!$B$5*(1-MAX(0,MIN(1,(AK143-'Scoring Setup'!$K$23)/(100-'Scoring Setup'!$K$23)))),1),"")</x:f>
        <x:v>0.8</x:v>
      </x:c>
      <x:c r="BD143" s="27" t="n">
        <x:f>IF(ISNUMBER(AL143),IF('Scoring Setup'!$L$24=1,1-'Scoring Setup'!$B$5*(1-MAX(0,MIN(1,(AL143-'Scoring Setup'!$K$24)/(100-'Scoring Setup'!$K$24)))),1),"")</x:f>
        <x:v>0.9741818181818181</x:v>
      </x:c>
      <x:c r="BE143" s="27" t="n">
        <x:f>IF(ISNUMBER(AM143),IF('Scoring Setup'!$L$25=1,1-'Scoring Setup'!$B$5*(1-MAX(0,MIN(1,(AM143-'Scoring Setup'!$K$25)/(100-'Scoring Setup'!$K$25)))),1),"")</x:f>
        <x:v>0.8885845218271159</x:v>
      </x:c>
      <x:c r="BF143" s="27" t="n">
        <x:f>IF(ISNUMBER(AN143),IF('Scoring Setup'!$L$26=1,1-'Scoring Setup'!$B$5*(1-MAX(0,MIN(1,(AN143-'Scoring Setup'!$K$26)/(100-'Scoring Setup'!$K$26)))),1),"")</x:f>
        <x:v>0.937286211052675</x:v>
      </x:c>
      <x:c r="BG143" s="34" t="n">
        <x:f>IF(COUNT(W143,X143)=2,AVERAGE(W143,X143),"")</x:f>
        <x:v>11.28571428571429</x:v>
      </x:c>
      <x:c r="BH143" s="34" t="n">
        <x:f>IF(COUNT(Y143,Z143)=2,AVERAGE(Y143,Z143),"")</x:f>
        <x:v>100</x:v>
      </x:c>
      <x:c r="BI143" s="34" t="n">
        <x:f>IF(COUNT(AA143,AB143,AC143)=3,AVERAGE(AA143,AB143,AC143),"")</x:f>
        <x:v>65.47409738213419</x:v>
      </x:c>
      <x:c r="BJ143" s="34" t="n">
        <x:f>IF(COUNT(AD143,AE143)=2,AVERAGE(AD143,AE143),"")</x:f>
        <x:v>42.40746491071428</x:v>
      </x:c>
      <x:c r="BK143" s="34" t="n">
        <x:f>IF(COUNT(AF143,AG143)=2,AVERAGE(AF143,AG143),"")</x:f>
        <x:v>32.59882951319349</x:v>
      </x:c>
      <x:c r="BL143" s="34" t="n">
        <x:f>IF(COUNT(AH143,AI143)=2,AVERAGE(AH143,AI143),"")</x:f>
        <x:v>100</x:v>
      </x:c>
      <x:c r="BM143" s="34" t="n">
        <x:f>IF(COUNT(AJ143,AK143)=2,AVERAGE(AJ143,AK143),"")</x:f>
        <x:v>0</x:v>
      </x:c>
      <x:c r="BN143" s="34" t="n">
        <x:f>IF(COUNT(AL143,AM143,AN143)=3,AVERAGE(AL143,AM143,AN143),"")</x:f>
        <x:v>66.67542517693484</x:v>
      </x:c>
      <x:c r="BO143" s="35" t="n">
        <x:f>IF(AND(COUNT(BG143:BN143)=8,ABS('Scoring Setup'!$C$17-1)&lt;0.000001),BG143*'Scoring Setup'!$C$9+BH143*'Scoring Setup'!$C$10+BI143*'Scoring Setup'!$C$11+BJ143*'Scoring Setup'!$C$12+BK143*'Scoring Setup'!$C$13+BL143*'Scoring Setup'!$C$14+BM143*'Scoring Setup'!$C$15+BN143*'Scoring Setup'!$C$16,"")</x:f>
        <x:v>60.17923816225608</x:v>
      </x:c>
      <x:c r="BP143" s="36" t="n">
        <x:f>IF(COUNT(AO143:BF143)=18,MIN(AO143:BF143),"")</x:f>
        <x:v>0.8</x:v>
      </x:c>
      <x:c r="BQ143" s="35" t="n">
        <x:f>IF(AND(ISNUMBER(BO143),ISNUMBER(BP143)),BO143*BP143,"")</x:f>
        <x:v>48.14339052980486</x:v>
      </x:c>
      <x:c r="BR143" s="17" t="str">
        <x:f>IF(COUNT(AO143:BF143)=18,INDEX('Scoring Setup'!$F$9:$F$26,MATCH(MIN(AO143:BF143),AO143:BF143,0),1),"")</x:f>
        <x:v>洪水损失率全国百分位</x:v>
      </x:c>
    </x:row>
    <x:row r="144">
      <x:c r="A144" s="28" t="str">
        <x:v>13283</x:v>
      </x:c>
      <x:c r="B144" s="28" t="str">
        <x:v>Treutlen County</x:v>
      </x:c>
      <x:c r="C144" s="28" t="str">
        <x:v>GA</x:v>
      </x:c>
      <x:c r="D144" s="31" t="n">
        <x:v>516.524094</x:v>
      </x:c>
      <x:c r="E144" s="32" t="n">
        <x:v>0.539</x:v>
      </x:c>
      <x:c r="F144" s="32" t="n">
        <x:v>0.342512376237624</x:v>
      </x:c>
      <x:c r="G144" s="32" t="n">
        <x:v>2.077462620974546</x:v>
      </x:c>
      <x:c r="H144" s="32" t="n">
        <x:v>1.9165423163765183</x:v>
      </x:c>
      <x:c r="I144" s="32" t="n">
        <x:v>0.924551540417582</x:v>
      </x:c>
      <x:c r="J144" s="32" t="n">
        <x:v>0.000043340682454747636</x:v>
      </x:c>
      <x:c r="K144" s="32" t="n">
        <x:v>0.24519019529830996</x:v>
      </x:c>
      <x:c r="L144" s="32" t="n">
        <x:v>0.999390987</x:v>
      </x:c>
      <x:c r="M144" s="32" t="n">
        <x:v>0.999390987</x:v>
      </x:c>
      <x:c r="N144" s="32" t="n">
        <x:v>2527</x:v>
      </x:c>
      <x:c r="O144" s="32" t="n">
        <x:v>0.9389</x:v>
      </x:c>
      <x:c r="P144" s="32" t="n">
        <x:v>2129.002408854167</x:v>
      </x:c>
      <x:c r="Q144" s="32" t="n">
        <x:v>74.48205693562825</x:v>
      </x:c>
      <x:c r="R144" s="32" t="n">
        <x:v>2.13314937499233</x:v>
      </x:c>
      <x:c r="S144" s="32" t="n">
        <x:v>3.9774752359670758</x:v>
      </x:c>
      <x:c r="T144" s="32" t="n">
        <x:v>72.1</x:v>
      </x:c>
      <x:c r="U144" s="32" t="n">
        <x:v>211.4154781728841</x:v>
      </x:c>
      <x:c r="V144" s="32" t="n">
        <x:v>325.42757789465</x:v>
      </x:c>
      <x:c r="W144" s="33" t="n">
        <x:f>IF(ISNUMBER(E144),100*MAX(0,MIN(1,('Anchors'!$H$6-E144)/('Anchors'!$H$6-'Anchors'!$G$6))),"")</x:f>
        <x:v>51.57142857142857</x:v>
      </x:c>
      <x:c r="X144" s="33" t="n">
        <x:f>IF(ISNUMBER(F144),100*MAX(0,MIN(1,('Anchors'!$H$7-F144)/('Anchors'!$H$7-'Anchors'!$G$7))),"")</x:f>
        <x:v>65.35537482319657</x:v>
      </x:c>
      <x:c r="Y144" s="33" t="n">
        <x:f>IF(ISNUMBER(G144),100*MAX(0,MIN(1,('Anchors'!$H$8-G144)/('Anchors'!$H$8-'Anchors'!$G$8))),"")</x:f>
        <x:v>64.08457930084846</x:v>
      </x:c>
      <x:c r="Z144" s="33" t="n">
        <x:f>IF(ISNUMBER(H144),100*MAX(0,MIN(1,('Anchors'!$H$9-H144)/('Anchors'!$H$9-'Anchors'!$G$9))),"")</x:f>
        <x:v>69.44858945411605</x:v>
      </x:c>
      <x:c r="AA144" s="33" t="n">
        <x:f>IF(ISNUMBER(I144),100*MAX(0,MIN(1,(I144-'Anchors'!$H$10)/('Anchors'!$G$10-'Anchors'!$H$10))),"")</x:f>
        <x:v>92.40432060514823</x:v>
      </x:c>
      <x:c r="AB144" s="33" t="n">
        <x:f>IF(ISNUMBER(J144),100*MAX(0,MIN(1,('Anchors'!$H$11-J144)/('Anchors'!$H$11-'Anchors'!$G$11))),"")</x:f>
        <x:v>99.9826637270181</x:v>
      </x:c>
      <x:c r="AC144" s="33" t="n">
        <x:f>IF(ISNUMBER(K144),100*MAX(0,MIN(1,('Anchors'!$H$12-K144)/('Anchors'!$H$12-'Anchors'!$G$12))),"")</x:f>
        <x:v>38.70245117542252</x:v>
      </x:c>
      <x:c r="AD144" s="33" t="n">
        <x:f>IF(ISNUMBER(L144),100*MAX(0,MIN(1,(L144-'Anchors'!$H$13)/('Anchors'!$G$13-'Anchors'!$H$13))),"")</x:f>
        <x:v>100</x:v>
      </x:c>
      <x:c r="AE144" s="33" t="n">
        <x:f>IF(ISNUMBER(M144),100*MAX(0,MIN(1,(M144-'Anchors'!$H$14)/('Anchors'!$G$14-'Anchors'!$H$14))),"")</x:f>
        <x:v>100</x:v>
      </x:c>
      <x:c r="AF144" s="33" t="n">
        <x:f>IF(ISNUMBER(N144),100*MAX(0,MIN(1,(LN(1+N144)-LN(1+'Anchors'!$H$15))/(LN(1+'Anchors'!$G$15)-LN(1+'Anchors'!$H$15)))),"")</x:f>
        <x:v>5.415374023367795</x:v>
      </x:c>
      <x:c r="AG144" s="33" t="n">
        <x:f>IF(ISNUMBER(O144),100*MAX(0,MIN(1,('Anchors'!$H$16-O144)/('Anchors'!$H$16-'Anchors'!$G$16))),"")</x:f>
        <x:v>1.2333333333333334</x:v>
      </x:c>
      <x:c r="AH144" s="33" t="n">
        <x:f>IF(ISNUMBER(P144),100*MAX(0,MIN(1,('Anchors'!$H$17-P144)/('Anchors'!$H$17-'Anchors'!$G$17))),"")</x:f>
        <x:v>4.7331727430555475</x:v>
      </x:c>
      <x:c r="AI144" s="33" t="n">
        <x:f>IF(ISNUMBER(Q144),100*MAX(0,MIN(1,('Anchors'!$H$18-Q144)/('Anchors'!$H$18-'Anchors'!$G$18))),"")</x:f>
        <x:v>0.7399186633882137</x:v>
      </x:c>
      <x:c r="AJ144" s="33" t="n">
        <x:f>IF(ISNUMBER(R144),100*MAX(0,MIN(1,('Anchors'!$H$19-R144)/('Anchors'!$H$19-'Anchors'!$G$19))),"")</x:f>
        <x:v>100</x:v>
      </x:c>
      <x:c r="AK144" s="33" t="n">
        <x:f>IF(ISNUMBER(S144),100*MAX(0,MIN(1,('Anchors'!$H$20-S144)/('Anchors'!$H$20-'Anchors'!$G$20))),"")</x:f>
        <x:v>84.32907770543643</x:v>
      </x:c>
      <x:c r="AL144" s="33" t="n">
        <x:f>IF(ISNUMBER(T144),100*MAX(0,MIN(1,('Anchors'!$H$21-T144)/('Anchors'!$H$21-'Anchors'!$G$21))),"")</x:f>
        <x:v>87.0909090909091</x:v>
      </x:c>
      <x:c r="AM144" s="33" t="n">
        <x:f>IF(ISNUMBER(U144),100*MAX(0,MIN(1,('Anchors'!$H$22-U144)/('Anchors'!$H$22-'Anchors'!$G$22))),"")</x:f>
        <x:v>44.29226091355795</x:v>
      </x:c>
      <x:c r="AN144" s="33" t="n">
        <x:f>IF(ISNUMBER(V144),100*MAX(0,MIN(1,('Anchors'!$H$23-V144)/('Anchors'!$H$23-'Anchors'!$G$23))),"")</x:f>
        <x:v>68.6431055263375</x:v>
      </x:c>
      <x:c r="AO144" s="27" t="n">
        <x:f>IF(ISNUMBER(W144),IF('Scoring Setup'!$L$9=1,1-'Scoring Setup'!$B$5*(1-MAX(0,MIN(1,(W144-'Scoring Setup'!$K$9)/(100-'Scoring Setup'!$K$9)))),1),"")</x:f>
        <x:v>0.9031428571428571</x:v>
      </x:c>
      <x:c r="AP144" s="27" t="n">
        <x:f>IF(ISNUMBER(X144),IF('Scoring Setup'!$L$10=1,1-'Scoring Setup'!$B$5*(1-MAX(0,MIN(1,(X144-'Scoring Setup'!$K$10)/(100-'Scoring Setup'!$K$10)))),1),"")</x:f>
        <x:v>0.9307107496463931</x:v>
      </x:c>
      <x:c r="AQ144" s="27" t="n">
        <x:f>IF(ISNUMBER(Y144),IF('Scoring Setup'!$L$11=1,1-'Scoring Setup'!$B$5*(1-MAX(0,MIN(1,(Y144-'Scoring Setup'!$K$11)/(100-'Scoring Setup'!$K$11)))),1),"")</x:f>
        <x:v>0.9281691586016969</x:v>
      </x:c>
      <x:c r="AR144" s="27" t="n">
        <x:f>IF(ISNUMBER(Z144),IF('Scoring Setup'!$L$12=1,1-'Scoring Setup'!$B$5*(1-MAX(0,MIN(1,(Z144-'Scoring Setup'!$K$12)/(100-'Scoring Setup'!$K$12)))),1),"")</x:f>
        <x:v>0.9388971789082321</x:v>
      </x:c>
      <x:c r="AS144" s="27" t="n">
        <x:f>IF(ISNUMBER(AA144),IF('Scoring Setup'!$L$13=1,1-'Scoring Setup'!$B$5*(1-MAX(0,MIN(1,(AA144-'Scoring Setup'!$K$13)/(100-'Scoring Setup'!$K$13)))),1),"")</x:f>
        <x:v>0.9848086412102964</x:v>
      </x:c>
      <x:c r="AT144" s="27" t="n">
        <x:f>IF(ISNUMBER(AB144),IF('Scoring Setup'!$L$14=1,1-'Scoring Setup'!$B$5*(1-MAX(0,MIN(1,(AB144-'Scoring Setup'!$K$14)/(100-'Scoring Setup'!$K$14)))),1),"")</x:f>
        <x:v>0.9999653274540362</x:v>
      </x:c>
      <x:c r="AU144" s="27" t="n">
        <x:f>IF(ISNUMBER(AC144),IF('Scoring Setup'!$L$15=1,1-'Scoring Setup'!$B$5*(1-MAX(0,MIN(1,(AC144-'Scoring Setup'!$K$15)/(100-'Scoring Setup'!$K$15)))),1),"")</x:f>
        <x:v>0.877404902350845</x:v>
      </x:c>
      <x:c r="AV144" s="27" t="n">
        <x:f>IF(ISNUMBER(AD144),IF('Scoring Setup'!$L$16=1,1-'Scoring Setup'!$B$5*(1-MAX(0,MIN(1,(AD144-'Scoring Setup'!$K$16)/(100-'Scoring Setup'!$K$16)))),1),"")</x:f>
        <x:v>1</x:v>
      </x:c>
      <x:c r="AW144" s="27" t="n">
        <x:f>IF(ISNUMBER(AE144),IF('Scoring Setup'!$L$17=1,1-'Scoring Setup'!$B$5*(1-MAX(0,MIN(1,(AE144-'Scoring Setup'!$K$17)/(100-'Scoring Setup'!$K$17)))),1),"")</x:f>
        <x:v>1</x:v>
      </x:c>
      <x:c r="AX144" s="27" t="n">
        <x:f>IF(ISNUMBER(AF144),IF('Scoring Setup'!$L$18=1,1-'Scoring Setup'!$B$5*(1-MAX(0,MIN(1,(AF144-'Scoring Setup'!$K$18)/(100-'Scoring Setup'!$K$18)))),1),"")</x:f>
        <x:v>0.8108307480467356</x:v>
      </x:c>
      <x:c r="AY144" s="27" t="n">
        <x:f>IF(ISNUMBER(AG144),IF('Scoring Setup'!$L$19=1,1-'Scoring Setup'!$B$5*(1-MAX(0,MIN(1,(AG144-'Scoring Setup'!$K$19)/(100-'Scoring Setup'!$K$19)))),1),"")</x:f>
        <x:v>0.8024666666666667</x:v>
      </x:c>
      <x:c r="AZ144" s="27" t="n">
        <x:f>IF(ISNUMBER(AH144),IF('Scoring Setup'!$L$20=1,1-'Scoring Setup'!$B$5*(1-MAX(0,MIN(1,(AH144-'Scoring Setup'!$K$20)/(100-'Scoring Setup'!$K$20)))),1),"")</x:f>
        <x:v>0.8094663454861111</x:v>
      </x:c>
      <x:c r="BA144" s="27" t="n">
        <x:f>IF(ISNUMBER(AI144),IF('Scoring Setup'!$L$21=1,1-'Scoring Setup'!$B$5*(1-MAX(0,MIN(1,(AI144-'Scoring Setup'!$K$21)/(100-'Scoring Setup'!$K$21)))),1),"")</x:f>
        <x:v>0.8014798373267764</x:v>
      </x:c>
      <x:c r="BB144" s="27" t="n">
        <x:f>IF(ISNUMBER(AJ144),IF('Scoring Setup'!$L$22=1,1-'Scoring Setup'!$B$5*(1-MAX(0,MIN(1,(AJ144-'Scoring Setup'!$K$22)/(100-'Scoring Setup'!$K$22)))),1),"")</x:f>
        <x:v>1</x:v>
      </x:c>
      <x:c r="BC144" s="27" t="n">
        <x:f>IF(ISNUMBER(AK144),IF('Scoring Setup'!$L$23=1,1-'Scoring Setup'!$B$5*(1-MAX(0,MIN(1,(AK144-'Scoring Setup'!$K$23)/(100-'Scoring Setup'!$K$23)))),1),"")</x:f>
        <x:v>0.9686581554108729</x:v>
      </x:c>
      <x:c r="BD144" s="27" t="n">
        <x:f>IF(ISNUMBER(AL144),IF('Scoring Setup'!$L$24=1,1-'Scoring Setup'!$B$5*(1-MAX(0,MIN(1,(AL144-'Scoring Setup'!$K$24)/(100-'Scoring Setup'!$K$24)))),1),"")</x:f>
        <x:v>0.9741818181818181</x:v>
      </x:c>
      <x:c r="BE144" s="27" t="n">
        <x:f>IF(ISNUMBER(AM144),IF('Scoring Setup'!$L$25=1,1-'Scoring Setup'!$B$5*(1-MAX(0,MIN(1,(AM144-'Scoring Setup'!$K$25)/(100-'Scoring Setup'!$K$25)))),1),"")</x:f>
        <x:v>0.8885845218271159</x:v>
      </x:c>
      <x:c r="BF144" s="27" t="n">
        <x:f>IF(ISNUMBER(AN144),IF('Scoring Setup'!$L$26=1,1-'Scoring Setup'!$B$5*(1-MAX(0,MIN(1,(AN144-'Scoring Setup'!$K$26)/(100-'Scoring Setup'!$K$26)))),1),"")</x:f>
        <x:v>0.937286211052675</x:v>
      </x:c>
      <x:c r="BG144" s="34" t="n">
        <x:f>IF(COUNT(W144,X144)=2,AVERAGE(W144,X144),"")</x:f>
        <x:v>58.46340169731257</x:v>
      </x:c>
      <x:c r="BH144" s="34" t="n">
        <x:f>IF(COUNT(Y144,Z144)=2,AVERAGE(Y144,Z144),"")</x:f>
        <x:v>66.76658437748225</x:v>
      </x:c>
      <x:c r="BI144" s="34" t="n">
        <x:f>IF(COUNT(AA144,AB144,AC144)=3,AVERAGE(AA144,AB144,AC144),"")</x:f>
        <x:v>77.02981183586294</x:v>
      </x:c>
      <x:c r="BJ144" s="34" t="n">
        <x:f>IF(COUNT(AD144,AE144)=2,AVERAGE(AD144,AE144),"")</x:f>
        <x:v>100</x:v>
      </x:c>
      <x:c r="BK144" s="34" t="n">
        <x:f>IF(COUNT(AF144,AG144)=2,AVERAGE(AF144,AG144),"")</x:f>
        <x:v>3.324353678350564</x:v>
      </x:c>
      <x:c r="BL144" s="34" t="n">
        <x:f>IF(COUNT(AH144,AI144)=2,AVERAGE(AH144,AI144),"")</x:f>
        <x:v>2.7365457032218807</x:v>
      </x:c>
      <x:c r="BM144" s="34" t="n">
        <x:f>IF(COUNT(AJ144,AK144)=2,AVERAGE(AJ144,AK144),"")</x:f>
        <x:v>92.16453885271821</x:v>
      </x:c>
      <x:c r="BN144" s="34" t="n">
        <x:f>IF(COUNT(AL144,AM144,AN144)=3,AVERAGE(AL144,AM144,AN144),"")</x:f>
        <x:v>66.67542517693484</x:v>
      </x:c>
      <x:c r="BO144" s="35" t="n">
        <x:f>IF(AND(COUNT(BG144:BN144)=8,ABS('Scoring Setup'!$C$17-1)&lt;0.000001),BG144*'Scoring Setup'!$C$9+BH144*'Scoring Setup'!$C$10+BI144*'Scoring Setup'!$C$11+BJ144*'Scoring Setup'!$C$12+BK144*'Scoring Setup'!$C$13+BL144*'Scoring Setup'!$C$14+BM144*'Scoring Setup'!$C$15+BN144*'Scoring Setup'!$C$16,"")</x:f>
        <x:v>61.98275537752651</x:v>
      </x:c>
      <x:c r="BP144" s="36" t="n">
        <x:f>IF(COUNT(AO144:BF144)=18,MIN(AO144:BF144),"")</x:f>
        <x:v>0.8014798373267764</x:v>
      </x:c>
      <x:c r="BQ144" s="35" t="n">
        <x:f>IF(AND(ISNUMBER(BO144),ISNUMBER(BP144)),BO144*BP144,"")</x:f>
        <x:v>49.677928697045324</x:v>
      </x:c>
      <x:c r="BR144" s="17" t="str">
        <x:f>IF(COUNT(AO144:BF144)=18,INDEX('Scoring Setup'!$F$9:$F$26,MATCH(MIN(AO144:BF144),AO144:BF144,0),1),"")</x:f>
        <x:v>历史&gt;90°F天数</x:v>
      </x:c>
    </x:row>
    <x:row r="145">
      <x:c r="A145" s="28" t="str">
        <x:v>13285</x:v>
      </x:c>
      <x:c r="B145" s="28" t="str">
        <x:v>Troup County</x:v>
      </x:c>
      <x:c r="C145" s="28" t="str">
        <x:v>GA</x:v>
      </x:c>
      <x:c r="D145" s="31" t="n">
        <x:v>1072.294219</x:v>
      </x:c>
      <x:c r="E145" s="32" t="n">
        <x:v>0.679</x:v>
      </x:c>
      <x:c r="F145" s="32" t="n">
        <x:v>0.192141089108911</x:v>
      </x:c>
      <x:c r="G145" s="32" t="n">
        <x:v>2.4115917257827646</x:v>
      </x:c>
      <x:c r="H145" s="32" t="n">
        <x:v>2.238973366</x:v>
      </x:c>
      <x:c r="I145" s="32" t="n">
        <x:v>0.8801884997388933</x:v>
      </x:c>
      <x:c r="J145" s="32" t="n">
        <x:v>0.018134341091842508</x:v>
      </x:c>
      <x:c r="K145" s="32" t="n">
        <x:v>0.04620959447577073</x:v>
      </x:c>
      <x:c r="L145" s="32" t="n">
        <x:v>0.309616062</x:v>
      </x:c>
      <x:c r="M145" s="32" t="n">
        <x:v>0.309616062</x:v>
      </x:c>
      <x:c r="N145" s="32" t="n">
        <x:v>39932</x:v>
      </x:c>
      <x:c r="O145" s="32" t="n">
        <x:v>0.9023</x:v>
      </x:c>
      <x:c r="P145" s="32" t="n">
        <x:v>1659.6448364257812</x:v>
      </x:c>
      <x:c r="Q145" s="32" t="n">
        <x:v>45.706186548868814</x:v>
      </x:c>
      <x:c r="R145" s="32" t="n">
        <x:v>3.8635222411817485</x:v>
      </x:c>
      <x:c r="S145" s="32" t="n">
        <x:v>0.12366032974248788</x:v>
      </x:c>
      <x:c r="T145" s="32" t="n">
        <x:v>72.1</x:v>
      </x:c>
      <x:c r="U145" s="32" t="n">
        <x:v>211.4154781728841</x:v>
      </x:c>
      <x:c r="V145" s="32" t="n">
        <x:v>325.42757789465</x:v>
      </x:c>
      <x:c r="W145" s="33" t="n">
        <x:f>IF(ISNUMBER(E145),100*MAX(0,MIN(1,('Anchors'!$H$6-E145)/('Anchors'!$H$6-'Anchors'!$G$6))),"")</x:f>
        <x:v>31.571428571428573</x:v>
      </x:c>
      <x:c r="X145" s="33" t="n">
        <x:f>IF(ISNUMBER(F145),100*MAX(0,MIN(1,('Anchors'!$H$7-F145)/('Anchors'!$H$7-'Anchors'!$G$7))),"")</x:f>
        <x:v>86.83698727015556</x:v>
      </x:c>
      <x:c r="Y145" s="33" t="n">
        <x:f>IF(ISNUMBER(G145),100*MAX(0,MIN(1,('Anchors'!$H$8-G145)/('Anchors'!$H$8-'Anchors'!$G$8))),"")</x:f>
        <x:v>52.946942473907846</x:v>
      </x:c>
      <x:c r="Z145" s="33" t="n">
        <x:f>IF(ISNUMBER(H145),100*MAX(0,MIN(1,('Anchors'!$H$9-H145)/('Anchors'!$H$9-'Anchors'!$G$9))),"")</x:f>
        <x:v>58.70088779999999</x:v>
      </x:c>
      <x:c r="AA145" s="33" t="n">
        <x:f>IF(ISNUMBER(I145),100*MAX(0,MIN(1,(I145-'Anchors'!$H$10)/('Anchors'!$G$10-'Anchors'!$H$10))),"")</x:f>
        <x:v>86.3271917450539</x:v>
      </x:c>
      <x:c r="AB145" s="33" t="n">
        <x:f>IF(ISNUMBER(J145),100*MAX(0,MIN(1,('Anchors'!$H$11-J145)/('Anchors'!$H$11-'Anchors'!$G$11))),"")</x:f>
        <x:v>92.746263563263</x:v>
      </x:c>
      <x:c r="AC145" s="33" t="n">
        <x:f>IF(ISNUMBER(K145),100*MAX(0,MIN(1,('Anchors'!$H$12-K145)/('Anchors'!$H$12-'Anchors'!$G$12))),"")</x:f>
        <x:v>88.44760138105731</x:v>
      </x:c>
      <x:c r="AD145" s="33" t="n">
        <x:f>IF(ISNUMBER(L145),100*MAX(0,MIN(1,(L145-'Anchors'!$H$13)/('Anchors'!$G$13-'Anchors'!$H$13))),"")</x:f>
        <x:v>15.659437428571433</x:v>
      </x:c>
      <x:c r="AE145" s="33" t="n">
        <x:f>IF(ISNUMBER(M145),100*MAX(0,MIN(1,(M145-'Anchors'!$H$14)/('Anchors'!$G$14-'Anchors'!$H$14))),"")</x:f>
        <x:v>26.20200775</x:v>
      </x:c>
      <x:c r="AF145" s="33" t="n">
        <x:f>IF(ISNUMBER(N145),100*MAX(0,MIN(1,(LN(1+N145)-LN(1+'Anchors'!$H$15))/(LN(1+'Anchors'!$G$15)-LN(1+'Anchors'!$H$15)))),"")</x:f>
        <x:v>69.34351464181158</x:v>
      </x:c>
      <x:c r="AG145" s="33" t="n">
        <x:f>IF(ISNUMBER(O145),100*MAX(0,MIN(1,('Anchors'!$H$16-O145)/('Anchors'!$H$16-'Anchors'!$G$16))),"")</x:f>
        <x:v>5.299999999999996</x:v>
      </x:c>
      <x:c r="AH145" s="33" t="n">
        <x:f>IF(ISNUMBER(P145),100*MAX(0,MIN(1,('Anchors'!$H$17-P145)/('Anchors'!$H$17-'Anchors'!$G$17))),"")</x:f>
        <x:v>36.023677571614584</x:v>
      </x:c>
      <x:c r="AI145" s="33" t="n">
        <x:f>IF(ISNUMBER(Q145),100*MAX(0,MIN(1,('Anchors'!$H$18-Q145)/('Anchors'!$H$18-'Anchors'!$G$18))),"")</x:f>
        <x:v>41.84830493018741</x:v>
      </x:c>
      <x:c r="AJ145" s="33" t="n">
        <x:f>IF(ISNUMBER(R145),100*MAX(0,MIN(1,('Anchors'!$H$19-R145)/('Anchors'!$H$19-'Anchors'!$G$19))),"")</x:f>
        <x:v>100</x:v>
      </x:c>
      <x:c r="AK145" s="33" t="n">
        <x:f>IF(ISNUMBER(S145),100*MAX(0,MIN(1,('Anchors'!$H$20-S145)/('Anchors'!$H$20-'Anchors'!$G$20))),"")</x:f>
        <x:v>100</x:v>
      </x:c>
      <x:c r="AL145" s="33" t="n">
        <x:f>IF(ISNUMBER(T145),100*MAX(0,MIN(1,('Anchors'!$H$21-T145)/('Anchors'!$H$21-'Anchors'!$G$21))),"")</x:f>
        <x:v>87.0909090909091</x:v>
      </x:c>
      <x:c r="AM145" s="33" t="n">
        <x:f>IF(ISNUMBER(U145),100*MAX(0,MIN(1,('Anchors'!$H$22-U145)/('Anchors'!$H$22-'Anchors'!$G$22))),"")</x:f>
        <x:v>44.29226091355795</x:v>
      </x:c>
      <x:c r="AN145" s="33" t="n">
        <x:f>IF(ISNUMBER(V145),100*MAX(0,MIN(1,('Anchors'!$H$23-V145)/('Anchors'!$H$23-'Anchors'!$G$23))),"")</x:f>
        <x:v>68.6431055263375</x:v>
      </x:c>
      <x:c r="AO145" s="27" t="n">
        <x:f>IF(ISNUMBER(W145),IF('Scoring Setup'!$L$9=1,1-'Scoring Setup'!$B$5*(1-MAX(0,MIN(1,(W145-'Scoring Setup'!$K$9)/(100-'Scoring Setup'!$K$9)))),1),"")</x:f>
        <x:v>0.8631428571428571</x:v>
      </x:c>
      <x:c r="AP145" s="27" t="n">
        <x:f>IF(ISNUMBER(X145),IF('Scoring Setup'!$L$10=1,1-'Scoring Setup'!$B$5*(1-MAX(0,MIN(1,(X145-'Scoring Setup'!$K$10)/(100-'Scoring Setup'!$K$10)))),1),"")</x:f>
        <x:v>0.9736739745403111</x:v>
      </x:c>
      <x:c r="AQ145" s="27" t="n">
        <x:f>IF(ISNUMBER(Y145),IF('Scoring Setup'!$L$11=1,1-'Scoring Setup'!$B$5*(1-MAX(0,MIN(1,(Y145-'Scoring Setup'!$K$11)/(100-'Scoring Setup'!$K$11)))),1),"")</x:f>
        <x:v>0.9058938849478156</x:v>
      </x:c>
      <x:c r="AR145" s="27" t="n">
        <x:f>IF(ISNUMBER(Z145),IF('Scoring Setup'!$L$12=1,1-'Scoring Setup'!$B$5*(1-MAX(0,MIN(1,(Z145-'Scoring Setup'!$K$12)/(100-'Scoring Setup'!$K$12)))),1),"")</x:f>
        <x:v>0.9174017755999999</x:v>
      </x:c>
      <x:c r="AS145" s="27" t="n">
        <x:f>IF(ISNUMBER(AA145),IF('Scoring Setup'!$L$13=1,1-'Scoring Setup'!$B$5*(1-MAX(0,MIN(1,(AA145-'Scoring Setup'!$K$13)/(100-'Scoring Setup'!$K$13)))),1),"")</x:f>
        <x:v>0.9726543834901078</x:v>
      </x:c>
      <x:c r="AT145" s="27" t="n">
        <x:f>IF(ISNUMBER(AB145),IF('Scoring Setup'!$L$14=1,1-'Scoring Setup'!$B$5*(1-MAX(0,MIN(1,(AB145-'Scoring Setup'!$K$14)/(100-'Scoring Setup'!$K$14)))),1),"")</x:f>
        <x:v>0.985492527126526</x:v>
      </x:c>
      <x:c r="AU145" s="27" t="n">
        <x:f>IF(ISNUMBER(AC145),IF('Scoring Setup'!$L$15=1,1-'Scoring Setup'!$B$5*(1-MAX(0,MIN(1,(AC145-'Scoring Setup'!$K$15)/(100-'Scoring Setup'!$K$15)))),1),"")</x:f>
        <x:v>0.9768952027621146</x:v>
      </x:c>
      <x:c r="AV145" s="27" t="n">
        <x:f>IF(ISNUMBER(AD145),IF('Scoring Setup'!$L$16=1,1-'Scoring Setup'!$B$5*(1-MAX(0,MIN(1,(AD145-'Scoring Setup'!$K$16)/(100-'Scoring Setup'!$K$16)))),1),"")</x:f>
        <x:v>0.8313188748571428</x:v>
      </x:c>
      <x:c r="AW145" s="27" t="n">
        <x:f>IF(ISNUMBER(AE145),IF('Scoring Setup'!$L$17=1,1-'Scoring Setup'!$B$5*(1-MAX(0,MIN(1,(AE145-'Scoring Setup'!$K$17)/(100-'Scoring Setup'!$K$17)))),1),"")</x:f>
        <x:v>0.8524040155</x:v>
      </x:c>
      <x:c r="AX145" s="27" t="n">
        <x:f>IF(ISNUMBER(AF145),IF('Scoring Setup'!$L$18=1,1-'Scoring Setup'!$B$5*(1-MAX(0,MIN(1,(AF145-'Scoring Setup'!$K$18)/(100-'Scoring Setup'!$K$18)))),1),"")</x:f>
        <x:v>0.9386870292836231</x:v>
      </x:c>
      <x:c r="AY145" s="27" t="n">
        <x:f>IF(ISNUMBER(AG145),IF('Scoring Setup'!$L$19=1,1-'Scoring Setup'!$B$5*(1-MAX(0,MIN(1,(AG145-'Scoring Setup'!$K$19)/(100-'Scoring Setup'!$K$19)))),1),"")</x:f>
        <x:v>0.8106</x:v>
      </x:c>
      <x:c r="AZ145" s="27" t="n">
        <x:f>IF(ISNUMBER(AH145),IF('Scoring Setup'!$L$20=1,1-'Scoring Setup'!$B$5*(1-MAX(0,MIN(1,(AH145-'Scoring Setup'!$K$20)/(100-'Scoring Setup'!$K$20)))),1),"")</x:f>
        <x:v>0.8720473551432292</x:v>
      </x:c>
      <x:c r="BA145" s="27" t="n">
        <x:f>IF(ISNUMBER(AI145),IF('Scoring Setup'!$L$21=1,1-'Scoring Setup'!$B$5*(1-MAX(0,MIN(1,(AI145-'Scoring Setup'!$K$21)/(100-'Scoring Setup'!$K$21)))),1),"")</x:f>
        <x:v>0.8836966098603748</x:v>
      </x:c>
      <x:c r="BB145" s="27" t="n">
        <x:f>IF(ISNUMBER(AJ145),IF('Scoring Setup'!$L$22=1,1-'Scoring Setup'!$B$5*(1-MAX(0,MIN(1,(AJ145-'Scoring Setup'!$K$22)/(100-'Scoring Setup'!$K$22)))),1),"")</x:f>
        <x:v>1</x:v>
      </x:c>
      <x:c r="BC145" s="27" t="n">
        <x:f>IF(ISNUMBER(AK145),IF('Scoring Setup'!$L$23=1,1-'Scoring Setup'!$B$5*(1-MAX(0,MIN(1,(AK145-'Scoring Setup'!$K$23)/(100-'Scoring Setup'!$K$23)))),1),"")</x:f>
        <x:v>1</x:v>
      </x:c>
      <x:c r="BD145" s="27" t="n">
        <x:f>IF(ISNUMBER(AL145),IF('Scoring Setup'!$L$24=1,1-'Scoring Setup'!$B$5*(1-MAX(0,MIN(1,(AL145-'Scoring Setup'!$K$24)/(100-'Scoring Setup'!$K$24)))),1),"")</x:f>
        <x:v>0.9741818181818181</x:v>
      </x:c>
      <x:c r="BE145" s="27" t="n">
        <x:f>IF(ISNUMBER(AM145),IF('Scoring Setup'!$L$25=1,1-'Scoring Setup'!$B$5*(1-MAX(0,MIN(1,(AM145-'Scoring Setup'!$K$25)/(100-'Scoring Setup'!$K$25)))),1),"")</x:f>
        <x:v>0.8885845218271159</x:v>
      </x:c>
      <x:c r="BF145" s="27" t="n">
        <x:f>IF(ISNUMBER(AN145),IF('Scoring Setup'!$L$26=1,1-'Scoring Setup'!$B$5*(1-MAX(0,MIN(1,(AN145-'Scoring Setup'!$K$26)/(100-'Scoring Setup'!$K$26)))),1),"")</x:f>
        <x:v>0.937286211052675</x:v>
      </x:c>
      <x:c r="BG145" s="34" t="n">
        <x:f>IF(COUNT(W145,X145)=2,AVERAGE(W145,X145),"")</x:f>
        <x:v>59.204207920792065</x:v>
      </x:c>
      <x:c r="BH145" s="34" t="n">
        <x:f>IF(COUNT(Y145,Z145)=2,AVERAGE(Y145,Z145),"")</x:f>
        <x:v>55.823915136953914</x:v>
      </x:c>
      <x:c r="BI145" s="34" t="n">
        <x:f>IF(COUNT(AA145,AB145,AC145)=3,AVERAGE(AA145,AB145,AC145),"")</x:f>
        <x:v>89.17368556312475</x:v>
      </x:c>
      <x:c r="BJ145" s="34" t="n">
        <x:f>IF(COUNT(AD145,AE145)=2,AVERAGE(AD145,AE145),"")</x:f>
        <x:v>20.930722589285715</x:v>
      </x:c>
      <x:c r="BK145" s="34" t="n">
        <x:f>IF(COUNT(AF145,AG145)=2,AVERAGE(AF145,AG145),"")</x:f>
        <x:v>37.32175732090579</x:v>
      </x:c>
      <x:c r="BL145" s="34" t="n">
        <x:f>IF(COUNT(AH145,AI145)=2,AVERAGE(AH145,AI145),"")</x:f>
        <x:v>38.935991250901</x:v>
      </x:c>
      <x:c r="BM145" s="34" t="n">
        <x:f>IF(COUNT(AJ145,AK145)=2,AVERAGE(AJ145,AK145),"")</x:f>
        <x:v>100</x:v>
      </x:c>
      <x:c r="BN145" s="34" t="n">
        <x:f>IF(COUNT(AL145,AM145,AN145)=3,AVERAGE(AL145,AM145,AN145),"")</x:f>
        <x:v>66.67542517693484</x:v>
      </x:c>
      <x:c r="BO145" s="35" t="n">
        <x:f>IF(AND(COUNT(BG145:BN145)=8,ABS('Scoring Setup'!$C$17-1)&lt;0.000001),BG145*'Scoring Setup'!$C$9+BH145*'Scoring Setup'!$C$10+BI145*'Scoring Setup'!$C$11+BJ145*'Scoring Setup'!$C$12+BK145*'Scoring Setup'!$C$13+BL145*'Scoring Setup'!$C$14+BM145*'Scoring Setup'!$C$15+BN145*'Scoring Setup'!$C$16,"")</x:f>
        <x:v>58.777247482427114</x:v>
      </x:c>
      <x:c r="BP145" s="36" t="n">
        <x:f>IF(COUNT(AO145:BF145)=18,MIN(AO145:BF145),"")</x:f>
        <x:v>0.8106</x:v>
      </x:c>
      <x:c r="BQ145" s="35" t="n">
        <x:f>IF(AND(ISNUMBER(BO145),ISNUMBER(BP145)),BO145*BP145,"")</x:f>
        <x:v>47.644836809255416</x:v>
      </x:c>
      <x:c r="BR145" s="17" t="str">
        <x:f>IF(COUNT(AO145:BF145)=18,INDEX('Scoring Setup'!$F$9:$F$26,MATCH(MIN(AO145:BF145),AO145:BF145,0),1),"")</x:f>
        <x:v>社会脆弱性百分位</x:v>
      </x:c>
    </x:row>
    <x:row r="146">
      <x:c r="A146" s="28" t="str">
        <x:v>13287</x:v>
      </x:c>
      <x:c r="B146" s="28" t="str">
        <x:v>Turner County</x:v>
      </x:c>
      <x:c r="C146" s="28" t="str">
        <x:v>GA</x:v>
      </x:c>
      <x:c r="D146" s="31" t="n">
        <x:v>739.227758</x:v>
      </x:c>
      <x:c r="E146" s="32" t="n">
        <x:v>0.524</x:v>
      </x:c>
      <x:c r="F146" s="32" t="n">
        <x:v>0.04950495049504949</x:v>
      </x:c>
      <x:c r="G146" s="32" t="n">
        <x:v>2.68080818255249</x:v>
      </x:c>
      <x:c r="H146" s="32" t="n">
        <x:v>2.8657755995858047</x:v>
      </x:c>
      <x:c r="I146" s="32" t="n">
        <x:v>0.9368580427829598</x:v>
      </x:c>
      <x:c r="J146" s="32" t="n">
        <x:v>0.005815309164274566</x:v>
      </x:c>
      <x:c r="K146" s="32" t="n">
        <x:v>0.19442775663087233</x:v>
      </x:c>
      <x:c r="L146" s="32" t="n">
        <x:v>0.853663702</x:v>
      </x:c>
      <x:c r="M146" s="32" t="n">
        <x:v>0.839474799</x:v>
      </x:c>
      <x:c r="N146" s="32" t="n">
        <x:v>3567</x:v>
      </x:c>
      <x:c r="O146" s="32" t="n">
        <x:v>0.9675</x:v>
      </x:c>
      <x:c r="P146" s="32" t="n">
        <x:v>2197.1453776041667</x:v>
      </x:c>
      <x:c r="Q146" s="32" t="n">
        <x:v>68.76929168701172</x:v>
      </x:c>
      <x:c r="R146" s="32" t="n">
        <x:v>1.9941551081850342</x:v>
      </x:c>
      <x:c r="S146" s="32" t="n">
        <x:v>3.737553038371096</x:v>
      </x:c>
      <x:c r="T146" s="32" t="n">
        <x:v>72.1</x:v>
      </x:c>
      <x:c r="U146" s="32" t="n">
        <x:v>211.4154781728841</x:v>
      </x:c>
      <x:c r="V146" s="32" t="n">
        <x:v>325.42757789465</x:v>
      </x:c>
      <x:c r="W146" s="33" t="n">
        <x:f>IF(ISNUMBER(E146),100*MAX(0,MIN(1,('Anchors'!$H$6-E146)/('Anchors'!$H$6-'Anchors'!$G$6))),"")</x:f>
        <x:v>53.714285714285715</x:v>
      </x:c>
      <x:c r="X146" s="33" t="n">
        <x:f>IF(ISNUMBER(F146),100*MAX(0,MIN(1,('Anchors'!$H$7-F146)/('Anchors'!$H$7-'Anchors'!$G$7))),"")</x:f>
        <x:v>100</x:v>
      </x:c>
      <x:c r="Y146" s="33" t="n">
        <x:f>IF(ISNUMBER(G146),100*MAX(0,MIN(1,('Anchors'!$H$8-G146)/('Anchors'!$H$8-'Anchors'!$G$8))),"")</x:f>
        <x:v>43.973060581583674</x:v>
      </x:c>
      <x:c r="Z146" s="33" t="n">
        <x:f>IF(ISNUMBER(H146),100*MAX(0,MIN(1,('Anchors'!$H$9-H146)/('Anchors'!$H$9-'Anchors'!$G$9))),"")</x:f>
        <x:v>37.80748001380651</x:v>
      </x:c>
      <x:c r="AA146" s="33" t="n">
        <x:f>IF(ISNUMBER(I146),100*MAX(0,MIN(1,(I146-'Anchors'!$H$10)/('Anchors'!$G$10-'Anchors'!$H$10))),"")</x:f>
        <x:v>94.0901428469808</x:v>
      </x:c>
      <x:c r="AB146" s="33" t="n">
        <x:f>IF(ISNUMBER(J146),100*MAX(0,MIN(1,('Anchors'!$H$11-J146)/('Anchors'!$H$11-'Anchors'!$G$11))),"")</x:f>
        <x:v>97.67387633429017</x:v>
      </x:c>
      <x:c r="AC146" s="33" t="n">
        <x:f>IF(ISNUMBER(K146),100*MAX(0,MIN(1,('Anchors'!$H$12-K146)/('Anchors'!$H$12-'Anchors'!$G$12))),"")</x:f>
        <x:v>51.393060842281926</x:v>
      </x:c>
      <x:c r="AD146" s="33" t="n">
        <x:f>IF(ISNUMBER(L146),100*MAX(0,MIN(1,(L146-'Anchors'!$H$13)/('Anchors'!$G$13-'Anchors'!$H$13))),"")</x:f>
        <x:v>93.38052885714286</x:v>
      </x:c>
      <x:c r="AE146" s="33" t="n">
        <x:f>IF(ISNUMBER(M146),100*MAX(0,MIN(1,(M146-'Anchors'!$H$14)/('Anchors'!$G$14-'Anchors'!$H$14))),"")</x:f>
        <x:v>92.434349875</x:v>
      </x:c>
      <x:c r="AF146" s="33" t="n">
        <x:f>IF(ISNUMBER(N146),100*MAX(0,MIN(1,(LN(1+N146)-LN(1+'Anchors'!$H$15))/(LN(1+'Anchors'!$G$15)-LN(1+'Anchors'!$H$15)))),"")</x:f>
        <x:v>13.397239788901974</x:v>
      </x:c>
      <x:c r="AG146" s="33" t="n">
        <x:f>IF(ISNUMBER(O146),100*MAX(0,MIN(1,('Anchors'!$H$16-O146)/('Anchors'!$H$16-'Anchors'!$G$16))),"")</x:f>
        <x:v>0</x:v>
      </x:c>
      <x:c r="AH146" s="33" t="n">
        <x:f>IF(ISNUMBER(P146),100*MAX(0,MIN(1,('Anchors'!$H$17-P146)/('Anchors'!$H$17-'Anchors'!$G$17))),"")</x:f>
        <x:v>0.1903081597222202</x:v>
      </x:c>
      <x:c r="AI146" s="33" t="n">
        <x:f>IF(ISNUMBER(Q146),100*MAX(0,MIN(1,('Anchors'!$H$18-Q146)/('Anchors'!$H$18-'Anchors'!$G$18))),"")</x:f>
        <x:v>8.901011875697549</x:v>
      </x:c>
      <x:c r="AJ146" s="33" t="n">
        <x:f>IF(ISNUMBER(R146),100*MAX(0,MIN(1,('Anchors'!$H$19-R146)/('Anchors'!$H$19-'Anchors'!$G$19))),"")</x:f>
        <x:v>100</x:v>
      </x:c>
      <x:c r="AK146" s="33" t="n">
        <x:f>IF(ISNUMBER(S146),100*MAX(0,MIN(1,('Anchors'!$H$20-S146)/('Anchors'!$H$20-'Anchors'!$G$20))),"")</x:f>
        <x:v>85.59182611383633</x:v>
      </x:c>
      <x:c r="AL146" s="33" t="n">
        <x:f>IF(ISNUMBER(T146),100*MAX(0,MIN(1,('Anchors'!$H$21-T146)/('Anchors'!$H$21-'Anchors'!$G$21))),"")</x:f>
        <x:v>87.0909090909091</x:v>
      </x:c>
      <x:c r="AM146" s="33" t="n">
        <x:f>IF(ISNUMBER(U146),100*MAX(0,MIN(1,('Anchors'!$H$22-U146)/('Anchors'!$H$22-'Anchors'!$G$22))),"")</x:f>
        <x:v>44.29226091355795</x:v>
      </x:c>
      <x:c r="AN146" s="33" t="n">
        <x:f>IF(ISNUMBER(V146),100*MAX(0,MIN(1,('Anchors'!$H$23-V146)/('Anchors'!$H$23-'Anchors'!$G$23))),"")</x:f>
        <x:v>68.6431055263375</x:v>
      </x:c>
      <x:c r="AO146" s="27" t="n">
        <x:f>IF(ISNUMBER(W146),IF('Scoring Setup'!$L$9=1,1-'Scoring Setup'!$B$5*(1-MAX(0,MIN(1,(W146-'Scoring Setup'!$K$9)/(100-'Scoring Setup'!$K$9)))),1),"")</x:f>
        <x:v>0.9074285714285715</x:v>
      </x:c>
      <x:c r="AP146" s="27" t="n">
        <x:f>IF(ISNUMBER(X146),IF('Scoring Setup'!$L$10=1,1-'Scoring Setup'!$B$5*(1-MAX(0,MIN(1,(X146-'Scoring Setup'!$K$10)/(100-'Scoring Setup'!$K$10)))),1),"")</x:f>
        <x:v>1</x:v>
      </x:c>
      <x:c r="AQ146" s="27" t="n">
        <x:f>IF(ISNUMBER(Y146),IF('Scoring Setup'!$L$11=1,1-'Scoring Setup'!$B$5*(1-MAX(0,MIN(1,(Y146-'Scoring Setup'!$K$11)/(100-'Scoring Setup'!$K$11)))),1),"")</x:f>
        <x:v>0.8879461211631674</x:v>
      </x:c>
      <x:c r="AR146" s="27" t="n">
        <x:f>IF(ISNUMBER(Z146),IF('Scoring Setup'!$L$12=1,1-'Scoring Setup'!$B$5*(1-MAX(0,MIN(1,(Z146-'Scoring Setup'!$K$12)/(100-'Scoring Setup'!$K$12)))),1),"")</x:f>
        <x:v>0.8756149600276131</x:v>
      </x:c>
      <x:c r="AS146" s="27" t="n">
        <x:f>IF(ISNUMBER(AA146),IF('Scoring Setup'!$L$13=1,1-'Scoring Setup'!$B$5*(1-MAX(0,MIN(1,(AA146-'Scoring Setup'!$K$13)/(100-'Scoring Setup'!$K$13)))),1),"")</x:f>
        <x:v>0.9881802856939615</x:v>
      </x:c>
      <x:c r="AT146" s="27" t="n">
        <x:f>IF(ISNUMBER(AB146),IF('Scoring Setup'!$L$14=1,1-'Scoring Setup'!$B$5*(1-MAX(0,MIN(1,(AB146-'Scoring Setup'!$K$14)/(100-'Scoring Setup'!$K$14)))),1),"")</x:f>
        <x:v>0.9953477526685803</x:v>
      </x:c>
      <x:c r="AU146" s="27" t="n">
        <x:f>IF(ISNUMBER(AC146),IF('Scoring Setup'!$L$15=1,1-'Scoring Setup'!$B$5*(1-MAX(0,MIN(1,(AC146-'Scoring Setup'!$K$15)/(100-'Scoring Setup'!$K$15)))),1),"")</x:f>
        <x:v>0.9027861216845638</x:v>
      </x:c>
      <x:c r="AV146" s="27" t="n">
        <x:f>IF(ISNUMBER(AD146),IF('Scoring Setup'!$L$16=1,1-'Scoring Setup'!$B$5*(1-MAX(0,MIN(1,(AD146-'Scoring Setup'!$K$16)/(100-'Scoring Setup'!$K$16)))),1),"")</x:f>
        <x:v>0.9867610577142857</x:v>
      </x:c>
      <x:c r="AW146" s="27" t="n">
        <x:f>IF(ISNUMBER(AE146),IF('Scoring Setup'!$L$17=1,1-'Scoring Setup'!$B$5*(1-MAX(0,MIN(1,(AE146-'Scoring Setup'!$K$17)/(100-'Scoring Setup'!$K$17)))),1),"")</x:f>
        <x:v>0.98486869975</x:v>
      </x:c>
      <x:c r="AX146" s="27" t="n">
        <x:f>IF(ISNUMBER(AF146),IF('Scoring Setup'!$L$18=1,1-'Scoring Setup'!$B$5*(1-MAX(0,MIN(1,(AF146-'Scoring Setup'!$K$18)/(100-'Scoring Setup'!$K$18)))),1),"")</x:f>
        <x:v>0.8267944795778039</x:v>
      </x:c>
      <x:c r="AY146" s="27" t="n">
        <x:f>IF(ISNUMBER(AG146),IF('Scoring Setup'!$L$19=1,1-'Scoring Setup'!$B$5*(1-MAX(0,MIN(1,(AG146-'Scoring Setup'!$K$19)/(100-'Scoring Setup'!$K$19)))),1),"")</x:f>
        <x:v>0.8</x:v>
      </x:c>
      <x:c r="AZ146" s="27" t="n">
        <x:f>IF(ISNUMBER(AH146),IF('Scoring Setup'!$L$20=1,1-'Scoring Setup'!$B$5*(1-MAX(0,MIN(1,(AH146-'Scoring Setup'!$K$20)/(100-'Scoring Setup'!$K$20)))),1),"")</x:f>
        <x:v>0.8003806163194445</x:v>
      </x:c>
      <x:c r="BA146" s="27" t="n">
        <x:f>IF(ISNUMBER(AI146),IF('Scoring Setup'!$L$21=1,1-'Scoring Setup'!$B$5*(1-MAX(0,MIN(1,(AI146-'Scoring Setup'!$K$21)/(100-'Scoring Setup'!$K$21)))),1),"")</x:f>
        <x:v>0.8178020237513951</x:v>
      </x:c>
      <x:c r="BB146" s="27" t="n">
        <x:f>IF(ISNUMBER(AJ146),IF('Scoring Setup'!$L$22=1,1-'Scoring Setup'!$B$5*(1-MAX(0,MIN(1,(AJ146-'Scoring Setup'!$K$22)/(100-'Scoring Setup'!$K$22)))),1),"")</x:f>
        <x:v>1</x:v>
      </x:c>
      <x:c r="BC146" s="27" t="n">
        <x:f>IF(ISNUMBER(AK146),IF('Scoring Setup'!$L$23=1,1-'Scoring Setup'!$B$5*(1-MAX(0,MIN(1,(AK146-'Scoring Setup'!$K$23)/(100-'Scoring Setup'!$K$23)))),1),"")</x:f>
        <x:v>0.9711836522276727</x:v>
      </x:c>
      <x:c r="BD146" s="27" t="n">
        <x:f>IF(ISNUMBER(AL146),IF('Scoring Setup'!$L$24=1,1-'Scoring Setup'!$B$5*(1-MAX(0,MIN(1,(AL146-'Scoring Setup'!$K$24)/(100-'Scoring Setup'!$K$24)))),1),"")</x:f>
        <x:v>0.9741818181818181</x:v>
      </x:c>
      <x:c r="BE146" s="27" t="n">
        <x:f>IF(ISNUMBER(AM146),IF('Scoring Setup'!$L$25=1,1-'Scoring Setup'!$B$5*(1-MAX(0,MIN(1,(AM146-'Scoring Setup'!$K$25)/(100-'Scoring Setup'!$K$25)))),1),"")</x:f>
        <x:v>0.8885845218271159</x:v>
      </x:c>
      <x:c r="BF146" s="27" t="n">
        <x:f>IF(ISNUMBER(AN146),IF('Scoring Setup'!$L$26=1,1-'Scoring Setup'!$B$5*(1-MAX(0,MIN(1,(AN146-'Scoring Setup'!$K$26)/(100-'Scoring Setup'!$K$26)))),1),"")</x:f>
        <x:v>0.937286211052675</x:v>
      </x:c>
      <x:c r="BG146" s="34" t="n">
        <x:f>IF(COUNT(W146,X146)=2,AVERAGE(W146,X146),"")</x:f>
        <x:v>76.85714285714286</x:v>
      </x:c>
      <x:c r="BH146" s="34" t="n">
        <x:f>IF(COUNT(Y146,Z146)=2,AVERAGE(Y146,Z146),"")</x:f>
        <x:v>40.890270297695096</x:v>
      </x:c>
      <x:c r="BI146" s="34" t="n">
        <x:f>IF(COUNT(AA146,AB146,AC146)=3,AVERAGE(AA146,AB146,AC146),"")</x:f>
        <x:v>81.05236000785096</x:v>
      </x:c>
      <x:c r="BJ146" s="34" t="n">
        <x:f>IF(COUNT(AD146,AE146)=2,AVERAGE(AD146,AE146),"")</x:f>
        <x:v>92.90743936607143</x:v>
      </x:c>
      <x:c r="BK146" s="34" t="n">
        <x:f>IF(COUNT(AF146,AG146)=2,AVERAGE(AF146,AG146),"")</x:f>
        <x:v>6.698619894450987</x:v>
      </x:c>
      <x:c r="BL146" s="34" t="n">
        <x:f>IF(COUNT(AH146,AI146)=2,AVERAGE(AH146,AI146),"")</x:f>
        <x:v>4.545660017709884</x:v>
      </x:c>
      <x:c r="BM146" s="34" t="n">
        <x:f>IF(COUNT(AJ146,AK146)=2,AVERAGE(AJ146,AK146),"")</x:f>
        <x:v>92.79591305691817</x:v>
      </x:c>
      <x:c r="BN146" s="34" t="n">
        <x:f>IF(COUNT(AL146,AM146,AN146)=3,AVERAGE(AL146,AM146,AN146),"")</x:f>
        <x:v>66.67542517693484</x:v>
      </x:c>
      <x:c r="BO146" s="35" t="n">
        <x:f>IF(AND(COUNT(BG146:BN146)=8,ABS('Scoring Setup'!$C$17-1)&lt;0.000001),BG146*'Scoring Setup'!$C$9+BH146*'Scoring Setup'!$C$10+BI146*'Scoring Setup'!$C$11+BJ146*'Scoring Setup'!$C$12+BK146*'Scoring Setup'!$C$13+BL146*'Scoring Setup'!$C$14+BM146*'Scoring Setup'!$C$15+BN146*'Scoring Setup'!$C$16,"")</x:f>
        <x:v>58.79931647890249</x:v>
      </x:c>
      <x:c r="BP146" s="36" t="n">
        <x:f>IF(COUNT(AO146:BF146)=18,MIN(AO146:BF146),"")</x:f>
        <x:v>0.8</x:v>
      </x:c>
      <x:c r="BQ146" s="35" t="n">
        <x:f>IF(AND(ISNUMBER(BO146),ISNUMBER(BP146)),BO146*BP146,"")</x:f>
        <x:v>47.03945318312199</x:v>
      </x:c>
      <x:c r="BR146" s="17" t="str">
        <x:f>IF(COUNT(AO146:BF146)=18,INDEX('Scoring Setup'!$F$9:$F$26,MATCH(MIN(AO146:BF146),AO146:BF146,0),1),"")</x:f>
        <x:v>社会脆弱性百分位</x:v>
      </x:c>
    </x:row>
    <x:row r="147">
      <x:c r="A147" s="28" t="str">
        <x:v>13289</x:v>
      </x:c>
      <x:c r="B147" s="28" t="str">
        <x:v>Twiggs County</x:v>
      </x:c>
      <x:c r="C147" s="28" t="str">
        <x:v>GA</x:v>
      </x:c>
      <x:c r="D147" s="31" t="n">
        <x:v>930.478094</x:v>
      </x:c>
      <x:c r="E147" s="32" t="n">
        <x:v>0.507</x:v>
      </x:c>
      <x:c r="F147" s="32" t="n">
        <x:v>0.275371287128713</x:v>
      </x:c>
      <x:c r="G147" s="32" t="n">
        <x:v>2.4202759158340976</x:v>
      </x:c>
      <x:c r="H147" s="32" t="n">
        <x:v>2.2714042669118544</x:v>
      </x:c>
      <x:c r="I147" s="32" t="n">
        <x:v>0.9527598579455779</x:v>
      </x:c>
      <x:c r="J147" s="32" t="n">
        <x:v>0.035192266832628605</x:v>
      </x:c>
      <x:c r="K147" s="32" t="n">
        <x:v>0.16860419657104025</x:v>
      </x:c>
      <x:c r="L147" s="32" t="n">
        <x:v>0.728603104</x:v>
      </x:c>
      <x:c r="M147" s="32" t="n">
        <x:v>0.718181818</x:v>
      </x:c>
      <x:c r="N147" s="32" t="n">
        <x:v>2746</x:v>
      </x:c>
      <x:c r="O147" s="32" t="n">
        <x:v>0.6538</x:v>
      </x:c>
      <x:c r="P147" s="32" t="n">
        <x:v>2040.364103190104</x:v>
      </x:c>
      <x:c r="Q147" s="32" t="n">
        <x:v>67.5504758199056</x:v>
      </x:c>
      <x:c r="R147" s="32" t="n">
        <x:v>1.5931629165162493</x:v>
      </x:c>
      <x:c r="S147" s="32" t="n">
        <x:v>5.817450212845281</x:v>
      </x:c>
      <x:c r="T147" s="32" t="n">
        <x:v>72.1</x:v>
      </x:c>
      <x:c r="U147" s="32" t="n">
        <x:v>211.4154781728841</x:v>
      </x:c>
      <x:c r="V147" s="32" t="n">
        <x:v>325.42757789465</x:v>
      </x:c>
      <x:c r="W147" s="33" t="n">
        <x:f>IF(ISNUMBER(E147),100*MAX(0,MIN(1,('Anchors'!$H$6-E147)/('Anchors'!$H$6-'Anchors'!$G$6))),"")</x:f>
        <x:v>56.14285714285715</x:v>
      </x:c>
      <x:c r="X147" s="33" t="n">
        <x:f>IF(ISNUMBER(F147),100*MAX(0,MIN(1,('Anchors'!$H$7-F147)/('Anchors'!$H$7-'Anchors'!$G$7))),"")</x:f>
        <x:v>74.94695898161243</x:v>
      </x:c>
      <x:c r="Y147" s="33" t="n">
        <x:f>IF(ISNUMBER(G147),100*MAX(0,MIN(1,('Anchors'!$H$8-G147)/('Anchors'!$H$8-'Anchors'!$G$8))),"")</x:f>
        <x:v>52.65746947219675</x:v>
      </x:c>
      <x:c r="Z147" s="33" t="n">
        <x:f>IF(ISNUMBER(H147),100*MAX(0,MIN(1,('Anchors'!$H$9-H147)/('Anchors'!$H$9-'Anchors'!$G$9))),"")</x:f>
        <x:v>57.619857769604856</x:v>
      </x:c>
      <x:c r="AA147" s="33" t="n">
        <x:f>IF(ISNUMBER(I147),100*MAX(0,MIN(1,(I147-'Anchors'!$H$10)/('Anchors'!$G$10-'Anchors'!$H$10))),"")</x:f>
        <x:v>96.26847369117506</x:v>
      </x:c>
      <x:c r="AB147" s="33" t="n">
        <x:f>IF(ISNUMBER(J147),100*MAX(0,MIN(1,('Anchors'!$H$11-J147)/('Anchors'!$H$11-'Anchors'!$G$11))),"")</x:f>
        <x:v>85.92309326694856</x:v>
      </x:c>
      <x:c r="AC147" s="33" t="n">
        <x:f>IF(ISNUMBER(K147),100*MAX(0,MIN(1,('Anchors'!$H$12-K147)/('Anchors'!$H$12-'Anchors'!$G$12))),"")</x:f>
        <x:v>57.848950857239934</x:v>
      </x:c>
      <x:c r="AD147" s="33" t="n">
        <x:f>IF(ISNUMBER(L147),100*MAX(0,MIN(1,(L147-'Anchors'!$H$13)/('Anchors'!$G$13-'Anchors'!$H$13))),"")</x:f>
        <x:v>75.51472914285714</x:v>
      </x:c>
      <x:c r="AE147" s="33" t="n">
        <x:f>IF(ISNUMBER(M147),100*MAX(0,MIN(1,(M147-'Anchors'!$H$14)/('Anchors'!$G$14-'Anchors'!$H$14))),"")</x:f>
        <x:v>77.27272725</x:v>
      </x:c>
      <x:c r="AF147" s="33" t="n">
        <x:f>IF(ISNUMBER(N147),100*MAX(0,MIN(1,(LN(1+N147)-LN(1+'Anchors'!$H$15))/(LN(1+'Anchors'!$G$15)-LN(1+'Anchors'!$H$15)))),"")</x:f>
        <x:v>7.339882452359073</x:v>
      </x:c>
      <x:c r="AG147" s="33" t="n">
        <x:f>IF(ISNUMBER(O147),100*MAX(0,MIN(1,('Anchors'!$H$16-O147)/('Anchors'!$H$16-'Anchors'!$G$16))),"")</x:f>
        <x:v>32.911111111111104</x:v>
      </x:c>
      <x:c r="AH147" s="33" t="n">
        <x:f>IF(ISNUMBER(P147),100*MAX(0,MIN(1,('Anchors'!$H$17-P147)/('Anchors'!$H$17-'Anchors'!$G$17))),"")</x:f>
        <x:v>10.64239312065973</x:v>
      </x:c>
      <x:c r="AI147" s="33" t="n">
        <x:f>IF(ISNUMBER(Q147),100*MAX(0,MIN(1,('Anchors'!$H$18-Q147)/('Anchors'!$H$18-'Anchors'!$G$18))),"")</x:f>
        <x:v>10.642177400134857</x:v>
      </x:c>
      <x:c r="AJ147" s="33" t="n">
        <x:f>IF(ISNUMBER(R147),100*MAX(0,MIN(1,('Anchors'!$H$19-R147)/('Anchors'!$H$19-'Anchors'!$G$19))),"")</x:f>
        <x:v>100</x:v>
      </x:c>
      <x:c r="AK147" s="33" t="n">
        <x:f>IF(ISNUMBER(S147),100*MAX(0,MIN(1,('Anchors'!$H$20-S147)/('Anchors'!$H$20-'Anchors'!$G$20))),"")</x:f>
        <x:v>74.64499887976169</x:v>
      </x:c>
      <x:c r="AL147" s="33" t="n">
        <x:f>IF(ISNUMBER(T147),100*MAX(0,MIN(1,('Anchors'!$H$21-T147)/('Anchors'!$H$21-'Anchors'!$G$21))),"")</x:f>
        <x:v>87.0909090909091</x:v>
      </x:c>
      <x:c r="AM147" s="33" t="n">
        <x:f>IF(ISNUMBER(U147),100*MAX(0,MIN(1,('Anchors'!$H$22-U147)/('Anchors'!$H$22-'Anchors'!$G$22))),"")</x:f>
        <x:v>44.29226091355795</x:v>
      </x:c>
      <x:c r="AN147" s="33" t="n">
        <x:f>IF(ISNUMBER(V147),100*MAX(0,MIN(1,('Anchors'!$H$23-V147)/('Anchors'!$H$23-'Anchors'!$G$23))),"")</x:f>
        <x:v>68.6431055263375</x:v>
      </x:c>
      <x:c r="AO147" s="27" t="n">
        <x:f>IF(ISNUMBER(W147),IF('Scoring Setup'!$L$9=1,1-'Scoring Setup'!$B$5*(1-MAX(0,MIN(1,(W147-'Scoring Setup'!$K$9)/(100-'Scoring Setup'!$K$9)))),1),"")</x:f>
        <x:v>0.9122857142857143</x:v>
      </x:c>
      <x:c r="AP147" s="27" t="n">
        <x:f>IF(ISNUMBER(X147),IF('Scoring Setup'!$L$10=1,1-'Scoring Setup'!$B$5*(1-MAX(0,MIN(1,(X147-'Scoring Setup'!$K$10)/(100-'Scoring Setup'!$K$10)))),1),"")</x:f>
        <x:v>0.9498939179632249</x:v>
      </x:c>
      <x:c r="AQ147" s="27" t="n">
        <x:f>IF(ISNUMBER(Y147),IF('Scoring Setup'!$L$11=1,1-'Scoring Setup'!$B$5*(1-MAX(0,MIN(1,(Y147-'Scoring Setup'!$K$11)/(100-'Scoring Setup'!$K$11)))),1),"")</x:f>
        <x:v>0.9053149389443935</x:v>
      </x:c>
      <x:c r="AR147" s="27" t="n">
        <x:f>IF(ISNUMBER(Z147),IF('Scoring Setup'!$L$12=1,1-'Scoring Setup'!$B$5*(1-MAX(0,MIN(1,(Z147-'Scoring Setup'!$K$12)/(100-'Scoring Setup'!$K$12)))),1),"")</x:f>
        <x:v>0.9152397155392097</x:v>
      </x:c>
      <x:c r="AS147" s="27" t="n">
        <x:f>IF(ISNUMBER(AA147),IF('Scoring Setup'!$L$13=1,1-'Scoring Setup'!$B$5*(1-MAX(0,MIN(1,(AA147-'Scoring Setup'!$K$13)/(100-'Scoring Setup'!$K$13)))),1),"")</x:f>
        <x:v>0.9925369473823501</x:v>
      </x:c>
      <x:c r="AT147" s="27" t="n">
        <x:f>IF(ISNUMBER(AB147),IF('Scoring Setup'!$L$14=1,1-'Scoring Setup'!$B$5*(1-MAX(0,MIN(1,(AB147-'Scoring Setup'!$K$14)/(100-'Scoring Setup'!$K$14)))),1),"")</x:f>
        <x:v>0.9718461865338971</x:v>
      </x:c>
      <x:c r="AU147" s="27" t="n">
        <x:f>IF(ISNUMBER(AC147),IF('Scoring Setup'!$L$15=1,1-'Scoring Setup'!$B$5*(1-MAX(0,MIN(1,(AC147-'Scoring Setup'!$K$15)/(100-'Scoring Setup'!$K$15)))),1),"")</x:f>
        <x:v>0.9156979017144798</x:v>
      </x:c>
      <x:c r="AV147" s="27" t="n">
        <x:f>IF(ISNUMBER(AD147),IF('Scoring Setup'!$L$16=1,1-'Scoring Setup'!$B$5*(1-MAX(0,MIN(1,(AD147-'Scoring Setup'!$K$16)/(100-'Scoring Setup'!$K$16)))),1),"")</x:f>
        <x:v>0.9510294582857143</x:v>
      </x:c>
      <x:c r="AW147" s="27" t="n">
        <x:f>IF(ISNUMBER(AE147),IF('Scoring Setup'!$L$17=1,1-'Scoring Setup'!$B$5*(1-MAX(0,MIN(1,(AE147-'Scoring Setup'!$K$17)/(100-'Scoring Setup'!$K$17)))),1),"")</x:f>
        <x:v>0.9545454545000001</x:v>
      </x:c>
      <x:c r="AX147" s="27" t="n">
        <x:f>IF(ISNUMBER(AF147),IF('Scoring Setup'!$L$18=1,1-'Scoring Setup'!$B$5*(1-MAX(0,MIN(1,(AF147-'Scoring Setup'!$K$18)/(100-'Scoring Setup'!$K$18)))),1),"")</x:f>
        <x:v>0.8146797649047182</x:v>
      </x:c>
      <x:c r="AY147" s="27" t="n">
        <x:f>IF(ISNUMBER(AG147),IF('Scoring Setup'!$L$19=1,1-'Scoring Setup'!$B$5*(1-MAX(0,MIN(1,(AG147-'Scoring Setup'!$K$19)/(100-'Scoring Setup'!$K$19)))),1),"")</x:f>
        <x:v>0.8658222222222222</x:v>
      </x:c>
      <x:c r="AZ147" s="27" t="n">
        <x:f>IF(ISNUMBER(AH147),IF('Scoring Setup'!$L$20=1,1-'Scoring Setup'!$B$5*(1-MAX(0,MIN(1,(AH147-'Scoring Setup'!$K$20)/(100-'Scoring Setup'!$K$20)))),1),"")</x:f>
        <x:v>0.8212847862413195</x:v>
      </x:c>
      <x:c r="BA147" s="27" t="n">
        <x:f>IF(ISNUMBER(AI147),IF('Scoring Setup'!$L$21=1,1-'Scoring Setup'!$B$5*(1-MAX(0,MIN(1,(AI147-'Scoring Setup'!$K$21)/(100-'Scoring Setup'!$K$21)))),1),"")</x:f>
        <x:v>0.8212843548002697</x:v>
      </x:c>
      <x:c r="BB147" s="27" t="n">
        <x:f>IF(ISNUMBER(AJ147),IF('Scoring Setup'!$L$22=1,1-'Scoring Setup'!$B$5*(1-MAX(0,MIN(1,(AJ147-'Scoring Setup'!$K$22)/(100-'Scoring Setup'!$K$22)))),1),"")</x:f>
        <x:v>1</x:v>
      </x:c>
      <x:c r="BC147" s="27" t="n">
        <x:f>IF(ISNUMBER(AK147),IF('Scoring Setup'!$L$23=1,1-'Scoring Setup'!$B$5*(1-MAX(0,MIN(1,(AK147-'Scoring Setup'!$K$23)/(100-'Scoring Setup'!$K$23)))),1),"")</x:f>
        <x:v>0.9492899977595234</x:v>
      </x:c>
      <x:c r="BD147" s="27" t="n">
        <x:f>IF(ISNUMBER(AL147),IF('Scoring Setup'!$L$24=1,1-'Scoring Setup'!$B$5*(1-MAX(0,MIN(1,(AL147-'Scoring Setup'!$K$24)/(100-'Scoring Setup'!$K$24)))),1),"")</x:f>
        <x:v>0.9741818181818181</x:v>
      </x:c>
      <x:c r="BE147" s="27" t="n">
        <x:f>IF(ISNUMBER(AM147),IF('Scoring Setup'!$L$25=1,1-'Scoring Setup'!$B$5*(1-MAX(0,MIN(1,(AM147-'Scoring Setup'!$K$25)/(100-'Scoring Setup'!$K$25)))),1),"")</x:f>
        <x:v>0.8885845218271159</x:v>
      </x:c>
      <x:c r="BF147" s="27" t="n">
        <x:f>IF(ISNUMBER(AN147),IF('Scoring Setup'!$L$26=1,1-'Scoring Setup'!$B$5*(1-MAX(0,MIN(1,(AN147-'Scoring Setup'!$K$26)/(100-'Scoring Setup'!$K$26)))),1),"")</x:f>
        <x:v>0.937286211052675</x:v>
      </x:c>
      <x:c r="BG147" s="34" t="n">
        <x:f>IF(COUNT(W147,X147)=2,AVERAGE(W147,X147),"")</x:f>
        <x:v>65.54490806223478</x:v>
      </x:c>
      <x:c r="BH147" s="34" t="n">
        <x:f>IF(COUNT(Y147,Z147)=2,AVERAGE(Y147,Z147),"")</x:f>
        <x:v>55.1386636209008</x:v>
      </x:c>
      <x:c r="BI147" s="34" t="n">
        <x:f>IF(COUNT(AA147,AB147,AC147)=3,AVERAGE(AA147,AB147,AC147),"")</x:f>
        <x:v>80.01350593845451</x:v>
      </x:c>
      <x:c r="BJ147" s="34" t="n">
        <x:f>IF(COUNT(AD147,AE147)=2,AVERAGE(AD147,AE147),"")</x:f>
        <x:v>76.39372819642857</x:v>
      </x:c>
      <x:c r="BK147" s="34" t="n">
        <x:f>IF(COUNT(AF147,AG147)=2,AVERAGE(AF147,AG147),"")</x:f>
        <x:v>20.125496781735087</x:v>
      </x:c>
      <x:c r="BL147" s="34" t="n">
        <x:f>IF(COUNT(AH147,AI147)=2,AVERAGE(AH147,AI147),"")</x:f>
        <x:v>10.642285260397294</x:v>
      </x:c>
      <x:c r="BM147" s="34" t="n">
        <x:f>IF(COUNT(AJ147,AK147)=2,AVERAGE(AJ147,AK147),"")</x:f>
        <x:v>87.32249943988084</x:v>
      </x:c>
      <x:c r="BN147" s="34" t="n">
        <x:f>IF(COUNT(AL147,AM147,AN147)=3,AVERAGE(AL147,AM147,AN147),"")</x:f>
        <x:v>66.67542517693484</x:v>
      </x:c>
      <x:c r="BO147" s="35" t="n">
        <x:f>IF(AND(COUNT(BG147:BN147)=8,ABS('Scoring Setup'!$C$17-1)&lt;0.000001),BG147*'Scoring Setup'!$C$9+BH147*'Scoring Setup'!$C$10+BI147*'Scoring Setup'!$C$11+BJ147*'Scoring Setup'!$C$12+BK147*'Scoring Setup'!$C$13+BL147*'Scoring Setup'!$C$14+BM147*'Scoring Setup'!$C$15+BN147*'Scoring Setup'!$C$16,"")</x:f>
        <x:v>60.13636341015981</x:v>
      </x:c>
      <x:c r="BP147" s="36" t="n">
        <x:f>IF(COUNT(AO147:BF147)=18,MIN(AO147:BF147),"")</x:f>
        <x:v>0.8146797649047182</x:v>
      </x:c>
      <x:c r="BQ147" s="35" t="n">
        <x:f>IF(AND(ISNUMBER(BO147),ISNUMBER(BP147)),BO147*BP147,"")</x:f>
        <x:v>48.99187840521369</x:v>
      </x:c>
      <x:c r="BR147" s="17" t="str">
        <x:f>IF(COUNT(AO147:BF147)=18,INDEX('Scoring Setup'!$F$9:$F$26,MATCH(MIN(AO147:BF147),AO147:BF147,0),1),"")</x:f>
        <x:v>劳动力人数</x:v>
      </x:c>
    </x:row>
    <x:row r="148">
      <x:c r="A148" s="28" t="str">
        <x:v>13291</x:v>
      </x:c>
      <x:c r="B148" s="28" t="str">
        <x:v>Union County</x:v>
      </x:c>
      <x:c r="C148" s="28" t="str">
        <x:v>GA</x:v>
      </x:c>
      <x:c r="D148" s="31" t="n">
        <x:v>834.191643</x:v>
      </x:c>
      <x:c r="E148" s="32" t="n">
        <x:v>0.725</x:v>
      </x:c>
      <x:c r="F148" s="32" t="n">
        <x:v>0.70884900990099</x:v>
      </x:c>
      <x:c r="G148" s="32" t="n">
        <x:v>0.05874310465649514</x:v>
      </x:c>
      <x:c r="H148" s="32" t="n">
        <x:v>0.0559363244144689</x:v>
      </x:c>
      <x:c r="I148" s="32" t="n">
        <x:v>0.950761981129439</x:v>
      </x:c>
      <x:c r="J148" s="32" t="n">
        <x:v>0.2112667885893911</x:v>
      </x:c>
      <x:c r="K148" s="32" t="n">
        <x:v>0.0005019681019156479</x:v>
      </x:c>
      <x:c r="L148" s="32" t="n">
        <x:v>0.631467793</x:v>
      </x:c>
      <x:c r="M148" s="32" t="n">
        <x:v>0.631467793</x:v>
      </x:c>
      <x:c r="N148" s="32" t="n">
        <x:v>9693</x:v>
      </x:c>
      <x:c r="O148" s="32" t="n">
        <x:v>0.4932</x:v>
      </x:c>
      <x:c r="P148" s="32" t="n">
        <x:v>588.4759358723958</x:v>
      </x:c>
      <x:c r="Q148" s="32" t="n">
        <x:v>3.1640610218048097</x:v>
      </x:c>
      <x:c r="R148" s="32" t="n">
        <x:v>59.76612372602166</x:v>
      </x:c>
      <x:c r="S148" s="32" t="n">
        <x:v>28.388137388030593</x:v>
      </x:c>
      <x:c r="T148" s="32" t="n">
        <x:v>72.1</x:v>
      </x:c>
      <x:c r="U148" s="32" t="n">
        <x:v>211.4154781728841</x:v>
      </x:c>
      <x:c r="V148" s="32" t="n">
        <x:v>325.42757789465</x:v>
      </x:c>
      <x:c r="W148" s="33" t="n">
        <x:f>IF(ISNUMBER(E148),100*MAX(0,MIN(1,('Anchors'!$H$6-E148)/('Anchors'!$H$6-'Anchors'!$G$6))),"")</x:f>
        <x:v>25.000000000000007</x:v>
      </x:c>
      <x:c r="X148" s="33" t="n">
        <x:f>IF(ISNUMBER(F148),100*MAX(0,MIN(1,('Anchors'!$H$7-F148)/('Anchors'!$H$7-'Anchors'!$G$7))),"")</x:f>
        <x:v>13.021570014144293</x:v>
      </x:c>
      <x:c r="Y148" s="33" t="n">
        <x:f>IF(ISNUMBER(G148),100*MAX(0,MIN(1,('Anchors'!$H$8-G148)/('Anchors'!$H$8-'Anchors'!$G$8))),"")</x:f>
        <x:v>100</x:v>
      </x:c>
      <x:c r="Z148" s="33" t="n">
        <x:f>IF(ISNUMBER(H148),100*MAX(0,MIN(1,('Anchors'!$H$9-H148)/('Anchors'!$H$9-'Anchors'!$G$9))),"")</x:f>
        <x:v>100</x:v>
      </x:c>
      <x:c r="AA148" s="33" t="n">
        <x:f>IF(ISNUMBER(I148),100*MAX(0,MIN(1,(I148-'Anchors'!$H$10)/('Anchors'!$G$10-'Anchors'!$H$10))),"")</x:f>
        <x:v>95.9947919355396</x:v>
      </x:c>
      <x:c r="AB148" s="33" t="n">
        <x:f>IF(ISNUMBER(J148),100*MAX(0,MIN(1,('Anchors'!$H$11-J148)/('Anchors'!$H$11-'Anchors'!$G$11))),"")</x:f>
        <x:v>15.49328456424356</x:v>
      </x:c>
      <x:c r="AC148" s="33" t="n">
        <x:f>IF(ISNUMBER(K148),100*MAX(0,MIN(1,('Anchors'!$H$12-K148)/('Anchors'!$H$12-'Anchors'!$G$12))),"")</x:f>
        <x:v>99.8745079745211</x:v>
      </x:c>
      <x:c r="AD148" s="33" t="n">
        <x:f>IF(ISNUMBER(L148),100*MAX(0,MIN(1,(L148-'Anchors'!$H$13)/('Anchors'!$G$13-'Anchors'!$H$13))),"")</x:f>
        <x:v>61.63825614285714</x:v>
      </x:c>
      <x:c r="AE148" s="33" t="n">
        <x:f>IF(ISNUMBER(M148),100*MAX(0,MIN(1,(M148-'Anchors'!$H$14)/('Anchors'!$G$14-'Anchors'!$H$14))),"")</x:f>
        <x:v>66.433474125</x:v>
      </x:c>
      <x:c r="AF148" s="33" t="n">
        <x:f>IF(ISNUMBER(N148),100*MAX(0,MIN(1,(LN(1+N148)-LN(1+'Anchors'!$H$15))/(LN(1+'Anchors'!$G$15)-LN(1+'Anchors'!$H$15)))),"")</x:f>
        <x:v>36.54996395625221</x:v>
      </x:c>
      <x:c r="AG148" s="33" t="n">
        <x:f>IF(ISNUMBER(O148),100*MAX(0,MIN(1,('Anchors'!$H$16-O148)/('Anchors'!$H$16-'Anchors'!$G$16))),"")</x:f>
        <x:v>50.75555555555555</x:v>
      </x:c>
      <x:c r="AH148" s="33" t="n">
        <x:f>IF(ISNUMBER(P148),100*MAX(0,MIN(1,('Anchors'!$H$17-P148)/('Anchors'!$H$17-'Anchors'!$G$17))),"")</x:f>
        <x:v>100</x:v>
      </x:c>
      <x:c r="AI148" s="33" t="n">
        <x:f>IF(ISNUMBER(Q148),100*MAX(0,MIN(1,('Anchors'!$H$18-Q148)/('Anchors'!$H$18-'Anchors'!$G$18))),"")</x:f>
        <x:v>100</x:v>
      </x:c>
      <x:c r="AJ148" s="33" t="n">
        <x:f>IF(ISNUMBER(R148),100*MAX(0,MIN(1,('Anchors'!$H$19-R148)/('Anchors'!$H$19-'Anchors'!$G$19))),"")</x:f>
        <x:v>0</x:v>
      </x:c>
      <x:c r="AK148" s="33" t="n">
        <x:f>IF(ISNUMBER(S148),100*MAX(0,MIN(1,('Anchors'!$H$20-S148)/('Anchors'!$H$20-'Anchors'!$G$20))),"")</x:f>
        <x:v>0</x:v>
      </x:c>
      <x:c r="AL148" s="33" t="n">
        <x:f>IF(ISNUMBER(T148),100*MAX(0,MIN(1,('Anchors'!$H$21-T148)/('Anchors'!$H$21-'Anchors'!$G$21))),"")</x:f>
        <x:v>87.0909090909091</x:v>
      </x:c>
      <x:c r="AM148" s="33" t="n">
        <x:f>IF(ISNUMBER(U148),100*MAX(0,MIN(1,('Anchors'!$H$22-U148)/('Anchors'!$H$22-'Anchors'!$G$22))),"")</x:f>
        <x:v>44.29226091355795</x:v>
      </x:c>
      <x:c r="AN148" s="33" t="n">
        <x:f>IF(ISNUMBER(V148),100*MAX(0,MIN(1,('Anchors'!$H$23-V148)/('Anchors'!$H$23-'Anchors'!$G$23))),"")</x:f>
        <x:v>68.6431055263375</x:v>
      </x:c>
      <x:c r="AO148" s="27" t="n">
        <x:f>IF(ISNUMBER(W148),IF('Scoring Setup'!$L$9=1,1-'Scoring Setup'!$B$5*(1-MAX(0,MIN(1,(W148-'Scoring Setup'!$K$9)/(100-'Scoring Setup'!$K$9)))),1),"")</x:f>
        <x:v>0.85</x:v>
      </x:c>
      <x:c r="AP148" s="27" t="n">
        <x:f>IF(ISNUMBER(X148),IF('Scoring Setup'!$L$10=1,1-'Scoring Setup'!$B$5*(1-MAX(0,MIN(1,(X148-'Scoring Setup'!$K$10)/(100-'Scoring Setup'!$K$10)))),1),"")</x:f>
        <x:v>0.8260431400282886</x:v>
      </x:c>
      <x:c r="AQ148" s="27" t="n">
        <x:f>IF(ISNUMBER(Y148),IF('Scoring Setup'!$L$11=1,1-'Scoring Setup'!$B$5*(1-MAX(0,MIN(1,(Y148-'Scoring Setup'!$K$11)/(100-'Scoring Setup'!$K$11)))),1),"")</x:f>
        <x:v>1</x:v>
      </x:c>
      <x:c r="AR148" s="27" t="n">
        <x:f>IF(ISNUMBER(Z148),IF('Scoring Setup'!$L$12=1,1-'Scoring Setup'!$B$5*(1-MAX(0,MIN(1,(Z148-'Scoring Setup'!$K$12)/(100-'Scoring Setup'!$K$12)))),1),"")</x:f>
        <x:v>1</x:v>
      </x:c>
      <x:c r="AS148" s="27" t="n">
        <x:f>IF(ISNUMBER(AA148),IF('Scoring Setup'!$L$13=1,1-'Scoring Setup'!$B$5*(1-MAX(0,MIN(1,(AA148-'Scoring Setup'!$K$13)/(100-'Scoring Setup'!$K$13)))),1),"")</x:f>
        <x:v>0.9919895838710792</x:v>
      </x:c>
      <x:c r="AT148" s="27" t="n">
        <x:f>IF(ISNUMBER(AB148),IF('Scoring Setup'!$L$14=1,1-'Scoring Setup'!$B$5*(1-MAX(0,MIN(1,(AB148-'Scoring Setup'!$K$14)/(100-'Scoring Setup'!$K$14)))),1),"")</x:f>
        <x:v>0.8309865691284871</x:v>
      </x:c>
      <x:c r="AU148" s="27" t="n">
        <x:f>IF(ISNUMBER(AC148),IF('Scoring Setup'!$L$15=1,1-'Scoring Setup'!$B$5*(1-MAX(0,MIN(1,(AC148-'Scoring Setup'!$K$15)/(100-'Scoring Setup'!$K$15)))),1),"")</x:f>
        <x:v>0.9997490159490422</x:v>
      </x:c>
      <x:c r="AV148" s="27" t="n">
        <x:f>IF(ISNUMBER(AD148),IF('Scoring Setup'!$L$16=1,1-'Scoring Setup'!$B$5*(1-MAX(0,MIN(1,(AD148-'Scoring Setup'!$K$16)/(100-'Scoring Setup'!$K$16)))),1),"")</x:f>
        <x:v>0.9232765122857143</x:v>
      </x:c>
      <x:c r="AW148" s="27" t="n">
        <x:f>IF(ISNUMBER(AE148),IF('Scoring Setup'!$L$17=1,1-'Scoring Setup'!$B$5*(1-MAX(0,MIN(1,(AE148-'Scoring Setup'!$K$17)/(100-'Scoring Setup'!$K$17)))),1),"")</x:f>
        <x:v>0.93286694825</x:v>
      </x:c>
      <x:c r="AX148" s="27" t="n">
        <x:f>IF(ISNUMBER(AF148),IF('Scoring Setup'!$L$18=1,1-'Scoring Setup'!$B$5*(1-MAX(0,MIN(1,(AF148-'Scoring Setup'!$K$18)/(100-'Scoring Setup'!$K$18)))),1),"")</x:f>
        <x:v>0.8730999279125045</x:v>
      </x:c>
      <x:c r="AY148" s="27" t="n">
        <x:f>IF(ISNUMBER(AG148),IF('Scoring Setup'!$L$19=1,1-'Scoring Setup'!$B$5*(1-MAX(0,MIN(1,(AG148-'Scoring Setup'!$K$19)/(100-'Scoring Setup'!$K$19)))),1),"")</x:f>
        <x:v>0.9015111111111112</x:v>
      </x:c>
      <x:c r="AZ148" s="27" t="n">
        <x:f>IF(ISNUMBER(AH148),IF('Scoring Setup'!$L$20=1,1-'Scoring Setup'!$B$5*(1-MAX(0,MIN(1,(AH148-'Scoring Setup'!$K$20)/(100-'Scoring Setup'!$K$20)))),1),"")</x:f>
        <x:v>1</x:v>
      </x:c>
      <x:c r="BA148" s="27" t="n">
        <x:f>IF(ISNUMBER(AI148),IF('Scoring Setup'!$L$21=1,1-'Scoring Setup'!$B$5*(1-MAX(0,MIN(1,(AI148-'Scoring Setup'!$K$21)/(100-'Scoring Setup'!$K$21)))),1),"")</x:f>
        <x:v>1</x:v>
      </x:c>
      <x:c r="BB148" s="27" t="n">
        <x:f>IF(ISNUMBER(AJ148),IF('Scoring Setup'!$L$22=1,1-'Scoring Setup'!$B$5*(1-MAX(0,MIN(1,(AJ148-'Scoring Setup'!$K$22)/(100-'Scoring Setup'!$K$22)))),1),"")</x:f>
        <x:v>0.8</x:v>
      </x:c>
      <x:c r="BC148" s="27" t="n">
        <x:f>IF(ISNUMBER(AK148),IF('Scoring Setup'!$L$23=1,1-'Scoring Setup'!$B$5*(1-MAX(0,MIN(1,(AK148-'Scoring Setup'!$K$23)/(100-'Scoring Setup'!$K$23)))),1),"")</x:f>
        <x:v>0.8</x:v>
      </x:c>
      <x:c r="BD148" s="27" t="n">
        <x:f>IF(ISNUMBER(AL148),IF('Scoring Setup'!$L$24=1,1-'Scoring Setup'!$B$5*(1-MAX(0,MIN(1,(AL148-'Scoring Setup'!$K$24)/(100-'Scoring Setup'!$K$24)))),1),"")</x:f>
        <x:v>0.9741818181818181</x:v>
      </x:c>
      <x:c r="BE148" s="27" t="n">
        <x:f>IF(ISNUMBER(AM148),IF('Scoring Setup'!$L$25=1,1-'Scoring Setup'!$B$5*(1-MAX(0,MIN(1,(AM148-'Scoring Setup'!$K$25)/(100-'Scoring Setup'!$K$25)))),1),"")</x:f>
        <x:v>0.8885845218271159</x:v>
      </x:c>
      <x:c r="BF148" s="27" t="n">
        <x:f>IF(ISNUMBER(AN148),IF('Scoring Setup'!$L$26=1,1-'Scoring Setup'!$B$5*(1-MAX(0,MIN(1,(AN148-'Scoring Setup'!$K$26)/(100-'Scoring Setup'!$K$26)))),1),"")</x:f>
        <x:v>0.937286211052675</x:v>
      </x:c>
      <x:c r="BG148" s="34" t="n">
        <x:f>IF(COUNT(W148,X148)=2,AVERAGE(W148,X148),"")</x:f>
        <x:v>19.01078500707215</x:v>
      </x:c>
      <x:c r="BH148" s="34" t="n">
        <x:f>IF(COUNT(Y148,Z148)=2,AVERAGE(Y148,Z148),"")</x:f>
        <x:v>100</x:v>
      </x:c>
      <x:c r="BI148" s="34" t="n">
        <x:f>IF(COUNT(AA148,AB148,AC148)=3,AVERAGE(AA148,AB148,AC148),"")</x:f>
        <x:v>70.45419482476808</x:v>
      </x:c>
      <x:c r="BJ148" s="34" t="n">
        <x:f>IF(COUNT(AD148,AE148)=2,AVERAGE(AD148,AE148),"")</x:f>
        <x:v>64.03586513392857</x:v>
      </x:c>
      <x:c r="BK148" s="34" t="n">
        <x:f>IF(COUNT(AF148,AG148)=2,AVERAGE(AF148,AG148),"")</x:f>
        <x:v>43.65275975590389</x:v>
      </x:c>
      <x:c r="BL148" s="34" t="n">
        <x:f>IF(COUNT(AH148,AI148)=2,AVERAGE(AH148,AI148),"")</x:f>
        <x:v>100</x:v>
      </x:c>
      <x:c r="BM148" s="34" t="n">
        <x:f>IF(COUNT(AJ148,AK148)=2,AVERAGE(AJ148,AK148),"")</x:f>
        <x:v>0</x:v>
      </x:c>
      <x:c r="BN148" s="34" t="n">
        <x:f>IF(COUNT(AL148,AM148,AN148)=3,AVERAGE(AL148,AM148,AN148),"")</x:f>
        <x:v>66.67542517693484</x:v>
      </x:c>
      <x:c r="BO148" s="35" t="n">
        <x:f>IF(AND(COUNT(BG148:BN148)=8,ABS('Scoring Setup'!$C$17-1)&lt;0.000001),BG148*'Scoring Setup'!$C$9+BH148*'Scoring Setup'!$C$10+BI148*'Scoring Setup'!$C$11+BJ148*'Scoring Setup'!$C$12+BK148*'Scoring Setup'!$C$13+BL148*'Scoring Setup'!$C$14+BM148*'Scoring Setup'!$C$15+BN148*'Scoring Setup'!$C$16,"")</x:f>
        <x:v>64.71798802524772</x:v>
      </x:c>
      <x:c r="BP148" s="36" t="n">
        <x:f>IF(COUNT(AO148:BF148)=18,MIN(AO148:BF148),"")</x:f>
        <x:v>0.8</x:v>
      </x:c>
      <x:c r="BQ148" s="35" t="n">
        <x:f>IF(AND(ISNUMBER(BO148),ISNUMBER(BP148)),BO148*BP148,"")</x:f>
        <x:v>51.77439042019818</x:v>
      </x:c>
      <x:c r="BR148" s="17" t="str">
        <x:f>IF(COUNT(AO148:BF148)=18,INDEX('Scoring Setup'!$F$9:$F$26,MATCH(MIN(AO148:BF148),AO148:BF148,0),1),"")</x:f>
        <x:v>到Interstate距离</x:v>
      </x:c>
    </x:row>
    <x:row r="149">
      <x:c r="A149" s="28" t="str">
        <x:v>13293</x:v>
      </x:c>
      <x:c r="B149" s="28" t="str">
        <x:v>Upson County</x:v>
      </x:c>
      <x:c r="C149" s="28" t="str">
        <x:v>GA</x:v>
      </x:c>
      <x:c r="D149" s="31" t="n">
        <x:v>837.774877</x:v>
      </x:c>
      <x:c r="E149" s="32" t="n">
        <x:v>0.721</x:v>
      </x:c>
      <x:c r="F149" s="32" t="n">
        <x:v>0.212252475247525</x:v>
      </x:c>
      <x:c r="G149" s="32" t="n">
        <x:v>1.1946542934081936</x:v>
      </x:c>
      <x:c r="H149" s="32" t="n">
        <x:v>1.1617739781860903</x:v>
      </x:c>
      <x:c r="I149" s="32" t="n">
        <x:v>0.9364111787700695</x:v>
      </x:c>
      <x:c r="J149" s="32" t="n">
        <x:v>0.02333454922672512</x:v>
      </x:c>
      <x:c r="K149" s="32" t="n">
        <x:v>0.044339067492579966</x:v>
      </x:c>
      <x:c r="L149" s="32" t="n">
        <x:v>0.875433036</x:v>
      </x:c>
      <x:c r="M149" s="32" t="n">
        <x:v>0.875433036</x:v>
      </x:c>
      <x:c r="N149" s="32" t="n">
        <x:v>12734</x:v>
      </x:c>
      <x:c r="O149" s="32" t="n">
        <x:v>0.6468</x:v>
      </x:c>
      <x:c r="P149" s="32" t="n">
        <x:v>1793.17021484375</x:v>
      </x:c>
      <x:c r="Q149" s="32" t="n">
        <x:v>54.86914215087891</x:v>
      </x:c>
      <x:c r="R149" s="32" t="n">
        <x:v>35.83922944880467</x:v>
      </x:c>
      <x:c r="S149" s="32" t="n">
        <x:v>2.5916492929596555</x:v>
      </x:c>
      <x:c r="T149" s="32" t="n">
        <x:v>72.1</x:v>
      </x:c>
      <x:c r="U149" s="32" t="n">
        <x:v>211.4154781728841</x:v>
      </x:c>
      <x:c r="V149" s="32" t="n">
        <x:v>325.42757789465</x:v>
      </x:c>
      <x:c r="W149" s="33" t="n">
        <x:f>IF(ISNUMBER(E149),100*MAX(0,MIN(1,('Anchors'!$H$6-E149)/('Anchors'!$H$6-'Anchors'!$G$6))),"")</x:f>
        <x:v>25.571428571428577</x:v>
      </x:c>
      <x:c r="X149" s="33" t="n">
        <x:f>IF(ISNUMBER(F149),100*MAX(0,MIN(1,('Anchors'!$H$7-F149)/('Anchors'!$H$7-'Anchors'!$G$7))),"")</x:f>
        <x:v>83.96393210749643</x:v>
      </x:c>
      <x:c r="Y149" s="33" t="n">
        <x:f>IF(ISNUMBER(G149),100*MAX(0,MIN(1,('Anchors'!$H$8-G149)/('Anchors'!$H$8-'Anchors'!$G$8))),"")</x:f>
        <x:v>93.51152355306021</x:v>
      </x:c>
      <x:c r="Z149" s="33" t="n">
        <x:f>IF(ISNUMBER(H149),100*MAX(0,MIN(1,('Anchors'!$H$9-H149)/('Anchors'!$H$9-'Anchors'!$G$9))),"")</x:f>
        <x:v>94.60753406046365</x:v>
      </x:c>
      <x:c r="AA149" s="33" t="n">
        <x:f>IF(ISNUMBER(I149),100*MAX(0,MIN(1,(I149-'Anchors'!$H$10)/('Anchors'!$G$10-'Anchors'!$H$10))),"")</x:f>
        <x:v>94.02892859863967</x:v>
      </x:c>
      <x:c r="AB149" s="33" t="n">
        <x:f>IF(ISNUMBER(J149),100*MAX(0,MIN(1,('Anchors'!$H$11-J149)/('Anchors'!$H$11-'Anchors'!$G$11))),"")</x:f>
        <x:v>90.66618030930995</x:v>
      </x:c>
      <x:c r="AC149" s="33" t="n">
        <x:f>IF(ISNUMBER(K149),100*MAX(0,MIN(1,('Anchors'!$H$12-K149)/('Anchors'!$H$12-'Anchors'!$G$12))),"")</x:f>
        <x:v>88.91523312685501</x:v>
      </x:c>
      <x:c r="AD149" s="33" t="n">
        <x:f>IF(ISNUMBER(L149),100*MAX(0,MIN(1,(L149-'Anchors'!$H$13)/('Anchors'!$G$13-'Anchors'!$H$13))),"")</x:f>
        <x:v>96.49043371428573</x:v>
      </x:c>
      <x:c r="AE149" s="33" t="n">
        <x:f>IF(ISNUMBER(M149),100*MAX(0,MIN(1,(M149-'Anchors'!$H$14)/('Anchors'!$G$14-'Anchors'!$H$14))),"")</x:f>
        <x:v>96.9291295</x:v>
      </x:c>
      <x:c r="AF149" s="33" t="n">
        <x:f>IF(ISNUMBER(N149),100*MAX(0,MIN(1,(LN(1+N149)-LN(1+'Anchors'!$H$15))/(LN(1+'Anchors'!$G$15)-LN(1+'Anchors'!$H$15)))),"")</x:f>
        <x:v>42.8702626131589</x:v>
      </x:c>
      <x:c r="AG149" s="33" t="n">
        <x:f>IF(ISNUMBER(O149),100*MAX(0,MIN(1,('Anchors'!$H$16-O149)/('Anchors'!$H$16-'Anchors'!$G$16))),"")</x:f>
        <x:v>33.68888888888888</x:v>
      </x:c>
      <x:c r="AH149" s="33" t="n">
        <x:f>IF(ISNUMBER(P149),100*MAX(0,MIN(1,('Anchors'!$H$17-P149)/('Anchors'!$H$17-'Anchors'!$G$17))),"")</x:f>
        <x:v>27.121985677083334</x:v>
      </x:c>
      <x:c r="AI149" s="33" t="n">
        <x:f>IF(ISNUMBER(Q149),100*MAX(0,MIN(1,('Anchors'!$H$18-Q149)/('Anchors'!$H$18-'Anchors'!$G$18))),"")</x:f>
        <x:v>28.758368355887278</x:v>
      </x:c>
      <x:c r="AJ149" s="33" t="n">
        <x:f>IF(ISNUMBER(R149),100*MAX(0,MIN(1,('Anchors'!$H$19-R149)/('Anchors'!$H$19-'Anchors'!$G$19))),"")</x:f>
        <x:v>31.46837900265628</x:v>
      </x:c>
      <x:c r="AK149" s="33" t="n">
        <x:f>IF(ISNUMBER(S149),100*MAX(0,MIN(1,('Anchors'!$H$20-S149)/('Anchors'!$H$20-'Anchors'!$G$20))),"")</x:f>
        <x:v>91.62289845810709</x:v>
      </x:c>
      <x:c r="AL149" s="33" t="n">
        <x:f>IF(ISNUMBER(T149),100*MAX(0,MIN(1,('Anchors'!$H$21-T149)/('Anchors'!$H$21-'Anchors'!$G$21))),"")</x:f>
        <x:v>87.0909090909091</x:v>
      </x:c>
      <x:c r="AM149" s="33" t="n">
        <x:f>IF(ISNUMBER(U149),100*MAX(0,MIN(1,('Anchors'!$H$22-U149)/('Anchors'!$H$22-'Anchors'!$G$22))),"")</x:f>
        <x:v>44.29226091355795</x:v>
      </x:c>
      <x:c r="AN149" s="33" t="n">
        <x:f>IF(ISNUMBER(V149),100*MAX(0,MIN(1,('Anchors'!$H$23-V149)/('Anchors'!$H$23-'Anchors'!$G$23))),"")</x:f>
        <x:v>68.6431055263375</x:v>
      </x:c>
      <x:c r="AO149" s="27" t="n">
        <x:f>IF(ISNUMBER(W149),IF('Scoring Setup'!$L$9=1,1-'Scoring Setup'!$B$5*(1-MAX(0,MIN(1,(W149-'Scoring Setup'!$K$9)/(100-'Scoring Setup'!$K$9)))),1),"")</x:f>
        <x:v>0.8511428571428572</x:v>
      </x:c>
      <x:c r="AP149" s="27" t="n">
        <x:f>IF(ISNUMBER(X149),IF('Scoring Setup'!$L$10=1,1-'Scoring Setup'!$B$5*(1-MAX(0,MIN(1,(X149-'Scoring Setup'!$K$10)/(100-'Scoring Setup'!$K$10)))),1),"")</x:f>
        <x:v>0.9679278642149929</x:v>
      </x:c>
      <x:c r="AQ149" s="27" t="n">
        <x:f>IF(ISNUMBER(Y149),IF('Scoring Setup'!$L$11=1,1-'Scoring Setup'!$B$5*(1-MAX(0,MIN(1,(Y149-'Scoring Setup'!$K$11)/(100-'Scoring Setup'!$K$11)))),1),"")</x:f>
        <x:v>0.9870230471061204</x:v>
      </x:c>
      <x:c r="AR149" s="27" t="n">
        <x:f>IF(ISNUMBER(Z149),IF('Scoring Setup'!$L$12=1,1-'Scoring Setup'!$B$5*(1-MAX(0,MIN(1,(Z149-'Scoring Setup'!$K$12)/(100-'Scoring Setup'!$K$12)))),1),"")</x:f>
        <x:v>0.9892150681209273</x:v>
      </x:c>
      <x:c r="AS149" s="27" t="n">
        <x:f>IF(ISNUMBER(AA149),IF('Scoring Setup'!$L$13=1,1-'Scoring Setup'!$B$5*(1-MAX(0,MIN(1,(AA149-'Scoring Setup'!$K$13)/(100-'Scoring Setup'!$K$13)))),1),"")</x:f>
        <x:v>0.9880578571972793</x:v>
      </x:c>
      <x:c r="AT149" s="27" t="n">
        <x:f>IF(ISNUMBER(AB149),IF('Scoring Setup'!$L$14=1,1-'Scoring Setup'!$B$5*(1-MAX(0,MIN(1,(AB149-'Scoring Setup'!$K$14)/(100-'Scoring Setup'!$K$14)))),1),"")</x:f>
        <x:v>0.98133236061862</x:v>
      </x:c>
      <x:c r="AU149" s="27" t="n">
        <x:f>IF(ISNUMBER(AC149),IF('Scoring Setup'!$L$15=1,1-'Scoring Setup'!$B$5*(1-MAX(0,MIN(1,(AC149-'Scoring Setup'!$K$15)/(100-'Scoring Setup'!$K$15)))),1),"")</x:f>
        <x:v>0.9778304662537101</x:v>
      </x:c>
      <x:c r="AV149" s="27" t="n">
        <x:f>IF(ISNUMBER(AD149),IF('Scoring Setup'!$L$16=1,1-'Scoring Setup'!$B$5*(1-MAX(0,MIN(1,(AD149-'Scoring Setup'!$K$16)/(100-'Scoring Setup'!$K$16)))),1),"")</x:f>
        <x:v>0.9929808674285715</x:v>
      </x:c>
      <x:c r="AW149" s="27" t="n">
        <x:f>IF(ISNUMBER(AE149),IF('Scoring Setup'!$L$17=1,1-'Scoring Setup'!$B$5*(1-MAX(0,MIN(1,(AE149-'Scoring Setup'!$K$17)/(100-'Scoring Setup'!$K$17)))),1),"")</x:f>
        <x:v>0.993858259</x:v>
      </x:c>
      <x:c r="AX149" s="27" t="n">
        <x:f>IF(ISNUMBER(AF149),IF('Scoring Setup'!$L$18=1,1-'Scoring Setup'!$B$5*(1-MAX(0,MIN(1,(AF149-'Scoring Setup'!$K$18)/(100-'Scoring Setup'!$K$18)))),1),"")</x:f>
        <x:v>0.8857405252263177</x:v>
      </x:c>
      <x:c r="AY149" s="27" t="n">
        <x:f>IF(ISNUMBER(AG149),IF('Scoring Setup'!$L$19=1,1-'Scoring Setup'!$B$5*(1-MAX(0,MIN(1,(AG149-'Scoring Setup'!$K$19)/(100-'Scoring Setup'!$K$19)))),1),"")</x:f>
        <x:v>0.8673777777777778</x:v>
      </x:c>
      <x:c r="AZ149" s="27" t="n">
        <x:f>IF(ISNUMBER(AH149),IF('Scoring Setup'!$L$20=1,1-'Scoring Setup'!$B$5*(1-MAX(0,MIN(1,(AH149-'Scoring Setup'!$K$20)/(100-'Scoring Setup'!$K$20)))),1),"")</x:f>
        <x:v>0.8542439713541666</x:v>
      </x:c>
      <x:c r="BA149" s="27" t="n">
        <x:f>IF(ISNUMBER(AI149),IF('Scoring Setup'!$L$21=1,1-'Scoring Setup'!$B$5*(1-MAX(0,MIN(1,(AI149-'Scoring Setup'!$K$21)/(100-'Scoring Setup'!$K$21)))),1),"")</x:f>
        <x:v>0.8575167367117745</x:v>
      </x:c>
      <x:c r="BB149" s="27" t="n">
        <x:f>IF(ISNUMBER(AJ149),IF('Scoring Setup'!$L$22=1,1-'Scoring Setup'!$B$5*(1-MAX(0,MIN(1,(AJ149-'Scoring Setup'!$K$22)/(100-'Scoring Setup'!$K$22)))),1),"")</x:f>
        <x:v>0.8629367580053126</x:v>
      </x:c>
      <x:c r="BC149" s="27" t="n">
        <x:f>IF(ISNUMBER(AK149),IF('Scoring Setup'!$L$23=1,1-'Scoring Setup'!$B$5*(1-MAX(0,MIN(1,(AK149-'Scoring Setup'!$K$23)/(100-'Scoring Setup'!$K$23)))),1),"")</x:f>
        <x:v>0.9832457969162142</x:v>
      </x:c>
      <x:c r="BD149" s="27" t="n">
        <x:f>IF(ISNUMBER(AL149),IF('Scoring Setup'!$L$24=1,1-'Scoring Setup'!$B$5*(1-MAX(0,MIN(1,(AL149-'Scoring Setup'!$K$24)/(100-'Scoring Setup'!$K$24)))),1),"")</x:f>
        <x:v>0.9741818181818181</x:v>
      </x:c>
      <x:c r="BE149" s="27" t="n">
        <x:f>IF(ISNUMBER(AM149),IF('Scoring Setup'!$L$25=1,1-'Scoring Setup'!$B$5*(1-MAX(0,MIN(1,(AM149-'Scoring Setup'!$K$25)/(100-'Scoring Setup'!$K$25)))),1),"")</x:f>
        <x:v>0.8885845218271159</x:v>
      </x:c>
      <x:c r="BF149" s="27" t="n">
        <x:f>IF(ISNUMBER(AN149),IF('Scoring Setup'!$L$26=1,1-'Scoring Setup'!$B$5*(1-MAX(0,MIN(1,(AN149-'Scoring Setup'!$K$26)/(100-'Scoring Setup'!$K$26)))),1),"")</x:f>
        <x:v>0.937286211052675</x:v>
      </x:c>
      <x:c r="BG149" s="34" t="n">
        <x:f>IF(COUNT(W149,X149)=2,AVERAGE(W149,X149),"")</x:f>
        <x:v>54.7676803394625</x:v>
      </x:c>
      <x:c r="BH149" s="34" t="n">
        <x:f>IF(COUNT(Y149,Z149)=2,AVERAGE(Y149,Z149),"")</x:f>
        <x:v>94.05952880676193</x:v>
      </x:c>
      <x:c r="BI149" s="34" t="n">
        <x:f>IF(COUNT(AA149,AB149,AC149)=3,AVERAGE(AA149,AB149,AC149),"")</x:f>
        <x:v>91.20344734493487</x:v>
      </x:c>
      <x:c r="BJ149" s="34" t="n">
        <x:f>IF(COUNT(AD149,AE149)=2,AVERAGE(AD149,AE149),"")</x:f>
        <x:v>96.70978160714287</x:v>
      </x:c>
      <x:c r="BK149" s="34" t="n">
        <x:f>IF(COUNT(AF149,AG149)=2,AVERAGE(AF149,AG149),"")</x:f>
        <x:v>38.27957575102389</x:v>
      </x:c>
      <x:c r="BL149" s="34" t="n">
        <x:f>IF(COUNT(AH149,AI149)=2,AVERAGE(AH149,AI149),"")</x:f>
        <x:v>27.940177016485308</x:v>
      </x:c>
      <x:c r="BM149" s="34" t="n">
        <x:f>IF(COUNT(AJ149,AK149)=2,AVERAGE(AJ149,AK149),"")</x:f>
        <x:v>61.54563873038168</x:v>
      </x:c>
      <x:c r="BN149" s="34" t="n">
        <x:f>IF(COUNT(AL149,AM149,AN149)=3,AVERAGE(AL149,AM149,AN149),"")</x:f>
        <x:v>66.67542517693484</x:v>
      </x:c>
      <x:c r="BO149" s="35" t="n">
        <x:f>IF(AND(COUNT(BG149:BN149)=8,ABS('Scoring Setup'!$C$17-1)&lt;0.000001),BG149*'Scoring Setup'!$C$9+BH149*'Scoring Setup'!$C$10+BI149*'Scoring Setup'!$C$11+BJ149*'Scoring Setup'!$C$12+BK149*'Scoring Setup'!$C$13+BL149*'Scoring Setup'!$C$14+BM149*'Scoring Setup'!$C$15+BN149*'Scoring Setup'!$C$16,"")</x:f>
        <x:v>71.38487260603262</x:v>
      </x:c>
      <x:c r="BP149" s="36" t="n">
        <x:f>IF(COUNT(AO149:BF149)=18,MIN(AO149:BF149),"")</x:f>
        <x:v>0.8511428571428572</x:v>
      </x:c>
      <x:c r="BQ149" s="35" t="n">
        <x:f>IF(AND(ISNUMBER(BO149),ISNUMBER(BP149)),BO149*BP149,"")</x:f>
        <x:v>60.75872442667748</x:v>
      </x:c>
      <x:c r="BR149" s="17" t="str">
        <x:f>IF(COUNT(AO149:BF149)=18,INDEX('Scoring Setup'!$F$9:$F$26,MATCH(MIN(AO149:BF149),AO149:BF149,0),1),"")</x:f>
        <x:v>野火全国百分位</x:v>
      </x:c>
    </x:row>
    <x:row r="150">
      <x:c r="A150" s="28" t="str">
        <x:v>13295</x:v>
      </x:c>
      <x:c r="B150" s="28" t="str">
        <x:v>Walker County</x:v>
      </x:c>
      <x:c r="C150" s="28" t="str">
        <x:v>GA</x:v>
      </x:c>
      <x:c r="D150" s="31" t="n">
        <x:v>1155.87477</x:v>
      </x:c>
      <x:c r="E150" s="32" t="n">
        <x:v>0.755</x:v>
      </x:c>
      <x:c r="F150" s="32" t="n">
        <x:v>0.6964727722772279</x:v>
      </x:c>
      <x:c r="G150" s="32" t="n">
        <x:v>1.0834408767220483</x:v>
      </x:c>
      <x:c r="H150" s="32" t="n">
        <x:v>0.9278939593851305</x:v>
      </x:c>
      <x:c r="I150" s="32" t="n">
        <x:v>0.9160450396387215</x:v>
      </x:c>
      <x:c r="J150" s="32" t="n">
        <x:v>0.1316557488874146</x:v>
      </x:c>
      <x:c r="K150" s="32" t="n">
        <x:v>0.00205080342643367</x:v>
      </x:c>
      <x:c r="L150" s="32" t="n">
        <x:v>0.599040899</x:v>
      </x:c>
      <x:c r="M150" s="32" t="n">
        <x:v>0.598949265</x:v>
      </x:c>
      <x:c r="N150" s="32" t="n">
        <x:v>32597</x:v>
      </x:c>
      <x:c r="O150" s="32" t="n">
        <x:v>0.6796</x:v>
      </x:c>
      <x:c r="P150" s="32" t="n">
        <x:v>1236.3351196289063</x:v>
      </x:c>
      <x:c r="Q150" s="32" t="n">
        <x:v>26.62314427693685</x:v>
      </x:c>
      <x:c r="R150" s="32" t="n">
        <x:v>21.3116574258162</x:v>
      </x:c>
      <x:c r="S150" s="32" t="n">
        <x:v>2.200042759384707</x:v>
      </x:c>
      <x:c r="T150" s="32" t="n">
        <x:v>72.1</x:v>
      </x:c>
      <x:c r="U150" s="32" t="n">
        <x:v>211.4154781728841</x:v>
      </x:c>
      <x:c r="V150" s="32" t="n">
        <x:v>325.42757789465</x:v>
      </x:c>
      <x:c r="W150" s="33" t="n">
        <x:f>IF(ISNUMBER(E150),100*MAX(0,MIN(1,('Anchors'!$H$6-E150)/('Anchors'!$H$6-'Anchors'!$G$6))),"")</x:f>
        <x:v>20.71428571428572</x:v>
      </x:c>
      <x:c r="X150" s="33" t="n">
        <x:f>IF(ISNUMBER(F150),100*MAX(0,MIN(1,('Anchors'!$H$7-F150)/('Anchors'!$H$7-'Anchors'!$G$7))),"")</x:f>
        <x:v>14.789603960396017</x:v>
      </x:c>
      <x:c r="Y150" s="33" t="n">
        <x:f>IF(ISNUMBER(G150),100*MAX(0,MIN(1,('Anchors'!$H$8-G150)/('Anchors'!$H$8-'Anchors'!$G$8))),"")</x:f>
        <x:v>97.21863744259839</x:v>
      </x:c>
      <x:c r="Z150" s="33" t="n">
        <x:f>IF(ISNUMBER(H150),100*MAX(0,MIN(1,('Anchors'!$H$9-H150)/('Anchors'!$H$9-'Anchors'!$G$9))),"")</x:f>
        <x:v>100</x:v>
      </x:c>
      <x:c r="AA150" s="33" t="n">
        <x:f>IF(ISNUMBER(I150),100*MAX(0,MIN(1,(I150-'Anchors'!$H$10)/('Anchors'!$G$10-'Anchors'!$H$10))),"")</x:f>
        <x:v>91.23904652585226</x:v>
      </x:c>
      <x:c r="AB150" s="33" t="n">
        <x:f>IF(ISNUMBER(J150),100*MAX(0,MIN(1,('Anchors'!$H$11-J150)/('Anchors'!$H$11-'Anchors'!$G$11))),"")</x:f>
        <x:v>47.33770044503416</x:v>
      </x:c>
      <x:c r="AC150" s="33" t="n">
        <x:f>IF(ISNUMBER(K150),100*MAX(0,MIN(1,('Anchors'!$H$12-K150)/('Anchors'!$H$12-'Anchors'!$G$12))),"")</x:f>
        <x:v>99.48729914339158</x:v>
      </x:c>
      <x:c r="AD150" s="33" t="n">
        <x:f>IF(ISNUMBER(L150),100*MAX(0,MIN(1,(L150-'Anchors'!$H$13)/('Anchors'!$G$13-'Anchors'!$H$13))),"")</x:f>
        <x:v>57.00584271428571</x:v>
      </x:c>
      <x:c r="AE150" s="33" t="n">
        <x:f>IF(ISNUMBER(M150),100*MAX(0,MIN(1,(M150-'Anchors'!$H$14)/('Anchors'!$G$14-'Anchors'!$H$14))),"")</x:f>
        <x:v>62.368658124999996</x:v>
      </x:c>
      <x:c r="AF150" s="33" t="n">
        <x:f>IF(ISNUMBER(N150),100*MAX(0,MIN(1,(LN(1+N150)-LN(1+'Anchors'!$H$15))/(LN(1+'Anchors'!$G$15)-LN(1+'Anchors'!$H$15)))),"")</x:f>
        <x:v>64.64227877299113</x:v>
      </x:c>
      <x:c r="AG150" s="33" t="n">
        <x:f>IF(ISNUMBER(O150),100*MAX(0,MIN(1,('Anchors'!$H$16-O150)/('Anchors'!$H$16-'Anchors'!$G$16))),"")</x:f>
        <x:v>30.044444444444444</x:v>
      </x:c>
      <x:c r="AH150" s="33" t="n">
        <x:f>IF(ISNUMBER(P150),100*MAX(0,MIN(1,('Anchors'!$H$17-P150)/('Anchors'!$H$17-'Anchors'!$G$17))),"")</x:f>
        <x:v>64.24432535807291</x:v>
      </x:c>
      <x:c r="AI150" s="33" t="n">
        <x:f>IF(ISNUMBER(Q150),100*MAX(0,MIN(1,('Anchors'!$H$18-Q150)/('Anchors'!$H$18-'Anchors'!$G$18))),"")</x:f>
        <x:v>69.10979389009022</x:v>
      </x:c>
      <x:c r="AJ150" s="33" t="n">
        <x:f>IF(ISNUMBER(R150),100*MAX(0,MIN(1,('Anchors'!$H$19-R150)/('Anchors'!$H$19-'Anchors'!$G$19))),"")</x:f>
        <x:v>63.75187238707512</x:v>
      </x:c>
      <x:c r="AK150" s="33" t="n">
        <x:f>IF(ISNUMBER(S150),100*MAX(0,MIN(1,('Anchors'!$H$20-S150)/('Anchors'!$H$20-'Anchors'!$G$20))),"")</x:f>
        <x:v>93.68398547692259</x:v>
      </x:c>
      <x:c r="AL150" s="33" t="n">
        <x:f>IF(ISNUMBER(T150),100*MAX(0,MIN(1,('Anchors'!$H$21-T150)/('Anchors'!$H$21-'Anchors'!$G$21))),"")</x:f>
        <x:v>87.0909090909091</x:v>
      </x:c>
      <x:c r="AM150" s="33" t="n">
        <x:f>IF(ISNUMBER(U150),100*MAX(0,MIN(1,('Anchors'!$H$22-U150)/('Anchors'!$H$22-'Anchors'!$G$22))),"")</x:f>
        <x:v>44.29226091355795</x:v>
      </x:c>
      <x:c r="AN150" s="33" t="n">
        <x:f>IF(ISNUMBER(V150),100*MAX(0,MIN(1,('Anchors'!$H$23-V150)/('Anchors'!$H$23-'Anchors'!$G$23))),"")</x:f>
        <x:v>68.6431055263375</x:v>
      </x:c>
      <x:c r="AO150" s="27" t="n">
        <x:f>IF(ISNUMBER(W150),IF('Scoring Setup'!$L$9=1,1-'Scoring Setup'!$B$5*(1-MAX(0,MIN(1,(W150-'Scoring Setup'!$K$9)/(100-'Scoring Setup'!$K$9)))),1),"")</x:f>
        <x:v>0.8414285714285714</x:v>
      </x:c>
      <x:c r="AP150" s="27" t="n">
        <x:f>IF(ISNUMBER(X150),IF('Scoring Setup'!$L$10=1,1-'Scoring Setup'!$B$5*(1-MAX(0,MIN(1,(X150-'Scoring Setup'!$K$10)/(100-'Scoring Setup'!$K$10)))),1),"")</x:f>
        <x:v>0.829579207920792</x:v>
      </x:c>
      <x:c r="AQ150" s="27" t="n">
        <x:f>IF(ISNUMBER(Y150),IF('Scoring Setup'!$L$11=1,1-'Scoring Setup'!$B$5*(1-MAX(0,MIN(1,(Y150-'Scoring Setup'!$K$11)/(100-'Scoring Setup'!$K$11)))),1),"")</x:f>
        <x:v>0.9944372748851967</x:v>
      </x:c>
      <x:c r="AR150" s="27" t="n">
        <x:f>IF(ISNUMBER(Z150),IF('Scoring Setup'!$L$12=1,1-'Scoring Setup'!$B$5*(1-MAX(0,MIN(1,(Z150-'Scoring Setup'!$K$12)/(100-'Scoring Setup'!$K$12)))),1),"")</x:f>
        <x:v>1</x:v>
      </x:c>
      <x:c r="AS150" s="27" t="n">
        <x:f>IF(ISNUMBER(AA150),IF('Scoring Setup'!$L$13=1,1-'Scoring Setup'!$B$5*(1-MAX(0,MIN(1,(AA150-'Scoring Setup'!$K$13)/(100-'Scoring Setup'!$K$13)))),1),"")</x:f>
        <x:v>0.9824780930517045</x:v>
      </x:c>
      <x:c r="AT150" s="27" t="n">
        <x:f>IF(ISNUMBER(AB150),IF('Scoring Setup'!$L$14=1,1-'Scoring Setup'!$B$5*(1-MAX(0,MIN(1,(AB150-'Scoring Setup'!$K$14)/(100-'Scoring Setup'!$K$14)))),1),"")</x:f>
        <x:v>0.8946754008900684</x:v>
      </x:c>
      <x:c r="AU150" s="27" t="n">
        <x:f>IF(ISNUMBER(AC150),IF('Scoring Setup'!$L$15=1,1-'Scoring Setup'!$B$5*(1-MAX(0,MIN(1,(AC150-'Scoring Setup'!$K$15)/(100-'Scoring Setup'!$K$15)))),1),"")</x:f>
        <x:v>0.9989745982867831</x:v>
      </x:c>
      <x:c r="AV150" s="27" t="n">
        <x:f>IF(ISNUMBER(AD150),IF('Scoring Setup'!$L$16=1,1-'Scoring Setup'!$B$5*(1-MAX(0,MIN(1,(AD150-'Scoring Setup'!$K$16)/(100-'Scoring Setup'!$K$16)))),1),"")</x:f>
        <x:v>0.9140116854285714</x:v>
      </x:c>
      <x:c r="AW150" s="27" t="n">
        <x:f>IF(ISNUMBER(AE150),IF('Scoring Setup'!$L$17=1,1-'Scoring Setup'!$B$5*(1-MAX(0,MIN(1,(AE150-'Scoring Setup'!$K$17)/(100-'Scoring Setup'!$K$17)))),1),"")</x:f>
        <x:v>0.92473731625</x:v>
      </x:c>
      <x:c r="AX150" s="27" t="n">
        <x:f>IF(ISNUMBER(AF150),IF('Scoring Setup'!$L$18=1,1-'Scoring Setup'!$B$5*(1-MAX(0,MIN(1,(AF150-'Scoring Setup'!$K$18)/(100-'Scoring Setup'!$K$18)))),1),"")</x:f>
        <x:v>0.9292845575459823</x:v>
      </x:c>
      <x:c r="AY150" s="27" t="n">
        <x:f>IF(ISNUMBER(AG150),IF('Scoring Setup'!$L$19=1,1-'Scoring Setup'!$B$5*(1-MAX(0,MIN(1,(AG150-'Scoring Setup'!$K$19)/(100-'Scoring Setup'!$K$19)))),1),"")</x:f>
        <x:v>0.8600888888888889</x:v>
      </x:c>
      <x:c r="AZ150" s="27" t="n">
        <x:f>IF(ISNUMBER(AH150),IF('Scoring Setup'!$L$20=1,1-'Scoring Setup'!$B$5*(1-MAX(0,MIN(1,(AH150-'Scoring Setup'!$K$20)/(100-'Scoring Setup'!$K$20)))),1),"")</x:f>
        <x:v>0.9284886507161458</x:v>
      </x:c>
      <x:c r="BA150" s="27" t="n">
        <x:f>IF(ISNUMBER(AI150),IF('Scoring Setup'!$L$21=1,1-'Scoring Setup'!$B$5*(1-MAX(0,MIN(1,(AI150-'Scoring Setup'!$K$21)/(100-'Scoring Setup'!$K$21)))),1),"")</x:f>
        <x:v>0.9382195877801804</x:v>
      </x:c>
      <x:c r="BB150" s="27" t="n">
        <x:f>IF(ISNUMBER(AJ150),IF('Scoring Setup'!$L$22=1,1-'Scoring Setup'!$B$5*(1-MAX(0,MIN(1,(AJ150-'Scoring Setup'!$K$22)/(100-'Scoring Setup'!$K$22)))),1),"")</x:f>
        <x:v>0.9275037447741502</x:v>
      </x:c>
      <x:c r="BC150" s="27" t="n">
        <x:f>IF(ISNUMBER(AK150),IF('Scoring Setup'!$L$23=1,1-'Scoring Setup'!$B$5*(1-MAX(0,MIN(1,(AK150-'Scoring Setup'!$K$23)/(100-'Scoring Setup'!$K$23)))),1),"")</x:f>
        <x:v>0.9873679709538452</x:v>
      </x:c>
      <x:c r="BD150" s="27" t="n">
        <x:f>IF(ISNUMBER(AL150),IF('Scoring Setup'!$L$24=1,1-'Scoring Setup'!$B$5*(1-MAX(0,MIN(1,(AL150-'Scoring Setup'!$K$24)/(100-'Scoring Setup'!$K$24)))),1),"")</x:f>
        <x:v>0.9741818181818181</x:v>
      </x:c>
      <x:c r="BE150" s="27" t="n">
        <x:f>IF(ISNUMBER(AM150),IF('Scoring Setup'!$L$25=1,1-'Scoring Setup'!$B$5*(1-MAX(0,MIN(1,(AM150-'Scoring Setup'!$K$25)/(100-'Scoring Setup'!$K$25)))),1),"")</x:f>
        <x:v>0.8885845218271159</x:v>
      </x:c>
      <x:c r="BF150" s="27" t="n">
        <x:f>IF(ISNUMBER(AN150),IF('Scoring Setup'!$L$26=1,1-'Scoring Setup'!$B$5*(1-MAX(0,MIN(1,(AN150-'Scoring Setup'!$K$26)/(100-'Scoring Setup'!$K$26)))),1),"")</x:f>
        <x:v>0.937286211052675</x:v>
      </x:c>
      <x:c r="BG150" s="34" t="n">
        <x:f>IF(COUNT(W150,X150)=2,AVERAGE(W150,X150),"")</x:f>
        <x:v>17.75194483734087</x:v>
      </x:c>
      <x:c r="BH150" s="34" t="n">
        <x:f>IF(COUNT(Y150,Z150)=2,AVERAGE(Y150,Z150),"")</x:f>
        <x:v>98.60931872129919</x:v>
      </x:c>
      <x:c r="BI150" s="34" t="n">
        <x:f>IF(COUNT(AA150,AB150,AC150)=3,AVERAGE(AA150,AB150,AC150),"")</x:f>
        <x:v>79.35468203809266</x:v>
      </x:c>
      <x:c r="BJ150" s="34" t="n">
        <x:f>IF(COUNT(AD150,AE150)=2,AVERAGE(AD150,AE150),"")</x:f>
        <x:v>59.68725041964285</x:v>
      </x:c>
      <x:c r="BK150" s="34" t="n">
        <x:f>IF(COUNT(AF150,AG150)=2,AVERAGE(AF150,AG150),"")</x:f>
        <x:v>47.343361608717785</x:v>
      </x:c>
      <x:c r="BL150" s="34" t="n">
        <x:f>IF(COUNT(AH150,AI150)=2,AVERAGE(AH150,AI150),"")</x:f>
        <x:v>66.67705962408156</x:v>
      </x:c>
      <x:c r="BM150" s="34" t="n">
        <x:f>IF(COUNT(AJ150,AK150)=2,AVERAGE(AJ150,AK150),"")</x:f>
        <x:v>78.71792893199886</x:v>
      </x:c>
      <x:c r="BN150" s="34" t="n">
        <x:f>IF(COUNT(AL150,AM150,AN150)=3,AVERAGE(AL150,AM150,AN150),"")</x:f>
        <x:v>66.67542517693484</x:v>
      </x:c>
      <x:c r="BO150" s="35" t="n">
        <x:f>IF(AND(COUNT(BG150:BN150)=8,ABS('Scoring Setup'!$C$17-1)&lt;0.000001),BG150*'Scoring Setup'!$C$9+BH150*'Scoring Setup'!$C$10+BI150*'Scoring Setup'!$C$11+BJ150*'Scoring Setup'!$C$12+BK150*'Scoring Setup'!$C$13+BL150*'Scoring Setup'!$C$14+BM150*'Scoring Setup'!$C$15+BN150*'Scoring Setup'!$C$16,"")</x:f>
        <x:v>67.40796461552372</x:v>
      </x:c>
      <x:c r="BP150" s="36" t="n">
        <x:f>IF(COUNT(AO150:BF150)=18,MIN(AO150:BF150),"")</x:f>
        <x:v>0.829579207920792</x:v>
      </x:c>
      <x:c r="BQ150" s="35" t="n">
        <x:f>IF(AND(ISNUMBER(BO150),ISNUMBER(BP150)),BO150*BP150,"")</x:f>
        <x:v>55.92024589329895</x:v>
      </x:c>
      <x:c r="BR150" s="17" t="str">
        <x:f>IF(COUNT(AO150:BF150)=18,INDEX('Scoring Setup'!$F$9:$F$26,MATCH(MIN(AO150:BF150),AO150:BF150,0),1),"")</x:f>
        <x:v>洪水损失率全国百分位</x:v>
      </x:c>
    </x:row>
    <x:row r="151">
      <x:c r="A151" s="28" t="str">
        <x:v>13297</x:v>
      </x:c>
      <x:c r="B151" s="28" t="str">
        <x:v>Walton County</x:v>
      </x:c>
      <x:c r="C151" s="28" t="str">
        <x:v>GA</x:v>
      </x:c>
      <x:c r="D151" s="31" t="n">
        <x:v>846.460828</x:v>
      </x:c>
      <x:c r="E151" s="32" t="n">
        <x:v>0.5</x:v>
      </x:c>
      <x:c r="F151" s="32" t="n">
        <x:v>0.388613861386139</x:v>
      </x:c>
      <x:c r="G151" s="32" t="n">
        <x:v>2.4202604005100596</x:v>
      </x:c>
      <x:c r="H151" s="32" t="n">
        <x:v>2.2644168899060566</x:v>
      </x:c>
      <x:c r="I151" s="32" t="n">
        <x:v>0.8329748268584783</x:v>
      </x:c>
      <x:c r="J151" s="32" t="n">
        <x:v>0.0016565754967252202</x:v>
      </x:c>
      <x:c r="K151" s="32" t="n">
        <x:v>0.05200018816244406</x:v>
      </x:c>
      <x:c r="L151" s="32" t="n">
        <x:v>0.492723145</x:v>
      </x:c>
      <x:c r="M151" s="32" t="n">
        <x:v>0.491838929</x:v>
      </x:c>
      <x:c r="N151" s="32" t="n">
        <x:v>53671</x:v>
      </x:c>
      <x:c r="O151" s="32" t="n">
        <x:v>0.4095</x:v>
      </x:c>
      <x:c r="P151" s="32" t="n">
        <x:v>1567.319921875</x:v>
      </x:c>
      <x:c r="Q151" s="32" t="n">
        <x:v>40.05561771392822</x:v>
      </x:c>
      <x:c r="R151" s="32" t="n">
        <x:v>19.061228432066503</x:v>
      </x:c>
      <x:c r="S151" s="32" t="n">
        <x:v>2.086921013875059</x:v>
      </x:c>
      <x:c r="T151" s="32" t="n">
        <x:v>72.1</x:v>
      </x:c>
      <x:c r="U151" s="32" t="n">
        <x:v>211.4154781728841</x:v>
      </x:c>
      <x:c r="V151" s="32" t="n">
        <x:v>325.42757789465</x:v>
      </x:c>
      <x:c r="W151" s="33" t="n">
        <x:f>IF(ISNUMBER(E151),100*MAX(0,MIN(1,('Anchors'!$H$6-E151)/('Anchors'!$H$6-'Anchors'!$G$6))),"")</x:f>
        <x:v>57.14285714285715</x:v>
      </x:c>
      <x:c r="X151" s="33" t="n">
        <x:f>IF(ISNUMBER(F151),100*MAX(0,MIN(1,('Anchors'!$H$7-F151)/('Anchors'!$H$7-'Anchors'!$G$7))),"")</x:f>
        <x:v>58.769448373408714</x:v>
      </x:c>
      <x:c r="Y151" s="33" t="n">
        <x:f>IF(ISNUMBER(G151),100*MAX(0,MIN(1,('Anchors'!$H$8-G151)/('Anchors'!$H$8-'Anchors'!$G$8))),"")</x:f>
        <x:v>52.65798664966468</x:v>
      </x:c>
      <x:c r="Z151" s="33" t="n">
        <x:f>IF(ISNUMBER(H151),100*MAX(0,MIN(1,('Anchors'!$H$9-H151)/('Anchors'!$H$9-'Anchors'!$G$9))),"")</x:f>
        <x:v>57.85277033646478</x:v>
      </x:c>
      <x:c r="AA151" s="33" t="n">
        <x:f>IF(ISNUMBER(I151),100*MAX(0,MIN(1,(I151-'Anchors'!$H$10)/('Anchors'!$G$10-'Anchors'!$H$10))),"")</x:f>
        <x:v>79.85956532307922</x:v>
      </x:c>
      <x:c r="AB151" s="33" t="n">
        <x:f>IF(ISNUMBER(J151),100*MAX(0,MIN(1,('Anchors'!$H$11-J151)/('Anchors'!$H$11-'Anchors'!$G$11))),"")</x:f>
        <x:v>99.33736980130992</x:v>
      </x:c>
      <x:c r="AC151" s="33" t="n">
        <x:f>IF(ISNUMBER(K151),100*MAX(0,MIN(1,('Anchors'!$H$12-K151)/('Anchors'!$H$12-'Anchors'!$G$12))),"")</x:f>
        <x:v>86.99995295938898</x:v>
      </x:c>
      <x:c r="AD151" s="33" t="n">
        <x:f>IF(ISNUMBER(L151),100*MAX(0,MIN(1,(L151-'Anchors'!$H$13)/('Anchors'!$G$13-'Anchors'!$H$13))),"")</x:f>
        <x:v>41.81759214285714</x:v>
      </x:c>
      <x:c r="AE151" s="33" t="n">
        <x:f>IF(ISNUMBER(M151),100*MAX(0,MIN(1,(M151-'Anchors'!$H$14)/('Anchors'!$G$14-'Anchors'!$H$14))),"")</x:f>
        <x:v>48.979866124999994</x:v>
      </x:c>
      <x:c r="AF151" s="33" t="n">
        <x:f>IF(ISNUMBER(N151),100*MAX(0,MIN(1,(LN(1+N151)-LN(1+'Anchors'!$H$15))/(LN(1+'Anchors'!$G$15)-LN(1+'Anchors'!$H$15)))),"")</x:f>
        <x:v>76.19291815108136</x:v>
      </x:c>
      <x:c r="AG151" s="33" t="n">
        <x:f>IF(ISNUMBER(O151),100*MAX(0,MIN(1,('Anchors'!$H$16-O151)/('Anchors'!$H$16-'Anchors'!$G$16))),"")</x:f>
        <x:v>60.055555555555564</x:v>
      </x:c>
      <x:c r="AH151" s="33" t="n">
        <x:f>IF(ISNUMBER(P151),100*MAX(0,MIN(1,('Anchors'!$H$17-P151)/('Anchors'!$H$17-'Anchors'!$G$17))),"")</x:f>
        <x:v>42.17867187499999</x:v>
      </x:c>
      <x:c r="AI151" s="33" t="n">
        <x:f>IF(ISNUMBER(Q151),100*MAX(0,MIN(1,('Anchors'!$H$18-Q151)/('Anchors'!$H$18-'Anchors'!$G$18))),"")</x:f>
        <x:v>49.920546122959685</x:v>
      </x:c>
      <x:c r="AJ151" s="33" t="n">
        <x:f>IF(ISNUMBER(R151),100*MAX(0,MIN(1,('Anchors'!$H$19-R151)/('Anchors'!$H$19-'Anchors'!$G$19))),"")</x:f>
        <x:v>68.75282570651888</x:v>
      </x:c>
      <x:c r="AK151" s="33" t="n">
        <x:f>IF(ISNUMBER(S151),100*MAX(0,MIN(1,('Anchors'!$H$20-S151)/('Anchors'!$H$20-'Anchors'!$G$20))),"")</x:f>
        <x:v>94.27936308486811</x:v>
      </x:c>
      <x:c r="AL151" s="33" t="n">
        <x:f>IF(ISNUMBER(T151),100*MAX(0,MIN(1,('Anchors'!$H$21-T151)/('Anchors'!$H$21-'Anchors'!$G$21))),"")</x:f>
        <x:v>87.0909090909091</x:v>
      </x:c>
      <x:c r="AM151" s="33" t="n">
        <x:f>IF(ISNUMBER(U151),100*MAX(0,MIN(1,('Anchors'!$H$22-U151)/('Anchors'!$H$22-'Anchors'!$G$22))),"")</x:f>
        <x:v>44.29226091355795</x:v>
      </x:c>
      <x:c r="AN151" s="33" t="n">
        <x:f>IF(ISNUMBER(V151),100*MAX(0,MIN(1,('Anchors'!$H$23-V151)/('Anchors'!$H$23-'Anchors'!$G$23))),"")</x:f>
        <x:v>68.6431055263375</x:v>
      </x:c>
      <x:c r="AO151" s="27" t="n">
        <x:f>IF(ISNUMBER(W151),IF('Scoring Setup'!$L$9=1,1-'Scoring Setup'!$B$5*(1-MAX(0,MIN(1,(W151-'Scoring Setup'!$K$9)/(100-'Scoring Setup'!$K$9)))),1),"")</x:f>
        <x:v>0.9142857142857143</x:v>
      </x:c>
      <x:c r="AP151" s="27" t="n">
        <x:f>IF(ISNUMBER(X151),IF('Scoring Setup'!$L$10=1,1-'Scoring Setup'!$B$5*(1-MAX(0,MIN(1,(X151-'Scoring Setup'!$K$10)/(100-'Scoring Setup'!$K$10)))),1),"")</x:f>
        <x:v>0.9175388967468174</x:v>
      </x:c>
      <x:c r="AQ151" s="27" t="n">
        <x:f>IF(ISNUMBER(Y151),IF('Scoring Setup'!$L$11=1,1-'Scoring Setup'!$B$5*(1-MAX(0,MIN(1,(Y151-'Scoring Setup'!$K$11)/(100-'Scoring Setup'!$K$11)))),1),"")</x:f>
        <x:v>0.9053159732993293</x:v>
      </x:c>
      <x:c r="AR151" s="27" t="n">
        <x:f>IF(ISNUMBER(Z151),IF('Scoring Setup'!$L$12=1,1-'Scoring Setup'!$B$5*(1-MAX(0,MIN(1,(Z151-'Scoring Setup'!$K$12)/(100-'Scoring Setup'!$K$12)))),1),"")</x:f>
        <x:v>0.9157055406729295</x:v>
      </x:c>
      <x:c r="AS151" s="27" t="n">
        <x:f>IF(ISNUMBER(AA151),IF('Scoring Setup'!$L$13=1,1-'Scoring Setup'!$B$5*(1-MAX(0,MIN(1,(AA151-'Scoring Setup'!$K$13)/(100-'Scoring Setup'!$K$13)))),1),"")</x:f>
        <x:v>0.9597191306461584</x:v>
      </x:c>
      <x:c r="AT151" s="27" t="n">
        <x:f>IF(ISNUMBER(AB151),IF('Scoring Setup'!$L$14=1,1-'Scoring Setup'!$B$5*(1-MAX(0,MIN(1,(AB151-'Scoring Setup'!$K$14)/(100-'Scoring Setup'!$K$14)))),1),"")</x:f>
        <x:v>0.9986747396026199</x:v>
      </x:c>
      <x:c r="AU151" s="27" t="n">
        <x:f>IF(ISNUMBER(AC151),IF('Scoring Setup'!$L$15=1,1-'Scoring Setup'!$B$5*(1-MAX(0,MIN(1,(AC151-'Scoring Setup'!$K$15)/(100-'Scoring Setup'!$K$15)))),1),"")</x:f>
        <x:v>0.9739999059187779</x:v>
      </x:c>
      <x:c r="AV151" s="27" t="n">
        <x:f>IF(ISNUMBER(AD151),IF('Scoring Setup'!$L$16=1,1-'Scoring Setup'!$B$5*(1-MAX(0,MIN(1,(AD151-'Scoring Setup'!$K$16)/(100-'Scoring Setup'!$K$16)))),1),"")</x:f>
        <x:v>0.8836351842857143</x:v>
      </x:c>
      <x:c r="AW151" s="27" t="n">
        <x:f>IF(ISNUMBER(AE151),IF('Scoring Setup'!$L$17=1,1-'Scoring Setup'!$B$5*(1-MAX(0,MIN(1,(AE151-'Scoring Setup'!$K$17)/(100-'Scoring Setup'!$K$17)))),1),"")</x:f>
        <x:v>0.8979597322499999</x:v>
      </x:c>
      <x:c r="AX151" s="27" t="n">
        <x:f>IF(ISNUMBER(AF151),IF('Scoring Setup'!$L$18=1,1-'Scoring Setup'!$B$5*(1-MAX(0,MIN(1,(AF151-'Scoring Setup'!$K$18)/(100-'Scoring Setup'!$K$18)))),1),"")</x:f>
        <x:v>0.9523858363021627</x:v>
      </x:c>
      <x:c r="AY151" s="27" t="n">
        <x:f>IF(ISNUMBER(AG151),IF('Scoring Setup'!$L$19=1,1-'Scoring Setup'!$B$5*(1-MAX(0,MIN(1,(AG151-'Scoring Setup'!$K$19)/(100-'Scoring Setup'!$K$19)))),1),"")</x:f>
        <x:v>0.9201111111111111</x:v>
      </x:c>
      <x:c r="AZ151" s="27" t="n">
        <x:f>IF(ISNUMBER(AH151),IF('Scoring Setup'!$L$20=1,1-'Scoring Setup'!$B$5*(1-MAX(0,MIN(1,(AH151-'Scoring Setup'!$K$20)/(100-'Scoring Setup'!$K$20)))),1),"")</x:f>
        <x:v>0.88435734375</x:v>
      </x:c>
      <x:c r="BA151" s="27" t="n">
        <x:f>IF(ISNUMBER(AI151),IF('Scoring Setup'!$L$21=1,1-'Scoring Setup'!$B$5*(1-MAX(0,MIN(1,(AI151-'Scoring Setup'!$K$21)/(100-'Scoring Setup'!$K$21)))),1),"")</x:f>
        <x:v>0.8998410922459193</x:v>
      </x:c>
      <x:c r="BB151" s="27" t="n">
        <x:f>IF(ISNUMBER(AJ151),IF('Scoring Setup'!$L$22=1,1-'Scoring Setup'!$B$5*(1-MAX(0,MIN(1,(AJ151-'Scoring Setup'!$K$22)/(100-'Scoring Setup'!$K$22)))),1),"")</x:f>
        <x:v>0.9375056514130378</x:v>
      </x:c>
      <x:c r="BC151" s="27" t="n">
        <x:f>IF(ISNUMBER(AK151),IF('Scoring Setup'!$L$23=1,1-'Scoring Setup'!$B$5*(1-MAX(0,MIN(1,(AK151-'Scoring Setup'!$K$23)/(100-'Scoring Setup'!$K$23)))),1),"")</x:f>
        <x:v>0.9885587261697362</x:v>
      </x:c>
      <x:c r="BD151" s="27" t="n">
        <x:f>IF(ISNUMBER(AL151),IF('Scoring Setup'!$L$24=1,1-'Scoring Setup'!$B$5*(1-MAX(0,MIN(1,(AL151-'Scoring Setup'!$K$24)/(100-'Scoring Setup'!$K$24)))),1),"")</x:f>
        <x:v>0.9741818181818181</x:v>
      </x:c>
      <x:c r="BE151" s="27" t="n">
        <x:f>IF(ISNUMBER(AM151),IF('Scoring Setup'!$L$25=1,1-'Scoring Setup'!$B$5*(1-MAX(0,MIN(1,(AM151-'Scoring Setup'!$K$25)/(100-'Scoring Setup'!$K$25)))),1),"")</x:f>
        <x:v>0.8885845218271159</x:v>
      </x:c>
      <x:c r="BF151" s="27" t="n">
        <x:f>IF(ISNUMBER(AN151),IF('Scoring Setup'!$L$26=1,1-'Scoring Setup'!$B$5*(1-MAX(0,MIN(1,(AN151-'Scoring Setup'!$K$26)/(100-'Scoring Setup'!$K$26)))),1),"")</x:f>
        <x:v>0.937286211052675</x:v>
      </x:c>
      <x:c r="BG151" s="34" t="n">
        <x:f>IF(COUNT(W151,X151)=2,AVERAGE(W151,X151),"")</x:f>
        <x:v>57.95615275813293</x:v>
      </x:c>
      <x:c r="BH151" s="34" t="n">
        <x:f>IF(COUNT(Y151,Z151)=2,AVERAGE(Y151,Z151),"")</x:f>
        <x:v>55.255378493064725</x:v>
      </x:c>
      <x:c r="BI151" s="34" t="n">
        <x:f>IF(COUNT(AA151,AB151,AC151)=3,AVERAGE(AA151,AB151,AC151),"")</x:f>
        <x:v>88.73229602792604</x:v>
      </x:c>
      <x:c r="BJ151" s="34" t="n">
        <x:f>IF(COUNT(AD151,AE151)=2,AVERAGE(AD151,AE151),"")</x:f>
        <x:v>45.39872913392857</x:v>
      </x:c>
      <x:c r="BK151" s="34" t="n">
        <x:f>IF(COUNT(AF151,AG151)=2,AVERAGE(AF151,AG151),"")</x:f>
        <x:v>68.12423685331846</x:v>
      </x:c>
      <x:c r="BL151" s="34" t="n">
        <x:f>IF(COUNT(AH151,AI151)=2,AVERAGE(AH151,AI151),"")</x:f>
        <x:v>46.049608998979835</x:v>
      </x:c>
      <x:c r="BM151" s="34" t="n">
        <x:f>IF(COUNT(AJ151,AK151)=2,AVERAGE(AJ151,AK151),"")</x:f>
        <x:v>81.5160943956935</x:v>
      </x:c>
      <x:c r="BN151" s="34" t="n">
        <x:f>IF(COUNT(AL151,AM151,AN151)=3,AVERAGE(AL151,AM151,AN151),"")</x:f>
        <x:v>66.67542517693484</x:v>
      </x:c>
      <x:c r="BO151" s="35" t="n">
        <x:f>IF(AND(COUNT(BG151:BN151)=8,ABS('Scoring Setup'!$C$17-1)&lt;0.000001),BG151*'Scoring Setup'!$C$9+BH151*'Scoring Setup'!$C$10+BI151*'Scoring Setup'!$C$11+BJ151*'Scoring Setup'!$C$12+BK151*'Scoring Setup'!$C$13+BL151*'Scoring Setup'!$C$14+BM151*'Scoring Setup'!$C$15+BN151*'Scoring Setup'!$C$16,"")</x:f>
        <x:v>63.45312989875767</x:v>
      </x:c>
      <x:c r="BP151" s="36" t="n">
        <x:f>IF(COUNT(AO151:BF151)=18,MIN(AO151:BF151),"")</x:f>
        <x:v>0.8836351842857143</x:v>
      </x:c>
      <x:c r="BQ151" s="35" t="n">
        <x:f>IF(AND(ISNUMBER(BO151),ISNUMBER(BP151)),BO151*BP151,"")</x:f>
        <x:v>56.069418131594105</x:v>
      </x:c>
      <x:c r="BR151" s="17" t="str">
        <x:f>IF(COUNT(AO151:BF151)=18,INDEX('Scoring Setup'!$F$9:$F$26,MATCH(MIN(AO151:BF151),AO151:BF151,0),1),"")</x:f>
        <x:v>商业光纤100/20覆盖率</x:v>
      </x:c>
    </x:row>
    <x:row r="152">
      <x:c r="A152" s="28" t="str">
        <x:v>13299</x:v>
      </x:c>
      <x:c r="B152" s="28" t="str">
        <x:v>Ware County</x:v>
      </x:c>
      <x:c r="C152" s="28" t="str">
        <x:v>GA</x:v>
      </x:c>
      <x:c r="D152" s="31" t="n">
        <x:v>2329.024282</x:v>
      </x:c>
      <x:c r="E152" s="32" t="n">
        <x:v>0.703</x:v>
      </x:c>
      <x:c r="F152" s="32" t="n">
        <x:v>0.152846534653465</x:v>
      </x:c>
      <x:c r="G152" s="32" t="n">
        <x:v>2.1727173787124308</x:v>
      </x:c>
      <x:c r="H152" s="32" t="n">
        <x:v>2.2585422417597396</x:v>
      </x:c>
      <x:c r="I152" s="32" t="n">
        <x:v>0.9388760870382605</x:v>
      </x:c>
      <x:c r="J152" s="32" t="n">
        <x:v>0.3902817759760822</x:v>
      </x:c>
      <x:c r="K152" s="32" t="n">
        <x:v>0.5521505958040112</x:v>
      </x:c>
      <x:c r="L152" s="32" t="n">
        <x:v>0.3283378</x:v>
      </x:c>
      <x:c r="M152" s="32" t="n">
        <x:v>0.288628781</x:v>
      </x:c>
      <x:c r="N152" s="32" t="n">
        <x:v>12445</x:v>
      </x:c>
      <x:c r="O152" s="32" t="n">
        <x:v>0.9596</x:v>
      </x:c>
      <x:c r="P152" s="32" t="n">
        <x:v>2308.542903645833</x:v>
      </x:c>
      <x:c r="Q152" s="32" t="n">
        <x:v>84.32351582845052</x:v>
      </x:c>
      <x:c r="R152" s="32" t="n">
        <x:v>71.1276070562458</x:v>
      </x:c>
      <x:c r="S152" s="32" t="n">
        <x:v>11.025590654345686</x:v>
      </x:c>
      <x:c r="T152" s="32" t="n">
        <x:v>72.1</x:v>
      </x:c>
      <x:c r="U152" s="32" t="n">
        <x:v>211.4154781728841</x:v>
      </x:c>
      <x:c r="V152" s="32" t="n">
        <x:v>325.42757789465</x:v>
      </x:c>
      <x:c r="W152" s="33" t="n">
        <x:f>IF(ISNUMBER(E152),100*MAX(0,MIN(1,('Anchors'!$H$6-E152)/('Anchors'!$H$6-'Anchors'!$G$6))),"")</x:f>
        <x:v>28.142857142857153</x:v>
      </x:c>
      <x:c r="X152" s="33" t="n">
        <x:f>IF(ISNUMBER(F152),100*MAX(0,MIN(1,('Anchors'!$H$7-F152)/('Anchors'!$H$7-'Anchors'!$G$7))),"")</x:f>
        <x:v>92.450495049505</x:v>
      </x:c>
      <x:c r="Y152" s="33" t="n">
        <x:f>IF(ISNUMBER(G152),100*MAX(0,MIN(1,('Anchors'!$H$8-G152)/('Anchors'!$H$8-'Anchors'!$G$8))),"")</x:f>
        <x:v>60.90942070958564</x:v>
      </x:c>
      <x:c r="Z152" s="33" t="n">
        <x:f>IF(ISNUMBER(H152),100*MAX(0,MIN(1,('Anchors'!$H$9-H152)/('Anchors'!$H$9-'Anchors'!$G$9))),"")</x:f>
        <x:v>58.04859194134201</x:v>
      </x:c>
      <x:c r="AA152" s="33" t="n">
        <x:f>IF(ISNUMBER(I152),100*MAX(0,MIN(1,(I152-'Anchors'!$H$10)/('Anchors'!$G$10-'Anchors'!$H$10))),"")</x:f>
        <x:v>94.36658726551515</x:v>
      </x:c>
      <x:c r="AB152" s="33" t="n">
        <x:f>IF(ISNUMBER(J152),100*MAX(0,MIN(1,('Anchors'!$H$11-J152)/('Anchors'!$H$11-'Anchors'!$G$11))),"")</x:f>
        <x:v>0</x:v>
      </x:c>
      <x:c r="AC152" s="33" t="n">
        <x:f>IF(ISNUMBER(K152),100*MAX(0,MIN(1,('Anchors'!$H$12-K152)/('Anchors'!$H$12-'Anchors'!$G$12))),"")</x:f>
        <x:v>0</x:v>
      </x:c>
      <x:c r="AD152" s="33" t="n">
        <x:f>IF(ISNUMBER(L152),100*MAX(0,MIN(1,(L152-'Anchors'!$H$13)/('Anchors'!$G$13-'Anchors'!$H$13))),"")</x:f>
        <x:v>18.33397142857143</x:v>
      </x:c>
      <x:c r="AE152" s="33" t="n">
        <x:f>IF(ISNUMBER(M152),100*MAX(0,MIN(1,(M152-'Anchors'!$H$14)/('Anchors'!$G$14-'Anchors'!$H$14))),"")</x:f>
        <x:v>23.578597624999997</x:v>
      </x:c>
      <x:c r="AF152" s="33" t="n">
        <x:f>IF(ISNUMBER(N152),100*MAX(0,MIN(1,(LN(1+N152)-LN(1+'Anchors'!$H$15))/(LN(1+'Anchors'!$G$15)-LN(1+'Anchors'!$H$15)))),"")</x:f>
        <x:v>42.33853110110482</x:v>
      </x:c>
      <x:c r="AG152" s="33" t="n">
        <x:f>IF(ISNUMBER(O152),100*MAX(0,MIN(1,('Anchors'!$H$16-O152)/('Anchors'!$H$16-'Anchors'!$G$16))),"")</x:f>
        <x:v>0</x:v>
      </x:c>
      <x:c r="AH152" s="33" t="n">
        <x:f>IF(ISNUMBER(P152),100*MAX(0,MIN(1,('Anchors'!$H$17-P152)/('Anchors'!$H$17-'Anchors'!$G$17))),"")</x:f>
        <x:v>0</x:v>
      </x:c>
      <x:c r="AI152" s="33" t="n">
        <x:f>IF(ISNUMBER(Q152),100*MAX(0,MIN(1,('Anchors'!$H$18-Q152)/('Anchors'!$H$18-'Anchors'!$G$18))),"")</x:f>
        <x:v>0</x:v>
      </x:c>
      <x:c r="AJ152" s="33" t="n">
        <x:f>IF(ISNUMBER(R152),100*MAX(0,MIN(1,('Anchors'!$H$19-R152)/('Anchors'!$H$19-'Anchors'!$G$19))),"")</x:f>
        <x:v>0</x:v>
      </x:c>
      <x:c r="AK152" s="33" t="n">
        <x:f>IF(ISNUMBER(S152),100*MAX(0,MIN(1,('Anchors'!$H$20-S152)/('Anchors'!$H$20-'Anchors'!$G$20))),"")</x:f>
        <x:v>47.2337333981806</x:v>
      </x:c>
      <x:c r="AL152" s="33" t="n">
        <x:f>IF(ISNUMBER(T152),100*MAX(0,MIN(1,('Anchors'!$H$21-T152)/('Anchors'!$H$21-'Anchors'!$G$21))),"")</x:f>
        <x:v>87.0909090909091</x:v>
      </x:c>
      <x:c r="AM152" s="33" t="n">
        <x:f>IF(ISNUMBER(U152),100*MAX(0,MIN(1,('Anchors'!$H$22-U152)/('Anchors'!$H$22-'Anchors'!$G$22))),"")</x:f>
        <x:v>44.29226091355795</x:v>
      </x:c>
      <x:c r="AN152" s="33" t="n">
        <x:f>IF(ISNUMBER(V152),100*MAX(0,MIN(1,('Anchors'!$H$23-V152)/('Anchors'!$H$23-'Anchors'!$G$23))),"")</x:f>
        <x:v>68.6431055263375</x:v>
      </x:c>
      <x:c r="AO152" s="27" t="n">
        <x:f>IF(ISNUMBER(W152),IF('Scoring Setup'!$L$9=1,1-'Scoring Setup'!$B$5*(1-MAX(0,MIN(1,(W152-'Scoring Setup'!$K$9)/(100-'Scoring Setup'!$K$9)))),1),"")</x:f>
        <x:v>0.8562857142857143</x:v>
      </x:c>
      <x:c r="AP152" s="27" t="n">
        <x:f>IF(ISNUMBER(X152),IF('Scoring Setup'!$L$10=1,1-'Scoring Setup'!$B$5*(1-MAX(0,MIN(1,(X152-'Scoring Setup'!$K$10)/(100-'Scoring Setup'!$K$10)))),1),"")</x:f>
        <x:v>0.98490099009901</x:v>
      </x:c>
      <x:c r="AQ152" s="27" t="n">
        <x:f>IF(ISNUMBER(Y152),IF('Scoring Setup'!$L$11=1,1-'Scoring Setup'!$B$5*(1-MAX(0,MIN(1,(Y152-'Scoring Setup'!$K$11)/(100-'Scoring Setup'!$K$11)))),1),"")</x:f>
        <x:v>0.9218188414191713</x:v>
      </x:c>
      <x:c r="AR152" s="27" t="n">
        <x:f>IF(ISNUMBER(Z152),IF('Scoring Setup'!$L$12=1,1-'Scoring Setup'!$B$5*(1-MAX(0,MIN(1,(Z152-'Scoring Setup'!$K$12)/(100-'Scoring Setup'!$K$12)))),1),"")</x:f>
        <x:v>0.916097183882684</x:v>
      </x:c>
      <x:c r="AS152" s="27" t="n">
        <x:f>IF(ISNUMBER(AA152),IF('Scoring Setup'!$L$13=1,1-'Scoring Setup'!$B$5*(1-MAX(0,MIN(1,(AA152-'Scoring Setup'!$K$13)/(100-'Scoring Setup'!$K$13)))),1),"")</x:f>
        <x:v>0.9887331745310303</x:v>
      </x:c>
      <x:c r="AT152" s="27" t="n">
        <x:f>IF(ISNUMBER(AB152),IF('Scoring Setup'!$L$14=1,1-'Scoring Setup'!$B$5*(1-MAX(0,MIN(1,(AB152-'Scoring Setup'!$K$14)/(100-'Scoring Setup'!$K$14)))),1),"")</x:f>
        <x:v>0.8</x:v>
      </x:c>
      <x:c r="AU152" s="27" t="n">
        <x:f>IF(ISNUMBER(AC152),IF('Scoring Setup'!$L$15=1,1-'Scoring Setup'!$B$5*(1-MAX(0,MIN(1,(AC152-'Scoring Setup'!$K$15)/(100-'Scoring Setup'!$K$15)))),1),"")</x:f>
        <x:v>0.8</x:v>
      </x:c>
      <x:c r="AV152" s="27" t="n">
        <x:f>IF(ISNUMBER(AD152),IF('Scoring Setup'!$L$16=1,1-'Scoring Setup'!$B$5*(1-MAX(0,MIN(1,(AD152-'Scoring Setup'!$K$16)/(100-'Scoring Setup'!$K$16)))),1),"")</x:f>
        <x:v>0.8366679428571429</x:v>
      </x:c>
      <x:c r="AW152" s="27" t="n">
        <x:f>IF(ISNUMBER(AE152),IF('Scoring Setup'!$L$17=1,1-'Scoring Setup'!$B$5*(1-MAX(0,MIN(1,(AE152-'Scoring Setup'!$K$17)/(100-'Scoring Setup'!$K$17)))),1),"")</x:f>
        <x:v>0.84715719525</x:v>
      </x:c>
      <x:c r="AX152" s="27" t="n">
        <x:f>IF(ISNUMBER(AF152),IF('Scoring Setup'!$L$18=1,1-'Scoring Setup'!$B$5*(1-MAX(0,MIN(1,(AF152-'Scoring Setup'!$K$18)/(100-'Scoring Setup'!$K$18)))),1),"")</x:f>
        <x:v>0.8846770622022097</x:v>
      </x:c>
      <x:c r="AY152" s="27" t="n">
        <x:f>IF(ISNUMBER(AG152),IF('Scoring Setup'!$L$19=1,1-'Scoring Setup'!$B$5*(1-MAX(0,MIN(1,(AG152-'Scoring Setup'!$K$19)/(100-'Scoring Setup'!$K$19)))),1),"")</x:f>
        <x:v>0.8</x:v>
      </x:c>
      <x:c r="AZ152" s="27" t="n">
        <x:f>IF(ISNUMBER(AH152),IF('Scoring Setup'!$L$20=1,1-'Scoring Setup'!$B$5*(1-MAX(0,MIN(1,(AH152-'Scoring Setup'!$K$20)/(100-'Scoring Setup'!$K$20)))),1),"")</x:f>
        <x:v>0.8</x:v>
      </x:c>
      <x:c r="BA152" s="27" t="n">
        <x:f>IF(ISNUMBER(AI152),IF('Scoring Setup'!$L$21=1,1-'Scoring Setup'!$B$5*(1-MAX(0,MIN(1,(AI152-'Scoring Setup'!$K$21)/(100-'Scoring Setup'!$K$21)))),1),"")</x:f>
        <x:v>0.8</x:v>
      </x:c>
      <x:c r="BB152" s="27" t="n">
        <x:f>IF(ISNUMBER(AJ152),IF('Scoring Setup'!$L$22=1,1-'Scoring Setup'!$B$5*(1-MAX(0,MIN(1,(AJ152-'Scoring Setup'!$K$22)/(100-'Scoring Setup'!$K$22)))),1),"")</x:f>
        <x:v>0.8</x:v>
      </x:c>
      <x:c r="BC152" s="27" t="n">
        <x:f>IF(ISNUMBER(AK152),IF('Scoring Setup'!$L$23=1,1-'Scoring Setup'!$B$5*(1-MAX(0,MIN(1,(AK152-'Scoring Setup'!$K$23)/(100-'Scoring Setup'!$K$23)))),1),"")</x:f>
        <x:v>0.8944674667963612</x:v>
      </x:c>
      <x:c r="BD152" s="27" t="n">
        <x:f>IF(ISNUMBER(AL152),IF('Scoring Setup'!$L$24=1,1-'Scoring Setup'!$B$5*(1-MAX(0,MIN(1,(AL152-'Scoring Setup'!$K$24)/(100-'Scoring Setup'!$K$24)))),1),"")</x:f>
        <x:v>0.9741818181818181</x:v>
      </x:c>
      <x:c r="BE152" s="27" t="n">
        <x:f>IF(ISNUMBER(AM152),IF('Scoring Setup'!$L$25=1,1-'Scoring Setup'!$B$5*(1-MAX(0,MIN(1,(AM152-'Scoring Setup'!$K$25)/(100-'Scoring Setup'!$K$25)))),1),"")</x:f>
        <x:v>0.8885845218271159</x:v>
      </x:c>
      <x:c r="BF152" s="27" t="n">
        <x:f>IF(ISNUMBER(AN152),IF('Scoring Setup'!$L$26=1,1-'Scoring Setup'!$B$5*(1-MAX(0,MIN(1,(AN152-'Scoring Setup'!$K$26)/(100-'Scoring Setup'!$K$26)))),1),"")</x:f>
        <x:v>0.937286211052675</x:v>
      </x:c>
      <x:c r="BG152" s="34" t="n">
        <x:f>IF(COUNT(W152,X152)=2,AVERAGE(W152,X152),"")</x:f>
        <x:v>60.29667609618107</x:v>
      </x:c>
      <x:c r="BH152" s="34" t="n">
        <x:f>IF(COUNT(Y152,Z152)=2,AVERAGE(Y152,Z152),"")</x:f>
        <x:v>59.47900632546383</x:v>
      </x:c>
      <x:c r="BI152" s="34" t="n">
        <x:f>IF(COUNT(AA152,AB152,AC152)=3,AVERAGE(AA152,AB152,AC152),"")</x:f>
        <x:v>31.45552908850505</x:v>
      </x:c>
      <x:c r="BJ152" s="34" t="n">
        <x:f>IF(COUNT(AD152,AE152)=2,AVERAGE(AD152,AE152),"")</x:f>
        <x:v>20.956284526785716</x:v>
      </x:c>
      <x:c r="BK152" s="34" t="n">
        <x:f>IF(COUNT(AF152,AG152)=2,AVERAGE(AF152,AG152),"")</x:f>
        <x:v>21.16926555055241</x:v>
      </x:c>
      <x:c r="BL152" s="34" t="n">
        <x:f>IF(COUNT(AH152,AI152)=2,AVERAGE(AH152,AI152),"")</x:f>
        <x:v>0</x:v>
      </x:c>
      <x:c r="BM152" s="34" t="n">
        <x:f>IF(COUNT(AJ152,AK152)=2,AVERAGE(AJ152,AK152),"")</x:f>
        <x:v>23.6168666990903</x:v>
      </x:c>
      <x:c r="BN152" s="34" t="n">
        <x:f>IF(COUNT(AL152,AM152,AN152)=3,AVERAGE(AL152,AM152,AN152),"")</x:f>
        <x:v>66.67542517693484</x:v>
      </x:c>
      <x:c r="BO152" s="35" t="n">
        <x:f>IF(AND(COUNT(BG152:BN152)=8,ABS('Scoring Setup'!$C$17-1)&lt;0.000001),BG152*'Scoring Setup'!$C$9+BH152*'Scoring Setup'!$C$10+BI152*'Scoring Setup'!$C$11+BJ152*'Scoring Setup'!$C$12+BK152*'Scoring Setup'!$C$13+BL152*'Scoring Setup'!$C$14+BM152*'Scoring Setup'!$C$15+BN152*'Scoring Setup'!$C$16,"")</x:f>
        <x:v>46.46704767933015</x:v>
      </x:c>
      <x:c r="BP152" s="36" t="n">
        <x:f>IF(COUNT(AO152:BF152)=18,MIN(AO152:BF152),"")</x:f>
        <x:v>0.8</x:v>
      </x:c>
      <x:c r="BQ152" s="35" t="n">
        <x:f>IF(AND(ISNUMBER(BO152),ISNUMBER(BP152)),BO152*BP152,"")</x:f>
        <x:v>37.173638143464125</x:v>
      </x:c>
      <x:c r="BR152" s="17" t="str">
        <x:f>IF(COUNT(AO152:BF152)=18,INDEX('Scoring Setup'!$F$9:$F$26,MATCH(MIN(AO152:BF152),AO152:BF152,0),1),"")</x:f>
        <x:v>GAP1/2保护地比例</x:v>
      </x:c>
    </x:row>
    <x:row r="153">
      <x:c r="A153" s="28" t="str">
        <x:v>13301</x:v>
      </x:c>
      <x:c r="B153" s="28" t="str">
        <x:v>Warren County</x:v>
      </x:c>
      <x:c r="C153" s="28" t="str">
        <x:v>GA</x:v>
      </x:c>
      <x:c r="D153" s="31" t="n">
        <x:v>736.510932</x:v>
      </x:c>
      <x:c r="E153" s="32" t="n">
        <x:v>0.656</x:v>
      </x:c>
      <x:c r="F153" s="32" t="n">
        <x:v>0.176670792079208</x:v>
      </x:c>
      <x:c r="G153" s="32" t="n">
        <x:v>1.7657535150157868</x:v>
      </x:c>
      <x:c r="H153" s="32" t="n">
        <x:v>1.5714732222569345</x:v>
      </x:c>
      <x:c r="I153" s="32" t="n">
        <x:v>0.9491740197785574</x:v>
      </x:c>
      <x:c r="J153" s="32" t="n">
        <x:v>0.03719838231182681</x:v>
      </x:c>
      <x:c r="K153" s="32" t="n">
        <x:v>0.055013618684174835</x:v>
      </x:c>
      <x:c r="L153" s="32" t="n">
        <x:v>0.206885352</x:v>
      </x:c>
      <x:c r="M153" s="32" t="n">
        <x:v>0.206885352</x:v>
      </x:c>
      <x:c r="N153" s="32" t="n">
        <x:v>2370</x:v>
      </x:c>
      <x:c r="O153" s="32" t="n">
        <x:v>0.8123</x:v>
      </x:c>
      <x:c r="P153" s="32" t="n">
        <x:v>1728.6121907552083</x:v>
      </x:c>
      <x:c r="Q153" s="32" t="n">
        <x:v>49.92932256062826</x:v>
      </x:c>
      <x:c r="R153" s="32" t="n">
        <x:v>9.16080476222643</x:v>
      </x:c>
      <x:c r="S153" s="32" t="n">
        <x:v>0.4804754472190179</x:v>
      </x:c>
      <x:c r="T153" s="32" t="n">
        <x:v>72.1</x:v>
      </x:c>
      <x:c r="U153" s="32" t="n">
        <x:v>211.4154781728841</x:v>
      </x:c>
      <x:c r="V153" s="32" t="n">
        <x:v>325.42757789465</x:v>
      </x:c>
      <x:c r="W153" s="33" t="n">
        <x:f>IF(ISNUMBER(E153),100*MAX(0,MIN(1,('Anchors'!$H$6-E153)/('Anchors'!$H$6-'Anchors'!$G$6))),"")</x:f>
        <x:v>34.85714285714286</x:v>
      </x:c>
      <x:c r="X153" s="33" t="n">
        <x:f>IF(ISNUMBER(F153),100*MAX(0,MIN(1,('Anchors'!$H$7-F153)/('Anchors'!$H$7-'Anchors'!$G$7))),"")</x:f>
        <x:v>89.04702970297028</x:v>
      </x:c>
      <x:c r="Y153" s="33" t="n">
        <x:f>IF(ISNUMBER(G153),100*MAX(0,MIN(1,('Anchors'!$H$8-G153)/('Anchors'!$H$8-'Anchors'!$G$8))),"")</x:f>
        <x:v>74.47488283280711</x:v>
      </x:c>
      <x:c r="Z153" s="33" t="n">
        <x:f>IF(ISNUMBER(H153),100*MAX(0,MIN(1,('Anchors'!$H$9-H153)/('Anchors'!$H$9-'Anchors'!$G$9))),"")</x:f>
        <x:v>80.9508925914355</x:v>
      </x:c>
      <x:c r="AA153" s="33" t="n">
        <x:f>IF(ISNUMBER(I153),100*MAX(0,MIN(1,(I153-'Anchors'!$H$10)/('Anchors'!$G$10-'Anchors'!$H$10))),"")</x:f>
        <x:v>95.77726298336403</x:v>
      </x:c>
      <x:c r="AB153" s="33" t="n">
        <x:f>IF(ISNUMBER(J153),100*MAX(0,MIN(1,('Anchors'!$H$11-J153)/('Anchors'!$H$11-'Anchors'!$G$11))),"")</x:f>
        <x:v>85.12064707526928</x:v>
      </x:c>
      <x:c r="AC153" s="33" t="n">
        <x:f>IF(ISNUMBER(K153),100*MAX(0,MIN(1,('Anchors'!$H$12-K153)/('Anchors'!$H$12-'Anchors'!$G$12))),"")</x:f>
        <x:v>86.2465953289563</x:v>
      </x:c>
      <x:c r="AD153" s="33" t="n">
        <x:f>IF(ISNUMBER(L153),100*MAX(0,MIN(1,(L153-'Anchors'!$H$13)/('Anchors'!$G$13-'Anchors'!$H$13))),"")</x:f>
        <x:v>0.983621714285712</x:v>
      </x:c>
      <x:c r="AE153" s="33" t="n">
        <x:f>IF(ISNUMBER(M153),100*MAX(0,MIN(1,(M153-'Anchors'!$H$14)/('Anchors'!$G$14-'Anchors'!$H$14))),"")</x:f>
        <x:v>13.360668999999998</x:v>
      </x:c>
      <x:c r="AF153" s="33" t="n">
        <x:f>IF(ISNUMBER(N153),100*MAX(0,MIN(1,(LN(1+N153)-LN(1+'Anchors'!$H$15))/(LN(1+'Anchors'!$G$15)-LN(1+'Anchors'!$H$15)))),"")</x:f>
        <x:v>3.9301587147971273</x:v>
      </x:c>
      <x:c r="AG153" s="33" t="n">
        <x:f>IF(ISNUMBER(O153),100*MAX(0,MIN(1,('Anchors'!$H$16-O153)/('Anchors'!$H$16-'Anchors'!$G$16))),"")</x:f>
        <x:v>15.299999999999994</x:v>
      </x:c>
      <x:c r="AH153" s="33" t="n">
        <x:f>IF(ISNUMBER(P153),100*MAX(0,MIN(1,('Anchors'!$H$17-P153)/('Anchors'!$H$17-'Anchors'!$G$17))),"")</x:f>
        <x:v>31.425853949652783</x:v>
      </x:c>
      <x:c r="AI153" s="33" t="n">
        <x:f>IF(ISNUMBER(Q153),100*MAX(0,MIN(1,('Anchors'!$H$18-Q153)/('Anchors'!$H$18-'Anchors'!$G$18))),"")</x:f>
        <x:v>35.81525348481677</x:v>
      </x:c>
      <x:c r="AJ153" s="33" t="n">
        <x:f>IF(ISNUMBER(R153),100*MAX(0,MIN(1,('Anchors'!$H$19-R153)/('Anchors'!$H$19-'Anchors'!$G$19))),"")</x:f>
        <x:v>90.75376719505238</x:v>
      </x:c>
      <x:c r="AK153" s="33" t="n">
        <x:f>IF(ISNUMBER(S153),100*MAX(0,MIN(1,('Anchors'!$H$20-S153)/('Anchors'!$H$20-'Anchors'!$G$20))),"")</x:f>
        <x:v>100</x:v>
      </x:c>
      <x:c r="AL153" s="33" t="n">
        <x:f>IF(ISNUMBER(T153),100*MAX(0,MIN(1,('Anchors'!$H$21-T153)/('Anchors'!$H$21-'Anchors'!$G$21))),"")</x:f>
        <x:v>87.0909090909091</x:v>
      </x:c>
      <x:c r="AM153" s="33" t="n">
        <x:f>IF(ISNUMBER(U153),100*MAX(0,MIN(1,('Anchors'!$H$22-U153)/('Anchors'!$H$22-'Anchors'!$G$22))),"")</x:f>
        <x:v>44.29226091355795</x:v>
      </x:c>
      <x:c r="AN153" s="33" t="n">
        <x:f>IF(ISNUMBER(V153),100*MAX(0,MIN(1,('Anchors'!$H$23-V153)/('Anchors'!$H$23-'Anchors'!$G$23))),"")</x:f>
        <x:v>68.6431055263375</x:v>
      </x:c>
      <x:c r="AO153" s="27" t="n">
        <x:f>IF(ISNUMBER(W153),IF('Scoring Setup'!$L$9=1,1-'Scoring Setup'!$B$5*(1-MAX(0,MIN(1,(W153-'Scoring Setup'!$K$9)/(100-'Scoring Setup'!$K$9)))),1),"")</x:f>
        <x:v>0.8697142857142857</x:v>
      </x:c>
      <x:c r="AP153" s="27" t="n">
        <x:f>IF(ISNUMBER(X153),IF('Scoring Setup'!$L$10=1,1-'Scoring Setup'!$B$5*(1-MAX(0,MIN(1,(X153-'Scoring Setup'!$K$10)/(100-'Scoring Setup'!$K$10)))),1),"")</x:f>
        <x:v>0.9780940594059405</x:v>
      </x:c>
      <x:c r="AQ153" s="27" t="n">
        <x:f>IF(ISNUMBER(Y153),IF('Scoring Setup'!$L$11=1,1-'Scoring Setup'!$B$5*(1-MAX(0,MIN(1,(Y153-'Scoring Setup'!$K$11)/(100-'Scoring Setup'!$K$11)))),1),"")</x:f>
        <x:v>0.9489497656656142</x:v>
      </x:c>
      <x:c r="AR153" s="27" t="n">
        <x:f>IF(ISNUMBER(Z153),IF('Scoring Setup'!$L$12=1,1-'Scoring Setup'!$B$5*(1-MAX(0,MIN(1,(Z153-'Scoring Setup'!$K$12)/(100-'Scoring Setup'!$K$12)))),1),"")</x:f>
        <x:v>0.9619017851828711</x:v>
      </x:c>
      <x:c r="AS153" s="27" t="n">
        <x:f>IF(ISNUMBER(AA153),IF('Scoring Setup'!$L$13=1,1-'Scoring Setup'!$B$5*(1-MAX(0,MIN(1,(AA153-'Scoring Setup'!$K$13)/(100-'Scoring Setup'!$K$13)))),1),"")</x:f>
        <x:v>0.991554525966728</x:v>
      </x:c>
      <x:c r="AT153" s="27" t="n">
        <x:f>IF(ISNUMBER(AB153),IF('Scoring Setup'!$L$14=1,1-'Scoring Setup'!$B$5*(1-MAX(0,MIN(1,(AB153-'Scoring Setup'!$K$14)/(100-'Scoring Setup'!$K$14)))),1),"")</x:f>
        <x:v>0.9702412941505385</x:v>
      </x:c>
      <x:c r="AU153" s="27" t="n">
        <x:f>IF(ISNUMBER(AC153),IF('Scoring Setup'!$L$15=1,1-'Scoring Setup'!$B$5*(1-MAX(0,MIN(1,(AC153-'Scoring Setup'!$K$15)/(100-'Scoring Setup'!$K$15)))),1),"")</x:f>
        <x:v>0.9724931906579126</x:v>
      </x:c>
      <x:c r="AV153" s="27" t="n">
        <x:f>IF(ISNUMBER(AD153),IF('Scoring Setup'!$L$16=1,1-'Scoring Setup'!$B$5*(1-MAX(0,MIN(1,(AD153-'Scoring Setup'!$K$16)/(100-'Scoring Setup'!$K$16)))),1),"")</x:f>
        <x:v>0.8019672434285714</x:v>
      </x:c>
      <x:c r="AW153" s="27" t="n">
        <x:f>IF(ISNUMBER(AE153),IF('Scoring Setup'!$L$17=1,1-'Scoring Setup'!$B$5*(1-MAX(0,MIN(1,(AE153-'Scoring Setup'!$K$17)/(100-'Scoring Setup'!$K$17)))),1),"")</x:f>
        <x:v>0.826721338</x:v>
      </x:c>
      <x:c r="AX153" s="27" t="n">
        <x:f>IF(ISNUMBER(AF153),IF('Scoring Setup'!$L$18=1,1-'Scoring Setup'!$B$5*(1-MAX(0,MIN(1,(AF153-'Scoring Setup'!$K$18)/(100-'Scoring Setup'!$K$18)))),1),"")</x:f>
        <x:v>0.8078603174295942</x:v>
      </x:c>
      <x:c r="AY153" s="27" t="n">
        <x:f>IF(ISNUMBER(AG153),IF('Scoring Setup'!$L$19=1,1-'Scoring Setup'!$B$5*(1-MAX(0,MIN(1,(AG153-'Scoring Setup'!$K$19)/(100-'Scoring Setup'!$K$19)))),1),"")</x:f>
        <x:v>0.8306</x:v>
      </x:c>
      <x:c r="AZ153" s="27" t="n">
        <x:f>IF(ISNUMBER(AH153),IF('Scoring Setup'!$L$20=1,1-'Scoring Setup'!$B$5*(1-MAX(0,MIN(1,(AH153-'Scoring Setup'!$K$20)/(100-'Scoring Setup'!$K$20)))),1),"")</x:f>
        <x:v>0.8628517078993055</x:v>
      </x:c>
      <x:c r="BA153" s="27" t="n">
        <x:f>IF(ISNUMBER(AI153),IF('Scoring Setup'!$L$21=1,1-'Scoring Setup'!$B$5*(1-MAX(0,MIN(1,(AI153-'Scoring Setup'!$K$21)/(100-'Scoring Setup'!$K$21)))),1),"")</x:f>
        <x:v>0.8716305069696335</x:v>
      </x:c>
      <x:c r="BB153" s="27" t="n">
        <x:f>IF(ISNUMBER(AJ153),IF('Scoring Setup'!$L$22=1,1-'Scoring Setup'!$B$5*(1-MAX(0,MIN(1,(AJ153-'Scoring Setup'!$K$22)/(100-'Scoring Setup'!$K$22)))),1),"")</x:f>
        <x:v>0.9815075343901047</x:v>
      </x:c>
      <x:c r="BC153" s="27" t="n">
        <x:f>IF(ISNUMBER(AK153),IF('Scoring Setup'!$L$23=1,1-'Scoring Setup'!$B$5*(1-MAX(0,MIN(1,(AK153-'Scoring Setup'!$K$23)/(100-'Scoring Setup'!$K$23)))),1),"")</x:f>
        <x:v>1</x:v>
      </x:c>
      <x:c r="BD153" s="27" t="n">
        <x:f>IF(ISNUMBER(AL153),IF('Scoring Setup'!$L$24=1,1-'Scoring Setup'!$B$5*(1-MAX(0,MIN(1,(AL153-'Scoring Setup'!$K$24)/(100-'Scoring Setup'!$K$24)))),1),"")</x:f>
        <x:v>0.9741818181818181</x:v>
      </x:c>
      <x:c r="BE153" s="27" t="n">
        <x:f>IF(ISNUMBER(AM153),IF('Scoring Setup'!$L$25=1,1-'Scoring Setup'!$B$5*(1-MAX(0,MIN(1,(AM153-'Scoring Setup'!$K$25)/(100-'Scoring Setup'!$K$25)))),1),"")</x:f>
        <x:v>0.8885845218271159</x:v>
      </x:c>
      <x:c r="BF153" s="27" t="n">
        <x:f>IF(ISNUMBER(AN153),IF('Scoring Setup'!$L$26=1,1-'Scoring Setup'!$B$5*(1-MAX(0,MIN(1,(AN153-'Scoring Setup'!$K$26)/(100-'Scoring Setup'!$K$26)))),1),"")</x:f>
        <x:v>0.937286211052675</x:v>
      </x:c>
      <x:c r="BG153" s="34" t="n">
        <x:f>IF(COUNT(W153,X153)=2,AVERAGE(W153,X153),"")</x:f>
        <x:v>61.95208628005657</x:v>
      </x:c>
      <x:c r="BH153" s="34" t="n">
        <x:f>IF(COUNT(Y153,Z153)=2,AVERAGE(Y153,Z153),"")</x:f>
        <x:v>77.7128877121213</x:v>
      </x:c>
      <x:c r="BI153" s="34" t="n">
        <x:f>IF(COUNT(AA153,AB153,AC153)=3,AVERAGE(AA153,AB153,AC153),"")</x:f>
        <x:v>89.04816846252987</x:v>
      </x:c>
      <x:c r="BJ153" s="34" t="n">
        <x:f>IF(COUNT(AD153,AE153)=2,AVERAGE(AD153,AE153),"")</x:f>
        <x:v>7.172145357142855</x:v>
      </x:c>
      <x:c r="BK153" s="34" t="n">
        <x:f>IF(COUNT(AF153,AG153)=2,AVERAGE(AF153,AG153),"")</x:f>
        <x:v>9.61507935739856</x:v>
      </x:c>
      <x:c r="BL153" s="34" t="n">
        <x:f>IF(COUNT(AH153,AI153)=2,AVERAGE(AH153,AI153),"")</x:f>
        <x:v>33.62055371723478</x:v>
      </x:c>
      <x:c r="BM153" s="34" t="n">
        <x:f>IF(COUNT(AJ153,AK153)=2,AVERAGE(AJ153,AK153),"")</x:f>
        <x:v>95.37688359752619</x:v>
      </x:c>
      <x:c r="BN153" s="34" t="n">
        <x:f>IF(COUNT(AL153,AM153,AN153)=3,AVERAGE(AL153,AM153,AN153),"")</x:f>
        <x:v>66.67542517693484</x:v>
      </x:c>
      <x:c r="BO153" s="35" t="n">
        <x:f>IF(AND(COUNT(BG153:BN153)=8,ABS('Scoring Setup'!$C$17-1)&lt;0.000001),BG153*'Scoring Setup'!$C$9+BH153*'Scoring Setup'!$C$10+BI153*'Scoring Setup'!$C$11+BJ153*'Scoring Setup'!$C$12+BK153*'Scoring Setup'!$C$13+BL153*'Scoring Setup'!$C$14+BM153*'Scoring Setup'!$C$15+BN153*'Scoring Setup'!$C$16,"")</x:f>
        <x:v>58.77382490695555</x:v>
      </x:c>
      <x:c r="BP153" s="36" t="n">
        <x:f>IF(COUNT(AO153:BF153)=18,MIN(AO153:BF153),"")</x:f>
        <x:v>0.8019672434285714</x:v>
      </x:c>
      <x:c r="BQ153" s="35" t="n">
        <x:f>IF(AND(ISNUMBER(BO153),ISNUMBER(BP153)),BO153*BP153,"")</x:f>
        <x:v>47.13468234638465</x:v>
      </x:c>
      <x:c r="BR153" s="17" t="str">
        <x:f>IF(COUNT(AO153:BF153)=18,INDEX('Scoring Setup'!$F$9:$F$26,MATCH(MIN(AO153:BF153),AO153:BF153,0),1),"")</x:f>
        <x:v>商业光纤100/20覆盖率</x:v>
      </x:c>
    </x:row>
    <x:row r="154">
      <x:c r="A154" s="28" t="str">
        <x:v>13303</x:v>
      </x:c>
      <x:c r="B154" s="28" t="str">
        <x:v>Washington County</x:v>
      </x:c>
      <x:c r="C154" s="28" t="str">
        <x:v>GA</x:v>
      </x:c>
      <x:c r="D154" s="31" t="n">
        <x:v>1757.374002</x:v>
      </x:c>
      <x:c r="E154" s="32" t="n">
        <x:v>0.546</x:v>
      </x:c>
      <x:c r="F154" s="32" t="n">
        <x:v>0.08477722772277231</x:v>
      </x:c>
      <x:c r="G154" s="32" t="n">
        <x:v>1.6048406430178825</x:v>
      </x:c>
      <x:c r="H154" s="32" t="n">
        <x:v>1.42232232410691</x:v>
      </x:c>
      <x:c r="I154" s="32" t="n">
        <x:v>0.9471472494457952</x:v>
      </x:c>
      <x:c r="J154" s="32" t="n">
        <x:v>0.0019225568683680632</x:v>
      </x:c>
      <x:c r="K154" s="32" t="n">
        <x:v>0.16716336897037692</x:v>
      </x:c>
      <x:c r="L154" s="32" t="n">
        <x:v>0.677111045</x:v>
      </x:c>
      <x:c r="M154" s="32" t="n">
        <x:v>0.676125727</x:v>
      </x:c>
      <x:c r="N154" s="32" t="n">
        <x:v>7752</x:v>
      </x:c>
      <x:c r="O154" s="32" t="n">
        <x:v>0.9115</x:v>
      </x:c>
      <x:c r="P154" s="32" t="n">
        <x:v>1906.5573364257812</x:v>
      </x:c>
      <x:c r="Q154" s="32" t="n">
        <x:v>56.21041043599447</x:v>
      </x:c>
      <x:c r="R154" s="32" t="n">
        <x:v>54.59628314357997</x:v>
      </x:c>
      <x:c r="S154" s="32" t="n">
        <x:v>0.056223079799542636</x:v>
      </x:c>
      <x:c r="T154" s="32" t="n">
        <x:v>72.1</x:v>
      </x:c>
      <x:c r="U154" s="32" t="n">
        <x:v>211.4154781728841</x:v>
      </x:c>
      <x:c r="V154" s="32" t="n">
        <x:v>325.42757789465</x:v>
      </x:c>
      <x:c r="W154" s="33" t="n">
        <x:f>IF(ISNUMBER(E154),100*MAX(0,MIN(1,('Anchors'!$H$6-E154)/('Anchors'!$H$6-'Anchors'!$G$6))),"")</x:f>
        <x:v>50.57142857142857</x:v>
      </x:c>
      <x:c r="X154" s="33" t="n">
        <x:f>IF(ISNUMBER(F154),100*MAX(0,MIN(1,('Anchors'!$H$7-F154)/('Anchors'!$H$7-'Anchors'!$G$7))),"")</x:f>
        <x:v>100</x:v>
      </x:c>
      <x:c r="Y154" s="33" t="n">
        <x:f>IF(ISNUMBER(G154),100*MAX(0,MIN(1,('Anchors'!$H$8-G154)/('Anchors'!$H$8-'Anchors'!$G$8))),"")</x:f>
        <x:v>79.83864523273724</x:v>
      </x:c>
      <x:c r="Z154" s="33" t="n">
        <x:f>IF(ISNUMBER(H154),100*MAX(0,MIN(1,('Anchors'!$H$9-H154)/('Anchors'!$H$9-'Anchors'!$G$9))),"")</x:f>
        <x:v>85.92258919643633</x:v>
      </x:c>
      <x:c r="AA154" s="33" t="n">
        <x:f>IF(ISNUMBER(I154),100*MAX(0,MIN(1,(I154-'Anchors'!$H$10)/('Anchors'!$G$10-'Anchors'!$H$10))),"")</x:f>
        <x:v>95.49962321175278</x:v>
      </x:c>
      <x:c r="AB154" s="33" t="n">
        <x:f>IF(ISNUMBER(J154),100*MAX(0,MIN(1,('Anchors'!$H$11-J154)/('Anchors'!$H$11-'Anchors'!$G$11))),"")</x:f>
        <x:v>99.23097725265278</x:v>
      </x:c>
      <x:c r="AC154" s="33" t="n">
        <x:f>IF(ISNUMBER(K154),100*MAX(0,MIN(1,('Anchors'!$H$12-K154)/('Anchors'!$H$12-'Anchors'!$G$12))),"")</x:f>
        <x:v>58.20915775740577</x:v>
      </x:c>
      <x:c r="AD154" s="33" t="n">
        <x:f>IF(ISNUMBER(L154),100*MAX(0,MIN(1,(L154-'Anchors'!$H$13)/('Anchors'!$G$13-'Anchors'!$H$13))),"")</x:f>
        <x:v>68.15872071428572</x:v>
      </x:c>
      <x:c r="AE154" s="33" t="n">
        <x:f>IF(ISNUMBER(M154),100*MAX(0,MIN(1,(M154-'Anchors'!$H$14)/('Anchors'!$G$14-'Anchors'!$H$14))),"")</x:f>
        <x:v>72.015715875</x:v>
      </x:c>
      <x:c r="AF154" s="33" t="n">
        <x:f>IF(ISNUMBER(N154),100*MAX(0,MIN(1,(LN(1+N154)-LN(1+'Anchors'!$H$15))/(LN(1+'Anchors'!$G$15)-LN(1+'Anchors'!$H$15)))),"")</x:f>
        <x:v>31.374436138964647</x:v>
      </x:c>
      <x:c r="AG154" s="33" t="n">
        <x:f>IF(ISNUMBER(O154),100*MAX(0,MIN(1,('Anchors'!$H$16-O154)/('Anchors'!$H$16-'Anchors'!$G$16))),"")</x:f>
        <x:v>4.277777777777776</x:v>
      </x:c>
      <x:c r="AH154" s="33" t="n">
        <x:f>IF(ISNUMBER(P154),100*MAX(0,MIN(1,('Anchors'!$H$17-P154)/('Anchors'!$H$17-'Anchors'!$G$17))),"")</x:f>
        <x:v>19.562844238281258</x:v>
      </x:c>
      <x:c r="AI154" s="33" t="n">
        <x:f>IF(ISNUMBER(Q154),100*MAX(0,MIN(1,('Anchors'!$H$18-Q154)/('Anchors'!$H$18-'Anchors'!$G$18))),"")</x:f>
        <x:v>26.84227080572219</x:v>
      </x:c>
      <x:c r="AJ154" s="33" t="n">
        <x:f>IF(ISNUMBER(R154),100*MAX(0,MIN(1,('Anchors'!$H$19-R154)/('Anchors'!$H$19-'Anchors'!$G$19))),"")</x:f>
        <x:v>0</x:v>
      </x:c>
      <x:c r="AK154" s="33" t="n">
        <x:f>IF(ISNUMBER(S154),100*MAX(0,MIN(1,('Anchors'!$H$20-S154)/('Anchors'!$H$20-'Anchors'!$G$20))),"")</x:f>
        <x:v>100</x:v>
      </x:c>
      <x:c r="AL154" s="33" t="n">
        <x:f>IF(ISNUMBER(T154),100*MAX(0,MIN(1,('Anchors'!$H$21-T154)/('Anchors'!$H$21-'Anchors'!$G$21))),"")</x:f>
        <x:v>87.0909090909091</x:v>
      </x:c>
      <x:c r="AM154" s="33" t="n">
        <x:f>IF(ISNUMBER(U154),100*MAX(0,MIN(1,('Anchors'!$H$22-U154)/('Anchors'!$H$22-'Anchors'!$G$22))),"")</x:f>
        <x:v>44.29226091355795</x:v>
      </x:c>
      <x:c r="AN154" s="33" t="n">
        <x:f>IF(ISNUMBER(V154),100*MAX(0,MIN(1,('Anchors'!$H$23-V154)/('Anchors'!$H$23-'Anchors'!$G$23))),"")</x:f>
        <x:v>68.6431055263375</x:v>
      </x:c>
      <x:c r="AO154" s="27" t="n">
        <x:f>IF(ISNUMBER(W154),IF('Scoring Setup'!$L$9=1,1-'Scoring Setup'!$B$5*(1-MAX(0,MIN(1,(W154-'Scoring Setup'!$K$9)/(100-'Scoring Setup'!$K$9)))),1),"")</x:f>
        <x:v>0.9011428571428571</x:v>
      </x:c>
      <x:c r="AP154" s="27" t="n">
        <x:f>IF(ISNUMBER(X154),IF('Scoring Setup'!$L$10=1,1-'Scoring Setup'!$B$5*(1-MAX(0,MIN(1,(X154-'Scoring Setup'!$K$10)/(100-'Scoring Setup'!$K$10)))),1),"")</x:f>
        <x:v>1</x:v>
      </x:c>
      <x:c r="AQ154" s="27" t="n">
        <x:f>IF(ISNUMBER(Y154),IF('Scoring Setup'!$L$11=1,1-'Scoring Setup'!$B$5*(1-MAX(0,MIN(1,(Y154-'Scoring Setup'!$K$11)/(100-'Scoring Setup'!$K$11)))),1),"")</x:f>
        <x:v>0.9596772904654745</x:v>
      </x:c>
      <x:c r="AR154" s="27" t="n">
        <x:f>IF(ISNUMBER(Z154),IF('Scoring Setup'!$L$12=1,1-'Scoring Setup'!$B$5*(1-MAX(0,MIN(1,(Z154-'Scoring Setup'!$K$12)/(100-'Scoring Setup'!$K$12)))),1),"")</x:f>
        <x:v>0.9718451783928727</x:v>
      </x:c>
      <x:c r="AS154" s="27" t="n">
        <x:f>IF(ISNUMBER(AA154),IF('Scoring Setup'!$L$13=1,1-'Scoring Setup'!$B$5*(1-MAX(0,MIN(1,(AA154-'Scoring Setup'!$K$13)/(100-'Scoring Setup'!$K$13)))),1),"")</x:f>
        <x:v>0.9909992464235056</x:v>
      </x:c>
      <x:c r="AT154" s="27" t="n">
        <x:f>IF(ISNUMBER(AB154),IF('Scoring Setup'!$L$14=1,1-'Scoring Setup'!$B$5*(1-MAX(0,MIN(1,(AB154-'Scoring Setup'!$K$14)/(100-'Scoring Setup'!$K$14)))),1),"")</x:f>
        <x:v>0.9984619545053055</x:v>
      </x:c>
      <x:c r="AU154" s="27" t="n">
        <x:f>IF(ISNUMBER(AC154),IF('Scoring Setup'!$L$15=1,1-'Scoring Setup'!$B$5*(1-MAX(0,MIN(1,(AC154-'Scoring Setup'!$K$15)/(100-'Scoring Setup'!$K$15)))),1),"")</x:f>
        <x:v>0.9164183155148116</x:v>
      </x:c>
      <x:c r="AV154" s="27" t="n">
        <x:f>IF(ISNUMBER(AD154),IF('Scoring Setup'!$L$16=1,1-'Scoring Setup'!$B$5*(1-MAX(0,MIN(1,(AD154-'Scoring Setup'!$K$16)/(100-'Scoring Setup'!$K$16)))),1),"")</x:f>
        <x:v>0.9363174414285714</x:v>
      </x:c>
      <x:c r="AW154" s="27" t="n">
        <x:f>IF(ISNUMBER(AE154),IF('Scoring Setup'!$L$17=1,1-'Scoring Setup'!$B$5*(1-MAX(0,MIN(1,(AE154-'Scoring Setup'!$K$17)/(100-'Scoring Setup'!$K$17)))),1),"")</x:f>
        <x:v>0.94403143175</x:v>
      </x:c>
      <x:c r="AX154" s="27" t="n">
        <x:f>IF(ISNUMBER(AF154),IF('Scoring Setup'!$L$18=1,1-'Scoring Setup'!$B$5*(1-MAX(0,MIN(1,(AF154-'Scoring Setup'!$K$18)/(100-'Scoring Setup'!$K$18)))),1),"")</x:f>
        <x:v>0.8627488722779293</x:v>
      </x:c>
      <x:c r="AY154" s="27" t="n">
        <x:f>IF(ISNUMBER(AG154),IF('Scoring Setup'!$L$19=1,1-'Scoring Setup'!$B$5*(1-MAX(0,MIN(1,(AG154-'Scoring Setup'!$K$19)/(100-'Scoring Setup'!$K$19)))),1),"")</x:f>
        <x:v>0.8085555555555556</x:v>
      </x:c>
      <x:c r="AZ154" s="27" t="n">
        <x:f>IF(ISNUMBER(AH154),IF('Scoring Setup'!$L$20=1,1-'Scoring Setup'!$B$5*(1-MAX(0,MIN(1,(AH154-'Scoring Setup'!$K$20)/(100-'Scoring Setup'!$K$20)))),1),"")</x:f>
        <x:v>0.8391256884765625</x:v>
      </x:c>
      <x:c r="BA154" s="27" t="n">
        <x:f>IF(ISNUMBER(AI154),IF('Scoring Setup'!$L$21=1,1-'Scoring Setup'!$B$5*(1-MAX(0,MIN(1,(AI154-'Scoring Setup'!$K$21)/(100-'Scoring Setup'!$K$21)))),1),"")</x:f>
        <x:v>0.8536845416114444</x:v>
      </x:c>
      <x:c r="BB154" s="27" t="n">
        <x:f>IF(ISNUMBER(AJ154),IF('Scoring Setup'!$L$22=1,1-'Scoring Setup'!$B$5*(1-MAX(0,MIN(1,(AJ154-'Scoring Setup'!$K$22)/(100-'Scoring Setup'!$K$22)))),1),"")</x:f>
        <x:v>0.8</x:v>
      </x:c>
      <x:c r="BC154" s="27" t="n">
        <x:f>IF(ISNUMBER(AK154),IF('Scoring Setup'!$L$23=1,1-'Scoring Setup'!$B$5*(1-MAX(0,MIN(1,(AK154-'Scoring Setup'!$K$23)/(100-'Scoring Setup'!$K$23)))),1),"")</x:f>
        <x:v>1</x:v>
      </x:c>
      <x:c r="BD154" s="27" t="n">
        <x:f>IF(ISNUMBER(AL154),IF('Scoring Setup'!$L$24=1,1-'Scoring Setup'!$B$5*(1-MAX(0,MIN(1,(AL154-'Scoring Setup'!$K$24)/(100-'Scoring Setup'!$K$24)))),1),"")</x:f>
        <x:v>0.9741818181818181</x:v>
      </x:c>
      <x:c r="BE154" s="27" t="n">
        <x:f>IF(ISNUMBER(AM154),IF('Scoring Setup'!$L$25=1,1-'Scoring Setup'!$B$5*(1-MAX(0,MIN(1,(AM154-'Scoring Setup'!$K$25)/(100-'Scoring Setup'!$K$25)))),1),"")</x:f>
        <x:v>0.8885845218271159</x:v>
      </x:c>
      <x:c r="BF154" s="27" t="n">
        <x:f>IF(ISNUMBER(AN154),IF('Scoring Setup'!$L$26=1,1-'Scoring Setup'!$B$5*(1-MAX(0,MIN(1,(AN154-'Scoring Setup'!$K$26)/(100-'Scoring Setup'!$K$26)))),1),"")</x:f>
        <x:v>0.937286211052675</x:v>
      </x:c>
      <x:c r="BG154" s="34" t="n">
        <x:f>IF(COUNT(W154,X154)=2,AVERAGE(W154,X154),"")</x:f>
        <x:v>75.28571428571428</x:v>
      </x:c>
      <x:c r="BH154" s="34" t="n">
        <x:f>IF(COUNT(Y154,Z154)=2,AVERAGE(Y154,Z154),"")</x:f>
        <x:v>82.88061721458678</x:v>
      </x:c>
      <x:c r="BI154" s="34" t="n">
        <x:f>IF(COUNT(AA154,AB154,AC154)=3,AVERAGE(AA154,AB154,AC154),"")</x:f>
        <x:v>84.31325274060377</x:v>
      </x:c>
      <x:c r="BJ154" s="34" t="n">
        <x:f>IF(COUNT(AD154,AE154)=2,AVERAGE(AD154,AE154),"")</x:f>
        <x:v>70.08721829464287</x:v>
      </x:c>
      <x:c r="BK154" s="34" t="n">
        <x:f>IF(COUNT(AF154,AG154)=2,AVERAGE(AF154,AG154),"")</x:f>
        <x:v>17.826106958371213</x:v>
      </x:c>
      <x:c r="BL154" s="34" t="n">
        <x:f>IF(COUNT(AH154,AI154)=2,AVERAGE(AH154,AI154),"")</x:f>
        <x:v>23.202557522001726</x:v>
      </x:c>
      <x:c r="BM154" s="34" t="n">
        <x:f>IF(COUNT(AJ154,AK154)=2,AVERAGE(AJ154,AK154),"")</x:f>
        <x:v>50</x:v>
      </x:c>
      <x:c r="BN154" s="34" t="n">
        <x:f>IF(COUNT(AL154,AM154,AN154)=3,AVERAGE(AL154,AM154,AN154),"")</x:f>
        <x:v>66.67542517693484</x:v>
      </x:c>
      <x:c r="BO154" s="35" t="n">
        <x:f>IF(AND(COUNT(BG154:BN154)=8,ABS('Scoring Setup'!$C$17-1)&lt;0.000001),BG154*'Scoring Setup'!$C$9+BH154*'Scoring Setup'!$C$10+BI154*'Scoring Setup'!$C$11+BJ154*'Scoring Setup'!$C$12+BK154*'Scoring Setup'!$C$13+BL154*'Scoring Setup'!$C$14+BM154*'Scoring Setup'!$C$15+BN154*'Scoring Setup'!$C$16,"")</x:f>
        <x:v>64.99010810003111</x:v>
      </x:c>
      <x:c r="BP154" s="36" t="n">
        <x:f>IF(COUNT(AO154:BF154)=18,MIN(AO154:BF154),"")</x:f>
        <x:v>0.8</x:v>
      </x:c>
      <x:c r="BQ154" s="35" t="n">
        <x:f>IF(AND(ISNUMBER(BO154),ISNUMBER(BP154)),BO154*BP154,"")</x:f>
        <x:v>51.99208648002489</x:v>
      </x:c>
      <x:c r="BR154" s="17" t="str">
        <x:f>IF(COUNT(AO154:BF154)=18,INDEX('Scoring Setup'!$F$9:$F$26,MATCH(MIN(AO154:BF154),AO154:BF154,0),1),"")</x:f>
        <x:v>到Interstate距离</x:v>
      </x:c>
    </x:row>
    <x:row r="155">
      <x:c r="A155" s="28" t="str">
        <x:v>13305</x:v>
      </x:c>
      <x:c r="B155" s="28" t="str">
        <x:v>Wayne County</x:v>
      </x:c>
      <x:c r="C155" s="28" t="str">
        <x:v>GA</x:v>
      </x:c>
      <x:c r="D155" s="31" t="n">
        <x:v>1662.287074</x:v>
      </x:c>
      <x:c r="E155" s="32" t="n">
        <x:v>0.624</x:v>
      </x:c>
      <x:c r="F155" s="32" t="n">
        <x:v>0.15470297029703</x:v>
      </x:c>
      <x:c r="G155" s="32" t="n">
        <x:v>0.3631924922046297</x:v>
      </x:c>
      <x:c r="H155" s="32" t="n">
        <x:v>0.3394185292626878</x:v>
      </x:c>
      <x:c r="I155" s="32" t="n">
        <x:v>0.9199206560025224</x:v>
      </x:c>
      <x:c r="J155" s="32" t="n">
        <x:v>0.12790360702669967</x:v>
      </x:c>
      <x:c r="K155" s="32" t="n">
        <x:v>0.39301032076657444</x:v>
      </x:c>
      <x:c r="L155" s="32" t="n">
        <x:v>0.585961272</x:v>
      </x:c>
      <x:c r="M155" s="32" t="n">
        <x:v>0.585961272</x:v>
      </x:c>
      <x:c r="N155" s="32" t="n">
        <x:v>13367</x:v>
      </x:c>
      <x:c r="O155" s="32" t="n">
        <x:v>0.9434</x:v>
      </x:c>
      <x:c r="P155" s="32" t="n">
        <x:v>2234.58369140625</x:v>
      </x:c>
      <x:c r="Q155" s="32" t="n">
        <x:v>72.18536516825358</x:v>
      </x:c>
      <x:c r="R155" s="32" t="n">
        <x:v>44.38516948670565</x:v>
      </x:c>
      <x:c r="S155" s="32" t="n">
        <x:v>1.0314172458955966</x:v>
      </x:c>
      <x:c r="T155" s="32" t="n">
        <x:v>72.1</x:v>
      </x:c>
      <x:c r="U155" s="32" t="n">
        <x:v>211.4154781728841</x:v>
      </x:c>
      <x:c r="V155" s="32" t="n">
        <x:v>325.42757789465</x:v>
      </x:c>
      <x:c r="W155" s="33" t="n">
        <x:f>IF(ISNUMBER(E155),100*MAX(0,MIN(1,('Anchors'!$H$6-E155)/('Anchors'!$H$6-'Anchors'!$G$6))),"")</x:f>
        <x:v>39.42857142857144</x:v>
      </x:c>
      <x:c r="X155" s="33" t="n">
        <x:f>IF(ISNUMBER(F155),100*MAX(0,MIN(1,('Anchors'!$H$7-F155)/('Anchors'!$H$7-'Anchors'!$G$7))),"")</x:f>
        <x:v>92.18528995756715</x:v>
      </x:c>
      <x:c r="Y155" s="33" t="n">
        <x:f>IF(ISNUMBER(G155),100*MAX(0,MIN(1,('Anchors'!$H$8-G155)/('Anchors'!$H$8-'Anchors'!$G$8))),"")</x:f>
        <x:v>100</x:v>
      </x:c>
      <x:c r="Z155" s="33" t="n">
        <x:f>IF(ISNUMBER(H155),100*MAX(0,MIN(1,('Anchors'!$H$9-H155)/('Anchors'!$H$9-'Anchors'!$G$9))),"")</x:f>
        <x:v>100</x:v>
      </x:c>
      <x:c r="AA155" s="33" t="n">
        <x:f>IF(ISNUMBER(I155),100*MAX(0,MIN(1,(I155-'Anchors'!$H$10)/('Anchors'!$G$10-'Anchors'!$H$10))),"")</x:f>
        <x:v>91.76995287705786</x:v>
      </x:c>
      <x:c r="AB155" s="33" t="n">
        <x:f>IF(ISNUMBER(J155),100*MAX(0,MIN(1,('Anchors'!$H$11-J155)/('Anchors'!$H$11-'Anchors'!$G$11))),"")</x:f>
        <x:v>48.83855718932013</x:v>
      </x:c>
      <x:c r="AC155" s="33" t="n">
        <x:f>IF(ISNUMBER(K155),100*MAX(0,MIN(1,('Anchors'!$H$12-K155)/('Anchors'!$H$12-'Anchors'!$G$12))),"")</x:f>
        <x:v>1.7474198083563959</x:v>
      </x:c>
      <x:c r="AD155" s="33" t="n">
        <x:f>IF(ISNUMBER(L155),100*MAX(0,MIN(1,(L155-'Anchors'!$H$13)/('Anchors'!$G$13-'Anchors'!$H$13))),"")</x:f>
        <x:v>55.13732457142858</x:v>
      </x:c>
      <x:c r="AE155" s="33" t="n">
        <x:f>IF(ISNUMBER(M155),100*MAX(0,MIN(1,(M155-'Anchors'!$H$14)/('Anchors'!$G$14-'Anchors'!$H$14))),"")</x:f>
        <x:v>60.745159</x:v>
      </x:c>
      <x:c r="AF155" s="33" t="n">
        <x:f>IF(ISNUMBER(N155),100*MAX(0,MIN(1,(LN(1+N155)-LN(1+'Anchors'!$H$15))/(LN(1+'Anchors'!$G$15)-LN(1+'Anchors'!$H$15)))),"")</x:f>
        <x:v>43.99395360486993</x:v>
      </x:c>
      <x:c r="AG155" s="33" t="n">
        <x:f>IF(ISNUMBER(O155),100*MAX(0,MIN(1,('Anchors'!$H$16-O155)/('Anchors'!$H$16-'Anchors'!$G$16))),"")</x:f>
        <x:v>0.7333333333333266</x:v>
      </x:c>
      <x:c r="AH155" s="33" t="n">
        <x:f>IF(ISNUMBER(P155),100*MAX(0,MIN(1,('Anchors'!$H$17-P155)/('Anchors'!$H$17-'Anchors'!$G$17))),"")</x:f>
        <x:v>0</x:v>
      </x:c>
      <x:c r="AI155" s="33" t="n">
        <x:f>IF(ISNUMBER(Q155),100*MAX(0,MIN(1,('Anchors'!$H$18-Q155)/('Anchors'!$H$18-'Anchors'!$G$18))),"")</x:f>
        <x:v>4.0209069024948825</x:v>
      </x:c>
      <x:c r="AJ155" s="33" t="n">
        <x:f>IF(ISNUMBER(R155),100*MAX(0,MIN(1,('Anchors'!$H$19-R155)/('Anchors'!$H$19-'Anchors'!$G$19))),"")</x:f>
        <x:v>12.477401140654113</x:v>
      </x:c>
      <x:c r="AK155" s="33" t="n">
        <x:f>IF(ISNUMBER(S155),100*MAX(0,MIN(1,('Anchors'!$H$20-S155)/('Anchors'!$H$20-'Anchors'!$G$20))),"")</x:f>
        <x:v>99.8346460742337</x:v>
      </x:c>
      <x:c r="AL155" s="33" t="n">
        <x:f>IF(ISNUMBER(T155),100*MAX(0,MIN(1,('Anchors'!$H$21-T155)/('Anchors'!$H$21-'Anchors'!$G$21))),"")</x:f>
        <x:v>87.0909090909091</x:v>
      </x:c>
      <x:c r="AM155" s="33" t="n">
        <x:f>IF(ISNUMBER(U155),100*MAX(0,MIN(1,('Anchors'!$H$22-U155)/('Anchors'!$H$22-'Anchors'!$G$22))),"")</x:f>
        <x:v>44.29226091355795</x:v>
      </x:c>
      <x:c r="AN155" s="33" t="n">
        <x:f>IF(ISNUMBER(V155),100*MAX(0,MIN(1,('Anchors'!$H$23-V155)/('Anchors'!$H$23-'Anchors'!$G$23))),"")</x:f>
        <x:v>68.6431055263375</x:v>
      </x:c>
      <x:c r="AO155" s="27" t="n">
        <x:f>IF(ISNUMBER(W155),IF('Scoring Setup'!$L$9=1,1-'Scoring Setup'!$B$5*(1-MAX(0,MIN(1,(W155-'Scoring Setup'!$K$9)/(100-'Scoring Setup'!$K$9)))),1),"")</x:f>
        <x:v>0.8788571428571429</x:v>
      </x:c>
      <x:c r="AP155" s="27" t="n">
        <x:f>IF(ISNUMBER(X155),IF('Scoring Setup'!$L$10=1,1-'Scoring Setup'!$B$5*(1-MAX(0,MIN(1,(X155-'Scoring Setup'!$K$10)/(100-'Scoring Setup'!$K$10)))),1),"")</x:f>
        <x:v>0.9843705799151343</x:v>
      </x:c>
      <x:c r="AQ155" s="27" t="n">
        <x:f>IF(ISNUMBER(Y155),IF('Scoring Setup'!$L$11=1,1-'Scoring Setup'!$B$5*(1-MAX(0,MIN(1,(Y155-'Scoring Setup'!$K$11)/(100-'Scoring Setup'!$K$11)))),1),"")</x:f>
        <x:v>1</x:v>
      </x:c>
      <x:c r="AR155" s="27" t="n">
        <x:f>IF(ISNUMBER(Z155),IF('Scoring Setup'!$L$12=1,1-'Scoring Setup'!$B$5*(1-MAX(0,MIN(1,(Z155-'Scoring Setup'!$K$12)/(100-'Scoring Setup'!$K$12)))),1),"")</x:f>
        <x:v>1</x:v>
      </x:c>
      <x:c r="AS155" s="27" t="n">
        <x:f>IF(ISNUMBER(AA155),IF('Scoring Setup'!$L$13=1,1-'Scoring Setup'!$B$5*(1-MAX(0,MIN(1,(AA155-'Scoring Setup'!$K$13)/(100-'Scoring Setup'!$K$13)))),1),"")</x:f>
        <x:v>0.9835399057541158</x:v>
      </x:c>
      <x:c r="AT155" s="27" t="n">
        <x:f>IF(ISNUMBER(AB155),IF('Scoring Setup'!$L$14=1,1-'Scoring Setup'!$B$5*(1-MAX(0,MIN(1,(AB155-'Scoring Setup'!$K$14)/(100-'Scoring Setup'!$K$14)))),1),"")</x:f>
        <x:v>0.8976771143786403</x:v>
      </x:c>
      <x:c r="AU155" s="27" t="n">
        <x:f>IF(ISNUMBER(AC155),IF('Scoring Setup'!$L$15=1,1-'Scoring Setup'!$B$5*(1-MAX(0,MIN(1,(AC155-'Scoring Setup'!$K$15)/(100-'Scoring Setup'!$K$15)))),1),"")</x:f>
        <x:v>0.8034948396167128</x:v>
      </x:c>
      <x:c r="AV155" s="27" t="n">
        <x:f>IF(ISNUMBER(AD155),IF('Scoring Setup'!$L$16=1,1-'Scoring Setup'!$B$5*(1-MAX(0,MIN(1,(AD155-'Scoring Setup'!$K$16)/(100-'Scoring Setup'!$K$16)))),1),"")</x:f>
        <x:v>0.9102746491428572</x:v>
      </x:c>
      <x:c r="AW155" s="27" t="n">
        <x:f>IF(ISNUMBER(AE155),IF('Scoring Setup'!$L$17=1,1-'Scoring Setup'!$B$5*(1-MAX(0,MIN(1,(AE155-'Scoring Setup'!$K$17)/(100-'Scoring Setup'!$K$17)))),1),"")</x:f>
        <x:v>0.921490318</x:v>
      </x:c>
      <x:c r="AX155" s="27" t="n">
        <x:f>IF(ISNUMBER(AF155),IF('Scoring Setup'!$L$18=1,1-'Scoring Setup'!$B$5*(1-MAX(0,MIN(1,(AF155-'Scoring Setup'!$K$18)/(100-'Scoring Setup'!$K$18)))),1),"")</x:f>
        <x:v>0.8879879072097399</x:v>
      </x:c>
      <x:c r="AY155" s="27" t="n">
        <x:f>IF(ISNUMBER(AG155),IF('Scoring Setup'!$L$19=1,1-'Scoring Setup'!$B$5*(1-MAX(0,MIN(1,(AG155-'Scoring Setup'!$K$19)/(100-'Scoring Setup'!$K$19)))),1),"")</x:f>
        <x:v>0.8014666666666667</x:v>
      </x:c>
      <x:c r="AZ155" s="27" t="n">
        <x:f>IF(ISNUMBER(AH155),IF('Scoring Setup'!$L$20=1,1-'Scoring Setup'!$B$5*(1-MAX(0,MIN(1,(AH155-'Scoring Setup'!$K$20)/(100-'Scoring Setup'!$K$20)))),1),"")</x:f>
        <x:v>0.8</x:v>
      </x:c>
      <x:c r="BA155" s="27" t="n">
        <x:f>IF(ISNUMBER(AI155),IF('Scoring Setup'!$L$21=1,1-'Scoring Setup'!$B$5*(1-MAX(0,MIN(1,(AI155-'Scoring Setup'!$K$21)/(100-'Scoring Setup'!$K$21)))),1),"")</x:f>
        <x:v>0.8080418138049897</x:v>
      </x:c>
      <x:c r="BB155" s="27" t="n">
        <x:f>IF(ISNUMBER(AJ155),IF('Scoring Setup'!$L$22=1,1-'Scoring Setup'!$B$5*(1-MAX(0,MIN(1,(AJ155-'Scoring Setup'!$K$22)/(100-'Scoring Setup'!$K$22)))),1),"")</x:f>
        <x:v>0.8249548022813082</x:v>
      </x:c>
      <x:c r="BC155" s="27" t="n">
        <x:f>IF(ISNUMBER(AK155),IF('Scoring Setup'!$L$23=1,1-'Scoring Setup'!$B$5*(1-MAX(0,MIN(1,(AK155-'Scoring Setup'!$K$23)/(100-'Scoring Setup'!$K$23)))),1),"")</x:f>
        <x:v>0.9996692921484674</x:v>
      </x:c>
      <x:c r="BD155" s="27" t="n">
        <x:f>IF(ISNUMBER(AL155),IF('Scoring Setup'!$L$24=1,1-'Scoring Setup'!$B$5*(1-MAX(0,MIN(1,(AL155-'Scoring Setup'!$K$24)/(100-'Scoring Setup'!$K$24)))),1),"")</x:f>
        <x:v>0.9741818181818181</x:v>
      </x:c>
      <x:c r="BE155" s="27" t="n">
        <x:f>IF(ISNUMBER(AM155),IF('Scoring Setup'!$L$25=1,1-'Scoring Setup'!$B$5*(1-MAX(0,MIN(1,(AM155-'Scoring Setup'!$K$25)/(100-'Scoring Setup'!$K$25)))),1),"")</x:f>
        <x:v>0.8885845218271159</x:v>
      </x:c>
      <x:c r="BF155" s="27" t="n">
        <x:f>IF(ISNUMBER(AN155),IF('Scoring Setup'!$L$26=1,1-'Scoring Setup'!$B$5*(1-MAX(0,MIN(1,(AN155-'Scoring Setup'!$K$26)/(100-'Scoring Setup'!$K$26)))),1),"")</x:f>
        <x:v>0.937286211052675</x:v>
      </x:c>
      <x:c r="BG155" s="34" t="n">
        <x:f>IF(COUNT(W155,X155)=2,AVERAGE(W155,X155),"")</x:f>
        <x:v>65.80693069306929</x:v>
      </x:c>
      <x:c r="BH155" s="34" t="n">
        <x:f>IF(COUNT(Y155,Z155)=2,AVERAGE(Y155,Z155),"")</x:f>
        <x:v>100</x:v>
      </x:c>
      <x:c r="BI155" s="34" t="n">
        <x:f>IF(COUNT(AA155,AB155,AC155)=3,AVERAGE(AA155,AB155,AC155),"")</x:f>
        <x:v>47.45197662491146</x:v>
      </x:c>
      <x:c r="BJ155" s="34" t="n">
        <x:f>IF(COUNT(AD155,AE155)=2,AVERAGE(AD155,AE155),"")</x:f>
        <x:v>57.94124178571429</x:v>
      </x:c>
      <x:c r="BK155" s="34" t="n">
        <x:f>IF(COUNT(AF155,AG155)=2,AVERAGE(AF155,AG155),"")</x:f>
        <x:v>22.36364346910163</x:v>
      </x:c>
      <x:c r="BL155" s="34" t="n">
        <x:f>IF(COUNT(AH155,AI155)=2,AVERAGE(AH155,AI155),"")</x:f>
        <x:v>2.0104534512474412</x:v>
      </x:c>
      <x:c r="BM155" s="34" t="n">
        <x:f>IF(COUNT(AJ155,AK155)=2,AVERAGE(AJ155,AK155),"")</x:f>
        <x:v>56.156023607443906</x:v>
      </x:c>
      <x:c r="BN155" s="34" t="n">
        <x:f>IF(COUNT(AL155,AM155,AN155)=3,AVERAGE(AL155,AM155,AN155),"")</x:f>
        <x:v>66.67542517693484</x:v>
      </x:c>
      <x:c r="BO155" s="35" t="n">
        <x:f>IF(AND(COUNT(BG155:BN155)=8,ABS('Scoring Setup'!$C$17-1)&lt;0.000001),BG155*'Scoring Setup'!$C$9+BH155*'Scoring Setup'!$C$10+BI155*'Scoring Setup'!$C$11+BJ155*'Scoring Setup'!$C$12+BK155*'Scoring Setup'!$C$13+BL155*'Scoring Setup'!$C$14+BM155*'Scoring Setup'!$C$15+BN155*'Scoring Setup'!$C$16,"")</x:f>
        <x:v>62.267330663294686</x:v>
      </x:c>
      <x:c r="BP155" s="36" t="n">
        <x:f>IF(COUNT(AO155:BF155)=18,MIN(AO155:BF155),"")</x:f>
        <x:v>0.8</x:v>
      </x:c>
      <x:c r="BQ155" s="35" t="n">
        <x:f>IF(AND(ISNUMBER(BO155),ISNUMBER(BP155)),BO155*BP155,"")</x:f>
        <x:v>49.813864530635755</x:v>
      </x:c>
      <x:c r="BR155" s="17" t="str">
        <x:f>IF(COUNT(AO155:BF155)=18,INDEX('Scoring Setup'!$F$9:$F$26,MATCH(MIN(AO155:BF155),AO155:BF155,0),1),"")</x:f>
        <x:v>历史CDD65</x:v>
      </x:c>
    </x:row>
    <x:row r="156">
      <x:c r="A156" s="28" t="str">
        <x:v>13307</x:v>
      </x:c>
      <x:c r="B156" s="28" t="str">
        <x:v>Webster County</x:v>
      </x:c>
      <x:c r="C156" s="28" t="str">
        <x:v>GA</x:v>
      </x:c>
      <x:c r="D156" s="31" t="n">
        <x:v>543.010089</x:v>
      </x:c>
      <x:c r="E156" s="32" t="n">
        <x:v>0.505</x:v>
      </x:c>
      <x:c r="F156" s="32" t="n">
        <x:v>0.0392945544554455</x:v>
      </x:c>
      <x:c r="G156" s="32" t="n">
        <x:v>1.1604117412284771</x:v>
      </x:c>
      <x:c r="H156" s="32" t="n">
        <x:v>1.1295368406416066</x:v>
      </x:c>
      <x:c r="I156" s="32" t="n">
        <x:v>0.9606546371795234</x:v>
      </x:c>
      <x:c r="J156" s="32" t="n">
        <x:v>0.03272716993567493</x:v>
      </x:c>
      <x:c r="K156" s="32" t="n">
        <x:v>0.13903811737806143</x:v>
      </x:c>
      <x:c r="L156" s="32" t="n">
        <x:v>0.605059733</x:v>
      </x:c>
      <x:c r="M156" s="32" t="n">
        <x:v>0.605059733</x:v>
      </x:c>
      <x:c r="N156" s="32" t="n">
        <x:v>952</x:v>
      </x:c>
      <x:c r="O156" s="32" t="n">
        <x:v>0.8447</x:v>
      </x:c>
      <x:c r="P156" s="32" t="n">
        <x:v>2004.554813639323</x:v>
      </x:c>
      <x:c r="Q156" s="32" t="n">
        <x:v>62.01697057088216</x:v>
      </x:c>
      <x:c r="R156" s="32" t="n">
        <x:v>52.924385441704736</x:v>
      </x:c>
      <x:c r="S156" s="32" t="n">
        <x:v>1.8400188432093585</x:v>
      </x:c>
      <x:c r="T156" s="32" t="n">
        <x:v>72.1</x:v>
      </x:c>
      <x:c r="U156" s="32" t="n">
        <x:v>211.4154781728841</x:v>
      </x:c>
      <x:c r="V156" s="32" t="n">
        <x:v>325.42757789465</x:v>
      </x:c>
      <x:c r="W156" s="33" t="n">
        <x:f>IF(ISNUMBER(E156),100*MAX(0,MIN(1,('Anchors'!$H$6-E156)/('Anchors'!$H$6-'Anchors'!$G$6))),"")</x:f>
        <x:v>56.42857142857144</x:v>
      </x:c>
      <x:c r="X156" s="33" t="n">
        <x:f>IF(ISNUMBER(F156),100*MAX(0,MIN(1,('Anchors'!$H$7-F156)/('Anchors'!$H$7-'Anchors'!$G$7))),"")</x:f>
        <x:v>100</x:v>
      </x:c>
      <x:c r="Y156" s="33" t="n">
        <x:f>IF(ISNUMBER(G156),100*MAX(0,MIN(1,('Anchors'!$H$8-G156)/('Anchors'!$H$8-'Anchors'!$G$8))),"")</x:f>
        <x:v>94.65294195905076</x:v>
      </x:c>
      <x:c r="Z156" s="33" t="n">
        <x:f>IF(ISNUMBER(H156),100*MAX(0,MIN(1,('Anchors'!$H$9-H156)/('Anchors'!$H$9-'Anchors'!$G$9))),"")</x:f>
        <x:v>95.68210531194644</x:v>
      </x:c>
      <x:c r="AA156" s="33" t="n">
        <x:f>IF(ISNUMBER(I156),100*MAX(0,MIN(1,(I156-'Anchors'!$H$10)/('Anchors'!$G$10-'Anchors'!$H$10))),"")</x:f>
        <x:v>97.34995029856485</x:v>
      </x:c>
      <x:c r="AB156" s="33" t="n">
        <x:f>IF(ISNUMBER(J156),100*MAX(0,MIN(1,('Anchors'!$H$11-J156)/('Anchors'!$H$11-'Anchors'!$G$11))),"")</x:f>
        <x:v>86.90913202573003</x:v>
      </x:c>
      <x:c r="AC156" s="33" t="n">
        <x:f>IF(ISNUMBER(K156),100*MAX(0,MIN(1,('Anchors'!$H$12-K156)/('Anchors'!$H$12-'Anchors'!$G$12))),"")</x:f>
        <x:v>65.24047065548464</x:v>
      </x:c>
      <x:c r="AD156" s="33" t="n">
        <x:f>IF(ISNUMBER(L156),100*MAX(0,MIN(1,(L156-'Anchors'!$H$13)/('Anchors'!$G$13-'Anchors'!$H$13))),"")</x:f>
        <x:v>57.86567614285715</x:v>
      </x:c>
      <x:c r="AE156" s="33" t="n">
        <x:f>IF(ISNUMBER(M156),100*MAX(0,MIN(1,(M156-'Anchors'!$H$14)/('Anchors'!$G$14-'Anchors'!$H$14))),"")</x:f>
        <x:v>63.132466625000006</x:v>
      </x:c>
      <x:c r="AF156" s="33" t="n">
        <x:f>IF(ISNUMBER(N156),100*MAX(0,MIN(1,(LN(1+N156)-LN(1+'Anchors'!$H$15))/(LN(1+'Anchors'!$G$15)-LN(1+'Anchors'!$H$15)))),"")</x:f>
        <x:v>0</x:v>
      </x:c>
      <x:c r="AG156" s="33" t="n">
        <x:f>IF(ISNUMBER(O156),100*MAX(0,MIN(1,('Anchors'!$H$16-O156)/('Anchors'!$H$16-'Anchors'!$G$16))),"")</x:f>
        <x:v>11.699999999999996</x:v>
      </x:c>
      <x:c r="AH156" s="33" t="n">
        <x:f>IF(ISNUMBER(P156),100*MAX(0,MIN(1,('Anchors'!$H$17-P156)/('Anchors'!$H$17-'Anchors'!$G$17))),"")</x:f>
        <x:v>13.029679090711808</x:v>
      </x:c>
      <x:c r="AI156" s="33" t="n">
        <x:f>IF(ISNUMBER(Q156),100*MAX(0,MIN(1,('Anchors'!$H$18-Q156)/('Anchors'!$H$18-'Anchors'!$G$18))),"")</x:f>
        <x:v>18.547184898739776</x:v>
      </x:c>
      <x:c r="AJ156" s="33" t="n">
        <x:f>IF(ISNUMBER(R156),100*MAX(0,MIN(1,('Anchors'!$H$19-R156)/('Anchors'!$H$19-'Anchors'!$G$19))),"")</x:f>
        <x:v>0</x:v>
      </x:c>
      <x:c r="AK156" s="33" t="n">
        <x:f>IF(ISNUMBER(S156),100*MAX(0,MIN(1,('Anchors'!$H$20-S156)/('Anchors'!$H$20-'Anchors'!$G$20))),"")</x:f>
        <x:v>95.57884819363495</x:v>
      </x:c>
      <x:c r="AL156" s="33" t="n">
        <x:f>IF(ISNUMBER(T156),100*MAX(0,MIN(1,('Anchors'!$H$21-T156)/('Anchors'!$H$21-'Anchors'!$G$21))),"")</x:f>
        <x:v>87.0909090909091</x:v>
      </x:c>
      <x:c r="AM156" s="33" t="n">
        <x:f>IF(ISNUMBER(U156),100*MAX(0,MIN(1,('Anchors'!$H$22-U156)/('Anchors'!$H$22-'Anchors'!$G$22))),"")</x:f>
        <x:v>44.29226091355795</x:v>
      </x:c>
      <x:c r="AN156" s="33" t="n">
        <x:f>IF(ISNUMBER(V156),100*MAX(0,MIN(1,('Anchors'!$H$23-V156)/('Anchors'!$H$23-'Anchors'!$G$23))),"")</x:f>
        <x:v>68.6431055263375</x:v>
      </x:c>
      <x:c r="AO156" s="27" t="n">
        <x:f>IF(ISNUMBER(W156),IF('Scoring Setup'!$L$9=1,1-'Scoring Setup'!$B$5*(1-MAX(0,MIN(1,(W156-'Scoring Setup'!$K$9)/(100-'Scoring Setup'!$K$9)))),1),"")</x:f>
        <x:v>0.9128571428571428</x:v>
      </x:c>
      <x:c r="AP156" s="27" t="n">
        <x:f>IF(ISNUMBER(X156),IF('Scoring Setup'!$L$10=1,1-'Scoring Setup'!$B$5*(1-MAX(0,MIN(1,(X156-'Scoring Setup'!$K$10)/(100-'Scoring Setup'!$K$10)))),1),"")</x:f>
        <x:v>1</x:v>
      </x:c>
      <x:c r="AQ156" s="27" t="n">
        <x:f>IF(ISNUMBER(Y156),IF('Scoring Setup'!$L$11=1,1-'Scoring Setup'!$B$5*(1-MAX(0,MIN(1,(Y156-'Scoring Setup'!$K$11)/(100-'Scoring Setup'!$K$11)))),1),"")</x:f>
        <x:v>0.9893058839181015</x:v>
      </x:c>
      <x:c r="AR156" s="27" t="n">
        <x:f>IF(ISNUMBER(Z156),IF('Scoring Setup'!$L$12=1,1-'Scoring Setup'!$B$5*(1-MAX(0,MIN(1,(Z156-'Scoring Setup'!$K$12)/(100-'Scoring Setup'!$K$12)))),1),"")</x:f>
        <x:v>0.9913642106238929</x:v>
      </x:c>
      <x:c r="AS156" s="27" t="n">
        <x:f>IF(ISNUMBER(AA156),IF('Scoring Setup'!$L$13=1,1-'Scoring Setup'!$B$5*(1-MAX(0,MIN(1,(AA156-'Scoring Setup'!$K$13)/(100-'Scoring Setup'!$K$13)))),1),"")</x:f>
        <x:v>0.9946999005971296</x:v>
      </x:c>
      <x:c r="AT156" s="27" t="n">
        <x:f>IF(ISNUMBER(AB156),IF('Scoring Setup'!$L$14=1,1-'Scoring Setup'!$B$5*(1-MAX(0,MIN(1,(AB156-'Scoring Setup'!$K$14)/(100-'Scoring Setup'!$K$14)))),1),"")</x:f>
        <x:v>0.9738182640514601</x:v>
      </x:c>
      <x:c r="AU156" s="27" t="n">
        <x:f>IF(ISNUMBER(AC156),IF('Scoring Setup'!$L$15=1,1-'Scoring Setup'!$B$5*(1-MAX(0,MIN(1,(AC156-'Scoring Setup'!$K$15)/(100-'Scoring Setup'!$K$15)))),1),"")</x:f>
        <x:v>0.9304809413109693</x:v>
      </x:c>
      <x:c r="AV156" s="27" t="n">
        <x:f>IF(ISNUMBER(AD156),IF('Scoring Setup'!$L$16=1,1-'Scoring Setup'!$B$5*(1-MAX(0,MIN(1,(AD156-'Scoring Setup'!$K$16)/(100-'Scoring Setup'!$K$16)))),1),"")</x:f>
        <x:v>0.9157313522857142</x:v>
      </x:c>
      <x:c r="AW156" s="27" t="n">
        <x:f>IF(ISNUMBER(AE156),IF('Scoring Setup'!$L$17=1,1-'Scoring Setup'!$B$5*(1-MAX(0,MIN(1,(AE156-'Scoring Setup'!$K$17)/(100-'Scoring Setup'!$K$17)))),1),"")</x:f>
        <x:v>0.92626493325</x:v>
      </x:c>
      <x:c r="AX156" s="27" t="n">
        <x:f>IF(ISNUMBER(AF156),IF('Scoring Setup'!$L$18=1,1-'Scoring Setup'!$B$5*(1-MAX(0,MIN(1,(AF156-'Scoring Setup'!$K$18)/(100-'Scoring Setup'!$K$18)))),1),"")</x:f>
        <x:v>0.8</x:v>
      </x:c>
      <x:c r="AY156" s="27" t="n">
        <x:f>IF(ISNUMBER(AG156),IF('Scoring Setup'!$L$19=1,1-'Scoring Setup'!$B$5*(1-MAX(0,MIN(1,(AG156-'Scoring Setup'!$K$19)/(100-'Scoring Setup'!$K$19)))),1),"")</x:f>
        <x:v>0.8234</x:v>
      </x:c>
      <x:c r="AZ156" s="27" t="n">
        <x:f>IF(ISNUMBER(AH156),IF('Scoring Setup'!$L$20=1,1-'Scoring Setup'!$B$5*(1-MAX(0,MIN(1,(AH156-'Scoring Setup'!$K$20)/(100-'Scoring Setup'!$K$20)))),1),"")</x:f>
        <x:v>0.8260593581814236</x:v>
      </x:c>
      <x:c r="BA156" s="27" t="n">
        <x:f>IF(ISNUMBER(AI156),IF('Scoring Setup'!$L$21=1,1-'Scoring Setup'!$B$5*(1-MAX(0,MIN(1,(AI156-'Scoring Setup'!$K$21)/(100-'Scoring Setup'!$K$21)))),1),"")</x:f>
        <x:v>0.8370943697974795</x:v>
      </x:c>
      <x:c r="BB156" s="27" t="n">
        <x:f>IF(ISNUMBER(AJ156),IF('Scoring Setup'!$L$22=1,1-'Scoring Setup'!$B$5*(1-MAX(0,MIN(1,(AJ156-'Scoring Setup'!$K$22)/(100-'Scoring Setup'!$K$22)))),1),"")</x:f>
        <x:v>0.8</x:v>
      </x:c>
      <x:c r="BC156" s="27" t="n">
        <x:f>IF(ISNUMBER(AK156),IF('Scoring Setup'!$L$23=1,1-'Scoring Setup'!$B$5*(1-MAX(0,MIN(1,(AK156-'Scoring Setup'!$K$23)/(100-'Scoring Setup'!$K$23)))),1),"")</x:f>
        <x:v>0.9911576963872699</x:v>
      </x:c>
      <x:c r="BD156" s="27" t="n">
        <x:f>IF(ISNUMBER(AL156),IF('Scoring Setup'!$L$24=1,1-'Scoring Setup'!$B$5*(1-MAX(0,MIN(1,(AL156-'Scoring Setup'!$K$24)/(100-'Scoring Setup'!$K$24)))),1),"")</x:f>
        <x:v>0.9741818181818181</x:v>
      </x:c>
      <x:c r="BE156" s="27" t="n">
        <x:f>IF(ISNUMBER(AM156),IF('Scoring Setup'!$L$25=1,1-'Scoring Setup'!$B$5*(1-MAX(0,MIN(1,(AM156-'Scoring Setup'!$K$25)/(100-'Scoring Setup'!$K$25)))),1),"")</x:f>
        <x:v>0.8885845218271159</x:v>
      </x:c>
      <x:c r="BF156" s="27" t="n">
        <x:f>IF(ISNUMBER(AN156),IF('Scoring Setup'!$L$26=1,1-'Scoring Setup'!$B$5*(1-MAX(0,MIN(1,(AN156-'Scoring Setup'!$K$26)/(100-'Scoring Setup'!$K$26)))),1),"")</x:f>
        <x:v>0.937286211052675</x:v>
      </x:c>
      <x:c r="BG156" s="34" t="n">
        <x:f>IF(COUNT(W156,X156)=2,AVERAGE(W156,X156),"")</x:f>
        <x:v>78.21428571428572</x:v>
      </x:c>
      <x:c r="BH156" s="34" t="n">
        <x:f>IF(COUNT(Y156,Z156)=2,AVERAGE(Y156,Z156),"")</x:f>
        <x:v>95.16752363549861</x:v>
      </x:c>
      <x:c r="BI156" s="34" t="n">
        <x:f>IF(COUNT(AA156,AB156,AC156)=3,AVERAGE(AA156,AB156,AC156),"")</x:f>
        <x:v>83.1665176599265</x:v>
      </x:c>
      <x:c r="BJ156" s="34" t="n">
        <x:f>IF(COUNT(AD156,AE156)=2,AVERAGE(AD156,AE156),"")</x:f>
        <x:v>60.49907138392858</x:v>
      </x:c>
      <x:c r="BK156" s="34" t="n">
        <x:f>IF(COUNT(AF156,AG156)=2,AVERAGE(AF156,AG156),"")</x:f>
        <x:v>5.849999999999998</x:v>
      </x:c>
      <x:c r="BL156" s="34" t="n">
        <x:f>IF(COUNT(AH156,AI156)=2,AVERAGE(AH156,AI156),"")</x:f>
        <x:v>15.78843199472579</x:v>
      </x:c>
      <x:c r="BM156" s="34" t="n">
        <x:f>IF(COUNT(AJ156,AK156)=2,AVERAGE(AJ156,AK156),"")</x:f>
        <x:v>47.78942409681748</x:v>
      </x:c>
      <x:c r="BN156" s="34" t="n">
        <x:f>IF(COUNT(AL156,AM156,AN156)=3,AVERAGE(AL156,AM156,AN156),"")</x:f>
        <x:v>66.67542517693484</x:v>
      </x:c>
      <x:c r="BO156" s="35" t="n">
        <x:f>IF(AND(COUNT(BG156:BN156)=8,ABS('Scoring Setup'!$C$17-1)&lt;0.000001),BG156*'Scoring Setup'!$C$9+BH156*'Scoring Setup'!$C$10+BI156*'Scoring Setup'!$C$11+BJ156*'Scoring Setup'!$C$12+BK156*'Scoring Setup'!$C$13+BL156*'Scoring Setup'!$C$14+BM156*'Scoring Setup'!$C$15+BN156*'Scoring Setup'!$C$16,"")</x:f>
        <x:v>64.98801256057142</x:v>
      </x:c>
      <x:c r="BP156" s="36" t="n">
        <x:f>IF(COUNT(AO156:BF156)=18,MIN(AO156:BF156),"")</x:f>
        <x:v>0.8</x:v>
      </x:c>
      <x:c r="BQ156" s="35" t="n">
        <x:f>IF(AND(ISNUMBER(BO156),ISNUMBER(BP156)),BO156*BP156,"")</x:f>
        <x:v>51.990410048457136</x:v>
      </x:c>
      <x:c r="BR156" s="17" t="str">
        <x:f>IF(COUNT(AO156:BF156)=18,INDEX('Scoring Setup'!$F$9:$F$26,MATCH(MIN(AO156:BF156),AO156:BF156,0),1),"")</x:f>
        <x:v>劳动力人数</x:v>
      </x:c>
    </x:row>
    <x:row r="157">
      <x:c r="A157" s="28" t="str">
        <x:v>13309</x:v>
      </x:c>
      <x:c r="B157" s="28" t="str">
        <x:v>Wheeler County</x:v>
      </x:c>
      <x:c r="C157" s="28" t="str">
        <x:v>GA</x:v>
      </x:c>
      <x:c r="D157" s="31" t="n">
        <x:v>765.314382</x:v>
      </x:c>
      <x:c r="E157" s="32" t="n">
        <x:v>0.56</x:v>
      </x:c>
      <x:c r="F157" s="32" t="n">
        <x:v>0.47988861386138604</x:v>
      </x:c>
      <x:c r="G157" s="32" t="n">
        <x:v>2.1588190862859182</x:v>
      </x:c>
      <x:c r="H157" s="32" t="n">
        <x:v>1.9967852190263393</x:v>
      </x:c>
      <x:c r="I157" s="32" t="n">
        <x:v>0.9522460518642399</x:v>
      </x:c>
      <x:c r="J157" s="32" t="n">
        <x:v>0.02135110597800717</x:v>
      </x:c>
      <x:c r="K157" s="32" t="n">
        <x:v>0.25689966890938776</x:v>
      </x:c>
      <x:c r="L157" s="32" t="n">
        <x:v>0.913860333</x:v>
      </x:c>
      <x:c r="M157" s="32" t="n">
        <x:v>0.913505849</x:v>
      </x:c>
      <x:c r="N157" s="32" t="n">
        <x:v>2791</x:v>
      </x:c>
      <x:c r="O157" s="32" t="n">
        <x:v>0.7716</x:v>
      </x:c>
      <x:c r="P157" s="32" t="n">
        <x:v>2154.7752278645835</x:v>
      </x:c>
      <x:c r="Q157" s="32" t="n">
        <x:v>76.11628774007161</x:v>
      </x:c>
      <x:c r="R157" s="32" t="n">
        <x:v>36.556605635826294</x:v>
      </x:c>
      <x:c r="S157" s="32" t="n">
        <x:v>5.741460183993046</x:v>
      </x:c>
      <x:c r="T157" s="32" t="n">
        <x:v>72.1</x:v>
      </x:c>
      <x:c r="U157" s="32" t="n">
        <x:v>211.4154781728841</x:v>
      </x:c>
      <x:c r="V157" s="32" t="n">
        <x:v>325.42757789465</x:v>
      </x:c>
      <x:c r="W157" s="33" t="n">
        <x:f>IF(ISNUMBER(E157),100*MAX(0,MIN(1,('Anchors'!$H$6-E157)/('Anchors'!$H$6-'Anchors'!$G$6))),"")</x:f>
        <x:v>48.57142857142857</x:v>
      </x:c>
      <x:c r="X157" s="33" t="n">
        <x:f>IF(ISNUMBER(F157),100*MAX(0,MIN(1,('Anchors'!$H$7-F157)/('Anchors'!$H$7-'Anchors'!$G$7))),"")</x:f>
        <x:v>45.730198019801996</x:v>
      </x:c>
      <x:c r="Y157" s="33" t="n">
        <x:f>IF(ISNUMBER(G157),100*MAX(0,MIN(1,('Anchors'!$H$8-G157)/('Anchors'!$H$8-'Anchors'!$G$8))),"")</x:f>
        <x:v>61.37269712380272</x:v>
      </x:c>
      <x:c r="Z157" s="33" t="n">
        <x:f>IF(ISNUMBER(H157),100*MAX(0,MIN(1,('Anchors'!$H$9-H157)/('Anchors'!$H$9-'Anchors'!$G$9))),"")</x:f>
        <x:v>66.77382603245535</x:v>
      </x:c>
      <x:c r="AA157" s="33" t="n">
        <x:f>IF(ISNUMBER(I157),100*MAX(0,MIN(1,(I157-'Anchors'!$H$10)/('Anchors'!$G$10-'Anchors'!$H$10))),"")</x:f>
        <x:v>96.19808929647122</x:v>
      </x:c>
      <x:c r="AB157" s="33" t="n">
        <x:f>IF(ISNUMBER(J157),100*MAX(0,MIN(1,('Anchors'!$H$11-J157)/('Anchors'!$H$11-'Anchors'!$G$11))),"")</x:f>
        <x:v>91.45955760879714</x:v>
      </x:c>
      <x:c r="AC157" s="33" t="n">
        <x:f>IF(ISNUMBER(K157),100*MAX(0,MIN(1,('Anchors'!$H$12-K157)/('Anchors'!$H$12-'Anchors'!$G$12))),"")</x:f>
        <x:v>35.775082772653064</x:v>
      </x:c>
      <x:c r="AD157" s="33" t="n">
        <x:f>IF(ISNUMBER(L157),100*MAX(0,MIN(1,(L157-'Anchors'!$H$13)/('Anchors'!$G$13-'Anchors'!$H$13))),"")</x:f>
        <x:v>100</x:v>
      </x:c>
      <x:c r="AE157" s="33" t="n">
        <x:f>IF(ISNUMBER(M157),100*MAX(0,MIN(1,(M157-'Anchors'!$H$14)/('Anchors'!$G$14-'Anchors'!$H$14))),"")</x:f>
        <x:v>100</x:v>
      </x:c>
      <x:c r="AF157" s="33" t="n">
        <x:f>IF(ISNUMBER(N157),100*MAX(0,MIN(1,(LN(1+N157)-LN(1+'Anchors'!$H$15))/(LN(1+'Anchors'!$G$15)-LN(1+'Anchors'!$H$15)))),"")</x:f>
        <x:v>7.716273394299875</x:v>
      </x:c>
      <x:c r="AG157" s="33" t="n">
        <x:f>IF(ISNUMBER(O157),100*MAX(0,MIN(1,('Anchors'!$H$16-O157)/('Anchors'!$H$16-'Anchors'!$G$16))),"")</x:f>
        <x:v>19.822222222222223</x:v>
      </x:c>
      <x:c r="AH157" s="33" t="n">
        <x:f>IF(ISNUMBER(P157),100*MAX(0,MIN(1,('Anchors'!$H$17-P157)/('Anchors'!$H$17-'Anchors'!$G$17))),"")</x:f>
        <x:v>3.0149848090277676</x:v>
      </x:c>
      <x:c r="AI157" s="33" t="n">
        <x:f>IF(ISNUMBER(Q157),100*MAX(0,MIN(1,('Anchors'!$H$18-Q157)/('Anchors'!$H$18-'Anchors'!$G$18))),"")</x:f>
        <x:v>0</x:v>
      </x:c>
      <x:c r="AJ157" s="33" t="n">
        <x:f>IF(ISNUMBER(R157),100*MAX(0,MIN(1,('Anchors'!$H$19-R157)/('Anchors'!$H$19-'Anchors'!$G$19))),"")</x:f>
        <x:v>29.87420969816379</x:v>
      </x:c>
      <x:c r="AK157" s="33" t="n">
        <x:f>IF(ISNUMBER(S157),100*MAX(0,MIN(1,('Anchors'!$H$20-S157)/('Anchors'!$H$20-'Anchors'!$G$20))),"")</x:f>
        <x:v>75.04494640003661</x:v>
      </x:c>
      <x:c r="AL157" s="33" t="n">
        <x:f>IF(ISNUMBER(T157),100*MAX(0,MIN(1,('Anchors'!$H$21-T157)/('Anchors'!$H$21-'Anchors'!$G$21))),"")</x:f>
        <x:v>87.0909090909091</x:v>
      </x:c>
      <x:c r="AM157" s="33" t="n">
        <x:f>IF(ISNUMBER(U157),100*MAX(0,MIN(1,('Anchors'!$H$22-U157)/('Anchors'!$H$22-'Anchors'!$G$22))),"")</x:f>
        <x:v>44.29226091355795</x:v>
      </x:c>
      <x:c r="AN157" s="33" t="n">
        <x:f>IF(ISNUMBER(V157),100*MAX(0,MIN(1,('Anchors'!$H$23-V157)/('Anchors'!$H$23-'Anchors'!$G$23))),"")</x:f>
        <x:v>68.6431055263375</x:v>
      </x:c>
      <x:c r="AO157" s="27" t="n">
        <x:f>IF(ISNUMBER(W157),IF('Scoring Setup'!$L$9=1,1-'Scoring Setup'!$B$5*(1-MAX(0,MIN(1,(W157-'Scoring Setup'!$K$9)/(100-'Scoring Setup'!$K$9)))),1),"")</x:f>
        <x:v>0.8971428571428571</x:v>
      </x:c>
      <x:c r="AP157" s="27" t="n">
        <x:f>IF(ISNUMBER(X157),IF('Scoring Setup'!$L$10=1,1-'Scoring Setup'!$B$5*(1-MAX(0,MIN(1,(X157-'Scoring Setup'!$K$10)/(100-'Scoring Setup'!$K$10)))),1),"")</x:f>
        <x:v>0.891460396039604</x:v>
      </x:c>
      <x:c r="AQ157" s="27" t="n">
        <x:f>IF(ISNUMBER(Y157),IF('Scoring Setup'!$L$11=1,1-'Scoring Setup'!$B$5*(1-MAX(0,MIN(1,(Y157-'Scoring Setup'!$K$11)/(100-'Scoring Setup'!$K$11)))),1),"")</x:f>
        <x:v>0.9227453942476054</x:v>
      </x:c>
      <x:c r="AR157" s="27" t="n">
        <x:f>IF(ISNUMBER(Z157),IF('Scoring Setup'!$L$12=1,1-'Scoring Setup'!$B$5*(1-MAX(0,MIN(1,(Z157-'Scoring Setup'!$K$12)/(100-'Scoring Setup'!$K$12)))),1),"")</x:f>
        <x:v>0.9335476520649106</x:v>
      </x:c>
      <x:c r="AS157" s="27" t="n">
        <x:f>IF(ISNUMBER(AA157),IF('Scoring Setup'!$L$13=1,1-'Scoring Setup'!$B$5*(1-MAX(0,MIN(1,(AA157-'Scoring Setup'!$K$13)/(100-'Scoring Setup'!$K$13)))),1),"")</x:f>
        <x:v>0.9923961785929425</x:v>
      </x:c>
      <x:c r="AT157" s="27" t="n">
        <x:f>IF(ISNUMBER(AB157),IF('Scoring Setup'!$L$14=1,1-'Scoring Setup'!$B$5*(1-MAX(0,MIN(1,(AB157-'Scoring Setup'!$K$14)/(100-'Scoring Setup'!$K$14)))),1),"")</x:f>
        <x:v>0.9829191152175942</x:v>
      </x:c>
      <x:c r="AU157" s="27" t="n">
        <x:f>IF(ISNUMBER(AC157),IF('Scoring Setup'!$L$15=1,1-'Scoring Setup'!$B$5*(1-MAX(0,MIN(1,(AC157-'Scoring Setup'!$K$15)/(100-'Scoring Setup'!$K$15)))),1),"")</x:f>
        <x:v>0.8715501655453062</x:v>
      </x:c>
      <x:c r="AV157" s="27" t="n">
        <x:f>IF(ISNUMBER(AD157),IF('Scoring Setup'!$L$16=1,1-'Scoring Setup'!$B$5*(1-MAX(0,MIN(1,(AD157-'Scoring Setup'!$K$16)/(100-'Scoring Setup'!$K$16)))),1),"")</x:f>
        <x:v>1</x:v>
      </x:c>
      <x:c r="AW157" s="27" t="n">
        <x:f>IF(ISNUMBER(AE157),IF('Scoring Setup'!$L$17=1,1-'Scoring Setup'!$B$5*(1-MAX(0,MIN(1,(AE157-'Scoring Setup'!$K$17)/(100-'Scoring Setup'!$K$17)))),1),"")</x:f>
        <x:v>1</x:v>
      </x:c>
      <x:c r="AX157" s="27" t="n">
        <x:f>IF(ISNUMBER(AF157),IF('Scoring Setup'!$L$18=1,1-'Scoring Setup'!$B$5*(1-MAX(0,MIN(1,(AF157-'Scoring Setup'!$K$18)/(100-'Scoring Setup'!$K$18)))),1),"")</x:f>
        <x:v>0.8154325467885998</x:v>
      </x:c>
      <x:c r="AY157" s="27" t="n">
        <x:f>IF(ISNUMBER(AG157),IF('Scoring Setup'!$L$19=1,1-'Scoring Setup'!$B$5*(1-MAX(0,MIN(1,(AG157-'Scoring Setup'!$K$19)/(100-'Scoring Setup'!$K$19)))),1),"")</x:f>
        <x:v>0.8396444444444444</x:v>
      </x:c>
      <x:c r="AZ157" s="27" t="n">
        <x:f>IF(ISNUMBER(AH157),IF('Scoring Setup'!$L$20=1,1-'Scoring Setup'!$B$5*(1-MAX(0,MIN(1,(AH157-'Scoring Setup'!$K$20)/(100-'Scoring Setup'!$K$20)))),1),"")</x:f>
        <x:v>0.8060299696180555</x:v>
      </x:c>
      <x:c r="BA157" s="27" t="n">
        <x:f>IF(ISNUMBER(AI157),IF('Scoring Setup'!$L$21=1,1-'Scoring Setup'!$B$5*(1-MAX(0,MIN(1,(AI157-'Scoring Setup'!$K$21)/(100-'Scoring Setup'!$K$21)))),1),"")</x:f>
        <x:v>0.8</x:v>
      </x:c>
      <x:c r="BB157" s="27" t="n">
        <x:f>IF(ISNUMBER(AJ157),IF('Scoring Setup'!$L$22=1,1-'Scoring Setup'!$B$5*(1-MAX(0,MIN(1,(AJ157-'Scoring Setup'!$K$22)/(100-'Scoring Setup'!$K$22)))),1),"")</x:f>
        <x:v>0.8597484193963276</x:v>
      </x:c>
      <x:c r="BC157" s="27" t="n">
        <x:f>IF(ISNUMBER(AK157),IF('Scoring Setup'!$L$23=1,1-'Scoring Setup'!$B$5*(1-MAX(0,MIN(1,(AK157-'Scoring Setup'!$K$23)/(100-'Scoring Setup'!$K$23)))),1),"")</x:f>
        <x:v>0.9500898928000732</x:v>
      </x:c>
      <x:c r="BD157" s="27" t="n">
        <x:f>IF(ISNUMBER(AL157),IF('Scoring Setup'!$L$24=1,1-'Scoring Setup'!$B$5*(1-MAX(0,MIN(1,(AL157-'Scoring Setup'!$K$24)/(100-'Scoring Setup'!$K$24)))),1),"")</x:f>
        <x:v>0.9741818181818181</x:v>
      </x:c>
      <x:c r="BE157" s="27" t="n">
        <x:f>IF(ISNUMBER(AM157),IF('Scoring Setup'!$L$25=1,1-'Scoring Setup'!$B$5*(1-MAX(0,MIN(1,(AM157-'Scoring Setup'!$K$25)/(100-'Scoring Setup'!$K$25)))),1),"")</x:f>
        <x:v>0.8885845218271159</x:v>
      </x:c>
      <x:c r="BF157" s="27" t="n">
        <x:f>IF(ISNUMBER(AN157),IF('Scoring Setup'!$L$26=1,1-'Scoring Setup'!$B$5*(1-MAX(0,MIN(1,(AN157-'Scoring Setup'!$K$26)/(100-'Scoring Setup'!$K$26)))),1),"")</x:f>
        <x:v>0.937286211052675</x:v>
      </x:c>
      <x:c r="BG157" s="34" t="n">
        <x:f>IF(COUNT(W157,X157)=2,AVERAGE(W157,X157),"")</x:f>
        <x:v>47.15081329561528</x:v>
      </x:c>
      <x:c r="BH157" s="34" t="n">
        <x:f>IF(COUNT(Y157,Z157)=2,AVERAGE(Y157,Z157),"")</x:f>
        <x:v>64.07326157812903</x:v>
      </x:c>
      <x:c r="BI157" s="34" t="n">
        <x:f>IF(COUNT(AA157,AB157,AC157)=3,AVERAGE(AA157,AB157,AC157),"")</x:f>
        <x:v>74.47757655930714</x:v>
      </x:c>
      <x:c r="BJ157" s="34" t="n">
        <x:f>IF(COUNT(AD157,AE157)=2,AVERAGE(AD157,AE157),"")</x:f>
        <x:v>100</x:v>
      </x:c>
      <x:c r="BK157" s="34" t="n">
        <x:f>IF(COUNT(AF157,AG157)=2,AVERAGE(AF157,AG157),"")</x:f>
        <x:v>13.76924780826105</x:v>
      </x:c>
      <x:c r="BL157" s="34" t="n">
        <x:f>IF(COUNT(AH157,AI157)=2,AVERAGE(AH157,AI157),"")</x:f>
        <x:v>1.5074924045138838</x:v>
      </x:c>
      <x:c r="BM157" s="34" t="n">
        <x:f>IF(COUNT(AJ157,AK157)=2,AVERAGE(AJ157,AK157),"")</x:f>
        <x:v>52.4595780491002</x:v>
      </x:c>
      <x:c r="BN157" s="34" t="n">
        <x:f>IF(COUNT(AL157,AM157,AN157)=3,AVERAGE(AL157,AM157,AN157),"")</x:f>
        <x:v>66.67542517693484</x:v>
      </x:c>
      <x:c r="BO157" s="35" t="n">
        <x:f>IF(AND(COUNT(BG157:BN157)=8,ABS('Scoring Setup'!$C$17-1)&lt;0.000001),BG157*'Scoring Setup'!$C$9+BH157*'Scoring Setup'!$C$10+BI157*'Scoring Setup'!$C$11+BJ157*'Scoring Setup'!$C$12+BK157*'Scoring Setup'!$C$13+BL157*'Scoring Setup'!$C$14+BM157*'Scoring Setup'!$C$15+BN157*'Scoring Setup'!$C$16,"")</x:f>
        <x:v>59.05539715770531</x:v>
      </x:c>
      <x:c r="BP157" s="36" t="n">
        <x:f>IF(COUNT(AO157:BF157)=18,MIN(AO157:BF157),"")</x:f>
        <x:v>0.8</x:v>
      </x:c>
      <x:c r="BQ157" s="35" t="n">
        <x:f>IF(AND(ISNUMBER(BO157),ISNUMBER(BP157)),BO157*BP157,"")</x:f>
        <x:v>47.24431772616425</x:v>
      </x:c>
      <x:c r="BR157" s="17" t="str">
        <x:f>IF(COUNT(AO157:BF157)=18,INDEX('Scoring Setup'!$F$9:$F$26,MATCH(MIN(AO157:BF157),AO157:BF157,0),1),"")</x:f>
        <x:v>历史&gt;90°F天数</x:v>
      </x:c>
    </x:row>
    <x:row r="158">
      <x:c r="A158" s="28" t="str">
        <x:v>13311</x:v>
      </x:c>
      <x:c r="B158" s="28" t="str">
        <x:v>White County</x:v>
      </x:c>
      <x:c r="C158" s="28" t="str">
        <x:v>GA</x:v>
      </x:c>
      <x:c r="D158" s="31" t="n">
        <x:v>623.600283</x:v>
      </x:c>
      <x:c r="E158" s="32" t="n">
        <x:v>0.739</x:v>
      </x:c>
      <x:c r="F158" s="32" t="n">
        <x:v>0.511138613861386</x:v>
      </x:c>
      <x:c r="G158" s="32" t="n">
        <x:v>2.4093955531174176</x:v>
      </x:c>
      <x:c r="H158" s="32" t="n">
        <x:v>2.2365363361355914</x:v>
      </x:c>
      <x:c r="I158" s="32" t="n">
        <x:v>0.9313459671122201</x:v>
      </x:c>
      <x:c r="J158" s="32" t="n">
        <x:v>0.1998560887036593</x:v>
      </x:c>
      <x:c r="K158" s="32" t="n">
        <x:v>0.0010257621902904116</x:v>
      </x:c>
      <x:c r="L158" s="32" t="n">
        <x:v>0.845334136</x:v>
      </x:c>
      <x:c r="M158" s="32" t="n">
        <x:v>0.845334136</x:v>
      </x:c>
      <x:c r="N158" s="32" t="n">
        <x:v>13998</x:v>
      </x:c>
      <x:c r="O158" s="32" t="n">
        <x:v>0.3455</x:v>
      </x:c>
      <x:c r="P158" s="32" t="n">
        <x:v>853.7647155761719</x:v>
      </x:c>
      <x:c r="Q158" s="32" t="n">
        <x:v>10.039321025212606</x:v>
      </x:c>
      <x:c r="R158" s="32" t="n">
        <x:v>36.089557810496245</x:v>
      </x:c>
      <x:c r="S158" s="32" t="n">
        <x:v>24.451841519936654</x:v>
      </x:c>
      <x:c r="T158" s="32" t="n">
        <x:v>72.1</x:v>
      </x:c>
      <x:c r="U158" s="32" t="n">
        <x:v>211.4154781728841</x:v>
      </x:c>
      <x:c r="V158" s="32" t="n">
        <x:v>325.42757789465</x:v>
      </x:c>
      <x:c r="W158" s="33" t="n">
        <x:f>IF(ISNUMBER(E158),100*MAX(0,MIN(1,('Anchors'!$H$6-E158)/('Anchors'!$H$6-'Anchors'!$G$6))),"")</x:f>
        <x:v>23.000000000000007</x:v>
      </x:c>
      <x:c r="X158" s="33" t="n">
        <x:f>IF(ISNUMBER(F158),100*MAX(0,MIN(1,('Anchors'!$H$7-F158)/('Anchors'!$H$7-'Anchors'!$G$7))),"")</x:f>
        <x:v>41.26591230551628</x:v>
      </x:c>
      <x:c r="Y158" s="33" t="n">
        <x:f>IF(ISNUMBER(G158),100*MAX(0,MIN(1,('Anchors'!$H$8-G158)/('Anchors'!$H$8-'Anchors'!$G$8))),"")</x:f>
        <x:v>53.02014822941942</x:v>
      </x:c>
      <x:c r="Z158" s="33" t="n">
        <x:f>IF(ISNUMBER(H158),100*MAX(0,MIN(1,('Anchors'!$H$9-H158)/('Anchors'!$H$9-'Anchors'!$G$9))),"")</x:f>
        <x:v>58.78212212881362</x:v>
      </x:c>
      <x:c r="AA158" s="33" t="n">
        <x:f>IF(ISNUMBER(I158),100*MAX(0,MIN(1,(I158-'Anchors'!$H$10)/('Anchors'!$G$10-'Anchors'!$H$10))),"")</x:f>
        <x:v>93.33506398797536</x:v>
      </x:c>
      <x:c r="AB158" s="33" t="n">
        <x:f>IF(ISNUMBER(J158),100*MAX(0,MIN(1,('Anchors'!$H$11-J158)/('Anchors'!$H$11-'Anchors'!$G$11))),"")</x:f>
        <x:v>20.057564518536275</x:v>
      </x:c>
      <x:c r="AC158" s="33" t="n">
        <x:f>IF(ISNUMBER(K158),100*MAX(0,MIN(1,('Anchors'!$H$12-K158)/('Anchors'!$H$12-'Anchors'!$G$12))),"")</x:f>
        <x:v>99.74355945242739</x:v>
      </x:c>
      <x:c r="AD158" s="33" t="n">
        <x:f>IF(ISNUMBER(L158),100*MAX(0,MIN(1,(L158-'Anchors'!$H$13)/('Anchors'!$G$13-'Anchors'!$H$13))),"")</x:f>
        <x:v>92.19059085714287</x:v>
      </x:c>
      <x:c r="AE158" s="33" t="n">
        <x:f>IF(ISNUMBER(M158),100*MAX(0,MIN(1,(M158-'Anchors'!$H$14)/('Anchors'!$G$14-'Anchors'!$H$14))),"")</x:f>
        <x:v>93.166767</x:v>
      </x:c>
      <x:c r="AF158" s="33" t="n">
        <x:f>IF(ISNUMBER(N158),100*MAX(0,MIN(1,(LN(1+N158)-LN(1+'Anchors'!$H$15))/(LN(1+'Anchors'!$G$15)-LN(1+'Anchors'!$H$15)))),"")</x:f>
        <x:v>45.06233816897238</x:v>
      </x:c>
      <x:c r="AG158" s="33" t="n">
        <x:f>IF(ISNUMBER(O158),100*MAX(0,MIN(1,('Anchors'!$H$16-O158)/('Anchors'!$H$16-'Anchors'!$G$16))),"")</x:f>
        <x:v>67.16666666666667</x:v>
      </x:c>
      <x:c r="AH158" s="33" t="n">
        <x:f>IF(ISNUMBER(P158),100*MAX(0,MIN(1,('Anchors'!$H$17-P158)/('Anchors'!$H$17-'Anchors'!$G$17))),"")</x:f>
        <x:v>89.74901896158853</x:v>
      </x:c>
      <x:c r="AI158" s="33" t="n">
        <x:f>IF(ISNUMBER(Q158),100*MAX(0,MIN(1,('Anchors'!$H$18-Q158)/('Anchors'!$H$18-'Anchors'!$G$18))),"")</x:f>
        <x:v>92.800969963982</x:v>
      </x:c>
      <x:c r="AJ158" s="33" t="n">
        <x:f>IF(ISNUMBER(R158),100*MAX(0,MIN(1,('Anchors'!$H$19-R158)/('Anchors'!$H$19-'Anchors'!$G$19))),"")</x:f>
        <x:v>30.91209375445279</x:v>
      </x:c>
      <x:c r="AK158" s="33" t="n">
        <x:f>IF(ISNUMBER(S158),100*MAX(0,MIN(1,('Anchors'!$H$20-S158)/('Anchors'!$H$20-'Anchors'!$G$20))),"")</x:f>
        <x:v>0</x:v>
      </x:c>
      <x:c r="AL158" s="33" t="n">
        <x:f>IF(ISNUMBER(T158),100*MAX(0,MIN(1,('Anchors'!$H$21-T158)/('Anchors'!$H$21-'Anchors'!$G$21))),"")</x:f>
        <x:v>87.0909090909091</x:v>
      </x:c>
      <x:c r="AM158" s="33" t="n">
        <x:f>IF(ISNUMBER(U158),100*MAX(0,MIN(1,('Anchors'!$H$22-U158)/('Anchors'!$H$22-'Anchors'!$G$22))),"")</x:f>
        <x:v>44.29226091355795</x:v>
      </x:c>
      <x:c r="AN158" s="33" t="n">
        <x:f>IF(ISNUMBER(V158),100*MAX(0,MIN(1,('Anchors'!$H$23-V158)/('Anchors'!$H$23-'Anchors'!$G$23))),"")</x:f>
        <x:v>68.6431055263375</x:v>
      </x:c>
      <x:c r="AO158" s="27" t="n">
        <x:f>IF(ISNUMBER(W158),IF('Scoring Setup'!$L$9=1,1-'Scoring Setup'!$B$5*(1-MAX(0,MIN(1,(W158-'Scoring Setup'!$K$9)/(100-'Scoring Setup'!$K$9)))),1),"")</x:f>
        <x:v>0.846</x:v>
      </x:c>
      <x:c r="AP158" s="27" t="n">
        <x:f>IF(ISNUMBER(X158),IF('Scoring Setup'!$L$10=1,1-'Scoring Setup'!$B$5*(1-MAX(0,MIN(1,(X158-'Scoring Setup'!$K$10)/(100-'Scoring Setup'!$K$10)))),1),"")</x:f>
        <x:v>0.8825318246110325</x:v>
      </x:c>
      <x:c r="AQ158" s="27" t="n">
        <x:f>IF(ISNUMBER(Y158),IF('Scoring Setup'!$L$11=1,1-'Scoring Setup'!$B$5*(1-MAX(0,MIN(1,(Y158-'Scoring Setup'!$K$11)/(100-'Scoring Setup'!$K$11)))),1),"")</x:f>
        <x:v>0.9060402964588388</x:v>
      </x:c>
      <x:c r="AR158" s="27" t="n">
        <x:f>IF(ISNUMBER(Z158),IF('Scoring Setup'!$L$12=1,1-'Scoring Setup'!$B$5*(1-MAX(0,MIN(1,(Z158-'Scoring Setup'!$K$12)/(100-'Scoring Setup'!$K$12)))),1),"")</x:f>
        <x:v>0.9175642442576273</x:v>
      </x:c>
      <x:c r="AS158" s="27" t="n">
        <x:f>IF(ISNUMBER(AA158),IF('Scoring Setup'!$L$13=1,1-'Scoring Setup'!$B$5*(1-MAX(0,MIN(1,(AA158-'Scoring Setup'!$K$13)/(100-'Scoring Setup'!$K$13)))),1),"")</x:f>
        <x:v>0.9866701279759508</x:v>
      </x:c>
      <x:c r="AT158" s="27" t="n">
        <x:f>IF(ISNUMBER(AB158),IF('Scoring Setup'!$L$14=1,1-'Scoring Setup'!$B$5*(1-MAX(0,MIN(1,(AB158-'Scoring Setup'!$K$14)/(100-'Scoring Setup'!$K$14)))),1),"")</x:f>
        <x:v>0.8401151290370725</x:v>
      </x:c>
      <x:c r="AU158" s="27" t="n">
        <x:f>IF(ISNUMBER(AC158),IF('Scoring Setup'!$L$15=1,1-'Scoring Setup'!$B$5*(1-MAX(0,MIN(1,(AC158-'Scoring Setup'!$K$15)/(100-'Scoring Setup'!$K$15)))),1),"")</x:f>
        <x:v>0.9994871189048548</x:v>
      </x:c>
      <x:c r="AV158" s="27" t="n">
        <x:f>IF(ISNUMBER(AD158),IF('Scoring Setup'!$L$16=1,1-'Scoring Setup'!$B$5*(1-MAX(0,MIN(1,(AD158-'Scoring Setup'!$K$16)/(100-'Scoring Setup'!$K$16)))),1),"")</x:f>
        <x:v>0.9843811817142857</x:v>
      </x:c>
      <x:c r="AW158" s="27" t="n">
        <x:f>IF(ISNUMBER(AE158),IF('Scoring Setup'!$L$17=1,1-'Scoring Setup'!$B$5*(1-MAX(0,MIN(1,(AE158-'Scoring Setup'!$K$17)/(100-'Scoring Setup'!$K$17)))),1),"")</x:f>
        <x:v>0.986333534</x:v>
      </x:c>
      <x:c r="AX158" s="27" t="n">
        <x:f>IF(ISNUMBER(AF158),IF('Scoring Setup'!$L$18=1,1-'Scoring Setup'!$B$5*(1-MAX(0,MIN(1,(AF158-'Scoring Setup'!$K$18)/(100-'Scoring Setup'!$K$18)))),1),"")</x:f>
        <x:v>0.8901246763379448</x:v>
      </x:c>
      <x:c r="AY158" s="27" t="n">
        <x:f>IF(ISNUMBER(AG158),IF('Scoring Setup'!$L$19=1,1-'Scoring Setup'!$B$5*(1-MAX(0,MIN(1,(AG158-'Scoring Setup'!$K$19)/(100-'Scoring Setup'!$K$19)))),1),"")</x:f>
        <x:v>0.9343333333333333</x:v>
      </x:c>
      <x:c r="AZ158" s="27" t="n">
        <x:f>IF(ISNUMBER(AH158),IF('Scoring Setup'!$L$20=1,1-'Scoring Setup'!$B$5*(1-MAX(0,MIN(1,(AH158-'Scoring Setup'!$K$20)/(100-'Scoring Setup'!$K$20)))),1),"")</x:f>
        <x:v>0.979498037923177</x:v>
      </x:c>
      <x:c r="BA158" s="27" t="n">
        <x:f>IF(ISNUMBER(AI158),IF('Scoring Setup'!$L$21=1,1-'Scoring Setup'!$B$5*(1-MAX(0,MIN(1,(AI158-'Scoring Setup'!$K$21)/(100-'Scoring Setup'!$K$21)))),1),"")</x:f>
        <x:v>0.985601939927964</x:v>
      </x:c>
      <x:c r="BB158" s="27" t="n">
        <x:f>IF(ISNUMBER(AJ158),IF('Scoring Setup'!$L$22=1,1-'Scoring Setup'!$B$5*(1-MAX(0,MIN(1,(AJ158-'Scoring Setup'!$K$22)/(100-'Scoring Setup'!$K$22)))),1),"")</x:f>
        <x:v>0.8618241875089055</x:v>
      </x:c>
      <x:c r="BC158" s="27" t="n">
        <x:f>IF(ISNUMBER(AK158),IF('Scoring Setup'!$L$23=1,1-'Scoring Setup'!$B$5*(1-MAX(0,MIN(1,(AK158-'Scoring Setup'!$K$23)/(100-'Scoring Setup'!$K$23)))),1),"")</x:f>
        <x:v>0.8</x:v>
      </x:c>
      <x:c r="BD158" s="27" t="n">
        <x:f>IF(ISNUMBER(AL158),IF('Scoring Setup'!$L$24=1,1-'Scoring Setup'!$B$5*(1-MAX(0,MIN(1,(AL158-'Scoring Setup'!$K$24)/(100-'Scoring Setup'!$K$24)))),1),"")</x:f>
        <x:v>0.9741818181818181</x:v>
      </x:c>
      <x:c r="BE158" s="27" t="n">
        <x:f>IF(ISNUMBER(AM158),IF('Scoring Setup'!$L$25=1,1-'Scoring Setup'!$B$5*(1-MAX(0,MIN(1,(AM158-'Scoring Setup'!$K$25)/(100-'Scoring Setup'!$K$25)))),1),"")</x:f>
        <x:v>0.8885845218271159</x:v>
      </x:c>
      <x:c r="BF158" s="27" t="n">
        <x:f>IF(ISNUMBER(AN158),IF('Scoring Setup'!$L$26=1,1-'Scoring Setup'!$B$5*(1-MAX(0,MIN(1,(AN158-'Scoring Setup'!$K$26)/(100-'Scoring Setup'!$K$26)))),1),"")</x:f>
        <x:v>0.937286211052675</x:v>
      </x:c>
      <x:c r="BG158" s="34" t="n">
        <x:f>IF(COUNT(W158,X158)=2,AVERAGE(W158,X158),"")</x:f>
        <x:v>32.13295615275814</x:v>
      </x:c>
      <x:c r="BH158" s="34" t="n">
        <x:f>IF(COUNT(Y158,Z158)=2,AVERAGE(Y158,Z158),"")</x:f>
        <x:v>55.90113517911652</x:v>
      </x:c>
      <x:c r="BI158" s="34" t="n">
        <x:f>IF(COUNT(AA158,AB158,AC158)=3,AVERAGE(AA158,AB158,AC158),"")</x:f>
        <x:v>71.04539598631301</x:v>
      </x:c>
      <x:c r="BJ158" s="34" t="n">
        <x:f>IF(COUNT(AD158,AE158)=2,AVERAGE(AD158,AE158),"")</x:f>
        <x:v>92.67867892857143</x:v>
      </x:c>
      <x:c r="BK158" s="34" t="n">
        <x:f>IF(COUNT(AF158,AG158)=2,AVERAGE(AF158,AG158),"")</x:f>
        <x:v>56.11450241781952</x:v>
      </x:c>
      <x:c r="BL158" s="34" t="n">
        <x:f>IF(COUNT(AH158,AI158)=2,AVERAGE(AH158,AI158),"")</x:f>
        <x:v>91.27499446278526</x:v>
      </x:c>
      <x:c r="BM158" s="34" t="n">
        <x:f>IF(COUNT(AJ158,AK158)=2,AVERAGE(AJ158,AK158),"")</x:f>
        <x:v>15.456046877226395</x:v>
      </x:c>
      <x:c r="BN158" s="34" t="n">
        <x:f>IF(COUNT(AL158,AM158,AN158)=3,AVERAGE(AL158,AM158,AN158),"")</x:f>
        <x:v>66.67542517693484</x:v>
      </x:c>
      <x:c r="BO158" s="35" t="n">
        <x:f>IF(AND(COUNT(BG158:BN158)=8,ABS('Scoring Setup'!$C$17-1)&lt;0.000001),BG158*'Scoring Setup'!$C$9+BH158*'Scoring Setup'!$C$10+BI158*'Scoring Setup'!$C$11+BJ158*'Scoring Setup'!$C$12+BK158*'Scoring Setup'!$C$13+BL158*'Scoring Setup'!$C$14+BM158*'Scoring Setup'!$C$15+BN158*'Scoring Setup'!$C$16,"")</x:f>
        <x:v>61.71656000445055</x:v>
      </x:c>
      <x:c r="BP158" s="36" t="n">
        <x:f>IF(COUNT(AO158:BF158)=18,MIN(AO158:BF158),"")</x:f>
        <x:v>0.8</x:v>
      </x:c>
      <x:c r="BQ158" s="35" t="n">
        <x:f>IF(AND(ISNUMBER(BO158),ISNUMBER(BP158)),BO158*BP158,"")</x:f>
        <x:v>49.37324800356044</x:v>
      </x:c>
      <x:c r="BR158" s="17" t="str">
        <x:f>IF(COUNT(AO158:BF158)=18,INDEX('Scoring Setup'!$F$9:$F$26,MATCH(MIN(AO158:BF158),AO158:BF158,0),1),"")</x:f>
        <x:v>到铁路距离</x:v>
      </x:c>
    </x:row>
    <x:row r="159">
      <x:c r="A159" s="28" t="str">
        <x:v>13313</x:v>
      </x:c>
      <x:c r="B159" s="28" t="str">
        <x:v>Whitfield County</x:v>
      </x:c>
      <x:c r="C159" s="28" t="str">
        <x:v>GA</x:v>
      </x:c>
      <x:c r="D159" s="31" t="n">
        <x:v>752.24953</x:v>
      </x:c>
      <x:c r="E159" s="32" t="n">
        <x:v>0.651</x:v>
      </x:c>
      <x:c r="F159" s="32" t="n">
        <x:v>0.254950495049505</x:v>
      </x:c>
      <x:c r="G159" s="32" t="n">
        <x:v>2.1699478399850083</x:v>
      </x:c>
      <x:c r="H159" s="32" t="n">
        <x:v>2.0071918457951883</x:v>
      </x:c>
      <x:c r="I159" s="32" t="n">
        <x:v>0.7986704162817545</x:v>
      </x:c>
      <x:c r="J159" s="32" t="n">
        <x:v>0.023480187872027297</x:v>
      </x:c>
      <x:c r="K159" s="32" t="n">
        <x:v>0.011026607291087296</x:v>
      </x:c>
      <x:c r="L159" s="32" t="n">
        <x:v>0.754709319</x:v>
      </x:c>
      <x:c r="M159" s="32" t="n">
        <x:v>0.754709319</x:v>
      </x:c>
      <x:c r="N159" s="32" t="n">
        <x:v>47039</x:v>
      </x:c>
      <x:c r="O159" s="32" t="n">
        <x:v>0.8836</x:v>
      </x:c>
      <x:c r="P159" s="32" t="n">
        <x:v>1400.7787475585938</x:v>
      </x:c>
      <x:c r="Q159" s="32" t="n">
        <x:v>32.00167439778646</x:v>
      </x:c>
      <x:c r="R159" s="32" t="n">
        <x:v>3.1017563471231853</x:v>
      </x:c>
      <x:c r="S159" s="32" t="n">
        <x:v>0.3686490632161043</x:v>
      </x:c>
      <x:c r="T159" s="32" t="n">
        <x:v>72.1</x:v>
      </x:c>
      <x:c r="U159" s="32" t="n">
        <x:v>211.4154781728841</x:v>
      </x:c>
      <x:c r="V159" s="32" t="n">
        <x:v>325.42757789465</x:v>
      </x:c>
      <x:c r="W159" s="33" t="n">
        <x:f>IF(ISNUMBER(E159),100*MAX(0,MIN(1,('Anchors'!$H$6-E159)/('Anchors'!$H$6-'Anchors'!$G$6))),"")</x:f>
        <x:v>35.57142857142858</x:v>
      </x:c>
      <x:c r="X159" s="33" t="n">
        <x:f>IF(ISNUMBER(F159),100*MAX(0,MIN(1,('Anchors'!$H$7-F159)/('Anchors'!$H$7-'Anchors'!$G$7))),"")</x:f>
        <x:v>77.86421499292786</x:v>
      </x:c>
      <x:c r="Y159" s="33" t="n">
        <x:f>IF(ISNUMBER(G159),100*MAX(0,MIN(1,('Anchors'!$H$8-G159)/('Anchors'!$H$8-'Anchors'!$G$8))),"")</x:f>
        <x:v>61.00173866716639</x:v>
      </x:c>
      <x:c r="Z159" s="33" t="n">
        <x:f>IF(ISNUMBER(H159),100*MAX(0,MIN(1,('Anchors'!$H$9-H159)/('Anchors'!$H$9-'Anchors'!$G$9))),"")</x:f>
        <x:v>66.42693847349372</x:v>
      </x:c>
      <x:c r="AA159" s="33" t="n">
        <x:f>IF(ISNUMBER(I159),100*MAX(0,MIN(1,(I159-'Anchors'!$H$10)/('Anchors'!$G$10-'Anchors'!$H$10))),"")</x:f>
        <x:v>75.16033099750062</x:v>
      </x:c>
      <x:c r="AB159" s="33" t="n">
        <x:f>IF(ISNUMBER(J159),100*MAX(0,MIN(1,('Anchors'!$H$11-J159)/('Anchors'!$H$11-'Anchors'!$G$11))),"")</x:f>
        <x:v>90.60792485118908</x:v>
      </x:c>
      <x:c r="AC159" s="33" t="n">
        <x:f>IF(ISNUMBER(K159),100*MAX(0,MIN(1,('Anchors'!$H$12-K159)/('Anchors'!$H$12-'Anchors'!$G$12))),"")</x:f>
        <x:v>97.24334817722819</x:v>
      </x:c>
      <x:c r="AD159" s="33" t="n">
        <x:f>IF(ISNUMBER(L159),100*MAX(0,MIN(1,(L159-'Anchors'!$H$13)/('Anchors'!$G$13-'Anchors'!$H$13))),"")</x:f>
        <x:v>79.24418842857145</x:v>
      </x:c>
      <x:c r="AE159" s="33" t="n">
        <x:f>IF(ISNUMBER(M159),100*MAX(0,MIN(1,(M159-'Anchors'!$H$14)/('Anchors'!$G$14-'Anchors'!$H$14))),"")</x:f>
        <x:v>81.838664875</x:v>
      </x:c>
      <x:c r="AF159" s="33" t="n">
        <x:f>IF(ISNUMBER(N159),100*MAX(0,MIN(1,(LN(1+N159)-LN(1+'Anchors'!$H$15))/(LN(1+'Anchors'!$G$15)-LN(1+'Anchors'!$H$15)))),"")</x:f>
        <x:v>73.13771077723885</x:v>
      </x:c>
      <x:c r="AG159" s="33" t="n">
        <x:f>IF(ISNUMBER(O159),100*MAX(0,MIN(1,('Anchors'!$H$16-O159)/('Anchors'!$H$16-'Anchors'!$G$16))),"")</x:f>
        <x:v>7.3777777777777676</x:v>
      </x:c>
      <x:c r="AH159" s="33" t="n">
        <x:f>IF(ISNUMBER(P159),100*MAX(0,MIN(1,('Anchors'!$H$17-P159)/('Anchors'!$H$17-'Anchors'!$G$17))),"")</x:f>
        <x:v>53.28141682942709</x:v>
      </x:c>
      <x:c r="AI159" s="33" t="n">
        <x:f>IF(ISNUMBER(Q159),100*MAX(0,MIN(1,('Anchors'!$H$18-Q159)/('Anchors'!$H$18-'Anchors'!$G$18))),"")</x:f>
        <x:v>61.42617943173363</x:v>
      </x:c>
      <x:c r="AJ159" s="33" t="n">
        <x:f>IF(ISNUMBER(R159),100*MAX(0,MIN(1,('Anchors'!$H$19-R159)/('Anchors'!$H$19-'Anchors'!$G$19))),"")</x:f>
        <x:v>100</x:v>
      </x:c>
      <x:c r="AK159" s="33" t="n">
        <x:f>IF(ISNUMBER(S159),100*MAX(0,MIN(1,('Anchors'!$H$20-S159)/('Anchors'!$H$20-'Anchors'!$G$20))),"")</x:f>
        <x:v>100</x:v>
      </x:c>
      <x:c r="AL159" s="33" t="n">
        <x:f>IF(ISNUMBER(T159),100*MAX(0,MIN(1,('Anchors'!$H$21-T159)/('Anchors'!$H$21-'Anchors'!$G$21))),"")</x:f>
        <x:v>87.0909090909091</x:v>
      </x:c>
      <x:c r="AM159" s="33" t="n">
        <x:f>IF(ISNUMBER(U159),100*MAX(0,MIN(1,('Anchors'!$H$22-U159)/('Anchors'!$H$22-'Anchors'!$G$22))),"")</x:f>
        <x:v>44.29226091355795</x:v>
      </x:c>
      <x:c r="AN159" s="33" t="n">
        <x:f>IF(ISNUMBER(V159),100*MAX(0,MIN(1,('Anchors'!$H$23-V159)/('Anchors'!$H$23-'Anchors'!$G$23))),"")</x:f>
        <x:v>68.6431055263375</x:v>
      </x:c>
      <x:c r="AO159" s="27" t="n">
        <x:f>IF(ISNUMBER(W159),IF('Scoring Setup'!$L$9=1,1-'Scoring Setup'!$B$5*(1-MAX(0,MIN(1,(W159-'Scoring Setup'!$K$9)/(100-'Scoring Setup'!$K$9)))),1),"")</x:f>
        <x:v>0.8711428571428571</x:v>
      </x:c>
      <x:c r="AP159" s="27" t="n">
        <x:f>IF(ISNUMBER(X159),IF('Scoring Setup'!$L$10=1,1-'Scoring Setup'!$B$5*(1-MAX(0,MIN(1,(X159-'Scoring Setup'!$K$10)/(100-'Scoring Setup'!$K$10)))),1),"")</x:f>
        <x:v>0.9557284299858557</x:v>
      </x:c>
      <x:c r="AQ159" s="27" t="n">
        <x:f>IF(ISNUMBER(Y159),IF('Scoring Setup'!$L$11=1,1-'Scoring Setup'!$B$5*(1-MAX(0,MIN(1,(Y159-'Scoring Setup'!$K$11)/(100-'Scoring Setup'!$K$11)))),1),"")</x:f>
        <x:v>0.9220034773343327</x:v>
      </x:c>
      <x:c r="AR159" s="27" t="n">
        <x:f>IF(ISNUMBER(Z159),IF('Scoring Setup'!$L$12=1,1-'Scoring Setup'!$B$5*(1-MAX(0,MIN(1,(Z159-'Scoring Setup'!$K$12)/(100-'Scoring Setup'!$K$12)))),1),"")</x:f>
        <x:v>0.9328538769469874</x:v>
      </x:c>
      <x:c r="AS159" s="27" t="n">
        <x:f>IF(ISNUMBER(AA159),IF('Scoring Setup'!$L$13=1,1-'Scoring Setup'!$B$5*(1-MAX(0,MIN(1,(AA159-'Scoring Setup'!$K$13)/(100-'Scoring Setup'!$K$13)))),1),"")</x:f>
        <x:v>0.9503206619950012</x:v>
      </x:c>
      <x:c r="AT159" s="27" t="n">
        <x:f>IF(ISNUMBER(AB159),IF('Scoring Setup'!$L$14=1,1-'Scoring Setup'!$B$5*(1-MAX(0,MIN(1,(AB159-'Scoring Setup'!$K$14)/(100-'Scoring Setup'!$K$14)))),1),"")</x:f>
        <x:v>0.9812158497023782</x:v>
      </x:c>
      <x:c r="AU159" s="27" t="n">
        <x:f>IF(ISNUMBER(AC159),IF('Scoring Setup'!$L$15=1,1-'Scoring Setup'!$B$5*(1-MAX(0,MIN(1,(AC159-'Scoring Setup'!$K$15)/(100-'Scoring Setup'!$K$15)))),1),"")</x:f>
        <x:v>0.9944866963544564</x:v>
      </x:c>
      <x:c r="AV159" s="27" t="n">
        <x:f>IF(ISNUMBER(AD159),IF('Scoring Setup'!$L$16=1,1-'Scoring Setup'!$B$5*(1-MAX(0,MIN(1,(AD159-'Scoring Setup'!$K$16)/(100-'Scoring Setup'!$K$16)))),1),"")</x:f>
        <x:v>0.9584883768571429</x:v>
      </x:c>
      <x:c r="AW159" s="27" t="n">
        <x:f>IF(ISNUMBER(AE159),IF('Scoring Setup'!$L$17=1,1-'Scoring Setup'!$B$5*(1-MAX(0,MIN(1,(AE159-'Scoring Setup'!$K$17)/(100-'Scoring Setup'!$K$17)))),1),"")</x:f>
        <x:v>0.96367732975</x:v>
      </x:c>
      <x:c r="AX159" s="27" t="n">
        <x:f>IF(ISNUMBER(AF159),IF('Scoring Setup'!$L$18=1,1-'Scoring Setup'!$B$5*(1-MAX(0,MIN(1,(AF159-'Scoring Setup'!$K$18)/(100-'Scoring Setup'!$K$18)))),1),"")</x:f>
        <x:v>0.9462754215544777</x:v>
      </x:c>
      <x:c r="AY159" s="27" t="n">
        <x:f>IF(ISNUMBER(AG159),IF('Scoring Setup'!$L$19=1,1-'Scoring Setup'!$B$5*(1-MAX(0,MIN(1,(AG159-'Scoring Setup'!$K$19)/(100-'Scoring Setup'!$K$19)))),1),"")</x:f>
        <x:v>0.8147555555555556</x:v>
      </x:c>
      <x:c r="AZ159" s="27" t="n">
        <x:f>IF(ISNUMBER(AH159),IF('Scoring Setup'!$L$20=1,1-'Scoring Setup'!$B$5*(1-MAX(0,MIN(1,(AH159-'Scoring Setup'!$K$20)/(100-'Scoring Setup'!$K$20)))),1),"")</x:f>
        <x:v>0.9065628336588542</x:v>
      </x:c>
      <x:c r="BA159" s="27" t="n">
        <x:f>IF(ISNUMBER(AI159),IF('Scoring Setup'!$L$21=1,1-'Scoring Setup'!$B$5*(1-MAX(0,MIN(1,(AI159-'Scoring Setup'!$K$21)/(100-'Scoring Setup'!$K$21)))),1),"")</x:f>
        <x:v>0.9228523588634673</x:v>
      </x:c>
      <x:c r="BB159" s="27" t="n">
        <x:f>IF(ISNUMBER(AJ159),IF('Scoring Setup'!$L$22=1,1-'Scoring Setup'!$B$5*(1-MAX(0,MIN(1,(AJ159-'Scoring Setup'!$K$22)/(100-'Scoring Setup'!$K$22)))),1),"")</x:f>
        <x:v>1</x:v>
      </x:c>
      <x:c r="BC159" s="27" t="n">
        <x:f>IF(ISNUMBER(AK159),IF('Scoring Setup'!$L$23=1,1-'Scoring Setup'!$B$5*(1-MAX(0,MIN(1,(AK159-'Scoring Setup'!$K$23)/(100-'Scoring Setup'!$K$23)))),1),"")</x:f>
        <x:v>1</x:v>
      </x:c>
      <x:c r="BD159" s="27" t="n">
        <x:f>IF(ISNUMBER(AL159),IF('Scoring Setup'!$L$24=1,1-'Scoring Setup'!$B$5*(1-MAX(0,MIN(1,(AL159-'Scoring Setup'!$K$24)/(100-'Scoring Setup'!$K$24)))),1),"")</x:f>
        <x:v>0.9741818181818181</x:v>
      </x:c>
      <x:c r="BE159" s="27" t="n">
        <x:f>IF(ISNUMBER(AM159),IF('Scoring Setup'!$L$25=1,1-'Scoring Setup'!$B$5*(1-MAX(0,MIN(1,(AM159-'Scoring Setup'!$K$25)/(100-'Scoring Setup'!$K$25)))),1),"")</x:f>
        <x:v>0.8885845218271159</x:v>
      </x:c>
      <x:c r="BF159" s="27" t="n">
        <x:f>IF(ISNUMBER(AN159),IF('Scoring Setup'!$L$26=1,1-'Scoring Setup'!$B$5*(1-MAX(0,MIN(1,(AN159-'Scoring Setup'!$K$26)/(100-'Scoring Setup'!$K$26)))),1),"")</x:f>
        <x:v>0.937286211052675</x:v>
      </x:c>
      <x:c r="BG159" s="34" t="n">
        <x:f>IF(COUNT(W159,X159)=2,AVERAGE(W159,X159),"")</x:f>
        <x:v>56.71782178217822</x:v>
      </x:c>
      <x:c r="BH159" s="34" t="n">
        <x:f>IF(COUNT(Y159,Z159)=2,AVERAGE(Y159,Z159),"")</x:f>
        <x:v>63.71433857033006</x:v>
      </x:c>
      <x:c r="BI159" s="34" t="n">
        <x:f>IF(COUNT(AA159,AB159,AC159)=3,AVERAGE(AA159,AB159,AC159),"")</x:f>
        <x:v>87.67053467530597</x:v>
      </x:c>
      <x:c r="BJ159" s="34" t="n">
        <x:f>IF(COUNT(AD159,AE159)=2,AVERAGE(AD159,AE159),"")</x:f>
        <x:v>80.54142665178573</x:v>
      </x:c>
      <x:c r="BK159" s="34" t="n">
        <x:f>IF(COUNT(AF159,AG159)=2,AVERAGE(AF159,AG159),"")</x:f>
        <x:v>40.25774427750831</x:v>
      </x:c>
      <x:c r="BL159" s="34" t="n">
        <x:f>IF(COUNT(AH159,AI159)=2,AVERAGE(AH159,AI159),"")</x:f>
        <x:v>57.35379813058036</x:v>
      </x:c>
      <x:c r="BM159" s="34" t="n">
        <x:f>IF(COUNT(AJ159,AK159)=2,AVERAGE(AJ159,AK159),"")</x:f>
        <x:v>100</x:v>
      </x:c>
      <x:c r="BN159" s="34" t="n">
        <x:f>IF(COUNT(AL159,AM159,AN159)=3,AVERAGE(AL159,AM159,AN159),"")</x:f>
        <x:v>66.67542517693484</x:v>
      </x:c>
      <x:c r="BO159" s="35" t="n">
        <x:f>IF(AND(COUNT(BG159:BN159)=8,ABS('Scoring Setup'!$C$17-1)&lt;0.000001),BG159*'Scoring Setup'!$C$9+BH159*'Scoring Setup'!$C$10+BI159*'Scoring Setup'!$C$11+BJ159*'Scoring Setup'!$C$12+BK159*'Scoring Setup'!$C$13+BL159*'Scoring Setup'!$C$14+BM159*'Scoring Setup'!$C$15+BN159*'Scoring Setup'!$C$16,"")</x:f>
        <x:v>67.1319379123533</x:v>
      </x:c>
      <x:c r="BP159" s="36" t="n">
        <x:f>IF(COUNT(AO159:BF159)=18,MIN(AO159:BF159),"")</x:f>
        <x:v>0.8147555555555556</x:v>
      </x:c>
      <x:c r="BQ159" s="35" t="n">
        <x:f>IF(AND(ISNUMBER(BO159),ISNUMBER(BP159)),BO159*BP159,"")</x:f>
        <x:v>54.69611936930047</x:v>
      </x:c>
      <x:c r="BR159" s="17" t="str">
        <x:f>IF(COUNT(AO159:BF159)=18,INDEX('Scoring Setup'!$F$9:$F$26,MATCH(MIN(AO159:BF159),AO159:BF159,0),1),"")</x:f>
        <x:v>社会脆弱性百分位</x:v>
      </x:c>
    </x:row>
    <x:row r="160">
      <x:c r="A160" s="28" t="str">
        <x:v>13315</x:v>
      </x:c>
      <x:c r="B160" s="28" t="str">
        <x:v>Wilcox County</x:v>
      </x:c>
      <x:c r="C160" s="28" t="str">
        <x:v>GA</x:v>
      </x:c>
      <x:c r="D160" s="31" t="n">
        <x:v>978.52538</x:v>
      </x:c>
      <x:c r="E160" s="32" t="n">
        <x:v>0.539</x:v>
      </x:c>
      <x:c r="F160" s="32" t="n">
        <x:v>0.32951732673267303</x:v>
      </x:c>
      <x:c r="G160" s="32" t="n">
        <x:v>2.6689279843296405</x:v>
      </x:c>
      <x:c r="H160" s="32" t="n">
        <x:v>2.638223854841617</x:v>
      </x:c>
      <x:c r="I160" s="32" t="n">
        <x:v>0.9455517333793463</x:v>
      </x:c>
      <x:c r="J160" s="32" t="n">
        <x:v>0.0019065949065374922</x:v>
      </x:c>
      <x:c r="K160" s="32" t="n">
        <x:v>0.2110315470268405</x:v>
      </x:c>
      <x:c r="L160" s="32" t="n">
        <x:v>0.684261975</x:v>
      </x:c>
      <x:c r="M160" s="32" t="n">
        <x:v>0.684261975</x:v>
      </x:c>
      <x:c r="N160" s="32" t="n">
        <x:v>2943</x:v>
      </x:c>
      <x:c r="O160" s="32" t="n">
        <x:v>0.8212</x:v>
      </x:c>
      <x:c r="P160" s="32" t="n">
        <x:v>2276.5802083333333</x:v>
      </x:c>
      <x:c r="Q160" s="32" t="n">
        <x:v>77.22322463989258</x:v>
      </x:c>
      <x:c r="R160" s="32" t="n">
        <x:v>28.832791790339027</x:v>
      </x:c>
      <x:c r="S160" s="32" t="n">
        <x:v>1.134894493193152</x:v>
      </x:c>
      <x:c r="T160" s="32" t="n">
        <x:v>72.1</x:v>
      </x:c>
      <x:c r="U160" s="32" t="n">
        <x:v>211.4154781728841</x:v>
      </x:c>
      <x:c r="V160" s="32" t="n">
        <x:v>325.42757789465</x:v>
      </x:c>
      <x:c r="W160" s="33" t="n">
        <x:f>IF(ISNUMBER(E160),100*MAX(0,MIN(1,('Anchors'!$H$6-E160)/('Anchors'!$H$6-'Anchors'!$G$6))),"")</x:f>
        <x:v>51.57142857142857</x:v>
      </x:c>
      <x:c r="X160" s="33" t="n">
        <x:f>IF(ISNUMBER(F160),100*MAX(0,MIN(1,('Anchors'!$H$7-F160)/('Anchors'!$H$7-'Anchors'!$G$7))),"")</x:f>
        <x:v>67.211810466761</x:v>
      </x:c>
      <x:c r="Y160" s="33" t="n">
        <x:f>IF(ISNUMBER(G160),100*MAX(0,MIN(1,('Anchors'!$H$8-G160)/('Anchors'!$H$8-'Anchors'!$G$8))),"")</x:f>
        <x:v>44.369067189011986</x:v>
      </x:c>
      <x:c r="Z160" s="33" t="n">
        <x:f>IF(ISNUMBER(H160),100*MAX(0,MIN(1,('Anchors'!$H$9-H160)/('Anchors'!$H$9-'Anchors'!$G$9))),"")</x:f>
        <x:v>45.3925381719461</x:v>
      </x:c>
      <x:c r="AA160" s="33" t="n">
        <x:f>IF(ISNUMBER(I160),100*MAX(0,MIN(1,(I160-'Anchors'!$H$10)/('Anchors'!$G$10-'Anchors'!$H$10))),"")</x:f>
        <x:v>95.28105936703373</x:v>
      </x:c>
      <x:c r="AB160" s="33" t="n">
        <x:f>IF(ISNUMBER(J160),100*MAX(0,MIN(1,('Anchors'!$H$11-J160)/('Anchors'!$H$11-'Anchors'!$G$11))),"")</x:f>
        <x:v>99.237362037385</x:v>
      </x:c>
      <x:c r="AC160" s="33" t="n">
        <x:f>IF(ISNUMBER(K160),100*MAX(0,MIN(1,('Anchors'!$H$12-K160)/('Anchors'!$H$12-'Anchors'!$G$12))),"")</x:f>
        <x:v>47.24211324328988</x:v>
      </x:c>
      <x:c r="AD160" s="33" t="n">
        <x:f>IF(ISNUMBER(L160),100*MAX(0,MIN(1,(L160-'Anchors'!$H$13)/('Anchors'!$G$13-'Anchors'!$H$13))),"")</x:f>
        <x:v>69.18028214285714</x:v>
      </x:c>
      <x:c r="AE160" s="33" t="n">
        <x:f>IF(ISNUMBER(M160),100*MAX(0,MIN(1,(M160-'Anchors'!$H$14)/('Anchors'!$G$14-'Anchors'!$H$14))),"")</x:f>
        <x:v>73.032746875</x:v>
      </x:c>
      <x:c r="AF160" s="33" t="n">
        <x:f>IF(ISNUMBER(N160),100*MAX(0,MIN(1,(LN(1+N160)-LN(1+'Anchors'!$H$15))/(LN(1+'Anchors'!$G$15)-LN(1+'Anchors'!$H$15)))),"")</x:f>
        <x:v>8.944234444320971</x:v>
      </x:c>
      <x:c r="AG160" s="33" t="n">
        <x:f>IF(ISNUMBER(O160),100*MAX(0,MIN(1,('Anchors'!$H$16-O160)/('Anchors'!$H$16-'Anchors'!$G$16))),"")</x:f>
        <x:v>14.311111111111103</x:v>
      </x:c>
      <x:c r="AH160" s="33" t="n">
        <x:f>IF(ISNUMBER(P160),100*MAX(0,MIN(1,('Anchors'!$H$17-P160)/('Anchors'!$H$17-'Anchors'!$G$17))),"")</x:f>
        <x:v>0</x:v>
      </x:c>
      <x:c r="AI160" s="33" t="n">
        <x:f>IF(ISNUMBER(Q160),100*MAX(0,MIN(1,('Anchors'!$H$18-Q160)/('Anchors'!$H$18-'Anchors'!$G$18))),"")</x:f>
        <x:v>0</x:v>
      </x:c>
      <x:c r="AJ160" s="33" t="n">
        <x:f>IF(ISNUMBER(R160),100*MAX(0,MIN(1,('Anchors'!$H$19-R160)/('Anchors'!$H$19-'Anchors'!$G$19))),"")</x:f>
        <x:v>47.038240465913276</x:v>
      </x:c>
      <x:c r="AK160" s="33" t="n">
        <x:f>IF(ISNUMBER(S160),100*MAX(0,MIN(1,('Anchors'!$H$20-S160)/('Anchors'!$H$20-'Anchors'!$G$20))),"")</x:f>
        <x:v>99.29002898319395</x:v>
      </x:c>
      <x:c r="AL160" s="33" t="n">
        <x:f>IF(ISNUMBER(T160),100*MAX(0,MIN(1,('Anchors'!$H$21-T160)/('Anchors'!$H$21-'Anchors'!$G$21))),"")</x:f>
        <x:v>87.0909090909091</x:v>
      </x:c>
      <x:c r="AM160" s="33" t="n">
        <x:f>IF(ISNUMBER(U160),100*MAX(0,MIN(1,('Anchors'!$H$22-U160)/('Anchors'!$H$22-'Anchors'!$G$22))),"")</x:f>
        <x:v>44.29226091355795</x:v>
      </x:c>
      <x:c r="AN160" s="33" t="n">
        <x:f>IF(ISNUMBER(V160),100*MAX(0,MIN(1,('Anchors'!$H$23-V160)/('Anchors'!$H$23-'Anchors'!$G$23))),"")</x:f>
        <x:v>68.6431055263375</x:v>
      </x:c>
      <x:c r="AO160" s="27" t="n">
        <x:f>IF(ISNUMBER(W160),IF('Scoring Setup'!$L$9=1,1-'Scoring Setup'!$B$5*(1-MAX(0,MIN(1,(W160-'Scoring Setup'!$K$9)/(100-'Scoring Setup'!$K$9)))),1),"")</x:f>
        <x:v>0.9031428571428571</x:v>
      </x:c>
      <x:c r="AP160" s="27" t="n">
        <x:f>IF(ISNUMBER(X160),IF('Scoring Setup'!$L$10=1,1-'Scoring Setup'!$B$5*(1-MAX(0,MIN(1,(X160-'Scoring Setup'!$K$10)/(100-'Scoring Setup'!$K$10)))),1),"")</x:f>
        <x:v>0.9344236209335219</x:v>
      </x:c>
      <x:c r="AQ160" s="27" t="n">
        <x:f>IF(ISNUMBER(Y160),IF('Scoring Setup'!$L$11=1,1-'Scoring Setup'!$B$5*(1-MAX(0,MIN(1,(Y160-'Scoring Setup'!$K$11)/(100-'Scoring Setup'!$K$11)))),1),"")</x:f>
        <x:v>0.888738134378024</x:v>
      </x:c>
      <x:c r="AR160" s="27" t="n">
        <x:f>IF(ISNUMBER(Z160),IF('Scoring Setup'!$L$12=1,1-'Scoring Setup'!$B$5*(1-MAX(0,MIN(1,(Z160-'Scoring Setup'!$K$12)/(100-'Scoring Setup'!$K$12)))),1),"")</x:f>
        <x:v>0.8907850763438923</x:v>
      </x:c>
      <x:c r="AS160" s="27" t="n">
        <x:f>IF(ISNUMBER(AA160),IF('Scoring Setup'!$L$13=1,1-'Scoring Setup'!$B$5*(1-MAX(0,MIN(1,(AA160-'Scoring Setup'!$K$13)/(100-'Scoring Setup'!$K$13)))),1),"")</x:f>
        <x:v>0.9905621187340675</x:v>
      </x:c>
      <x:c r="AT160" s="27" t="n">
        <x:f>IF(ISNUMBER(AB160),IF('Scoring Setup'!$L$14=1,1-'Scoring Setup'!$B$5*(1-MAX(0,MIN(1,(AB160-'Scoring Setup'!$K$14)/(100-'Scoring Setup'!$K$14)))),1),"")</x:f>
        <x:v>0.99847472407477</x:v>
      </x:c>
      <x:c r="AU160" s="27" t="n">
        <x:f>IF(ISNUMBER(AC160),IF('Scoring Setup'!$L$15=1,1-'Scoring Setup'!$B$5*(1-MAX(0,MIN(1,(AC160-'Scoring Setup'!$K$15)/(100-'Scoring Setup'!$K$15)))),1),"")</x:f>
        <x:v>0.8944842264865798</x:v>
      </x:c>
      <x:c r="AV160" s="27" t="n">
        <x:f>IF(ISNUMBER(AD160),IF('Scoring Setup'!$L$16=1,1-'Scoring Setup'!$B$5*(1-MAX(0,MIN(1,(AD160-'Scoring Setup'!$K$16)/(100-'Scoring Setup'!$K$16)))),1),"")</x:f>
        <x:v>0.9383605642857142</x:v>
      </x:c>
      <x:c r="AW160" s="27" t="n">
        <x:f>IF(ISNUMBER(AE160),IF('Scoring Setup'!$L$17=1,1-'Scoring Setup'!$B$5*(1-MAX(0,MIN(1,(AE160-'Scoring Setup'!$K$17)/(100-'Scoring Setup'!$K$17)))),1),"")</x:f>
        <x:v>0.94606549375</x:v>
      </x:c>
      <x:c r="AX160" s="27" t="n">
        <x:f>IF(ISNUMBER(AF160),IF('Scoring Setup'!$L$18=1,1-'Scoring Setup'!$B$5*(1-MAX(0,MIN(1,(AF160-'Scoring Setup'!$K$18)/(100-'Scoring Setup'!$K$18)))),1),"")</x:f>
        <x:v>0.817888468888642</x:v>
      </x:c>
      <x:c r="AY160" s="27" t="n">
        <x:f>IF(ISNUMBER(AG160),IF('Scoring Setup'!$L$19=1,1-'Scoring Setup'!$B$5*(1-MAX(0,MIN(1,(AG160-'Scoring Setup'!$K$19)/(100-'Scoring Setup'!$K$19)))),1),"")</x:f>
        <x:v>0.8286222222222221</x:v>
      </x:c>
      <x:c r="AZ160" s="27" t="n">
        <x:f>IF(ISNUMBER(AH160),IF('Scoring Setup'!$L$20=1,1-'Scoring Setup'!$B$5*(1-MAX(0,MIN(1,(AH160-'Scoring Setup'!$K$20)/(100-'Scoring Setup'!$K$20)))),1),"")</x:f>
        <x:v>0.8</x:v>
      </x:c>
      <x:c r="BA160" s="27" t="n">
        <x:f>IF(ISNUMBER(AI160),IF('Scoring Setup'!$L$21=1,1-'Scoring Setup'!$B$5*(1-MAX(0,MIN(1,(AI160-'Scoring Setup'!$K$21)/(100-'Scoring Setup'!$K$21)))),1),"")</x:f>
        <x:v>0.8</x:v>
      </x:c>
      <x:c r="BB160" s="27" t="n">
        <x:f>IF(ISNUMBER(AJ160),IF('Scoring Setup'!$L$22=1,1-'Scoring Setup'!$B$5*(1-MAX(0,MIN(1,(AJ160-'Scoring Setup'!$K$22)/(100-'Scoring Setup'!$K$22)))),1),"")</x:f>
        <x:v>0.8940764809318266</x:v>
      </x:c>
      <x:c r="BC160" s="27" t="n">
        <x:f>IF(ISNUMBER(AK160),IF('Scoring Setup'!$L$23=1,1-'Scoring Setup'!$B$5*(1-MAX(0,MIN(1,(AK160-'Scoring Setup'!$K$23)/(100-'Scoring Setup'!$K$23)))),1),"")</x:f>
        <x:v>0.9985800579663879</x:v>
      </x:c>
      <x:c r="BD160" s="27" t="n">
        <x:f>IF(ISNUMBER(AL160),IF('Scoring Setup'!$L$24=1,1-'Scoring Setup'!$B$5*(1-MAX(0,MIN(1,(AL160-'Scoring Setup'!$K$24)/(100-'Scoring Setup'!$K$24)))),1),"")</x:f>
        <x:v>0.9741818181818181</x:v>
      </x:c>
      <x:c r="BE160" s="27" t="n">
        <x:f>IF(ISNUMBER(AM160),IF('Scoring Setup'!$L$25=1,1-'Scoring Setup'!$B$5*(1-MAX(0,MIN(1,(AM160-'Scoring Setup'!$K$25)/(100-'Scoring Setup'!$K$25)))),1),"")</x:f>
        <x:v>0.8885845218271159</x:v>
      </x:c>
      <x:c r="BF160" s="27" t="n">
        <x:f>IF(ISNUMBER(AN160),IF('Scoring Setup'!$L$26=1,1-'Scoring Setup'!$B$5*(1-MAX(0,MIN(1,(AN160-'Scoring Setup'!$K$26)/(100-'Scoring Setup'!$K$26)))),1),"")</x:f>
        <x:v>0.937286211052675</x:v>
      </x:c>
      <x:c r="BG160" s="34" t="n">
        <x:f>IF(COUNT(W160,X160)=2,AVERAGE(W160,X160),"")</x:f>
        <x:v>59.39161951909478</x:v>
      </x:c>
      <x:c r="BH160" s="34" t="n">
        <x:f>IF(COUNT(Y160,Z160)=2,AVERAGE(Y160,Z160),"")</x:f>
        <x:v>44.88080268047904</x:v>
      </x:c>
      <x:c r="BI160" s="34" t="n">
        <x:f>IF(COUNT(AA160,AB160,AC160)=3,AVERAGE(AA160,AB160,AC160),"")</x:f>
        <x:v>80.58684488256954</x:v>
      </x:c>
      <x:c r="BJ160" s="34" t="n">
        <x:f>IF(COUNT(AD160,AE160)=2,AVERAGE(AD160,AE160),"")</x:f>
        <x:v>71.10651450892857</x:v>
      </x:c>
      <x:c r="BK160" s="34" t="n">
        <x:f>IF(COUNT(AF160,AG160)=2,AVERAGE(AF160,AG160),"")</x:f>
        <x:v>11.627672777716036</x:v>
      </x:c>
      <x:c r="BL160" s="34" t="n">
        <x:f>IF(COUNT(AH160,AI160)=2,AVERAGE(AH160,AI160),"")</x:f>
        <x:v>0</x:v>
      </x:c>
      <x:c r="BM160" s="34" t="n">
        <x:f>IF(COUNT(AJ160,AK160)=2,AVERAGE(AJ160,AK160),"")</x:f>
        <x:v>73.1641347245536</x:v>
      </x:c>
      <x:c r="BN160" s="34" t="n">
        <x:f>IF(COUNT(AL160,AM160,AN160)=3,AVERAGE(AL160,AM160,AN160),"")</x:f>
        <x:v>66.67542517693484</x:v>
      </x:c>
      <x:c r="BO160" s="35" t="n">
        <x:f>IF(AND(COUNT(BG160:BN160)=8,ABS('Scoring Setup'!$C$17-1)&lt;0.000001),BG160*'Scoring Setup'!$C$9+BH160*'Scoring Setup'!$C$10+BI160*'Scoring Setup'!$C$11+BJ160*'Scoring Setup'!$C$12+BK160*'Scoring Setup'!$C$13+BL160*'Scoring Setup'!$C$14+BM160*'Scoring Setup'!$C$15+BN160*'Scoring Setup'!$C$16,"")</x:f>
        <x:v>54.90825999423483</x:v>
      </x:c>
      <x:c r="BP160" s="36" t="n">
        <x:f>IF(COUNT(AO160:BF160)=18,MIN(AO160:BF160),"")</x:f>
        <x:v>0.8</x:v>
      </x:c>
      <x:c r="BQ160" s="35" t="n">
        <x:f>IF(AND(ISNUMBER(BO160),ISNUMBER(BP160)),BO160*BP160,"")</x:f>
        <x:v>43.92660799538787</x:v>
      </x:c>
      <x:c r="BR160" s="17" t="str">
        <x:f>IF(COUNT(AO160:BF160)=18,INDEX('Scoring Setup'!$F$9:$F$26,MATCH(MIN(AO160:BF160),AO160:BF160,0),1),"")</x:f>
        <x:v>历史CDD65</x:v>
      </x:c>
    </x:row>
    <x:row r="161">
      <x:c r="A161" s="28" t="str">
        <x:v>13317</x:v>
      </x:c>
      <x:c r="B161" s="28" t="str">
        <x:v>Wilkes County</x:v>
      </x:c>
      <x:c r="C161" s="28" t="str">
        <x:v>GA</x:v>
      </x:c>
      <x:c r="D161" s="31" t="n">
        <x:v>1216.008875</x:v>
      </x:c>
      <x:c r="E161" s="32" t="n">
        <x:v>0.656</x:v>
      </x:c>
      <x:c r="F161" s="32" t="n">
        <x:v>0.11293316831683199</x:v>
      </x:c>
      <x:c r="G161" s="32" t="n">
        <x:v>2.931926380780837</x:v>
      </x:c>
      <x:c r="H161" s="32" t="n">
        <x:v>2.735302759</x:v>
      </x:c>
      <x:c r="I161" s="32" t="n">
        <x:v>0.9650357089037351</x:v>
      </x:c>
      <x:c r="J161" s="32" t="n">
        <x:v>0.03226237820349047</x:v>
      </x:c>
      <x:c r="K161" s="32" t="n">
        <x:v>0.04661511504560752</x:v>
      </x:c>
      <x:c r="L161" s="32" t="n">
        <x:v>0.998383969</x:v>
      </x:c>
      <x:c r="M161" s="32" t="n">
        <x:v>0.997737557</x:v>
      </x:c>
      <x:c r="N161" s="32" t="n">
        <x:v>3797</x:v>
      </x:c>
      <x:c r="O161" s="32" t="n">
        <x:v>0.6083</x:v>
      </x:c>
      <x:c r="P161" s="32" t="n">
        <x:v>1667.240096028646</x:v>
      </x:c>
      <x:c r="Q161" s="32" t="n">
        <x:v>46.95509045918782</x:v>
      </x:c>
      <x:c r="R161" s="32" t="n">
        <x:v>30.458941576657004</x:v>
      </x:c>
      <x:c r="S161" s="32" t="n">
        <x:v>5.188182751386752</x:v>
      </x:c>
      <x:c r="T161" s="32" t="n">
        <x:v>72.1</x:v>
      </x:c>
      <x:c r="U161" s="32" t="n">
        <x:v>211.4154781728841</x:v>
      </x:c>
      <x:c r="V161" s="32" t="n">
        <x:v>325.42757789465</x:v>
      </x:c>
      <x:c r="W161" s="33" t="n">
        <x:f>IF(ISNUMBER(E161),100*MAX(0,MIN(1,('Anchors'!$H$6-E161)/('Anchors'!$H$6-'Anchors'!$G$6))),"")</x:f>
        <x:v>34.85714285714286</x:v>
      </x:c>
      <x:c r="X161" s="33" t="n">
        <x:f>IF(ISNUMBER(F161),100*MAX(0,MIN(1,('Anchors'!$H$7-F161)/('Anchors'!$H$7-'Anchors'!$G$7))),"")</x:f>
        <x:v>98.15240452616686</x:v>
      </x:c>
      <x:c r="Y161" s="33" t="n">
        <x:f>IF(ISNUMBER(G161),100*MAX(0,MIN(1,('Anchors'!$H$8-G161)/('Anchors'!$H$8-'Anchors'!$G$8))),"")</x:f>
        <x:v>35.6024539739721</x:v>
      </x:c>
      <x:c r="Z161" s="33" t="n">
        <x:f>IF(ISNUMBER(H161),100*MAX(0,MIN(1,('Anchors'!$H$9-H161)/('Anchors'!$H$9-'Anchors'!$G$9))),"")</x:f>
        <x:v>42.1565747</x:v>
      </x:c>
      <x:c r="AA161" s="33" t="n">
        <x:f>IF(ISNUMBER(I161),100*MAX(0,MIN(1,(I161-'Anchors'!$H$10)/('Anchors'!$G$10-'Anchors'!$H$10))),"")</x:f>
        <x:v>97.95009711010071</x:v>
      </x:c>
      <x:c r="AB161" s="33" t="n">
        <x:f>IF(ISNUMBER(J161),100*MAX(0,MIN(1,('Anchors'!$H$11-J161)/('Anchors'!$H$11-'Anchors'!$G$11))),"")</x:f>
        <x:v>87.0950487186038</x:v>
      </x:c>
      <x:c r="AC161" s="33" t="n">
        <x:f>IF(ISNUMBER(K161),100*MAX(0,MIN(1,('Anchors'!$H$12-K161)/('Anchors'!$H$12-'Anchors'!$G$12))),"")</x:f>
        <x:v>88.34622123859812</x:v>
      </x:c>
      <x:c r="AD161" s="33" t="n">
        <x:f>IF(ISNUMBER(L161),100*MAX(0,MIN(1,(L161-'Anchors'!$H$13)/('Anchors'!$G$13-'Anchors'!$H$13))),"")</x:f>
        <x:v>100</x:v>
      </x:c>
      <x:c r="AE161" s="33" t="n">
        <x:f>IF(ISNUMBER(M161),100*MAX(0,MIN(1,(M161-'Anchors'!$H$14)/('Anchors'!$G$14-'Anchors'!$H$14))),"")</x:f>
        <x:v>100</x:v>
      </x:c>
      <x:c r="AF161" s="33" t="n">
        <x:f>IF(ISNUMBER(N161),100*MAX(0,MIN(1,(LN(1+N161)-LN(1+'Anchors'!$H$15))/(LN(1+'Anchors'!$G$15)-LN(1+'Anchors'!$H$15)))),"")</x:f>
        <x:v>14.844297268584539</x:v>
      </x:c>
      <x:c r="AG161" s="33" t="n">
        <x:f>IF(ISNUMBER(O161),100*MAX(0,MIN(1,('Anchors'!$H$16-O161)/('Anchors'!$H$16-'Anchors'!$G$16))),"")</x:f>
        <x:v>37.96666666666667</x:v>
      </x:c>
      <x:c r="AH161" s="33" t="n">
        <x:f>IF(ISNUMBER(P161),100*MAX(0,MIN(1,('Anchors'!$H$17-P161)/('Anchors'!$H$17-'Anchors'!$G$17))),"")</x:f>
        <x:v>35.51732693142361</x:v>
      </x:c>
      <x:c r="AI161" s="33" t="n">
        <x:f>IF(ISNUMBER(Q161),100*MAX(0,MIN(1,('Anchors'!$H$18-Q161)/('Anchors'!$H$18-'Anchors'!$G$18))),"")</x:f>
        <x:v>40.064156486874545</x:v>
      </x:c>
      <x:c r="AJ161" s="33" t="n">
        <x:f>IF(ISNUMBER(R161),100*MAX(0,MIN(1,('Anchors'!$H$19-R161)/('Anchors'!$H$19-'Anchors'!$G$19))),"")</x:f>
        <x:v>43.42457427409555</x:v>
      </x:c>
      <x:c r="AK161" s="33" t="n">
        <x:f>IF(ISNUMBER(S161),100*MAX(0,MIN(1,('Anchors'!$H$20-S161)/('Anchors'!$H$20-'Anchors'!$G$20))),"")</x:f>
        <x:v>77.95693288743814</x:v>
      </x:c>
      <x:c r="AL161" s="33" t="n">
        <x:f>IF(ISNUMBER(T161),100*MAX(0,MIN(1,('Anchors'!$H$21-T161)/('Anchors'!$H$21-'Anchors'!$G$21))),"")</x:f>
        <x:v>87.0909090909091</x:v>
      </x:c>
      <x:c r="AM161" s="33" t="n">
        <x:f>IF(ISNUMBER(U161),100*MAX(0,MIN(1,('Anchors'!$H$22-U161)/('Anchors'!$H$22-'Anchors'!$G$22))),"")</x:f>
        <x:v>44.29226091355795</x:v>
      </x:c>
      <x:c r="AN161" s="33" t="n">
        <x:f>IF(ISNUMBER(V161),100*MAX(0,MIN(1,('Anchors'!$H$23-V161)/('Anchors'!$H$23-'Anchors'!$G$23))),"")</x:f>
        <x:v>68.6431055263375</x:v>
      </x:c>
      <x:c r="AO161" s="27" t="n">
        <x:f>IF(ISNUMBER(W161),IF('Scoring Setup'!$L$9=1,1-'Scoring Setup'!$B$5*(1-MAX(0,MIN(1,(W161-'Scoring Setup'!$K$9)/(100-'Scoring Setup'!$K$9)))),1),"")</x:f>
        <x:v>0.8697142857142857</x:v>
      </x:c>
      <x:c r="AP161" s="27" t="n">
        <x:f>IF(ISNUMBER(X161),IF('Scoring Setup'!$L$10=1,1-'Scoring Setup'!$B$5*(1-MAX(0,MIN(1,(X161-'Scoring Setup'!$K$10)/(100-'Scoring Setup'!$K$10)))),1),"")</x:f>
        <x:v>0.9963048090523338</x:v>
      </x:c>
      <x:c r="AQ161" s="27" t="n">
        <x:f>IF(ISNUMBER(Y161),IF('Scoring Setup'!$L$11=1,1-'Scoring Setup'!$B$5*(1-MAX(0,MIN(1,(Y161-'Scoring Setup'!$K$11)/(100-'Scoring Setup'!$K$11)))),1),"")</x:f>
        <x:v>0.8712049079479443</x:v>
      </x:c>
      <x:c r="AR161" s="27" t="n">
        <x:f>IF(ISNUMBER(Z161),IF('Scoring Setup'!$L$12=1,1-'Scoring Setup'!$B$5*(1-MAX(0,MIN(1,(Z161-'Scoring Setup'!$K$12)/(100-'Scoring Setup'!$K$12)))),1),"")</x:f>
        <x:v>0.8843131494</x:v>
      </x:c>
      <x:c r="AS161" s="27" t="n">
        <x:f>IF(ISNUMBER(AA161),IF('Scoring Setup'!$L$13=1,1-'Scoring Setup'!$B$5*(1-MAX(0,MIN(1,(AA161-'Scoring Setup'!$K$13)/(100-'Scoring Setup'!$K$13)))),1),"")</x:f>
        <x:v>0.9959001942202014</x:v>
      </x:c>
      <x:c r="AT161" s="27" t="n">
        <x:f>IF(ISNUMBER(AB161),IF('Scoring Setup'!$L$14=1,1-'Scoring Setup'!$B$5*(1-MAX(0,MIN(1,(AB161-'Scoring Setup'!$K$14)/(100-'Scoring Setup'!$K$14)))),1),"")</x:f>
        <x:v>0.9741900974372076</x:v>
      </x:c>
      <x:c r="AU161" s="27" t="n">
        <x:f>IF(ISNUMBER(AC161),IF('Scoring Setup'!$L$15=1,1-'Scoring Setup'!$B$5*(1-MAX(0,MIN(1,(AC161-'Scoring Setup'!$K$15)/(100-'Scoring Setup'!$K$15)))),1),"")</x:f>
        <x:v>0.9766924424771962</x:v>
      </x:c>
      <x:c r="AV161" s="27" t="n">
        <x:f>IF(ISNUMBER(AD161),IF('Scoring Setup'!$L$16=1,1-'Scoring Setup'!$B$5*(1-MAX(0,MIN(1,(AD161-'Scoring Setup'!$K$16)/(100-'Scoring Setup'!$K$16)))),1),"")</x:f>
        <x:v>1</x:v>
      </x:c>
      <x:c r="AW161" s="27" t="n">
        <x:f>IF(ISNUMBER(AE161),IF('Scoring Setup'!$L$17=1,1-'Scoring Setup'!$B$5*(1-MAX(0,MIN(1,(AE161-'Scoring Setup'!$K$17)/(100-'Scoring Setup'!$K$17)))),1),"")</x:f>
        <x:v>1</x:v>
      </x:c>
      <x:c r="AX161" s="27" t="n">
        <x:f>IF(ISNUMBER(AF161),IF('Scoring Setup'!$L$18=1,1-'Scoring Setup'!$B$5*(1-MAX(0,MIN(1,(AF161-'Scoring Setup'!$K$18)/(100-'Scoring Setup'!$K$18)))),1),"")</x:f>
        <x:v>0.829688594537169</x:v>
      </x:c>
      <x:c r="AY161" s="27" t="n">
        <x:f>IF(ISNUMBER(AG161),IF('Scoring Setup'!$L$19=1,1-'Scoring Setup'!$B$5*(1-MAX(0,MIN(1,(AG161-'Scoring Setup'!$K$19)/(100-'Scoring Setup'!$K$19)))),1),"")</x:f>
        <x:v>0.8759333333333333</x:v>
      </x:c>
      <x:c r="AZ161" s="27" t="n">
        <x:f>IF(ISNUMBER(AH161),IF('Scoring Setup'!$L$20=1,1-'Scoring Setup'!$B$5*(1-MAX(0,MIN(1,(AH161-'Scoring Setup'!$K$20)/(100-'Scoring Setup'!$K$20)))),1),"")</x:f>
        <x:v>0.8710346538628472</x:v>
      </x:c>
      <x:c r="BA161" s="27" t="n">
        <x:f>IF(ISNUMBER(AI161),IF('Scoring Setup'!$L$21=1,1-'Scoring Setup'!$B$5*(1-MAX(0,MIN(1,(AI161-'Scoring Setup'!$K$21)/(100-'Scoring Setup'!$K$21)))),1),"")</x:f>
        <x:v>0.880128312973749</x:v>
      </x:c>
      <x:c r="BB161" s="27" t="n">
        <x:f>IF(ISNUMBER(AJ161),IF('Scoring Setup'!$L$22=1,1-'Scoring Setup'!$B$5*(1-MAX(0,MIN(1,(AJ161-'Scoring Setup'!$K$22)/(100-'Scoring Setup'!$K$22)))),1),"")</x:f>
        <x:v>0.8868491485481911</x:v>
      </x:c>
      <x:c r="BC161" s="27" t="n">
        <x:f>IF(ISNUMBER(AK161),IF('Scoring Setup'!$L$23=1,1-'Scoring Setup'!$B$5*(1-MAX(0,MIN(1,(AK161-'Scoring Setup'!$K$23)/(100-'Scoring Setup'!$K$23)))),1),"")</x:f>
        <x:v>0.9559138657748762</x:v>
      </x:c>
      <x:c r="BD161" s="27" t="n">
        <x:f>IF(ISNUMBER(AL161),IF('Scoring Setup'!$L$24=1,1-'Scoring Setup'!$B$5*(1-MAX(0,MIN(1,(AL161-'Scoring Setup'!$K$24)/(100-'Scoring Setup'!$K$24)))),1),"")</x:f>
        <x:v>0.9741818181818181</x:v>
      </x:c>
      <x:c r="BE161" s="27" t="n">
        <x:f>IF(ISNUMBER(AM161),IF('Scoring Setup'!$L$25=1,1-'Scoring Setup'!$B$5*(1-MAX(0,MIN(1,(AM161-'Scoring Setup'!$K$25)/(100-'Scoring Setup'!$K$25)))),1),"")</x:f>
        <x:v>0.8885845218271159</x:v>
      </x:c>
      <x:c r="BF161" s="27" t="n">
        <x:f>IF(ISNUMBER(AN161),IF('Scoring Setup'!$L$26=1,1-'Scoring Setup'!$B$5*(1-MAX(0,MIN(1,(AN161-'Scoring Setup'!$K$26)/(100-'Scoring Setup'!$K$26)))),1),"")</x:f>
        <x:v>0.937286211052675</x:v>
      </x:c>
      <x:c r="BG161" s="34" t="n">
        <x:f>IF(COUNT(W161,X161)=2,AVERAGE(W161,X161),"")</x:f>
        <x:v>66.50477369165486</x:v>
      </x:c>
      <x:c r="BH161" s="34" t="n">
        <x:f>IF(COUNT(Y161,Z161)=2,AVERAGE(Y161,Z161),"")</x:f>
        <x:v>38.87951433698605</x:v>
      </x:c>
      <x:c r="BI161" s="34" t="n">
        <x:f>IF(COUNT(AA161,AB161,AC161)=3,AVERAGE(AA161,AB161,AC161),"")</x:f>
        <x:v>91.13045568910087</x:v>
      </x:c>
      <x:c r="BJ161" s="34" t="n">
        <x:f>IF(COUNT(AD161,AE161)=2,AVERAGE(AD161,AE161),"")</x:f>
        <x:v>100</x:v>
      </x:c>
      <x:c r="BK161" s="34" t="n">
        <x:f>IF(COUNT(AF161,AG161)=2,AVERAGE(AF161,AG161),"")</x:f>
        <x:v>26.405481967625605</x:v>
      </x:c>
      <x:c r="BL161" s="34" t="n">
        <x:f>IF(COUNT(AH161,AI161)=2,AVERAGE(AH161,AI161),"")</x:f>
        <x:v>37.790741709149074</x:v>
      </x:c>
      <x:c r="BM161" s="34" t="n">
        <x:f>IF(COUNT(AJ161,AK161)=2,AVERAGE(AJ161,AK161),"")</x:f>
        <x:v>60.690753580766845</x:v>
      </x:c>
      <x:c r="BN161" s="34" t="n">
        <x:f>IF(COUNT(AL161,AM161,AN161)=3,AVERAGE(AL161,AM161,AN161),"")</x:f>
        <x:v>66.67542517693484</x:v>
      </x:c>
      <x:c r="BO161" s="35" t="n">
        <x:f>IF(AND(COUNT(BG161:BN161)=8,ABS('Scoring Setup'!$C$17-1)&lt;0.000001),BG161*'Scoring Setup'!$C$9+BH161*'Scoring Setup'!$C$10+BI161*'Scoring Setup'!$C$11+BJ161*'Scoring Setup'!$C$12+BK161*'Scoring Setup'!$C$13+BL161*'Scoring Setup'!$C$14+BM161*'Scoring Setup'!$C$15+BN161*'Scoring Setup'!$C$16,"")</x:f>
        <x:v>61.10667631981159</x:v>
      </x:c>
      <x:c r="BP161" s="36" t="n">
        <x:f>IF(COUNT(AO161:BF161)=18,MIN(AO161:BF161),"")</x:f>
        <x:v>0.829688594537169</x:v>
      </x:c>
      <x:c r="BQ161" s="35" t="n">
        <x:f>IF(AND(ISNUMBER(BO161),ISNUMBER(BP161)),BO161*BP161,"")</x:f>
        <x:v>50.69951239262219</x:v>
      </x:c>
      <x:c r="BR161" s="17" t="str">
        <x:f>IF(COUNT(AO161:BF161)=18,INDEX('Scoring Setup'!$F$9:$F$26,MATCH(MIN(AO161:BF161),AO161:BF161,0),1),"")</x:f>
        <x:v>劳动力人数</x:v>
      </x:c>
    </x:row>
    <x:row r="162">
      <x:c r="A162" s="28" t="str">
        <x:v>13319</x:v>
      </x:c>
      <x:c r="B162" s="28" t="str">
        <x:v>Wilkinson County</x:v>
      </x:c>
      <x:c r="C162" s="28" t="str">
        <x:v>GA</x:v>
      </x:c>
      <x:c r="D162" s="31" t="n">
        <x:v>1163.481422</x:v>
      </x:c>
      <x:c r="E162" s="32" t="n">
        <x:v>0.514</x:v>
      </x:c>
      <x:c r="F162" s="32" t="n">
        <x:v>0.24721534653465302</x:v>
      </x:c>
      <x:c r="G162" s="32" t="n">
        <x:v>2.1016018680269632</x:v>
      </x:c>
      <x:c r="H162" s="32" t="n">
        <x:v>1.9091710310000003</x:v>
      </x:c>
      <x:c r="I162" s="32" t="n">
        <x:v>0.9545189178011803</x:v>
      </x:c>
      <x:c r="J162" s="32" t="n">
        <x:v>0.013128414148652113</x:v>
      </x:c>
      <x:c r="K162" s="32" t="n">
        <x:v>0.19863088773854715</x:v>
      </x:c>
      <x:c r="L162" s="32" t="n">
        <x:v>0.578657417</x:v>
      </x:c>
      <x:c r="M162" s="32" t="n">
        <x:v>0.578657417</x:v>
      </x:c>
      <x:c r="N162" s="32" t="n">
        <x:v>3149</x:v>
      </x:c>
      <x:c r="O162" s="32" t="n">
        <x:v>0.784</x:v>
      </x:c>
      <x:c r="P162" s="32" t="n">
        <x:v>2032.0775716145831</x:v>
      </x:c>
      <x:c r="Q162" s="32" t="n">
        <x:v>69.33763262430827</x:v>
      </x:c>
      <x:c r="R162" s="32" t="n">
        <x:v>26.183370878022714</x:v>
      </x:c>
      <x:c r="S162" s="32" t="n">
        <x:v>4.4361494742584275</x:v>
      </x:c>
      <x:c r="T162" s="32" t="n">
        <x:v>72.1</x:v>
      </x:c>
      <x:c r="U162" s="32" t="n">
        <x:v>211.4154781728841</x:v>
      </x:c>
      <x:c r="V162" s="32" t="n">
        <x:v>325.42757789465</x:v>
      </x:c>
      <x:c r="W162" s="33" t="n">
        <x:f>IF(ISNUMBER(E162),100*MAX(0,MIN(1,('Anchors'!$H$6-E162)/('Anchors'!$H$6-'Anchors'!$G$6))),"")</x:f>
        <x:v>55.142857142857146</x:v>
      </x:c>
      <x:c r="X162" s="33" t="n">
        <x:f>IF(ISNUMBER(F162),100*MAX(0,MIN(1,('Anchors'!$H$7-F162)/('Anchors'!$H$7-'Anchors'!$G$7))),"")</x:f>
        <x:v>78.96923620933528</x:v>
      </x:c>
      <x:c r="Y162" s="33" t="n">
        <x:f>IF(ISNUMBER(G162),100*MAX(0,MIN(1,('Anchors'!$H$8-G162)/('Anchors'!$H$8-'Anchors'!$G$8))),"")</x:f>
        <x:v>63.279937732434554</x:v>
      </x:c>
      <x:c r="Z162" s="33" t="n">
        <x:f>IF(ISNUMBER(H162),100*MAX(0,MIN(1,('Anchors'!$H$9-H162)/('Anchors'!$H$9-'Anchors'!$G$9))),"")</x:f>
        <x:v>69.69429896666665</x:v>
      </x:c>
      <x:c r="AA162" s="33" t="n">
        <x:f>IF(ISNUMBER(I162),100*MAX(0,MIN(1,(I162-'Anchors'!$H$10)/('Anchors'!$G$10-'Anchors'!$H$10))),"")</x:f>
        <x:v>96.50944079468223</x:v>
      </x:c>
      <x:c r="AB162" s="33" t="n">
        <x:f>IF(ISNUMBER(J162),100*MAX(0,MIN(1,('Anchors'!$H$11-J162)/('Anchors'!$H$11-'Anchors'!$G$11))),"")</x:f>
        <x:v>94.74863434053916</x:v>
      </x:c>
      <x:c r="AC162" s="33" t="n">
        <x:f>IF(ISNUMBER(K162),100*MAX(0,MIN(1,('Anchors'!$H$12-K162)/('Anchors'!$H$12-'Anchors'!$G$12))),"")</x:f>
        <x:v>50.34227806536321</x:v>
      </x:c>
      <x:c r="AD162" s="33" t="n">
        <x:f>IF(ISNUMBER(L162),100*MAX(0,MIN(1,(L162-'Anchors'!$H$13)/('Anchors'!$G$13-'Anchors'!$H$13))),"")</x:f>
        <x:v>54.093916714285704</x:v>
      </x:c>
      <x:c r="AE162" s="33" t="n">
        <x:f>IF(ISNUMBER(M162),100*MAX(0,MIN(1,(M162-'Anchors'!$H$14)/('Anchors'!$G$14-'Anchors'!$H$14))),"")</x:f>
        <x:v>59.832177124999994</x:v>
      </x:c>
      <x:c r="AF162" s="33" t="n">
        <x:f>IF(ISNUMBER(N162),100*MAX(0,MIN(1,(LN(1+N162)-LN(1+'Anchors'!$H$15))/(LN(1+'Anchors'!$G$15)-LN(1+'Anchors'!$H$15)))),"")</x:f>
        <x:v>10.510908796667287</x:v>
      </x:c>
      <x:c r="AG162" s="33" t="n">
        <x:f>IF(ISNUMBER(O162),100*MAX(0,MIN(1,('Anchors'!$H$16-O162)/('Anchors'!$H$16-'Anchors'!$G$16))),"")</x:f>
        <x:v>18.44444444444444</x:v>
      </x:c>
      <x:c r="AH162" s="33" t="n">
        <x:f>IF(ISNUMBER(P162),100*MAX(0,MIN(1,('Anchors'!$H$17-P162)/('Anchors'!$H$17-'Anchors'!$G$17))),"")</x:f>
        <x:v>11.194828559027792</x:v>
      </x:c>
      <x:c r="AI162" s="33" t="n">
        <x:f>IF(ISNUMBER(Q162),100*MAX(0,MIN(1,('Anchors'!$H$18-Q162)/('Anchors'!$H$18-'Anchors'!$G$18))),"")</x:f>
        <x:v>8.089096250988186</x:v>
      </x:c>
      <x:c r="AJ162" s="33" t="n">
        <x:f>IF(ISNUMBER(R162),100*MAX(0,MIN(1,('Anchors'!$H$19-R162)/('Anchors'!$H$19-'Anchors'!$G$19))),"")</x:f>
        <x:v>52.92584249328286</x:v>
      </x:c>
      <x:c r="AK162" s="33" t="n">
        <x:f>IF(ISNUMBER(S162),100*MAX(0,MIN(1,('Anchors'!$H$20-S162)/('Anchors'!$H$20-'Anchors'!$G$20))),"")</x:f>
        <x:v>81.91500276706091</x:v>
      </x:c>
      <x:c r="AL162" s="33" t="n">
        <x:f>IF(ISNUMBER(T162),100*MAX(0,MIN(1,('Anchors'!$H$21-T162)/('Anchors'!$H$21-'Anchors'!$G$21))),"")</x:f>
        <x:v>87.0909090909091</x:v>
      </x:c>
      <x:c r="AM162" s="33" t="n">
        <x:f>IF(ISNUMBER(U162),100*MAX(0,MIN(1,('Anchors'!$H$22-U162)/('Anchors'!$H$22-'Anchors'!$G$22))),"")</x:f>
        <x:v>44.29226091355795</x:v>
      </x:c>
      <x:c r="AN162" s="33" t="n">
        <x:f>IF(ISNUMBER(V162),100*MAX(0,MIN(1,('Anchors'!$H$23-V162)/('Anchors'!$H$23-'Anchors'!$G$23))),"")</x:f>
        <x:v>68.6431055263375</x:v>
      </x:c>
      <x:c r="AO162" s="27" t="n">
        <x:f>IF(ISNUMBER(W162),IF('Scoring Setup'!$L$9=1,1-'Scoring Setup'!$B$5*(1-MAX(0,MIN(1,(W162-'Scoring Setup'!$K$9)/(100-'Scoring Setup'!$K$9)))),1),"")</x:f>
        <x:v>0.9102857142857143</x:v>
      </x:c>
      <x:c r="AP162" s="27" t="n">
        <x:f>IF(ISNUMBER(X162),IF('Scoring Setup'!$L$10=1,1-'Scoring Setup'!$B$5*(1-MAX(0,MIN(1,(X162-'Scoring Setup'!$K$10)/(100-'Scoring Setup'!$K$10)))),1),"")</x:f>
        <x:v>0.9579384724186706</x:v>
      </x:c>
      <x:c r="AQ162" s="27" t="n">
        <x:f>IF(ISNUMBER(Y162),IF('Scoring Setup'!$L$11=1,1-'Scoring Setup'!$B$5*(1-MAX(0,MIN(1,(Y162-'Scoring Setup'!$K$11)/(100-'Scoring Setup'!$K$11)))),1),"")</x:f>
        <x:v>0.9265598754648691</x:v>
      </x:c>
      <x:c r="AR162" s="27" t="n">
        <x:f>IF(ISNUMBER(Z162),IF('Scoring Setup'!$L$12=1,1-'Scoring Setup'!$B$5*(1-MAX(0,MIN(1,(Z162-'Scoring Setup'!$K$12)/(100-'Scoring Setup'!$K$12)))),1),"")</x:f>
        <x:v>0.9393885979333333</x:v>
      </x:c>
      <x:c r="AS162" s="27" t="n">
        <x:f>IF(ISNUMBER(AA162),IF('Scoring Setup'!$L$13=1,1-'Scoring Setup'!$B$5*(1-MAX(0,MIN(1,(AA162-'Scoring Setup'!$K$13)/(100-'Scoring Setup'!$K$13)))),1),"")</x:f>
        <x:v>0.9930188815893645</x:v>
      </x:c>
      <x:c r="AT162" s="27" t="n">
        <x:f>IF(ISNUMBER(AB162),IF('Scoring Setup'!$L$14=1,1-'Scoring Setup'!$B$5*(1-MAX(0,MIN(1,(AB162-'Scoring Setup'!$K$14)/(100-'Scoring Setup'!$K$14)))),1),"")</x:f>
        <x:v>0.9894972686810783</x:v>
      </x:c>
      <x:c r="AU162" s="27" t="n">
        <x:f>IF(ISNUMBER(AC162),IF('Scoring Setup'!$L$15=1,1-'Scoring Setup'!$B$5*(1-MAX(0,MIN(1,(AC162-'Scoring Setup'!$K$15)/(100-'Scoring Setup'!$K$15)))),1),"")</x:f>
        <x:v>0.9006845561307264</x:v>
      </x:c>
      <x:c r="AV162" s="27" t="n">
        <x:f>IF(ISNUMBER(AD162),IF('Scoring Setup'!$L$16=1,1-'Scoring Setup'!$B$5*(1-MAX(0,MIN(1,(AD162-'Scoring Setup'!$K$16)/(100-'Scoring Setup'!$K$16)))),1),"")</x:f>
        <x:v>0.9081878334285713</x:v>
      </x:c>
      <x:c r="AW162" s="27" t="n">
        <x:f>IF(ISNUMBER(AE162),IF('Scoring Setup'!$L$17=1,1-'Scoring Setup'!$B$5*(1-MAX(0,MIN(1,(AE162-'Scoring Setup'!$K$17)/(100-'Scoring Setup'!$K$17)))),1),"")</x:f>
        <x:v>0.91966435425</x:v>
      </x:c>
      <x:c r="AX162" s="27" t="n">
        <x:f>IF(ISNUMBER(AF162),IF('Scoring Setup'!$L$18=1,1-'Scoring Setup'!$B$5*(1-MAX(0,MIN(1,(AF162-'Scoring Setup'!$K$18)/(100-'Scoring Setup'!$K$18)))),1),"")</x:f>
        <x:v>0.8210218175933346</x:v>
      </x:c>
      <x:c r="AY162" s="27" t="n">
        <x:f>IF(ISNUMBER(AG162),IF('Scoring Setup'!$L$19=1,1-'Scoring Setup'!$B$5*(1-MAX(0,MIN(1,(AG162-'Scoring Setup'!$K$19)/(100-'Scoring Setup'!$K$19)))),1),"")</x:f>
        <x:v>0.8368888888888889</x:v>
      </x:c>
      <x:c r="AZ162" s="27" t="n">
        <x:f>IF(ISNUMBER(AH162),IF('Scoring Setup'!$L$20=1,1-'Scoring Setup'!$B$5*(1-MAX(0,MIN(1,(AH162-'Scoring Setup'!$K$20)/(100-'Scoring Setup'!$K$20)))),1),"")</x:f>
        <x:v>0.8223896571180556</x:v>
      </x:c>
      <x:c r="BA162" s="27" t="n">
        <x:f>IF(ISNUMBER(AI162),IF('Scoring Setup'!$L$21=1,1-'Scoring Setup'!$B$5*(1-MAX(0,MIN(1,(AI162-'Scoring Setup'!$K$21)/(100-'Scoring Setup'!$K$21)))),1),"")</x:f>
        <x:v>0.8161781925019764</x:v>
      </x:c>
      <x:c r="BB162" s="27" t="n">
        <x:f>IF(ISNUMBER(AJ162),IF('Scoring Setup'!$L$22=1,1-'Scoring Setup'!$B$5*(1-MAX(0,MIN(1,(AJ162-'Scoring Setup'!$K$22)/(100-'Scoring Setup'!$K$22)))),1),"")</x:f>
        <x:v>0.9058516849865657</x:v>
      </x:c>
      <x:c r="BC162" s="27" t="n">
        <x:f>IF(ISNUMBER(AK162),IF('Scoring Setup'!$L$23=1,1-'Scoring Setup'!$B$5*(1-MAX(0,MIN(1,(AK162-'Scoring Setup'!$K$23)/(100-'Scoring Setup'!$K$23)))),1),"")</x:f>
        <x:v>0.9638300055341218</x:v>
      </x:c>
      <x:c r="BD162" s="27" t="n">
        <x:f>IF(ISNUMBER(AL162),IF('Scoring Setup'!$L$24=1,1-'Scoring Setup'!$B$5*(1-MAX(0,MIN(1,(AL162-'Scoring Setup'!$K$24)/(100-'Scoring Setup'!$K$24)))),1),"")</x:f>
        <x:v>0.9741818181818181</x:v>
      </x:c>
      <x:c r="BE162" s="27" t="n">
        <x:f>IF(ISNUMBER(AM162),IF('Scoring Setup'!$L$25=1,1-'Scoring Setup'!$B$5*(1-MAX(0,MIN(1,(AM162-'Scoring Setup'!$K$25)/(100-'Scoring Setup'!$K$25)))),1),"")</x:f>
        <x:v>0.8885845218271159</x:v>
      </x:c>
      <x:c r="BF162" s="27" t="n">
        <x:f>IF(ISNUMBER(AN162),IF('Scoring Setup'!$L$26=1,1-'Scoring Setup'!$B$5*(1-MAX(0,MIN(1,(AN162-'Scoring Setup'!$K$26)/(100-'Scoring Setup'!$K$26)))),1),"")</x:f>
        <x:v>0.937286211052675</x:v>
      </x:c>
      <x:c r="BG162" s="34" t="n">
        <x:f>IF(COUNT(W162,X162)=2,AVERAGE(W162,X162),"")</x:f>
        <x:v>67.05604667609622</x:v>
      </x:c>
      <x:c r="BH162" s="34" t="n">
        <x:f>IF(COUNT(Y162,Z162)=2,AVERAGE(Y162,Z162),"")</x:f>
        <x:v>66.4871183495506</x:v>
      </x:c>
      <x:c r="BI162" s="34" t="n">
        <x:f>IF(COUNT(AA162,AB162,AC162)=3,AVERAGE(AA162,AB162,AC162),"")</x:f>
        <x:v>80.53345106686153</x:v>
      </x:c>
      <x:c r="BJ162" s="34" t="n">
        <x:f>IF(COUNT(AD162,AE162)=2,AVERAGE(AD162,AE162),"")</x:f>
        <x:v>56.96304691964285</x:v>
      </x:c>
      <x:c r="BK162" s="34" t="n">
        <x:f>IF(COUNT(AF162,AG162)=2,AVERAGE(AF162,AG162),"")</x:f>
        <x:v>14.477676620555863</x:v>
      </x:c>
      <x:c r="BL162" s="34" t="n">
        <x:f>IF(COUNT(AH162,AI162)=2,AVERAGE(AH162,AI162),"")</x:f>
        <x:v>9.64196240500799</x:v>
      </x:c>
      <x:c r="BM162" s="34" t="n">
        <x:f>IF(COUNT(AJ162,AK162)=2,AVERAGE(AJ162,AK162),"")</x:f>
        <x:v>67.42042263017188</x:v>
      </x:c>
      <x:c r="BN162" s="34" t="n">
        <x:f>IF(COUNT(AL162,AM162,AN162)=3,AVERAGE(AL162,AM162,AN162),"")</x:f>
        <x:v>66.67542517693484</x:v>
      </x:c>
      <x:c r="BO162" s="35" t="n">
        <x:f>IF(AND(COUNT(BG162:BN162)=8,ABS('Scoring Setup'!$C$17-1)&lt;0.000001),BG162*'Scoring Setup'!$C$9+BH162*'Scoring Setup'!$C$10+BI162*'Scoring Setup'!$C$11+BJ162*'Scoring Setup'!$C$12+BK162*'Scoring Setup'!$C$13+BL162*'Scoring Setup'!$C$14+BM162*'Scoring Setup'!$C$15+BN162*'Scoring Setup'!$C$16,"")</x:f>
        <x:v>59.05619260306521</x:v>
      </x:c>
      <x:c r="BP162" s="36" t="n">
        <x:f>IF(COUNT(AO162:BF162)=18,MIN(AO162:BF162),"")</x:f>
        <x:v>0.8161781925019764</x:v>
      </x:c>
      <x:c r="BQ162" s="35" t="n">
        <x:f>IF(AND(ISNUMBER(BO162),ISNUMBER(BP162)),BO162*BP162,"")</x:f>
        <x:v>48.20037653481835</x:v>
      </x:c>
      <x:c r="BR162" s="17" t="str">
        <x:f>IF(COUNT(AO162:BF162)=18,INDEX('Scoring Setup'!$F$9:$F$26,MATCH(MIN(AO162:BF162),AO162:BF162,0),1),"")</x:f>
        <x:v>历史&gt;90°F天数</x:v>
      </x:c>
    </x:row>
    <x:row r="163">
      <x:c r="A163" s="28" t="str">
        <x:v>13321</x:v>
      </x:c>
      <x:c r="B163" s="28" t="str">
        <x:v>Worth County</x:v>
      </x:c>
      <x:c r="C163" s="28" t="str">
        <x:v>GA</x:v>
      </x:c>
      <x:c r="D163" s="31" t="n">
        <x:v>1478.084027</x:v>
      </x:c>
      <x:c r="E163" s="32" t="n">
        <x:v>0.526</x:v>
      </x:c>
      <x:c r="F163" s="32" t="n">
        <x:v>0.38799504950495</x:v>
      </x:c>
      <x:c r="G163" s="32" t="n">
        <x:v>1.9890324238251371</x:v>
      </x:c>
      <x:c r="H163" s="32" t="n">
        <x:v>2.067310401689847</x:v>
      </x:c>
      <x:c r="I163" s="32" t="n">
        <x:v>0.9398727841463258</x:v>
      </x:c>
      <x:c r="J163" s="32" t="n">
        <x:v>0.009951318001101144</x:v>
      </x:c>
      <x:c r="K163" s="32" t="n">
        <x:v>0.1861075242746682</x:v>
      </x:c>
      <x:c r="L163" s="32" t="n">
        <x:v>0.916034201</x:v>
      </x:c>
      <x:c r="M163" s="32" t="n">
        <x:v>0.916034201</x:v>
      </x:c>
      <x:c r="N163" s="32" t="n">
        <x:v>8630</x:v>
      </x:c>
      <x:c r="O163" s="32" t="n">
        <x:v>0.8571</x:v>
      </x:c>
      <x:c r="P163" s="32" t="n">
        <x:v>2195.385847981771</x:v>
      </x:c>
      <x:c r="Q163" s="32" t="n">
        <x:v>69.28530082702636</x:v>
      </x:c>
      <x:c r="R163" s="32" t="n">
        <x:v>26.088314039484978</x:v>
      </x:c>
      <x:c r="S163" s="32" t="n">
        <x:v>2.2897065999025226</x:v>
      </x:c>
      <x:c r="T163" s="32" t="n">
        <x:v>72.1</x:v>
      </x:c>
      <x:c r="U163" s="32" t="n">
        <x:v>211.4154781728841</x:v>
      </x:c>
      <x:c r="V163" s="32" t="n">
        <x:v>325.42757789465</x:v>
      </x:c>
      <x:c r="W163" s="33" t="n">
        <x:f>IF(ISNUMBER(E163),100*MAX(0,MIN(1,('Anchors'!$H$6-E163)/('Anchors'!$H$6-'Anchors'!$G$6))),"")</x:f>
        <x:v>53.42857142857144</x:v>
      </x:c>
      <x:c r="X163" s="33" t="n">
        <x:f>IF(ISNUMBER(F163),100*MAX(0,MIN(1,('Anchors'!$H$7-F163)/('Anchors'!$H$7-'Anchors'!$G$7))),"")</x:f>
        <x:v>58.857850070721426</x:v>
      </x:c>
      <x:c r="Y163" s="33" t="n">
        <x:f>IF(ISNUMBER(G163),100*MAX(0,MIN(1,('Anchors'!$H$8-G163)/('Anchors'!$H$8-'Anchors'!$G$8))),"")</x:f>
        <x:v>67.0322525391621</x:v>
      </x:c>
      <x:c r="Z163" s="33" t="n">
        <x:f>IF(ISNUMBER(H163),100*MAX(0,MIN(1,('Anchors'!$H$9-H163)/('Anchors'!$H$9-'Anchors'!$G$9))),"")</x:f>
        <x:v>64.42298661033843</x:v>
      </x:c>
      <x:c r="AA163" s="33" t="n">
        <x:f>IF(ISNUMBER(I163),100*MAX(0,MIN(1,(I163-'Anchors'!$H$10)/('Anchors'!$G$10-'Anchors'!$H$10))),"")</x:f>
        <x:v>94.50312111593504</x:v>
      </x:c>
      <x:c r="AB163" s="33" t="n">
        <x:f>IF(ISNUMBER(J163),100*MAX(0,MIN(1,('Anchors'!$H$11-J163)/('Anchors'!$H$11-'Anchors'!$G$11))),"")</x:f>
        <x:v>96.01947279955955</x:v>
      </x:c>
      <x:c r="AC163" s="33" t="n">
        <x:f>IF(ISNUMBER(K163),100*MAX(0,MIN(1,('Anchors'!$H$12-K163)/('Anchors'!$H$12-'Anchors'!$G$12))),"")</x:f>
        <x:v>53.473118931332955</x:v>
      </x:c>
      <x:c r="AD163" s="33" t="n">
        <x:f>IF(ISNUMBER(L163),100*MAX(0,MIN(1,(L163-'Anchors'!$H$13)/('Anchors'!$G$13-'Anchors'!$H$13))),"")</x:f>
        <x:v>100</x:v>
      </x:c>
      <x:c r="AE163" s="33" t="n">
        <x:f>IF(ISNUMBER(M163),100*MAX(0,MIN(1,(M163-'Anchors'!$H$14)/('Anchors'!$G$14-'Anchors'!$H$14))),"")</x:f>
        <x:v>100</x:v>
      </x:c>
      <x:c r="AF163" s="33" t="n">
        <x:f>IF(ISNUMBER(N163),100*MAX(0,MIN(1,(LN(1+N163)-LN(1+'Anchors'!$H$15))/(LN(1+'Anchors'!$G$15)-LN(1+'Anchors'!$H$15)))),"")</x:f>
        <x:v>33.859509908057774</x:v>
      </x:c>
      <x:c r="AG163" s="33" t="n">
        <x:f>IF(ISNUMBER(O163),100*MAX(0,MIN(1,('Anchors'!$H$16-O163)/('Anchors'!$H$16-'Anchors'!$G$16))),"")</x:f>
        <x:v>10.322222222222221</x:v>
      </x:c>
      <x:c r="AH163" s="33" t="n">
        <x:f>IF(ISNUMBER(P163),100*MAX(0,MIN(1,('Anchors'!$H$17-P163)/('Anchors'!$H$17-'Anchors'!$G$17))),"")</x:f>
        <x:v>0.3076101345486071</x:v>
      </x:c>
      <x:c r="AI163" s="33" t="n">
        <x:f>IF(ISNUMBER(Q163),100*MAX(0,MIN(1,('Anchors'!$H$18-Q163)/('Anchors'!$H$18-'Anchors'!$G$18))),"")</x:f>
        <x:v>8.163855961390912</x:v>
      </x:c>
      <x:c r="AJ163" s="33" t="n">
        <x:f>IF(ISNUMBER(R163),100*MAX(0,MIN(1,('Anchors'!$H$19-R163)/('Anchors'!$H$19-'Anchors'!$G$19))),"")</x:f>
        <x:v>53.1370799122556</x:v>
      </x:c>
      <x:c r="AK163" s="33" t="n">
        <x:f>IF(ISNUMBER(S163),100*MAX(0,MIN(1,('Anchors'!$H$20-S163)/('Anchors'!$H$20-'Anchors'!$G$20))),"")</x:f>
        <x:v>93.21207052682882</x:v>
      </x:c>
      <x:c r="AL163" s="33" t="n">
        <x:f>IF(ISNUMBER(T163),100*MAX(0,MIN(1,('Anchors'!$H$21-T163)/('Anchors'!$H$21-'Anchors'!$G$21))),"")</x:f>
        <x:v>87.0909090909091</x:v>
      </x:c>
      <x:c r="AM163" s="33" t="n">
        <x:f>IF(ISNUMBER(U163),100*MAX(0,MIN(1,('Anchors'!$H$22-U163)/('Anchors'!$H$22-'Anchors'!$G$22))),"")</x:f>
        <x:v>44.29226091355795</x:v>
      </x:c>
      <x:c r="AN163" s="33" t="n">
        <x:f>IF(ISNUMBER(V163),100*MAX(0,MIN(1,('Anchors'!$H$23-V163)/('Anchors'!$H$23-'Anchors'!$G$23))),"")</x:f>
        <x:v>68.6431055263375</x:v>
      </x:c>
      <x:c r="AO163" s="27" t="n">
        <x:f>IF(ISNUMBER(W163),IF('Scoring Setup'!$L$9=1,1-'Scoring Setup'!$B$5*(1-MAX(0,MIN(1,(W163-'Scoring Setup'!$K$9)/(100-'Scoring Setup'!$K$9)))),1),"")</x:f>
        <x:v>0.9068571428571428</x:v>
      </x:c>
      <x:c r="AP163" s="27" t="n">
        <x:f>IF(ISNUMBER(X163),IF('Scoring Setup'!$L$10=1,1-'Scoring Setup'!$B$5*(1-MAX(0,MIN(1,(X163-'Scoring Setup'!$K$10)/(100-'Scoring Setup'!$K$10)))),1),"")</x:f>
        <x:v>0.9177157001414429</x:v>
      </x:c>
      <x:c r="AQ163" s="27" t="n">
        <x:f>IF(ISNUMBER(Y163),IF('Scoring Setup'!$L$11=1,1-'Scoring Setup'!$B$5*(1-MAX(0,MIN(1,(Y163-'Scoring Setup'!$K$11)/(100-'Scoring Setup'!$K$11)))),1),"")</x:f>
        <x:v>0.9340645050783242</x:v>
      </x:c>
      <x:c r="AR163" s="27" t="n">
        <x:f>IF(ISNUMBER(Z163),IF('Scoring Setup'!$L$12=1,1-'Scoring Setup'!$B$5*(1-MAX(0,MIN(1,(Z163-'Scoring Setup'!$K$12)/(100-'Scoring Setup'!$K$12)))),1),"")</x:f>
        <x:v>0.9288459732206769</x:v>
      </x:c>
      <x:c r="AS163" s="27" t="n">
        <x:f>IF(ISNUMBER(AA163),IF('Scoring Setup'!$L$13=1,1-'Scoring Setup'!$B$5*(1-MAX(0,MIN(1,(AA163-'Scoring Setup'!$K$13)/(100-'Scoring Setup'!$K$13)))),1),"")</x:f>
        <x:v>0.9890062422318701</x:v>
      </x:c>
      <x:c r="AT163" s="27" t="n">
        <x:f>IF(ISNUMBER(AB163),IF('Scoring Setup'!$L$14=1,1-'Scoring Setup'!$B$5*(1-MAX(0,MIN(1,(AB163-'Scoring Setup'!$K$14)/(100-'Scoring Setup'!$K$14)))),1),"")</x:f>
        <x:v>0.9920389455991191</x:v>
      </x:c>
      <x:c r="AU163" s="27" t="n">
        <x:f>IF(ISNUMBER(AC163),IF('Scoring Setup'!$L$15=1,1-'Scoring Setup'!$B$5*(1-MAX(0,MIN(1,(AC163-'Scoring Setup'!$K$15)/(100-'Scoring Setup'!$K$15)))),1),"")</x:f>
        <x:v>0.9069462378626659</x:v>
      </x:c>
      <x:c r="AV163" s="27" t="n">
        <x:f>IF(ISNUMBER(AD163),IF('Scoring Setup'!$L$16=1,1-'Scoring Setup'!$B$5*(1-MAX(0,MIN(1,(AD163-'Scoring Setup'!$K$16)/(100-'Scoring Setup'!$K$16)))),1),"")</x:f>
        <x:v>1</x:v>
      </x:c>
      <x:c r="AW163" s="27" t="n">
        <x:f>IF(ISNUMBER(AE163),IF('Scoring Setup'!$L$17=1,1-'Scoring Setup'!$B$5*(1-MAX(0,MIN(1,(AE163-'Scoring Setup'!$K$17)/(100-'Scoring Setup'!$K$17)))),1),"")</x:f>
        <x:v>1</x:v>
      </x:c>
      <x:c r="AX163" s="27" t="n">
        <x:f>IF(ISNUMBER(AF163),IF('Scoring Setup'!$L$18=1,1-'Scoring Setup'!$B$5*(1-MAX(0,MIN(1,(AF163-'Scoring Setup'!$K$18)/(100-'Scoring Setup'!$K$18)))),1),"")</x:f>
        <x:v>0.8677190198161155</x:v>
      </x:c>
      <x:c r="AY163" s="27" t="n">
        <x:f>IF(ISNUMBER(AG163),IF('Scoring Setup'!$L$19=1,1-'Scoring Setup'!$B$5*(1-MAX(0,MIN(1,(AG163-'Scoring Setup'!$K$19)/(100-'Scoring Setup'!$K$19)))),1),"")</x:f>
        <x:v>0.8206444444444444</x:v>
      </x:c>
      <x:c r="AZ163" s="27" t="n">
        <x:f>IF(ISNUMBER(AH163),IF('Scoring Setup'!$L$20=1,1-'Scoring Setup'!$B$5*(1-MAX(0,MIN(1,(AH163-'Scoring Setup'!$K$20)/(100-'Scoring Setup'!$K$20)))),1),"")</x:f>
        <x:v>0.8006152202690973</x:v>
      </x:c>
      <x:c r="BA163" s="27" t="n">
        <x:f>IF(ISNUMBER(AI163),IF('Scoring Setup'!$L$21=1,1-'Scoring Setup'!$B$5*(1-MAX(0,MIN(1,(AI163-'Scoring Setup'!$K$21)/(100-'Scoring Setup'!$K$21)))),1),"")</x:f>
        <x:v>0.8163277119227819</x:v>
      </x:c>
      <x:c r="BB163" s="27" t="n">
        <x:f>IF(ISNUMBER(AJ163),IF('Scoring Setup'!$L$22=1,1-'Scoring Setup'!$B$5*(1-MAX(0,MIN(1,(AJ163-'Scoring Setup'!$K$22)/(100-'Scoring Setup'!$K$22)))),1),"")</x:f>
        <x:v>0.9062741598245112</x:v>
      </x:c>
      <x:c r="BC163" s="27" t="n">
        <x:f>IF(ISNUMBER(AK163),IF('Scoring Setup'!$L$23=1,1-'Scoring Setup'!$B$5*(1-MAX(0,MIN(1,(AK163-'Scoring Setup'!$K$23)/(100-'Scoring Setup'!$K$23)))),1),"")</x:f>
        <x:v>0.9864241410536576</x:v>
      </x:c>
      <x:c r="BD163" s="27" t="n">
        <x:f>IF(ISNUMBER(AL163),IF('Scoring Setup'!$L$24=1,1-'Scoring Setup'!$B$5*(1-MAX(0,MIN(1,(AL163-'Scoring Setup'!$K$24)/(100-'Scoring Setup'!$K$24)))),1),"")</x:f>
        <x:v>0.9741818181818181</x:v>
      </x:c>
      <x:c r="BE163" s="27" t="n">
        <x:f>IF(ISNUMBER(AM163),IF('Scoring Setup'!$L$25=1,1-'Scoring Setup'!$B$5*(1-MAX(0,MIN(1,(AM163-'Scoring Setup'!$K$25)/(100-'Scoring Setup'!$K$25)))),1),"")</x:f>
        <x:v>0.8885845218271159</x:v>
      </x:c>
      <x:c r="BF163" s="27" t="n">
        <x:f>IF(ISNUMBER(AN163),IF('Scoring Setup'!$L$26=1,1-'Scoring Setup'!$B$5*(1-MAX(0,MIN(1,(AN163-'Scoring Setup'!$K$26)/(100-'Scoring Setup'!$K$26)))),1),"")</x:f>
        <x:v>0.937286211052675</x:v>
      </x:c>
      <x:c r="BG163" s="34" t="n">
        <x:f>IF(COUNT(W163,X163)=2,AVERAGE(W163,X163),"")</x:f>
        <x:v>56.14321074964643</x:v>
      </x:c>
      <x:c r="BH163" s="34" t="n">
        <x:f>IF(COUNT(Y163,Z163)=2,AVERAGE(Y163,Z163),"")</x:f>
        <x:v>65.72761957475026</x:v>
      </x:c>
      <x:c r="BI163" s="34" t="n">
        <x:f>IF(COUNT(AA163,AB163,AC163)=3,AVERAGE(AA163,AB163,AC163),"")</x:f>
        <x:v>81.33190428227586</x:v>
      </x:c>
      <x:c r="BJ163" s="34" t="n">
        <x:f>IF(COUNT(AD163,AE163)=2,AVERAGE(AD163,AE163),"")</x:f>
        <x:v>100</x:v>
      </x:c>
      <x:c r="BK163" s="34" t="n">
        <x:f>IF(COUNT(AF163,AG163)=2,AVERAGE(AF163,AG163),"")</x:f>
        <x:v>22.09086606514</x:v>
      </x:c>
      <x:c r="BL163" s="34" t="n">
        <x:f>IF(COUNT(AH163,AI163)=2,AVERAGE(AH163,AI163),"")</x:f>
        <x:v>4.2357330479697595</x:v>
      </x:c>
      <x:c r="BM163" s="34" t="n">
        <x:f>IF(COUNT(AJ163,AK163)=2,AVERAGE(AJ163,AK163),"")</x:f>
        <x:v>73.17457521954222</x:v>
      </x:c>
      <x:c r="BN163" s="34" t="n">
        <x:f>IF(COUNT(AL163,AM163,AN163)=3,AVERAGE(AL163,AM163,AN163),"")</x:f>
        <x:v>66.67542517693484</x:v>
      </x:c>
      <x:c r="BO163" s="35" t="n">
        <x:f>IF(AND(COUNT(BG163:BN163)=8,ABS('Scoring Setup'!$C$17-1)&lt;0.000001),BG163*'Scoring Setup'!$C$9+BH163*'Scoring Setup'!$C$10+BI163*'Scoring Setup'!$C$11+BJ163*'Scoring Setup'!$C$12+BK163*'Scoring Setup'!$C$13+BL163*'Scoring Setup'!$C$14+BM163*'Scoring Setup'!$C$15+BN163*'Scoring Setup'!$C$16,"")</x:f>
        <x:v>62.97526499111233</x:v>
      </x:c>
      <x:c r="BP163" s="36" t="n">
        <x:f>IF(COUNT(AO163:BF163)=18,MIN(AO163:BF163),"")</x:f>
        <x:v>0.8006152202690973</x:v>
      </x:c>
      <x:c r="BQ163" s="35" t="n">
        <x:f>IF(AND(ISNUMBER(BO163),ISNUMBER(BP163)),BO163*BP163,"")</x:f>
        <x:v>50.41895565236417</x:v>
      </x:c>
      <x:c r="BR163" s="17" t="str">
        <x:f>IF(COUNT(AO163:BF163)=18,INDEX('Scoring Setup'!$F$9:$F$26,MATCH(MIN(AO163:BF163),AO163:BF163,0),1),"")</x:f>
        <x:v>历史CDD65</x:v>
      </x:c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1:BR1"/>
    <x:mergeCell ref="A2:BR2"/>
  </x:mergeCells>
  <x:conditionalFormatting sqref="W5:AN16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O5:BF16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Q5:BQ163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a1133b9029421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6" hidden="0" customWidth="1"/>
    <x:col min="5" max="5" width="11" hidden="0" customWidth="1"/>
    <x:col min="6" max="6" width="16" hidden="0" customWidth="1"/>
    <x:col min="7" max="7" width="11" hidden="0" customWidth="1"/>
    <x:col min="8" max="8" width="16" hidden="0" customWidth="1"/>
    <x:col min="9" max="9" width="11" hidden="0" customWidth="1"/>
    <x:col min="10" max="10" width="16" hidden="0" customWidth="1"/>
    <x:col min="11" max="11" width="11" hidden="0" customWidth="1"/>
    <x:col min="12" max="12" width="16" hidden="0" customWidth="1"/>
    <x:col min="13" max="13" width="11" hidden="0" customWidth="1"/>
    <x:col min="14" max="14" width="16" hidden="0" customWidth="1"/>
    <x:col min="15" max="15" width="11" hidden="0" customWidth="1"/>
    <x:col min="16" max="16" width="16" hidden="0" customWidth="1"/>
    <x:col min="17" max="17" width="11" hidden="0" customWidth="1"/>
    <x:col min="18" max="18" width="16" hidden="0" customWidth="1"/>
    <x:col min="19" max="19" width="11" hidden="0" customWidth="1"/>
    <x:col min="20" max="20" width="16" hidden="0" customWidth="1"/>
    <x:col min="21" max="21" width="11" hidden="0" customWidth="1"/>
    <x:col min="22" max="22" width="16" hidden="0" customWidth="1"/>
    <x:col min="23" max="23" width="11" hidden="0" customWidth="1"/>
    <x:col min="24" max="24" width="16" hidden="0" customWidth="1"/>
    <x:col min="25" max="25" width="11" hidden="0" customWidth="1"/>
    <x:col min="26" max="26" width="16" hidden="0" customWidth="1"/>
    <x:col min="27" max="27" width="11" hidden="0" customWidth="1"/>
    <x:col min="28" max="28" width="16" hidden="0" customWidth="1"/>
    <x:col min="29" max="29" width="11" hidden="0" customWidth="1"/>
    <x:col min="30" max="30" width="16" hidden="0" customWidth="1"/>
    <x:col min="31" max="31" width="11" hidden="0" customWidth="1"/>
    <x:col min="32" max="32" width="16" hidden="0" customWidth="1"/>
    <x:col min="33" max="33" width="11" hidden="0" customWidth="1"/>
    <x:col min="34" max="34" width="16" hidden="0" customWidth="1"/>
    <x:col min="35" max="35" width="11" hidden="0" customWidth="1"/>
    <x:col min="36" max="3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2" t="str">
        <x:v>Score distributions by metric (10-point bins)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</x:row>
    <x:row r="5">
      <x:c r="A5" s="9" t="str">
        <x:v>Score bin</x:v>
      </x:c>
      <x:c r="B5" s="9" t="str">
        <x:v>野火全国百分位</x:v>
      </x:c>
      <x:c r="C5" s="9" t="str">
        <x:v>Score bin</x:v>
      </x:c>
      <x:c r="D5" s="9" t="str">
        <x:v>洪水损失率全国百分位</x:v>
      </x:c>
      <x:c r="E5" s="9" t="str">
        <x:v>Score bin</x:v>
      </x:c>
      <x:c r="F5" s="9" t="str">
        <x:v>基线水压力</x:v>
      </x:c>
      <x:c r="G5" s="9" t="str">
        <x:v>Score bin</x:v>
      </x:c>
      <x:c r="H5" s="9" t="str">
        <x:v>2050 BAU水压力</x:v>
      </x:c>
      <x:c r="I5" s="9" t="str">
        <x:v>Score bin</x:v>
      </x:c>
      <x:c r="J5" s="9" t="str">
        <x:v>低不透水土地比例</x:v>
      </x:c>
      <x:c r="K5" s="9" t="str">
        <x:v>Score bin</x:v>
      </x:c>
      <x:c r="L5" s="9" t="str">
        <x:v>GAP1/2保护地比例</x:v>
      </x:c>
      <x:c r="M5" s="9" t="str">
        <x:v>Score bin</x:v>
      </x:c>
      <x:c r="N5" s="9" t="str">
        <x:v>湿地陆地比例</x:v>
      </x:c>
      <x:c r="O5" s="9" t="str">
        <x:v>Score bin</x:v>
      </x:c>
      <x:c r="P5" s="9" t="str">
        <x:v>商业光纤100/20覆盖率</x:v>
      </x:c>
      <x:c r="Q5" s="9" t="str">
        <x:v>Score bin</x:v>
      </x:c>
      <x:c r="R5" s="9" t="str">
        <x:v>商业光纤1000/100覆盖率</x:v>
      </x:c>
      <x:c r="S5" s="9" t="str">
        <x:v>Score bin</x:v>
      </x:c>
      <x:c r="T5" s="9" t="str">
        <x:v>劳动力人数</x:v>
      </x:c>
      <x:c r="U5" s="9" t="str">
        <x:v>Score bin</x:v>
      </x:c>
      <x:c r="V5" s="9" t="str">
        <x:v>社会脆弱性百分位</x:v>
      </x:c>
      <x:c r="W5" s="9" t="str">
        <x:v>Score bin</x:v>
      </x:c>
      <x:c r="X5" s="9" t="str">
        <x:v>历史CDD65</x:v>
      </x:c>
      <x:c r="Y5" s="9" t="str">
        <x:v>Score bin</x:v>
      </x:c>
      <x:c r="Z5" s="9" t="str">
        <x:v>历史&gt;90°F天数</x:v>
      </x:c>
      <x:c r="AA5" s="9" t="str">
        <x:v>Score bin</x:v>
      </x:c>
      <x:c r="AB5" s="9" t="str">
        <x:v>到Interstate距离</x:v>
      </x:c>
      <x:c r="AC5" s="9" t="str">
        <x:v>Score bin</x:v>
      </x:c>
      <x:c r="AD5" s="9" t="str">
        <x:v>到铁路距离</x:v>
      </x:c>
      <x:c r="AE5" s="9" t="str">
        <x:v>Score bin</x:v>
      </x:c>
      <x:c r="AF5" s="9" t="str">
        <x:v>州工业电价</x:v>
      </x:c>
      <x:c r="AG5" s="9" t="str">
        <x:v>Score bin</x:v>
      </x:c>
      <x:c r="AH5" s="9" t="str">
        <x:v>州SAIDI不含重大事件日</x:v>
      </x:c>
      <x:c r="AI5" s="9" t="str">
        <x:v>Score bin</x:v>
      </x:c>
      <x:c r="AJ5" s="9" t="str">
        <x:v>州电网CO2e强度</x:v>
      </x:c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</x:row>
    <x:row r="6">
      <x:c r="A6" s="1" t="str">
        <x:v>0-&lt;10</x:v>
      </x:c>
      <x:c r="B6" s="1" t="n">
        <x:v>6</x:v>
      </x:c>
      <x:c r="C6" s="1" t="str">
        <x:v>0-&lt;10</x:v>
      </x:c>
      <x:c r="D6" s="1" t="n">
        <x:v>38</x:v>
      </x:c>
      <x:c r="E6" s="1" t="str">
        <x:v>0-&lt;10</x:v>
      </x:c>
      <x:c r="F6" s="1" t="n">
        <x:v>13</x:v>
      </x:c>
      <x:c r="G6" s="1" t="str">
        <x:v>0-&lt;10</x:v>
      </x:c>
      <x:c r="H6" s="1" t="n">
        <x:v>27</x:v>
      </x:c>
      <x:c r="I6" s="1" t="str">
        <x:v>0-&lt;10</x:v>
      </x:c>
      <x:c r="J6" s="1" t="n">
        <x:v>22</x:v>
      </x:c>
      <x:c r="K6" s="1" t="str">
        <x:v>0-&lt;10</x:v>
      </x:c>
      <x:c r="L6" s="1" t="n">
        <x:v>10</x:v>
      </x:c>
      <x:c r="M6" s="1" t="str">
        <x:v>0-&lt;10</x:v>
      </x:c>
      <x:c r="N6" s="1" t="n">
        <x:v>20</x:v>
      </x:c>
      <x:c r="O6" s="1" t="str">
        <x:v>0-&lt;10</x:v>
      </x:c>
      <x:c r="P6" s="1" t="n">
        <x:v>50</x:v>
      </x:c>
      <x:c r="Q6" s="1" t="str">
        <x:v>0-&lt;10</x:v>
      </x:c>
      <x:c r="R6" s="1" t="n">
        <x:v>49</x:v>
      </x:c>
      <x:c r="S6" s="1" t="str">
        <x:v>0-&lt;10</x:v>
      </x:c>
      <x:c r="T6" s="1" t="n">
        <x:v>32</x:v>
      </x:c>
      <x:c r="U6" s="1" t="str">
        <x:v>0-&lt;10</x:v>
      </x:c>
      <x:c r="V6" s="1" t="n">
        <x:v>71</x:v>
      </x:c>
      <x:c r="W6" s="1" t="str">
        <x:v>0-&lt;10</x:v>
      </x:c>
      <x:c r="X6" s="1" t="n">
        <x:v>67</x:v>
      </x:c>
      <x:c r="Y6" s="1" t="str">
        <x:v>0-&lt;10</x:v>
      </x:c>
      <x:c r="Z6" s="1" t="n">
        <x:v>54</x:v>
      </x:c>
      <x:c r="AA6" s="1" t="str">
        <x:v>0-&lt;10</x:v>
      </x:c>
      <x:c r="AB6" s="1" t="n">
        <x:v>51</x:v>
      </x:c>
      <x:c r="AC6" s="1" t="str">
        <x:v>0-&lt;10</x:v>
      </x:c>
      <x:c r="AD6" s="1" t="n">
        <x:v>28</x:v>
      </x:c>
      <x:c r="AE6" s="1" t="str">
        <x:v>0-&lt;10</x:v>
      </x:c>
      <x:c r="AF6" s="1" t="n">
        <x:v>0</x:v>
      </x:c>
      <x:c r="AG6" s="1" t="str">
        <x:v>0-&lt;10</x:v>
      </x:c>
      <x:c r="AH6" s="1" t="n">
        <x:v>0</x:v>
      </x:c>
      <x:c r="AI6" s="1" t="str">
        <x:v>0-&lt;10</x:v>
      </x:c>
      <x:c r="AJ6" s="1" t="n">
        <x:v>0</x:v>
      </x:c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</x:row>
    <x:row r="7">
      <x:c r="A7" s="1" t="str">
        <x:v>10-&lt;20</x:v>
      </x:c>
      <x:c r="B7" s="1" t="n">
        <x:v>13</x:v>
      </x:c>
      <x:c r="C7" s="1" t="str">
        <x:v>10-&lt;20</x:v>
      </x:c>
      <x:c r="D7" s="1" t="n">
        <x:v>8</x:v>
      </x:c>
      <x:c r="E7" s="1" t="str">
        <x:v>10-&lt;20</x:v>
      </x:c>
      <x:c r="F7" s="1" t="n">
        <x:v>17</x:v>
      </x:c>
      <x:c r="G7" s="1" t="str">
        <x:v>10-&lt;20</x:v>
      </x:c>
      <x:c r="H7" s="1" t="n">
        <x:v>7</x:v>
      </x:c>
      <x:c r="I7" s="1" t="str">
        <x:v>10-&lt;20</x:v>
      </x:c>
      <x:c r="J7" s="1" t="n">
        <x:v>4</x:v>
      </x:c>
      <x:c r="K7" s="1" t="str">
        <x:v>10-&lt;20</x:v>
      </x:c>
      <x:c r="L7" s="1" t="n">
        <x:v>2</x:v>
      </x:c>
      <x:c r="M7" s="1" t="str">
        <x:v>10-&lt;20</x:v>
      </x:c>
      <x:c r="N7" s="1" t="n">
        <x:v>5</x:v>
      </x:c>
      <x:c r="O7" s="1" t="str">
        <x:v>10-&lt;20</x:v>
      </x:c>
      <x:c r="P7" s="1" t="n">
        <x:v>15</x:v>
      </x:c>
      <x:c r="Q7" s="1" t="str">
        <x:v>10-&lt;20</x:v>
      </x:c>
      <x:c r="R7" s="1" t="n">
        <x:v>18</x:v>
      </x:c>
      <x:c r="S7" s="1" t="str">
        <x:v>10-&lt;20</x:v>
      </x:c>
      <x:c r="T7" s="1" t="n">
        <x:v>35</x:v>
      </x:c>
      <x:c r="U7" s="1" t="str">
        <x:v>10-&lt;20</x:v>
      </x:c>
      <x:c r="V7" s="1" t="n">
        <x:v>38</x:v>
      </x:c>
      <x:c r="W7" s="1" t="str">
        <x:v>10-&lt;20</x:v>
      </x:c>
      <x:c r="X7" s="1" t="n">
        <x:v>14</x:v>
      </x:c>
      <x:c r="Y7" s="1" t="str">
        <x:v>10-&lt;20</x:v>
      </x:c>
      <x:c r="Z7" s="1" t="n">
        <x:v>20</x:v>
      </x:c>
      <x:c r="AA7" s="1" t="str">
        <x:v>10-&lt;20</x:v>
      </x:c>
      <x:c r="AB7" s="1" t="n">
        <x:v>13</x:v>
      </x:c>
      <x:c r="AC7" s="1" t="str">
        <x:v>10-&lt;20</x:v>
      </x:c>
      <x:c r="AD7" s="1" t="n">
        <x:v>4</x:v>
      </x:c>
      <x:c r="AE7" s="1" t="str">
        <x:v>10-&lt;20</x:v>
      </x:c>
      <x:c r="AF7" s="1" t="n">
        <x:v>0</x:v>
      </x:c>
      <x:c r="AG7" s="1" t="str">
        <x:v>10-&lt;20</x:v>
      </x:c>
      <x:c r="AH7" s="1" t="n">
        <x:v>0</x:v>
      </x:c>
      <x:c r="AI7" s="1" t="str">
        <x:v>10-&lt;20</x:v>
      </x:c>
      <x:c r="AJ7" s="1" t="n">
        <x:v>0</x:v>
      </x:c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</x:row>
    <x:row r="8">
      <x:c r="A8" s="1" t="str">
        <x:v>20-&lt;30</x:v>
      </x:c>
      <x:c r="B8" s="1" t="n">
        <x:v>19</x:v>
      </x:c>
      <x:c r="C8" s="1" t="str">
        <x:v>20-&lt;30</x:v>
      </x:c>
      <x:c r="D8" s="1" t="n">
        <x:v>16</x:v>
      </x:c>
      <x:c r="E8" s="1" t="str">
        <x:v>20-&lt;30</x:v>
      </x:c>
      <x:c r="F8" s="1" t="n">
        <x:v>12</x:v>
      </x:c>
      <x:c r="G8" s="1" t="str">
        <x:v>20-&lt;30</x:v>
      </x:c>
      <x:c r="H8" s="1" t="n">
        <x:v>26</x:v>
      </x:c>
      <x:c r="I8" s="1" t="str">
        <x:v>20-&lt;30</x:v>
      </x:c>
      <x:c r="J8" s="1" t="n">
        <x:v>3</x:v>
      </x:c>
      <x:c r="K8" s="1" t="str">
        <x:v>20-&lt;30</x:v>
      </x:c>
      <x:c r="L8" s="1" t="n">
        <x:v>7</x:v>
      </x:c>
      <x:c r="M8" s="1" t="str">
        <x:v>20-&lt;30</x:v>
      </x:c>
      <x:c r="N8" s="1" t="n">
        <x:v>12</x:v>
      </x:c>
      <x:c r="O8" s="1" t="str">
        <x:v>20-&lt;30</x:v>
      </x:c>
      <x:c r="P8" s="1" t="n">
        <x:v>19</x:v>
      </x:c>
      <x:c r="Q8" s="1" t="str">
        <x:v>20-&lt;30</x:v>
      </x:c>
      <x:c r="R8" s="1" t="n">
        <x:v>19</x:v>
      </x:c>
      <x:c r="S8" s="1" t="str">
        <x:v>20-&lt;30</x:v>
      </x:c>
      <x:c r="T8" s="1" t="n">
        <x:v>27</x:v>
      </x:c>
      <x:c r="U8" s="1" t="str">
        <x:v>20-&lt;30</x:v>
      </x:c>
      <x:c r="V8" s="1" t="n">
        <x:v>28</x:v>
      </x:c>
      <x:c r="W8" s="1" t="str">
        <x:v>20-&lt;30</x:v>
      </x:c>
      <x:c r="X8" s="1" t="n">
        <x:v>13</x:v>
      </x:c>
      <x:c r="Y8" s="1" t="str">
        <x:v>20-&lt;30</x:v>
      </x:c>
      <x:c r="Z8" s="1" t="n">
        <x:v>13</x:v>
      </x:c>
      <x:c r="AA8" s="1" t="str">
        <x:v>20-&lt;30</x:v>
      </x:c>
      <x:c r="AB8" s="1" t="n">
        <x:v>11</x:v>
      </x:c>
      <x:c r="AC8" s="1" t="str">
        <x:v>20-&lt;30</x:v>
      </x:c>
      <x:c r="AD8" s="1" t="n">
        <x:v>9</x:v>
      </x:c>
      <x:c r="AE8" s="1" t="str">
        <x:v>20-&lt;30</x:v>
      </x:c>
      <x:c r="AF8" s="1" t="n">
        <x:v>0</x:v>
      </x:c>
      <x:c r="AG8" s="1" t="str">
        <x:v>20-&lt;30</x:v>
      </x:c>
      <x:c r="AH8" s="1" t="n">
        <x:v>133</x:v>
      </x:c>
      <x:c r="AI8" s="1" t="str">
        <x:v>20-&lt;30</x:v>
      </x:c>
      <x:c r="AJ8" s="1" t="n">
        <x:v>0</x:v>
      </x:c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</x:row>
    <x:row r="9">
      <x:c r="A9" s="1" t="str">
        <x:v>30-&lt;40</x:v>
      </x:c>
      <x:c r="B9" s="1" t="n">
        <x:v>38</x:v>
      </x:c>
      <x:c r="C9" s="1" t="str">
        <x:v>30-&lt;40</x:v>
      </x:c>
      <x:c r="D9" s="1" t="n">
        <x:v>14</x:v>
      </x:c>
      <x:c r="E9" s="1" t="str">
        <x:v>30-&lt;40</x:v>
      </x:c>
      <x:c r="F9" s="1" t="n">
        <x:v>45</x:v>
      </x:c>
      <x:c r="G9" s="1" t="str">
        <x:v>30-&lt;40</x:v>
      </x:c>
      <x:c r="H9" s="1" t="n">
        <x:v>42</x:v>
      </x:c>
      <x:c r="I9" s="1" t="str">
        <x:v>30-&lt;40</x:v>
      </x:c>
      <x:c r="J9" s="1" t="n">
        <x:v>8</x:v>
      </x:c>
      <x:c r="K9" s="1" t="str">
        <x:v>30-&lt;40</x:v>
      </x:c>
      <x:c r="L9" s="1" t="n">
        <x:v>6</x:v>
      </x:c>
      <x:c r="M9" s="1" t="str">
        <x:v>30-&lt;40</x:v>
      </x:c>
      <x:c r="N9" s="1" t="n">
        <x:v>11</x:v>
      </x:c>
      <x:c r="O9" s="1" t="str">
        <x:v>30-&lt;40</x:v>
      </x:c>
      <x:c r="P9" s="1" t="n">
        <x:v>18</x:v>
      </x:c>
      <x:c r="Q9" s="1" t="str">
        <x:v>30-&lt;40</x:v>
      </x:c>
      <x:c r="R9" s="1" t="n">
        <x:v>24</x:v>
      </x:c>
      <x:c r="S9" s="1" t="str">
        <x:v>30-&lt;40</x:v>
      </x:c>
      <x:c r="T9" s="1" t="n">
        <x:v>52</x:v>
      </x:c>
      <x:c r="U9" s="1" t="str">
        <x:v>30-&lt;40</x:v>
      </x:c>
      <x:c r="V9" s="1" t="n">
        <x:v>19</x:v>
      </x:c>
      <x:c r="W9" s="1" t="str">
        <x:v>30-&lt;40</x:v>
      </x:c>
      <x:c r="X9" s="1" t="n">
        <x:v>24</x:v>
      </x:c>
      <x:c r="Y9" s="1" t="str">
        <x:v>30-&lt;40</x:v>
      </x:c>
      <x:c r="Z9" s="1" t="n">
        <x:v>15</x:v>
      </x:c>
      <x:c r="AA9" s="1" t="str">
        <x:v>30-&lt;40</x:v>
      </x:c>
      <x:c r="AB9" s="1" t="n">
        <x:v>17</x:v>
      </x:c>
      <x:c r="AC9" s="1" t="str">
        <x:v>30-&lt;40</x:v>
      </x:c>
      <x:c r="AD9" s="1" t="n">
        <x:v>8</x:v>
      </x:c>
      <x:c r="AE9" s="1" t="str">
        <x:v>30-&lt;40</x:v>
      </x:c>
      <x:c r="AF9" s="1" t="n">
        <x:v>0</x:v>
      </x:c>
      <x:c r="AG9" s="1" t="str">
        <x:v>30-&lt;40</x:v>
      </x:c>
      <x:c r="AH9" s="1" t="n">
        <x:v>0</x:v>
      </x:c>
      <x:c r="AI9" s="1" t="str">
        <x:v>30-&lt;40</x:v>
      </x:c>
      <x:c r="AJ9" s="1" t="n">
        <x:v>0</x:v>
      </x:c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</x:row>
    <x:row r="10">
      <x:c r="A10" s="1" t="str">
        <x:v>40-&lt;50</x:v>
      </x:c>
      <x:c r="B10" s="1" t="n">
        <x:v>51</x:v>
      </x:c>
      <x:c r="C10" s="1" t="str">
        <x:v>40-&lt;50</x:v>
      </x:c>
      <x:c r="D10" s="1" t="n">
        <x:v>21</x:v>
      </x:c>
      <x:c r="E10" s="1" t="str">
        <x:v>40-&lt;50</x:v>
      </x:c>
      <x:c r="F10" s="1" t="n">
        <x:v>46</x:v>
      </x:c>
      <x:c r="G10" s="1" t="str">
        <x:v>40-&lt;50</x:v>
      </x:c>
      <x:c r="H10" s="1" t="n">
        <x:v>46</x:v>
      </x:c>
      <x:c r="I10" s="1" t="str">
        <x:v>40-&lt;50</x:v>
      </x:c>
      <x:c r="J10" s="1" t="n">
        <x:v>6</x:v>
      </x:c>
      <x:c r="K10" s="1" t="str">
        <x:v>40-&lt;50</x:v>
      </x:c>
      <x:c r="L10" s="1" t="n">
        <x:v>7</x:v>
      </x:c>
      <x:c r="M10" s="1" t="str">
        <x:v>40-&lt;50</x:v>
      </x:c>
      <x:c r="N10" s="1" t="n">
        <x:v>14</x:v>
      </x:c>
      <x:c r="O10" s="1" t="str">
        <x:v>40-&lt;50</x:v>
      </x:c>
      <x:c r="P10" s="1" t="n">
        <x:v>26</x:v>
      </x:c>
      <x:c r="Q10" s="1" t="str">
        <x:v>40-&lt;50</x:v>
      </x:c>
      <x:c r="R10" s="1" t="n">
        <x:v>21</x:v>
      </x:c>
      <x:c r="S10" s="1" t="str">
        <x:v>40-&lt;50</x:v>
      </x:c>
      <x:c r="T10" s="1" t="n">
        <x:v>47</x:v>
      </x:c>
      <x:c r="U10" s="1" t="str">
        <x:v>40-&lt;50</x:v>
      </x:c>
      <x:c r="V10" s="1" t="n">
        <x:v>13</x:v>
      </x:c>
      <x:c r="W10" s="1" t="str">
        <x:v>40-&lt;50</x:v>
      </x:c>
      <x:c r="X10" s="1" t="n">
        <x:v>25</x:v>
      </x:c>
      <x:c r="Y10" s="1" t="str">
        <x:v>40-&lt;50</x:v>
      </x:c>
      <x:c r="Z10" s="1" t="n">
        <x:v>14</x:v>
      </x:c>
      <x:c r="AA10" s="1" t="str">
        <x:v>40-&lt;50</x:v>
      </x:c>
      <x:c r="AB10" s="1" t="n">
        <x:v>24</x:v>
      </x:c>
      <x:c r="AC10" s="1" t="str">
        <x:v>40-&lt;50</x:v>
      </x:c>
      <x:c r="AD10" s="1" t="n">
        <x:v>16</x:v>
      </x:c>
      <x:c r="AE10" s="1" t="str">
        <x:v>40-&lt;50</x:v>
      </x:c>
      <x:c r="AF10" s="1" t="n">
        <x:v>0</x:v>
      </x:c>
      <x:c r="AG10" s="1" t="str">
        <x:v>40-&lt;50</x:v>
      </x:c>
      <x:c r="AH10" s="1" t="n">
        <x:v>159</x:v>
      </x:c>
      <x:c r="AI10" s="1" t="str">
        <x:v>40-&lt;50</x:v>
      </x:c>
      <x:c r="AJ10" s="1" t="n">
        <x:v>0</x:v>
      </x:c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</x:row>
    <x:row r="11">
      <x:c r="A11" s="1" t="str">
        <x:v>50-&lt;60</x:v>
      </x:c>
      <x:c r="B11" s="1" t="n">
        <x:v>62</x:v>
      </x:c>
      <x:c r="C11" s="1" t="str">
        <x:v>50-&lt;60</x:v>
      </x:c>
      <x:c r="D11" s="1" t="n">
        <x:v>24</x:v>
      </x:c>
      <x:c r="E11" s="1" t="str">
        <x:v>50-&lt;60</x:v>
      </x:c>
      <x:c r="F11" s="1" t="n">
        <x:v>41</x:v>
      </x:c>
      <x:c r="G11" s="1" t="str">
        <x:v>50-&lt;60</x:v>
      </x:c>
      <x:c r="H11" s="1" t="n">
        <x:v>38</x:v>
      </x:c>
      <x:c r="I11" s="1" t="str">
        <x:v>50-&lt;60</x:v>
      </x:c>
      <x:c r="J11" s="1" t="n">
        <x:v>11</x:v>
      </x:c>
      <x:c r="K11" s="1" t="str">
        <x:v>50-&lt;60</x:v>
      </x:c>
      <x:c r="L11" s="1" t="n">
        <x:v>4</x:v>
      </x:c>
      <x:c r="M11" s="1" t="str">
        <x:v>50-&lt;60</x:v>
      </x:c>
      <x:c r="N11" s="1" t="n">
        <x:v>24</x:v>
      </x:c>
      <x:c r="O11" s="1" t="str">
        <x:v>50-&lt;60</x:v>
      </x:c>
      <x:c r="P11" s="1" t="n">
        <x:v>22</x:v>
      </x:c>
      <x:c r="Q11" s="1" t="str">
        <x:v>50-&lt;60</x:v>
      </x:c>
      <x:c r="R11" s="1" t="n">
        <x:v>23</x:v>
      </x:c>
      <x:c r="S11" s="1" t="str">
        <x:v>50-&lt;60</x:v>
      </x:c>
      <x:c r="T11" s="1" t="n">
        <x:v>27</x:v>
      </x:c>
      <x:c r="U11" s="1" t="str">
        <x:v>50-&lt;60</x:v>
      </x:c>
      <x:c r="V11" s="1" t="n">
        <x:v>24</x:v>
      </x:c>
      <x:c r="W11" s="1" t="str">
        <x:v>50-&lt;60</x:v>
      </x:c>
      <x:c r="X11" s="1" t="n">
        <x:v>40</x:v>
      </x:c>
      <x:c r="Y11" s="1" t="str">
        <x:v>50-&lt;60</x:v>
      </x:c>
      <x:c r="Z11" s="1" t="n">
        <x:v>22</x:v>
      </x:c>
      <x:c r="AA11" s="1" t="str">
        <x:v>50-&lt;60</x:v>
      </x:c>
      <x:c r="AB11" s="1" t="n">
        <x:v>21</x:v>
      </x:c>
      <x:c r="AC11" s="1" t="str">
        <x:v>50-&lt;60</x:v>
      </x:c>
      <x:c r="AD11" s="1" t="n">
        <x:v>12</x:v>
      </x:c>
      <x:c r="AE11" s="1" t="str">
        <x:v>50-&lt;60</x:v>
      </x:c>
      <x:c r="AF11" s="1" t="n">
        <x:v>133</x:v>
      </x:c>
      <x:c r="AG11" s="1" t="str">
        <x:v>50-&lt;60</x:v>
      </x:c>
      <x:c r="AH11" s="1" t="n">
        <x:v>0</x:v>
      </x:c>
      <x:c r="AI11" s="1" t="str">
        <x:v>50-&lt;60</x:v>
      </x:c>
      <x:c r="AJ11" s="1" t="n">
        <x:v>0</x:v>
      </x:c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</x:row>
    <x:row r="12">
      <x:c r="A12" s="1" t="str">
        <x:v>60-&lt;70</x:v>
      </x:c>
      <x:c r="B12" s="1" t="n">
        <x:v>20</x:v>
      </x:c>
      <x:c r="C12" s="1" t="str">
        <x:v>60-&lt;70</x:v>
      </x:c>
      <x:c r="D12" s="1" t="n">
        <x:v>20</x:v>
      </x:c>
      <x:c r="E12" s="1" t="str">
        <x:v>60-&lt;70</x:v>
      </x:c>
      <x:c r="F12" s="1" t="n">
        <x:v>34</x:v>
      </x:c>
      <x:c r="G12" s="1" t="str">
        <x:v>60-&lt;70</x:v>
      </x:c>
      <x:c r="H12" s="1" t="n">
        <x:v>29</x:v>
      </x:c>
      <x:c r="I12" s="1" t="str">
        <x:v>60-&lt;70</x:v>
      </x:c>
      <x:c r="J12" s="1" t="n">
        <x:v>6</x:v>
      </x:c>
      <x:c r="K12" s="1" t="str">
        <x:v>60-&lt;70</x:v>
      </x:c>
      <x:c r="L12" s="1" t="n">
        <x:v>11</x:v>
      </x:c>
      <x:c r="M12" s="1" t="str">
        <x:v>60-&lt;70</x:v>
      </x:c>
      <x:c r="N12" s="1" t="n">
        <x:v>18</x:v>
      </x:c>
      <x:c r="O12" s="1" t="str">
        <x:v>60-&lt;70</x:v>
      </x:c>
      <x:c r="P12" s="1" t="n">
        <x:v>28</x:v>
      </x:c>
      <x:c r="Q12" s="1" t="str">
        <x:v>60-&lt;70</x:v>
      </x:c>
      <x:c r="R12" s="1" t="n">
        <x:v>24</x:v>
      </x:c>
      <x:c r="S12" s="1" t="str">
        <x:v>60-&lt;70</x:v>
      </x:c>
      <x:c r="T12" s="1" t="n">
        <x:v>16</x:v>
      </x:c>
      <x:c r="U12" s="1" t="str">
        <x:v>60-&lt;70</x:v>
      </x:c>
      <x:c r="V12" s="1" t="n">
        <x:v>25</x:v>
      </x:c>
      <x:c r="W12" s="1" t="str">
        <x:v>60-&lt;70</x:v>
      </x:c>
      <x:c r="X12" s="1" t="n">
        <x:v>23</x:v>
      </x:c>
      <x:c r="Y12" s="1" t="str">
        <x:v>60-&lt;70</x:v>
      </x:c>
      <x:c r="Z12" s="1" t="n">
        <x:v>45</x:v>
      </x:c>
      <x:c r="AA12" s="1" t="str">
        <x:v>60-&lt;70</x:v>
      </x:c>
      <x:c r="AB12" s="1" t="n">
        <x:v>15</x:v>
      </x:c>
      <x:c r="AC12" s="1" t="str">
        <x:v>60-&lt;70</x:v>
      </x:c>
      <x:c r="AD12" s="1" t="n">
        <x:v>14</x:v>
      </x:c>
      <x:c r="AE12" s="1" t="str">
        <x:v>60-&lt;70</x:v>
      </x:c>
      <x:c r="AF12" s="1" t="n">
        <x:v>0</x:v>
      </x:c>
      <x:c r="AG12" s="1" t="str">
        <x:v>60-&lt;70</x:v>
      </x:c>
      <x:c r="AH12" s="1" t="n">
        <x:v>0</x:v>
      </x:c>
      <x:c r="AI12" s="1" t="str">
        <x:v>60-&lt;70</x:v>
      </x:c>
      <x:c r="AJ12" s="1" t="n">
        <x:v>159</x:v>
      </x:c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</x:row>
    <x:row r="13">
      <x:c r="A13" s="1" t="str">
        <x:v>70-&lt;80</x:v>
      </x:c>
      <x:c r="B13" s="1" t="n">
        <x:v>23</x:v>
      </x:c>
      <x:c r="C13" s="1" t="str">
        <x:v>70-&lt;80</x:v>
      </x:c>
      <x:c r="D13" s="1" t="n">
        <x:v>43</x:v>
      </x:c>
      <x:c r="E13" s="1" t="str">
        <x:v>70-&lt;80</x:v>
      </x:c>
      <x:c r="F13" s="1" t="n">
        <x:v>21</x:v>
      </x:c>
      <x:c r="G13" s="1" t="str">
        <x:v>70-&lt;80</x:v>
      </x:c>
      <x:c r="H13" s="1" t="n">
        <x:v>9</x:v>
      </x:c>
      <x:c r="I13" s="1" t="str">
        <x:v>70-&lt;80</x:v>
      </x:c>
      <x:c r="J13" s="1" t="n">
        <x:v>14</x:v>
      </x:c>
      <x:c r="K13" s="1" t="str">
        <x:v>70-&lt;80</x:v>
      </x:c>
      <x:c r="L13" s="1" t="n">
        <x:v>25</x:v>
      </x:c>
      <x:c r="M13" s="1" t="str">
        <x:v>70-&lt;80</x:v>
      </x:c>
      <x:c r="N13" s="1" t="n">
        <x:v>18</x:v>
      </x:c>
      <x:c r="O13" s="1" t="str">
        <x:v>70-&lt;80</x:v>
      </x:c>
      <x:c r="P13" s="1" t="n">
        <x:v>38</x:v>
      </x:c>
      <x:c r="Q13" s="1" t="str">
        <x:v>70-&lt;80</x:v>
      </x:c>
      <x:c r="R13" s="1" t="n">
        <x:v>40</x:v>
      </x:c>
      <x:c r="S13" s="1" t="str">
        <x:v>70-&lt;80</x:v>
      </x:c>
      <x:c r="T13" s="1" t="n">
        <x:v>21</x:v>
      </x:c>
      <x:c r="U13" s="1" t="str">
        <x:v>70-&lt;80</x:v>
      </x:c>
      <x:c r="V13" s="1" t="n">
        <x:v>28</x:v>
      </x:c>
      <x:c r="W13" s="1" t="str">
        <x:v>70-&lt;80</x:v>
      </x:c>
      <x:c r="X13" s="1" t="n">
        <x:v>25</x:v>
      </x:c>
      <x:c r="Y13" s="1" t="str">
        <x:v>70-&lt;80</x:v>
      </x:c>
      <x:c r="Z13" s="1" t="n">
        <x:v>46</x:v>
      </x:c>
      <x:c r="AA13" s="1" t="str">
        <x:v>70-&lt;80</x:v>
      </x:c>
      <x:c r="AB13" s="1" t="n">
        <x:v>17</x:v>
      </x:c>
      <x:c r="AC13" s="1" t="str">
        <x:v>70-&lt;80</x:v>
      </x:c>
      <x:c r="AD13" s="1" t="n">
        <x:v>21</x:v>
      </x:c>
      <x:c r="AE13" s="1" t="str">
        <x:v>70-&lt;80</x:v>
      </x:c>
      <x:c r="AF13" s="1" t="n">
        <x:v>0</x:v>
      </x:c>
      <x:c r="AG13" s="1" t="str">
        <x:v>70-&lt;80</x:v>
      </x:c>
      <x:c r="AH13" s="1" t="n">
        <x:v>0</x:v>
      </x:c>
      <x:c r="AI13" s="1" t="str">
        <x:v>70-&lt;80</x:v>
      </x:c>
      <x:c r="AJ13" s="1" t="n">
        <x:v>0</x:v>
      </x:c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</x:row>
    <x:row r="14">
      <x:c r="A14" s="1" t="str">
        <x:v>80-&lt;90</x:v>
      </x:c>
      <x:c r="B14" s="1" t="n">
        <x:v>30</x:v>
      </x:c>
      <x:c r="C14" s="1" t="str">
        <x:v>80-&lt;90</x:v>
      </x:c>
      <x:c r="D14" s="1" t="n">
        <x:v>38</x:v>
      </x:c>
      <x:c r="E14" s="1" t="str">
        <x:v>80-&lt;90</x:v>
      </x:c>
      <x:c r="F14" s="1" t="n">
        <x:v>9</x:v>
      </x:c>
      <x:c r="G14" s="1" t="str">
        <x:v>80-&lt;90</x:v>
      </x:c>
      <x:c r="H14" s="1" t="n">
        <x:v>15</x:v>
      </x:c>
      <x:c r="I14" s="1" t="str">
        <x:v>80-&lt;90</x:v>
      </x:c>
      <x:c r="J14" s="1" t="n">
        <x:v>33</x:v>
      </x:c>
      <x:c r="K14" s="1" t="str">
        <x:v>80-&lt;90</x:v>
      </x:c>
      <x:c r="L14" s="1" t="n">
        <x:v>50</x:v>
      </x:c>
      <x:c r="M14" s="1" t="str">
        <x:v>80-&lt;90</x:v>
      </x:c>
      <x:c r="N14" s="1" t="n">
        <x:v>46</x:v>
      </x:c>
      <x:c r="O14" s="1" t="str">
        <x:v>80-&lt;90</x:v>
      </x:c>
      <x:c r="P14" s="1" t="n">
        <x:v>23</x:v>
      </x:c>
      <x:c r="Q14" s="1" t="str">
        <x:v>80-&lt;90</x:v>
      </x:c>
      <x:c r="R14" s="1" t="n">
        <x:v>24</x:v>
      </x:c>
      <x:c r="S14" s="1" t="str">
        <x:v>80-&lt;90</x:v>
      </x:c>
      <x:c r="T14" s="1" t="n">
        <x:v>14</x:v>
      </x:c>
      <x:c r="U14" s="1" t="str">
        <x:v>80-&lt;90</x:v>
      </x:c>
      <x:c r="V14" s="1" t="n">
        <x:v>18</x:v>
      </x:c>
      <x:c r="W14" s="1" t="str">
        <x:v>80-&lt;90</x:v>
      </x:c>
      <x:c r="X14" s="1" t="n">
        <x:v>16</x:v>
      </x:c>
      <x:c r="Y14" s="1" t="str">
        <x:v>80-&lt;90</x:v>
      </x:c>
      <x:c r="Z14" s="1" t="n">
        <x:v>22</x:v>
      </x:c>
      <x:c r="AA14" s="1" t="str">
        <x:v>80-&lt;90</x:v>
      </x:c>
      <x:c r="AB14" s="1" t="n">
        <x:v>20</x:v>
      </x:c>
      <x:c r="AC14" s="1" t="str">
        <x:v>80-&lt;90</x:v>
      </x:c>
      <x:c r="AD14" s="1" t="n">
        <x:v>30</x:v>
      </x:c>
      <x:c r="AE14" s="1" t="str">
        <x:v>80-&lt;90</x:v>
      </x:c>
      <x:c r="AF14" s="1" t="n">
        <x:v>159</x:v>
      </x:c>
      <x:c r="AG14" s="1" t="str">
        <x:v>80-&lt;90</x:v>
      </x:c>
      <x:c r="AH14" s="1" t="n">
        <x:v>0</x:v>
      </x:c>
      <x:c r="AI14" s="1" t="str">
        <x:v>80-&lt;90</x:v>
      </x:c>
      <x:c r="AJ14" s="1" t="n">
        <x:v>133</x:v>
      </x:c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</x:row>
    <x:row r="15">
      <x:c r="A15" s="1" t="str">
        <x:v>90-100</x:v>
      </x:c>
      <x:c r="B15" s="1" t="n">
        <x:v>30</x:v>
      </x:c>
      <x:c r="C15" s="1" t="str">
        <x:v>90-100</x:v>
      </x:c>
      <x:c r="D15" s="1" t="n">
        <x:v>70</x:v>
      </x:c>
      <x:c r="E15" s="1" t="str">
        <x:v>90-100</x:v>
      </x:c>
      <x:c r="F15" s="1" t="n">
        <x:v>54</x:v>
      </x:c>
      <x:c r="G15" s="1" t="str">
        <x:v>90-100</x:v>
      </x:c>
      <x:c r="H15" s="1" t="n">
        <x:v>53</x:v>
      </x:c>
      <x:c r="I15" s="1" t="str">
        <x:v>90-100</x:v>
      </x:c>
      <x:c r="J15" s="1" t="n">
        <x:v>185</x:v>
      </x:c>
      <x:c r="K15" s="1" t="str">
        <x:v>90-100</x:v>
      </x:c>
      <x:c r="L15" s="1" t="n">
        <x:v>170</x:v>
      </x:c>
      <x:c r="M15" s="1" t="str">
        <x:v>90-100</x:v>
      </x:c>
      <x:c r="N15" s="1" t="n">
        <x:v>124</x:v>
      </x:c>
      <x:c r="O15" s="1" t="str">
        <x:v>90-100</x:v>
      </x:c>
      <x:c r="P15" s="1" t="n">
        <x:v>53</x:v>
      </x:c>
      <x:c r="Q15" s="1" t="str">
        <x:v>90-100</x:v>
      </x:c>
      <x:c r="R15" s="1" t="n">
        <x:v>50</x:v>
      </x:c>
      <x:c r="S15" s="1" t="str">
        <x:v>90-100</x:v>
      </x:c>
      <x:c r="T15" s="1" t="n">
        <x:v>21</x:v>
      </x:c>
      <x:c r="U15" s="1" t="str">
        <x:v>90-100</x:v>
      </x:c>
      <x:c r="V15" s="1" t="n">
        <x:v>28</x:v>
      </x:c>
      <x:c r="W15" s="1" t="str">
        <x:v>90-100</x:v>
      </x:c>
      <x:c r="X15" s="1" t="n">
        <x:v>45</x:v>
      </x:c>
      <x:c r="Y15" s="1" t="str">
        <x:v>90-100</x:v>
      </x:c>
      <x:c r="Z15" s="1" t="n">
        <x:v>41</x:v>
      </x:c>
      <x:c r="AA15" s="1" t="str">
        <x:v>90-100</x:v>
      </x:c>
      <x:c r="AB15" s="1" t="n">
        <x:v>103</x:v>
      </x:c>
      <x:c r="AC15" s="1" t="str">
        <x:v>90-100</x:v>
      </x:c>
      <x:c r="AD15" s="1" t="n">
        <x:v>150</x:v>
      </x:c>
      <x:c r="AE15" s="1" t="str">
        <x:v>90-100</x:v>
      </x:c>
      <x:c r="AF15" s="1" t="n">
        <x:v>0</x:v>
      </x:c>
      <x:c r="AG15" s="1" t="str">
        <x:v>90-100</x:v>
      </x:c>
      <x:c r="AH15" s="1" t="n">
        <x:v>0</x:v>
      </x:c>
      <x:c r="AI15" s="1" t="str">
        <x:v>90-100</x:v>
      </x:c>
      <x:c r="AJ15" s="1" t="n">
        <x:v>0</x:v>
      </x:c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2:A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sheetData>
    <x:row r="1">
      <x:c r="A1" s="2" t="str">
        <x:v>Normalization得分分布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</x:row>
  </x:sheetData>
  <x:mergeCells>
    <x:mergeCell ref="A1:Z1"/>
  </x:mergeCells>
  <x:pageMargins left="0.7" right="0.7" top="0.75" bottom="0.75" header="0.3" footer="0.3"/>
  <x:drawing xmlns:r="http://schemas.openxmlformats.org/officeDocument/2006/relationships" r:id="Rbddff47f33634752"/>
</x:worksheet>
</file>