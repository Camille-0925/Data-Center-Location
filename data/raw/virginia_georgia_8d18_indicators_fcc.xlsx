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bbccc7fd4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rginia" sheetId="1" r:id="Radb9bdd0f9ae4b1e"/>
    <x:sheet xmlns:r="http://schemas.openxmlformats.org/officeDocument/2006/relationships" name="Georgia" sheetId="2" r:id="R8cad4dff38ce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#,##0"/>
    <x:numFmt numFmtId="202" formatCode="0.0%"/>
    <x:numFmt numFmtId="203" formatCode="@"/>
    <x:numFmt numFmtId="204" formatCode="0.00%"/>
  </x:numFmts>
  <x:fonts count="6">
    <x:font>
      <x:sz val="11"/>
      <x:name val="Carlito"/>
    </x:font>
    <x:font>
      <x:b/>
      <x:sz val="14"/>
      <x:name val="Arial"/>
    </x:font>
    <x:font>
      <x:sz val="10"/>
      <x:color rgb="FF44546A"/>
      <x:name val="Arial"/>
    </x:font>
    <x:font>
      <x:sz val="10"/>
      <x:color rgb="FF253044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D5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left"/>
    </x:xf>
    <x:xf numFmtId="203" fontId="4" fillId="2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204" fontId="3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1d364db60439c" /><Relationship Type="http://schemas.openxmlformats.org/officeDocument/2006/relationships/theme" Target="/xl/theme/theme1.xml" Id="Ra27657fdcef0454b" /><Relationship Type="http://schemas.openxmlformats.org/officeDocument/2006/relationships/sharedStrings" Target="/xl/sharedStrings.xml" Id="Ra91de8f6b09d432e" /><Relationship Type="http://schemas.openxmlformats.org/officeDocument/2006/relationships/worksheet" Target="/xl/worksheets/sheet1.xml" Id="Radb9bdd0f9ae4b1e" /><Relationship Type="http://schemas.openxmlformats.org/officeDocument/2006/relationships/worksheet" Target="/xl/worksheets/sheet2.xml" Id="R8cad4dff38ce45d8" /></Relationships>
</file>

<file path=xl/tables/table1.xml><?xml version="1.0" encoding="utf-8"?>
<x:table xmlns:x="http://schemas.openxmlformats.org/spreadsheetml/2006/main" id="3" name="VACountyIndicators" displayName="VACountyIndicators" ref="A6:AT139" headerRowCount="1" totalsRowCount="0" totalsRowShown="0">
  <x:tableColumns count="46">
    <x:tableColumn id="1" name="FIPS"/>
    <x:tableColumn id="2" name="County / 独立市"/>
    <x:tableColumn id="3" name="州"/>
    <x:tableColumn id="4" name="土地面积 km²"/>
    <x:tableColumn id="5" name="野火全国百分位&#10;fraction"/>
    <x:tableColumn id="6" name="洪水损失率全国百分位&#10;fraction"/>
    <x:tableColumn id="7" name="基线水压力&#10;Aqueduct index 0–5"/>
    <x:tableColumn id="8" name="2050 BAU水压力&#10;Aqueduct index 0–5"/>
    <x:tableColumn id="9" name="低不透水土地比例&#10;fraction"/>
    <x:tableColumn id="10" name="GAP1/2保护地比例&#10;fraction"/>
    <x:tableColumn id="11" name="湿地陆地比例&#10;fraction"/>
    <x:tableColumn id="12" name="商业服务光纤可用占比100/20&#10;比例0–1"/>
    <x:tableColumn id="13" name="商业服务光纤可用占比1000/100&#10;比例0–1"/>
    <x:tableColumn id="14" name="劳动力人数&#10;persons"/>
    <x:tableColumn id="15" name="社会脆弱性百分位&#10;fraction"/>
    <x:tableColumn id="16" name="历史CDD65&#10;degF_day/year"/>
    <x:tableColumn id="17" name="历史&gt;90°F天数&#10;days/year"/>
    <x:tableColumn id="18" name="到Interstate距离&#10;km"/>
    <x:tableColumn id="19" name="到铁路距离&#10;km"/>
    <x:tableColumn id="20" name="州工业电价&#10;USD/MWh"/>
    <x:tableColumn id="21" name="州SAIDI不含重大事件日&#10;minutes/customer/year"/>
    <x:tableColumn id="22" name="州电网CO₂e强度&#10;kgCO2e/MWh"/>
    <x:tableColumn id="23" name="野火全国百分位&#10;标准化0–1"/>
    <x:tableColumn id="24" name="洪水损失率全国百分位&#10;标准化0–1"/>
    <x:tableColumn id="25" name="基线水压力&#10;标准化0–1"/>
    <x:tableColumn id="26" name="2050 BAU水压力&#10;标准化0–1"/>
    <x:tableColumn id="27" name="低不透水土地比例&#10;标准化0–1"/>
    <x:tableColumn id="28" name="GAP1/2保护地比例&#10;标准化0–1"/>
    <x:tableColumn id="29" name="湿地陆地比例&#10;标准化0–1"/>
    <x:tableColumn id="30" name="商业服务光纤可用占比100/20&#10;标准化0–1"/>
    <x:tableColumn id="31" name="商业服务光纤可用占比1000/100&#10;标准化0–1"/>
    <x:tableColumn id="32" name="劳动力人数&#10;标准化0–1"/>
    <x:tableColumn id="33" name="社会脆弱性百分位&#10;标准化0–1"/>
    <x:tableColumn id="34" name="历史CDD65&#10;标准化0–1"/>
    <x:tableColumn id="35" name="历史&gt;90°F天数&#10;标准化0–1"/>
    <x:tableColumn id="36" name="到Interstate距离&#10;标准化0–1"/>
    <x:tableColumn id="37" name="到铁路距离&#10;标准化0–1"/>
    <x:tableColumn id="38" name="州工业电价&#10;标准化0–1"/>
    <x:tableColumn id="39" name="州SAIDI不含重大事件日&#10;标准化0–1"/>
    <x:tableColumn id="40" name="州电网CO₂e强度&#10;标准化0–1"/>
    <x:tableColumn id="41" name="缺失指标"/>
    <x:tableColumn id="42" name="质量提示"/>
    <x:tableColumn id="43" name="基线水有效覆盖"/>
    <x:tableColumn id="44" name="未来水有效覆盖"/>
    <x:tableColumn id="45" name="NLCD县域有效覆盖"/>
    <x:tableColumn id="46" name="不透水陆地有效覆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GACountyIndicators" displayName="GACountyIndicators" ref="A6:AT165" headerRowCount="1" totalsRowCount="0" totalsRowShown="0">
  <x:tableColumns count="46">
    <x:tableColumn id="1" name="FIPS"/>
    <x:tableColumn id="2" name="County / 独立市"/>
    <x:tableColumn id="3" name="州"/>
    <x:tableColumn id="4" name="土地面积 km²"/>
    <x:tableColumn id="5" name="野火全国百分位&#10;fraction"/>
    <x:tableColumn id="6" name="洪水损失率全国百分位&#10;fraction"/>
    <x:tableColumn id="7" name="基线水压力&#10;Aqueduct index 0–5"/>
    <x:tableColumn id="8" name="2050 BAU水压力&#10;Aqueduct index 0–5"/>
    <x:tableColumn id="9" name="低不透水土地比例&#10;fraction"/>
    <x:tableColumn id="10" name="GAP1/2保护地比例&#10;fraction"/>
    <x:tableColumn id="11" name="湿地陆地比例&#10;fraction"/>
    <x:tableColumn id="12" name="商业服务光纤可用占比100/20&#10;比例0–1"/>
    <x:tableColumn id="13" name="商业服务光纤可用占比1000/100&#10;比例0–1"/>
    <x:tableColumn id="14" name="劳动力人数&#10;persons"/>
    <x:tableColumn id="15" name="社会脆弱性百分位&#10;fraction"/>
    <x:tableColumn id="16" name="历史CDD65&#10;degF_day/year"/>
    <x:tableColumn id="17" name="历史&gt;90°F天数&#10;days/year"/>
    <x:tableColumn id="18" name="到Interstate距离&#10;km"/>
    <x:tableColumn id="19" name="到铁路距离&#10;km"/>
    <x:tableColumn id="20" name="州工业电价&#10;USD/MWh"/>
    <x:tableColumn id="21" name="州SAIDI不含重大事件日&#10;minutes/customer/year"/>
    <x:tableColumn id="22" name="州电网CO₂e强度&#10;kgCO2e/MWh"/>
    <x:tableColumn id="23" name="野火全国百分位&#10;标准化0–1"/>
    <x:tableColumn id="24" name="洪水损失率全国百分位&#10;标准化0–1"/>
    <x:tableColumn id="25" name="基线水压力&#10;标准化0–1"/>
    <x:tableColumn id="26" name="2050 BAU水压力&#10;标准化0–1"/>
    <x:tableColumn id="27" name="低不透水土地比例&#10;标准化0–1"/>
    <x:tableColumn id="28" name="GAP1/2保护地比例&#10;标准化0–1"/>
    <x:tableColumn id="29" name="湿地陆地比例&#10;标准化0–1"/>
    <x:tableColumn id="30" name="商业服务光纤可用占比100/20&#10;标准化0–1"/>
    <x:tableColumn id="31" name="商业服务光纤可用占比1000/100&#10;标准化0–1"/>
    <x:tableColumn id="32" name="劳动力人数&#10;标准化0–1"/>
    <x:tableColumn id="33" name="社会脆弱性百分位&#10;标准化0–1"/>
    <x:tableColumn id="34" name="历史CDD65&#10;标准化0–1"/>
    <x:tableColumn id="35" name="历史&gt;90°F天数&#10;标准化0–1"/>
    <x:tableColumn id="36" name="到Interstate距离&#10;标准化0–1"/>
    <x:tableColumn id="37" name="到铁路距离&#10;标准化0–1"/>
    <x:tableColumn id="38" name="州工业电价&#10;标准化0–1"/>
    <x:tableColumn id="39" name="州SAIDI不含重大事件日&#10;标准化0–1"/>
    <x:tableColumn id="40" name="州电网CO₂e强度&#10;标准化0–1"/>
    <x:tableColumn id="41" name="缺失指标"/>
    <x:tableColumn id="42" name="质量提示"/>
    <x:tableColumn id="43" name="基线水有效覆盖"/>
    <x:tableColumn id="44" name="未来水有效覆盖"/>
    <x:tableColumn id="45" name="NLCD县域有效覆盖"/>
    <x:tableColumn id="46" name="不透水陆地有效覆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1fef3758549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049d4aafe7447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" hidden="0" customWidth="1"/>
    <x:col min="2" max="2" width="2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46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42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50" hidden="0" customWidth="1"/>
    <x:col min="42" max="42" width="50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</x:cols>
  <x:sheetData>
    <x:row r="2">
      <x:c r="A2" s="1" t="str">
        <x:v>Virginia County：八维18指标</x:v>
      </x:c>
    </x:row>
    <x:row r="3">
      <x:c r="A3" s="2" t="str">
        <x:v>原始结果在E:V；标准化在W:AN；缺失及覆盖在AO:AT。未计算权重或最终评分。</x:v>
      </x:c>
    </x:row>
    <x:row r="4">
      <x:c r="A4" s="2" t="str">
        <x:v>标准化使用两州共同min–max，保留原方向；不是越高越好的效用分。指标定义、单位、期间与来源见表下方。</x:v>
      </x:c>
    </x:row>
    <x:row r="6" ht="62" customHeight="1">
      <x:c r="A6" s="17" t="str">
        <x:v>FIPS</x:v>
      </x:c>
      <x:c r="B6" s="8" t="str">
        <x:v>County / 独立市</x:v>
      </x:c>
      <x:c r="C6" s="8" t="str">
        <x:v>州</x:v>
      </x:c>
      <x:c r="D6" s="8" t="str">
        <x:v>土地面积 km²</x:v>
      </x:c>
      <x:c r="E6" s="8" t="str">
        <x:v>野火全国百分位
fraction</x:v>
      </x:c>
      <x:c r="F6" s="8" t="str">
        <x:v>洪水损失率全国百分位
fraction</x:v>
      </x:c>
      <x:c r="G6" s="8" t="str">
        <x:v>基线水压力
Aqueduct index 0–5</x:v>
      </x:c>
      <x:c r="H6" s="8" t="str">
        <x:v>2050 BAU水压力
Aqueduct index 0–5</x:v>
      </x:c>
      <x:c r="I6" s="8" t="str">
        <x:v>低不透水土地比例
fraction</x:v>
      </x:c>
      <x:c r="J6" s="8" t="str">
        <x:v>GAP1/2保护地比例
fraction</x:v>
      </x:c>
      <x:c r="K6" s="8" t="str">
        <x:v>湿地陆地比例
fraction</x:v>
      </x:c>
      <x:c r="L6" s="8" t="str">
        <x:v>商业服务光纤可用占比100/20
比例0–1</x:v>
      </x:c>
      <x:c r="M6" s="8" t="str">
        <x:v>商业服务光纤可用占比1000/100
比例0–1</x:v>
      </x:c>
      <x:c r="N6" s="8" t="str">
        <x:v>劳动力人数
persons</x:v>
      </x:c>
      <x:c r="O6" s="8" t="str">
        <x:v>社会脆弱性百分位
fraction</x:v>
      </x:c>
      <x:c r="P6" s="8" t="str">
        <x:v>历史CDD65
degF_day/year</x:v>
      </x:c>
      <x:c r="Q6" s="8" t="str">
        <x:v>历史&gt;90°F天数
days/year</x:v>
      </x:c>
      <x:c r="R6" s="8" t="str">
        <x:v>到Interstate距离
km</x:v>
      </x:c>
      <x:c r="S6" s="8" t="str">
        <x:v>到铁路距离
km</x:v>
      </x:c>
      <x:c r="T6" s="8" t="str">
        <x:v>州工业电价
USD/MWh</x:v>
      </x:c>
      <x:c r="U6" s="8" t="str">
        <x:v>州SAIDI不含重大事件日
minutes/customer/year</x:v>
      </x:c>
      <x:c r="V6" s="8" t="str">
        <x:v>州电网CO₂e强度
kgCO2e/MWh</x:v>
      </x:c>
      <x:c r="W6" s="8" t="str">
        <x:v>野火全国百分位
标准化0–1</x:v>
      </x:c>
      <x:c r="X6" s="8" t="str">
        <x:v>洪水损失率全国百分位
标准化0–1</x:v>
      </x:c>
      <x:c r="Y6" s="8" t="str">
        <x:v>基线水压力
标准化0–1</x:v>
      </x:c>
      <x:c r="Z6" s="8" t="str">
        <x:v>2050 BAU水压力
标准化0–1</x:v>
      </x:c>
      <x:c r="AA6" s="8" t="str">
        <x:v>低不透水土地比例
标准化0–1</x:v>
      </x:c>
      <x:c r="AB6" s="8" t="str">
        <x:v>GAP1/2保护地比例
标准化0–1</x:v>
      </x:c>
      <x:c r="AC6" s="8" t="str">
        <x:v>湿地陆地比例
标准化0–1</x:v>
      </x:c>
      <x:c r="AD6" s="8" t="str">
        <x:v>商业服务光纤可用占比100/20
标准化0–1</x:v>
      </x:c>
      <x:c r="AE6" s="8" t="str">
        <x:v>商业服务光纤可用占比1000/100
标准化0–1</x:v>
      </x:c>
      <x:c r="AF6" s="8" t="str">
        <x:v>劳动力人数
标准化0–1</x:v>
      </x:c>
      <x:c r="AG6" s="8" t="str">
        <x:v>社会脆弱性百分位
标准化0–1</x:v>
      </x:c>
      <x:c r="AH6" s="8" t="str">
        <x:v>历史CDD65
标准化0–1</x:v>
      </x:c>
      <x:c r="AI6" s="8" t="str">
        <x:v>历史&gt;90°F天数
标准化0–1</x:v>
      </x:c>
      <x:c r="AJ6" s="8" t="str">
        <x:v>到Interstate距离
标准化0–1</x:v>
      </x:c>
      <x:c r="AK6" s="8" t="str">
        <x:v>到铁路距离
标准化0–1</x:v>
      </x:c>
      <x:c r="AL6" s="8" t="str">
        <x:v>州工业电价
标准化0–1</x:v>
      </x:c>
      <x:c r="AM6" s="8" t="str">
        <x:v>州SAIDI不含重大事件日
标准化0–1</x:v>
      </x:c>
      <x:c r="AN6" s="8" t="str">
        <x:v>州电网CO₂e强度
标准化0–1</x:v>
      </x:c>
      <x:c r="AO6" s="8" t="str">
        <x:v>缺失指标</x:v>
      </x:c>
      <x:c r="AP6" s="8" t="str">
        <x:v>质量提示</x:v>
      </x:c>
      <x:c r="AQ6" s="8" t="str">
        <x:v>基线水有效覆盖</x:v>
      </x:c>
      <x:c r="AR6" s="8" t="str">
        <x:v>未来水有效覆盖</x:v>
      </x:c>
      <x:c r="AS6" s="8" t="str">
        <x:v>NLCD县域有效覆盖</x:v>
      </x:c>
      <x:c r="AT6" s="8" t="str">
        <x:v>不透水陆地有效覆盖</x:v>
      </x:c>
    </x:row>
    <x:row r="7" ht="24" customHeight="1">
      <x:c r="A7" s="18" t="str">
        <x:v>51001</x:v>
      </x:c>
      <x:c r="B7" s="3" t="str">
        <x:v>Accomack County</x:v>
      </x:c>
      <x:c r="C7" s="3" t="str">
        <x:v>VA</x:v>
      </x:c>
      <x:c r="D7" s="12" t="n">
        <x:v>1163.68851</x:v>
      </x:c>
      <x:c r="E7" s="12" t="n">
        <x:v>0.524</x:v>
      </x:c>
      <x:c r="F7" s="12" t="n">
        <x:v>0.055383663366336607</x:v>
      </x:c>
      <x:c r="G7" s="12" t="n">
        <x:v>3.1907827833541007</x:v>
      </x:c>
      <x:c r="H7" s="12" t="n">
        <x:v>3.4965030992859325</x:v>
      </x:c>
      <x:c r="I7" s="12" t="n">
        <x:v>0.9173380939707751</x:v>
      </x:c>
      <x:c r="J7" s="12" t="n">
        <x:v>0.23438904724830636</x:v>
      </x:c>
      <x:c r="K7" s="12" t="n">
        <x:v>0.522687216542273</x:v>
      </x:c>
      <x:c r="L7" s="24" t="n">
        <x:v>0.72488801</x:v>
      </x:c>
      <x:c r="M7" s="24" t="n">
        <x:v>0.712902054</x:v>
      </x:c>
      <x:c r="N7" s="13" t="n">
        <x:v>14565</x:v>
      </x:c>
      <x:c r="O7" s="12" t="n">
        <x:v>0.8597</x:v>
      </x:c>
      <x:c r="P7" s="12" t="n">
        <x:v>1241.6294189453124</x:v>
      </x:c>
      <x:c r="Q7" s="12" t="n">
        <x:v>13.578713099161783</x:v>
      </x:c>
      <x:c r="R7" s="12" t="n">
        <x:v>95.30527625122483</x:v>
      </x:c>
      <x:c r="S7" s="12" t="n">
        <x:v>7.212090219899812</x:v>
      </x:c>
      <x:c r="T7" s="12" t="n">
        <x:v>89.9</x:v>
      </x:c>
      <x:c r="U7" s="12" t="n">
        <x:v>245.07712999476223</x:v>
      </x:c>
      <x:c r="V7" s="12" t="n">
        <x:v>244.75798925963002</x:v>
      </x:c>
      <x:c r="W7" s="12" t="n">
        <x:f>IF(ISNUMBER(E7),IF($I$146&gt;$H$146,(E7-$H$146)/($I$146-$H$146),"缺失"),"缺失")</x:f>
        <x:v>0.5509259259259259</x:v>
      </x:c>
      <x:c r="X7" s="12" t="n">
        <x:f>IF(ISNUMBER(F7),IF($I$147&gt;$H$147,(F7-$H$147)/($I$147-$H$147),"缺失"),"缺失")</x:f>
        <x:v>0.050078740157480275</x:v>
      </x:c>
      <x:c r="Y7" s="12" t="n">
        <x:f>IF(ISNUMBER(G7),IF($I$148&gt;$H$148,(G7-$H$148)/($I$148-$H$148),"缺失"),"缺失")</x:f>
        <x:v>0.8389956568936223</x:v>
      </x:c>
      <x:c r="Z7" s="12" t="n">
        <x:f>IF(ISNUMBER(H7),IF($I$149&gt;$H$149,(H7-$H$149)/($I$149-$H$149),"缺失"),"缺失")</x:f>
        <x:v>0.8615584917151207</x:v>
      </x:c>
      <x:c r="AA7" s="12" t="n">
        <x:f>IF(ISNUMBER(I7),IF($I$150&gt;$H$150,(I7-$H$150)/($I$150-$H$150),"缺失"),"缺失")</x:f>
        <x:v>0.920472438801448</x:v>
      </x:c>
      <x:c r="AB7" s="12" t="n">
        <x:f>IF(ISNUMBER(J7),IF($I$151&gt;$H$151,(J7-$H$151)/($I$151-$H$151),"缺失"),"缺失")</x:f>
        <x:v>0.5749549221298389</x:v>
      </x:c>
      <x:c r="AC7" s="12" t="n">
        <x:f>IF(ISNUMBER(K7),IF($I$152&gt;$H$152,(K7-$H$152)/($I$152-$H$152),"缺失"),"缺失")</x:f>
        <x:v>0.898604517527781</x:v>
      </x:c>
      <x:c r="AD7" s="12" t="n">
        <x:f>IF(ISNUMBER(L7),IF($I$153&gt;$H$153,(L7-$H$153)/($I$153-$H$153),"缺失"),"缺失")</x:f>
        <x:v>0.7247969885303776</x:v>
      </x:c>
      <x:c r="AE7" s="12" t="n">
        <x:f>IF(ISNUMBER(M7),IF($I$154&gt;$H$154,(M7-$H$154)/($I$154-$H$154),"缺失"),"缺失")</x:f>
        <x:v>0.712902054</x:v>
      </x:c>
      <x:c r="AF7" s="12" t="n">
        <x:f>IF(ISNUMBER(N7),IF($I$155&gt;$H$155,(N7-$H$155)/($I$155-$H$155),"缺失"),"缺失")</x:f>
        <x:v>0.021548605093899557</x:v>
      </x:c>
      <x:c r="AG7" s="12" t="n">
        <x:f>IF(ISNUMBER(O7),IF($I$156&gt;$H$156,(O7-$H$156)/($I$156-$H$156),"缺失"),"缺失")</x:f>
        <x:v>0.8668621107966034</x:v>
      </x:c>
      <x:c r="AH7" s="12" t="n">
        <x:f>IF(ISNUMBER(P7),IF($I$157&gt;$H$157,(P7-$H$157)/($I$157-$H$157),"缺失"),"缺失")</x:f>
        <x:v>0.434496931755492</x:v>
      </x:c>
      <x:c r="AI7" s="12" t="n">
        <x:f>IF(ISNUMBER(Q7),IF($I$158&gt;$H$158,(Q7-$H$158)/($I$158-$H$158),"缺失"),"缺失")</x:f>
        <x:v>0.15582975905765784</x:v>
      </x:c>
      <x:c r="AJ7" s="12" t="n">
        <x:f>IF(ISNUMBER(R7),IF($I$159&gt;$H$159,(R7-$H$159)/($I$159-$H$159),"缺失"),"缺失")</x:f>
        <x:v>1</x:v>
      </x:c>
      <x:c r="AK7" s="12" t="n">
        <x:f>IF(ISNUMBER(S7),IF($I$160&gt;$H$160,(S7-$H$160)/($I$160-$H$160),"缺失"),"缺失")</x:f>
        <x:v>0.1406325685681582</x:v>
      </x:c>
      <x:c r="AL7" s="12" t="n">
        <x:f>IF(ISNUMBER(T7),IF($I$161&gt;$H$161,(T7-$H$161)/($I$161-$H$161),"缺失"),"缺失")</x:f>
        <x:v>1</x:v>
      </x:c>
      <x:c r="AM7" s="12" t="n">
        <x:f>IF(ISNUMBER(U7),IF($I$162&gt;$H$162,(U7-$H$162)/($I$162-$H$162),"缺失"),"缺失")</x:f>
        <x:v>1</x:v>
      </x:c>
      <x:c r="AN7" s="12" t="n">
        <x:f>IF(ISNUMBER(V7),IF($I$163&gt;$H$163,(V7-$H$163)/($I$163-$H$163),"缺失"),"缺失")</x:f>
        <x:v>0</x:v>
      </x:c>
      <x:c r="AO7" s="23" t="str"/>
      <x:c r="AP7" s="23" t="str">
        <x:v>baseline_water_stress:有效县域面积覆盖&lt;99%（诊断提示，非行业阈值）；water_stress_2050_bau:有效县域面积覆盖&lt;99%（诊断提示，非行业阈值）</x:v>
      </x:c>
      <x:c r="AQ7" s="15" t="n">
        <x:v>0.41174439574899935</x:v>
      </x:c>
      <x:c r="AR7" s="15" t="n">
        <x:v>0.4119149853454908</x:v>
      </x:c>
      <x:c r="AS7" s="15" t="n">
        <x:v>0.9999952254274636</x:v>
      </x:c>
      <x:c r="AT7" s="15" t="n">
        <x:v>1</x:v>
      </x:c>
    </x:row>
    <x:row r="8" ht="24" customHeight="1">
      <x:c r="A8" s="18" t="str">
        <x:v>51003</x:v>
      </x:c>
      <x:c r="B8" s="3" t="str">
        <x:v>Albemarle County</x:v>
      </x:c>
      <x:c r="C8" s="3" t="str">
        <x:v>VA</x:v>
      </x:c>
      <x:c r="D8" s="12" t="n">
        <x:v>1866.027153</x:v>
      </x:c>
      <x:c r="E8" s="12" t="n">
        <x:v>0.421</x:v>
      </x:c>
      <x:c r="F8" s="12" t="n">
        <x:v>0.493193069306931</x:v>
      </x:c>
      <x:c r="G8" s="12" t="n">
        <x:v>2.3410957248679236</x:v>
      </x:c>
      <x:c r="H8" s="12" t="n">
        <x:v>2.6406279611630112</x:v>
      </x:c>
      <x:c r="I8" s="12" t="n">
        <x:v>0.9422503313387239</x:v>
      </x:c>
      <x:c r="J8" s="12" t="n">
        <x:v>0.0492489771538557</x:v>
      </x:c>
      <x:c r="K8" s="12" t="n">
        <x:v>0.0025149980701985723</x:v>
      </x:c>
      <x:c r="L8" s="24" t="n">
        <x:v>0.380032324</x:v>
      </x:c>
      <x:c r="M8" s="24" t="n">
        <x:v>0.270514987</x:v>
      </x:c>
      <x:c r="N8" s="13" t="n">
        <x:v>61034</x:v>
      </x:c>
      <x:c r="O8" s="12" t="n">
        <x:v>0.2469</x:v>
      </x:c>
      <x:c r="P8" s="12" t="n">
        <x:v>1130.6182291666669</x:v>
      </x:c>
      <x:c r="Q8" s="12" t="n">
        <x:v>20.640704727172853</x:v>
      </x:c>
      <x:c r="R8" s="12" t="n">
        <x:v>0.21526021921826405</x:v>
      </x:c>
      <x:c r="S8" s="12" t="n">
        <x:v>1.245767606522472</x:v>
      </x:c>
      <x:c r="T8" s="12" t="n">
        <x:v>89.9</x:v>
      </x:c>
      <x:c r="U8" s="12" t="n">
        <x:v>245.07712999476223</x:v>
      </x:c>
      <x:c r="V8" s="12" t="n">
        <x:v>244.75798925963002</x:v>
      </x:c>
      <x:c r="W8" s="12" t="n">
        <x:f>IF(ISNUMBER(E8),IF($I$146&gt;$H$146,(E8-$H$146)/($I$146-$H$146),"缺失"),"缺失")</x:f>
        <x:v>0.43171296296296297</x:v>
      </x:c>
      <x:c r="X8" s="12" t="n">
        <x:f>IF(ISNUMBER(F8),IF($I$147&gt;$H$147,(F8-$H$147)/($I$147-$H$147),"缺失"),"缺失")</x:f>
        <x:v>0.4957480314960632</x:v>
      </x:c>
      <x:c r="Y8" s="12" t="n">
        <x:f>IF(ISNUMBER(G8),IF($I$148&gt;$H$148,(G8-$H$148)/($I$148-$H$148),"缺失"),"缺失")</x:f>
        <x:v>0.6154846494997949</x:v>
      </x:c>
      <x:c r="Z8" s="12" t="n">
        <x:f>IF(ISNUMBER(H8),IF($I$149&gt;$H$149,(H8-$H$149)/($I$149-$H$149),"缺失"),"缺失")</x:f>
        <x:v>0.6505615909109362</x:v>
      </x:c>
      <x:c r="AA8" s="12" t="n">
        <x:f>IF(ISNUMBER(I8),IF($I$150&gt;$H$150,(I8-$H$150)/($I$150-$H$150),"缺失"),"缺失")</x:f>
        <x:v>0.9472163821658932</x:v>
      </x:c>
      <x:c r="AB8" s="12" t="n">
        <x:f>IF(ISNUMBER(J8),IF($I$151&gt;$H$151,(J8-$H$151)/($I$151-$H$151),"缺失"),"缺失")</x:f>
        <x:v>0.12080744453247451</x:v>
      </x:c>
      <x:c r="AC8" s="12" t="n">
        <x:f>IF(ISNUMBER(K8),IF($I$152&gt;$H$152,(K8-$H$152)/($I$152-$H$152),"缺失"),"缺失")</x:f>
        <x:v>0.004323787833198919</x:v>
      </x:c>
      <x:c r="AD8" s="12" t="n">
        <x:f>IF(ISNUMBER(L8),IF($I$153&gt;$H$153,(L8-$H$153)/($I$153-$H$153),"缺失"),"缺失")</x:f>
        <x:v>0.37982720618965676</x:v>
      </x:c>
      <x:c r="AE8" s="12" t="n">
        <x:f>IF(ISNUMBER(M8),IF($I$154&gt;$H$154,(M8-$H$154)/($I$154-$H$154),"缺失"),"缺失")</x:f>
        <x:v>0.270514987</x:v>
      </x:c>
      <x:c r="AF8" s="12" t="n">
        <x:f>IF(ISNUMBER(N8),IF($I$155&gt;$H$155,(N8-$H$155)/($I$155-$H$155),"缺失"),"缺失")</x:f>
        <x:v>0.09370700605292662</x:v>
      </x:c>
      <x:c r="AG8" s="12" t="n">
        <x:f>IF(ISNUMBER(O8),IF($I$156&gt;$H$156,(O8-$H$156)/($I$156-$H$156),"缺失"),"缺失")</x:f>
        <x:v>0.2473716134249899</x:v>
      </x:c>
      <x:c r="AH8" s="12" t="n">
        <x:f>IF(ISNUMBER(P8),IF($I$157&gt;$H$157,(P8-$H$157)/($I$157-$H$157),"缺失"),"缺失")</x:f>
        <x:v>0.384557876772685</x:v>
      </x:c>
      <x:c r="AI8" s="12" t="n">
        <x:f>IF(ISNUMBER(Q8),IF($I$158&gt;$H$158,(Q8-$H$158)/($I$158-$H$158),"缺失"),"缺失")</x:f>
        <x:v>0.23881942897856115</x:v>
      </x:c>
      <x:c r="AJ8" s="12" t="n">
        <x:f>IF(ISNUMBER(R8),IF($I$159&gt;$H$159,(R8-$H$159)/($I$159-$H$159),"缺失"),"缺失")</x:f>
        <x:v>0.0007514412319170325</x:v>
      </x:c>
      <x:c r="AK8" s="12" t="n">
        <x:f>IF(ISNUMBER(S8),IF($I$160&gt;$H$160,(S8-$H$160)/($I$160-$H$160),"缺失"),"缺失")</x:f>
        <x:v>0.024160047652079145</x:v>
      </x:c>
      <x:c r="AL8" s="12" t="n">
        <x:f>IF(ISNUMBER(T8),IF($I$161&gt;$H$161,(T8-$H$161)/($I$161-$H$161),"缺失"),"缺失")</x:f>
        <x:v>1</x:v>
      </x:c>
      <x:c r="AM8" s="12" t="n">
        <x:f>IF(ISNUMBER(U8),IF($I$162&gt;$H$162,(U8-$H$162)/($I$162-$H$162),"缺失"),"缺失")</x:f>
        <x:v>1</x:v>
      </x:c>
      <x:c r="AN8" s="12" t="n">
        <x:f>IF(ISNUMBER(V8),IF($I$163&gt;$H$163,(V8-$H$163)/($I$163-$H$163),"缺失"),"缺失")</x:f>
        <x:v>0</x:v>
      </x:c>
      <x:c r="AO8" s="23" t="str"/>
      <x:c r="AP8" s="23" t="str">
        <x:v>见指标口径：州级、产业、代表点代理；气候基期待核实</x:v>
      </x:c>
      <x:c r="AQ8" s="15" t="n">
        <x:v>1.0000000000000022</x:v>
      </x:c>
      <x:c r="AR8" s="15" t="n">
        <x:v>1.0000000000000009</x:v>
      </x:c>
      <x:c r="AS8" s="15" t="n">
        <x:v>1</x:v>
      </x:c>
      <x:c r="AT8" s="15" t="n">
        <x:v>1</x:v>
      </x:c>
    </x:row>
    <x:row r="9" ht="24" customHeight="1">
      <x:c r="A9" s="18" t="str">
        <x:v>51005</x:v>
      </x:c>
      <x:c r="B9" s="3" t="str">
        <x:v>Alleghany County</x:v>
      </x:c>
      <x:c r="C9" s="3" t="str">
        <x:v>VA</x:v>
      </x:c>
      <x:c r="D9" s="12" t="n">
        <x:v>1156.616595</x:v>
      </x:c>
      <x:c r="E9" s="12" t="n">
        <x:v>0.65</x:v>
      </x:c>
      <x:c r="F9" s="12" t="n">
        <x:v>0.877475247524752</x:v>
      </x:c>
      <x:c r="G9" s="12" t="n">
        <x:v>2.3441233158450565</x:v>
      </x:c>
      <x:c r="H9" s="12" t="n">
        <x:v>2.64201022134626</x:v>
      </x:c>
      <x:c r="I9" s="12" t="n">
        <x:v>0.9693832211397913</x:v>
      </x:c>
      <x:c r="J9" s="12" t="n">
        <x:v>0.019849487125867798</x:v>
      </x:c>
      <x:c r="K9" s="12" t="n">
        <x:v>0.0001318251502225131</x:v>
      </x:c>
      <x:c r="L9" s="24" t="n">
        <x:v>0.059778931</x:v>
      </x:c>
      <x:c r="M9" s="24" t="n">
        <x:v>0.059778931</x:v>
      </x:c>
      <x:c r="N9" s="13" t="n">
        <x:v>5838</x:v>
      </x:c>
      <x:c r="O9" s="12" t="n">
        <x:v>0.3102</x:v>
      </x:c>
      <x:c r="P9" s="12" t="n">
        <x:v>550.2206573486328</x:v>
      </x:c>
      <x:c r="Q9" s="12" t="n">
        <x:v>6.005999803543091</x:v>
      </x:c>
      <x:c r="R9" s="12" t="n">
        <x:v>0.5064538752260462</x:v>
      </x:c>
      <x:c r="S9" s="12" t="n">
        <x:v>1.286674173716719</x:v>
      </x:c>
      <x:c r="T9" s="12" t="n">
        <x:v>89.9</x:v>
      </x:c>
      <x:c r="U9" s="12" t="n">
        <x:v>245.07712999476223</x:v>
      </x:c>
      <x:c r="V9" s="12" t="n">
        <x:v>244.75798925963002</x:v>
      </x:c>
      <x:c r="W9" s="12" t="n">
        <x:f>IF(ISNUMBER(E9),IF($I$146&gt;$H$146,(E9-$H$146)/($I$146-$H$146),"缺失"),"缺失")</x:f>
        <x:v>0.6967592592592592</x:v>
      </x:c>
      <x:c r="X9" s="12" t="n">
        <x:f>IF(ISNUMBER(F9),IF($I$147&gt;$H$147,(F9-$H$147)/($I$147-$H$147),"缺失"),"缺失")</x:f>
        <x:v>0.8869291338582671</x:v>
      </x:c>
      <x:c r="Y9" s="12" t="n">
        <x:f>IF(ISNUMBER(G9),IF($I$148&gt;$H$148,(G9-$H$148)/($I$148-$H$148),"缺失"),"缺失")</x:f>
        <x:v>0.6162810602518676</x:v>
      </x:c>
      <x:c r="Z9" s="12" t="n">
        <x:f>IF(ISNUMBER(H9),IF($I$149&gt;$H$149,(H9-$H$149)/($I$149-$H$149),"缺失"),"缺失")</x:f>
        <x:v>0.6509023562887111</x:v>
      </x:c>
      <x:c r="AA9" s="12" t="n">
        <x:f>IF(ISNUMBER(I9),IF($I$150&gt;$H$150,(I9-$H$150)/($I$150-$H$150),"缺失"),"缺失")</x:f>
        <x:v>0.9763442544415106</x:v>
      </x:c>
      <x:c r="AB9" s="12" t="n">
        <x:f>IF(ISNUMBER(J9),IF($I$151&gt;$H$151,(J9-$H$151)/($I$151-$H$151),"缺失"),"缺失")</x:f>
        <x:v>0.04869067244716582</x:v>
      </x:c>
      <x:c r="AC9" s="12" t="n">
        <x:f>IF(ISNUMBER(K9),IF($I$152&gt;$H$152,(K9-$H$152)/($I$152-$H$152),"缺失"),"缺失")</x:f>
        <x:v>0.00022663396341958967</x:v>
      </x:c>
      <x:c r="AD9" s="12" t="n">
        <x:f>IF(ISNUMBER(L9),IF($I$153&gt;$H$153,(L9-$H$153)/($I$153-$H$153),"缺失"),"缺失")</x:f>
        <x:v>0.05946785657728794</x:v>
      </x:c>
      <x:c r="AE9" s="12" t="n">
        <x:f>IF(ISNUMBER(M9),IF($I$154&gt;$H$154,(M9-$H$154)/($I$154-$H$154),"缺失"),"缺失")</x:f>
        <x:v>0.059778931</x:v>
      </x:c>
      <x:c r="AF9" s="12" t="n">
        <x:f>IF(ISNUMBER(N9),IF($I$155&gt;$H$155,(N9-$H$155)/($I$155-$H$155),"缺失"),"缺失")</x:f>
        <x:v>0.007997068259247873</x:v>
      </x:c>
      <x:c r="AG9" s="12" t="n">
        <x:f>IF(ISNUMBER(O9),IF($I$156&gt;$H$156,(O9-$H$156)/($I$156-$H$156),"缺失"),"缺失")</x:f>
        <x:v>0.3113627173473514</x:v>
      </x:c>
      <x:c r="AH9" s="12" t="n">
        <x:f>IF(ISNUMBER(P9),IF($I$157&gt;$H$157,(P9-$H$157)/($I$157-$H$157),"缺失"),"缺失")</x:f>
        <x:v>0.1234625195505609</x:v>
      </x:c>
      <x:c r="AI9" s="12" t="n">
        <x:f>IF(ISNUMBER(Q9),IF($I$158&gt;$H$158,(Q9-$H$158)/($I$158-$H$158),"缺失"),"缺失")</x:f>
        <x:v>0.06683829462200416</x:v>
      </x:c>
      <x:c r="AJ9" s="12" t="n">
        <x:f>IF(ISNUMBER(R9),IF($I$159&gt;$H$159,(R9-$H$159)/($I$159-$H$159),"缺失"),"缺失")</x:f>
        <x:v>0.0038114348382935993</x:v>
      </x:c>
      <x:c r="AK9" s="12" t="n">
        <x:f>IF(ISNUMBER(S9),IF($I$160&gt;$H$160,(S9-$H$160)/($I$160-$H$160),"缺失"),"缺失")</x:f>
        <x:v>0.024958611744549483</x:v>
      </x:c>
      <x:c r="AL9" s="12" t="n">
        <x:f>IF(ISNUMBER(T9),IF($I$161&gt;$H$161,(T9-$H$161)/($I$161-$H$161),"缺失"),"缺失")</x:f>
        <x:v>1</x:v>
      </x:c>
      <x:c r="AM9" s="12" t="n">
        <x:f>IF(ISNUMBER(U9),IF($I$162&gt;$H$162,(U9-$H$162)/($I$162-$H$162),"缺失"),"缺失")</x:f>
        <x:v>1</x:v>
      </x:c>
      <x:c r="AN9" s="12" t="n">
        <x:f>IF(ISNUMBER(V9),IF($I$163&gt;$H$163,(V9-$H$163)/($I$163-$H$163),"缺失"),"缺失")</x:f>
        <x:v>0</x:v>
      </x:c>
      <x:c r="AO9" s="23" t="str"/>
      <x:c r="AP9" s="23" t="str">
        <x:v>见指标口径：州级、产业、代表点代理；气候基期待核实</x:v>
      </x:c>
      <x:c r="AQ9" s="15" t="n">
        <x:v>1.0000000000000029</x:v>
      </x:c>
      <x:c r="AR9" s="15" t="n">
        <x:v>0.9999999999999996</x:v>
      </x:c>
      <x:c r="AS9" s="15" t="n">
        <x:v>1</x:v>
      </x:c>
      <x:c r="AT9" s="15" t="n">
        <x:v>1</x:v>
      </x:c>
    </x:row>
    <x:row r="10" ht="24" customHeight="1">
      <x:c r="A10" s="18" t="str">
        <x:v>51007</x:v>
      </x:c>
      <x:c r="B10" s="3" t="str">
        <x:v>Amelia County</x:v>
      </x:c>
      <x:c r="C10" s="3" t="str">
        <x:v>VA</x:v>
      </x:c>
      <x:c r="D10" s="12" t="n">
        <x:v>920.379344</x:v>
      </x:c>
      <x:c r="E10" s="12" t="n">
        <x:v>0.264</x:v>
      </x:c>
      <x:c r="F10" s="12" t="n">
        <x:v>0.265470297029703</x:v>
      </x:c>
      <x:c r="G10" s="12" t="n">
        <x:v>3.1367336770545875</x:v>
      </x:c>
      <x:c r="H10" s="12" t="n">
        <x:v>3.432467087</x:v>
      </x:c>
      <x:c r="I10" s="12" t="n">
        <x:v>0.9645136915179376</x:v>
      </x:c>
      <x:c r="J10" s="12" t="n">
        <x:v>0</x:v>
      </x:c>
      <x:c r="K10" s="12" t="n">
        <x:v>0.07174092147791368</x:v>
      </x:c>
      <x:c r="L10" s="24" t="n">
        <x:v>0.088115064</x:v>
      </x:c>
      <x:c r="M10" s="24" t="n">
        <x:v>0.087660863</x:v>
      </x:c>
      <x:c r="N10" s="13" t="n">
        <x:v>6496</x:v>
      </x:c>
      <x:c r="O10" s="12" t="n">
        <x:v>0.3853</x:v>
      </x:c>
      <x:c r="P10" s="12" t="n">
        <x:v>1186.0498413085938</x:v>
      </x:c>
      <x:c r="Q10" s="12" t="n">
        <x:v>29.05944913228353</x:v>
      </x:c>
      <x:c r="R10" s="12" t="n">
        <x:v>45.008350861513826</x:v>
      </x:c>
      <x:c r="S10" s="12" t="n">
        <x:v>1.2437790005396965</x:v>
      </x:c>
      <x:c r="T10" s="12" t="n">
        <x:v>89.9</x:v>
      </x:c>
      <x:c r="U10" s="12" t="n">
        <x:v>245.07712999476223</x:v>
      </x:c>
      <x:c r="V10" s="12" t="n">
        <x:v>244.75798925963002</x:v>
      </x:c>
      <x:c r="W10" s="12" t="n">
        <x:f>IF(ISNUMBER(E10),IF($I$146&gt;$H$146,(E10-$H$146)/($I$146-$H$146),"缺失"),"缺失")</x:f>
        <x:v>0.25000000000000006</x:v>
      </x:c>
      <x:c r="X10" s="12" t="n">
        <x:f>IF(ISNUMBER(F10),IF($I$147&gt;$H$147,(F10-$H$147)/($I$147-$H$147),"缺失"),"缺失")</x:f>
        <x:v>0.2639370078740157</x:v>
      </x:c>
      <x:c r="Y10" s="12" t="n">
        <x:f>IF(ISNUMBER(G10),IF($I$148&gt;$H$148,(G10-$H$148)/($I$148-$H$148),"缺失"),"缺失")</x:f>
        <x:v>0.8247779868972552</x:v>
      </x:c>
      <x:c r="Z10" s="12" t="n">
        <x:f>IF(ISNUMBER(H10),IF($I$149&gt;$H$149,(H10-$H$149)/($I$149-$H$149),"缺失"),"缺失")</x:f>
        <x:v>0.8457718430202851</x:v>
      </x:c>
      <x:c r="AA10" s="12" t="n">
        <x:f>IF(ISNUMBER(I10),IF($I$150&gt;$H$150,(I10-$H$150)/($I$150-$H$150),"缺失"),"缺失")</x:f>
        <x:v>0.9711166860583557</x:v>
      </x:c>
      <x:c r="AB10" s="12" t="n">
        <x:f>IF(ISNUMBER(J10),IF($I$151&gt;$H$151,(J10-$H$151)/($I$151-$H$151),"缺失"),"缺失")</x:f>
        <x:v>0</x:v>
      </x:c>
      <x:c r="AC10" s="12" t="n">
        <x:f>IF(ISNUMBER(K10),IF($I$152&gt;$H$152,(K10-$H$152)/($I$152-$H$152),"缺失"),"缺失")</x:f>
        <x:v>0.12333708208539135</x:v>
      </x:c>
      <x:c r="AD10" s="12" t="n">
        <x:f>IF(ISNUMBER(L10),IF($I$153&gt;$H$153,(L10-$H$153)/($I$153-$H$153),"缺失"),"缺失")</x:f>
        <x:v>0.08781336465566632</x:v>
      </x:c>
      <x:c r="AE10" s="12" t="n">
        <x:f>IF(ISNUMBER(M10),IF($I$154&gt;$H$154,(M10-$H$154)/($I$154-$H$154),"缺失"),"缺失")</x:f>
        <x:v>0.087660863</x:v>
      </x:c>
      <x:c r="AF10" s="12" t="n">
        <x:f>IF(ISNUMBER(N10),IF($I$155&gt;$H$155,(N10-$H$155)/($I$155-$H$155),"缺失"),"缺失")</x:f>
        <x:v>0.009018829601885756</x:v>
      </x:c>
      <x:c r="AG10" s="12" t="n">
        <x:f>IF(ISNUMBER(O10),IF($I$156&gt;$H$156,(O10-$H$156)/($I$156-$H$156),"缺失"),"缺失")</x:f>
        <x:v>0.38728265264860495</x:v>
      </x:c>
      <x:c r="AH10" s="12" t="n">
        <x:f>IF(ISNUMBER(P10),IF($I$157&gt;$H$157,(P10-$H$157)/($I$157-$H$157),"缺失"),"缺失")</x:f>
        <x:v>0.40949412267781465</x:v>
      </x:c>
      <x:c r="AI10" s="12" t="n">
        <x:f>IF(ISNUMBER(Q10),IF($I$158&gt;$H$158,(Q10-$H$158)/($I$158-$H$158),"缺失"),"缺失")</x:f>
        <x:v>0.33775310889930027</x:v>
      </x:c>
      <x:c r="AJ10" s="12" t="n">
        <x:f>IF(ISNUMBER(R10),IF($I$159&gt;$H$159,(R10-$H$159)/($I$159-$H$159),"缺失"),"缺失")</x:f>
        <x:v>0.47145733796892325</x:v>
      </x:c>
      <x:c r="AK10" s="12" t="n">
        <x:f>IF(ISNUMBER(S10),IF($I$160&gt;$H$160,(S10-$H$160)/($I$160-$H$160),"缺失"),"缺失")</x:f>
        <x:v>0.024121226762406946</x:v>
      </x:c>
      <x:c r="AL10" s="12" t="n">
        <x:f>IF(ISNUMBER(T10),IF($I$161&gt;$H$161,(T10-$H$161)/($I$161-$H$161),"缺失"),"缺失")</x:f>
        <x:v>1</x:v>
      </x:c>
      <x:c r="AM10" s="12" t="n">
        <x:f>IF(ISNUMBER(U10),IF($I$162&gt;$H$162,(U10-$H$162)/($I$162-$H$162),"缺失"),"缺失")</x:f>
        <x:v>1</x:v>
      </x:c>
      <x:c r="AN10" s="12" t="n">
        <x:f>IF(ISNUMBER(V10),IF($I$163&gt;$H$163,(V10-$H$163)/($I$163-$H$163),"缺失"),"缺失")</x:f>
        <x:v>0</x:v>
      </x:c>
      <x:c r="AO10" s="23" t="str"/>
      <x:c r="AP10" s="23" t="str">
        <x:v>见指标口径：州级、产业、代表点代理；气候基期待核实</x:v>
      </x:c>
      <x:c r="AQ10" s="15" t="n">
        <x:v>0.9999999999999999</x:v>
      </x:c>
      <x:c r="AR10" s="15" t="n">
        <x:v>0.9999999999999976</x:v>
      </x:c>
      <x:c r="AS10" s="15" t="n">
        <x:v>1</x:v>
      </x:c>
      <x:c r="AT10" s="15" t="n">
        <x:v>1</x:v>
      </x:c>
    </x:row>
    <x:row r="11" ht="24" customHeight="1">
      <x:c r="A11" s="18" t="str">
        <x:v>51009</x:v>
      </x:c>
      <x:c r="B11" s="3" t="str">
        <x:v>Amherst County</x:v>
      </x:c>
      <x:c r="C11" s="3" t="str">
        <x:v>VA</x:v>
      </x:c>
      <x:c r="D11" s="12" t="n">
        <x:v>1227.554632</x:v>
      </x:c>
      <x:c r="E11" s="12" t="n">
        <x:v>0.555</x:v>
      </x:c>
      <x:c r="F11" s="12" t="n">
        <x:v>0.505259900990099</x:v>
      </x:c>
      <x:c r="G11" s="12" t="n">
        <x:v>2.347786261981338</x:v>
      </x:c>
      <x:c r="H11" s="12" t="n">
        <x:v>2.645844728</x:v>
      </x:c>
      <x:c r="I11" s="12" t="n">
        <x:v>0.9605419763174315</x:v>
      </x:c>
      <x:c r="J11" s="12" t="n">
        <x:v>0.0002262135205163419</x:v>
      </x:c>
      <x:c r="K11" s="12" t="n">
        <x:v>0.00024798883977067985</x:v>
      </x:c>
      <x:c r="L11" s="24" t="n">
        <x:v>0.390962799</x:v>
      </x:c>
      <x:c r="M11" s="24" t="n">
        <x:v>0.388755437</x:v>
      </x:c>
      <x:c r="N11" s="13" t="n">
        <x:v>15060</x:v>
      </x:c>
      <x:c r="O11" s="12" t="n">
        <x:v>0.4022</x:v>
      </x:c>
      <x:c r="P11" s="12" t="n">
        <x:v>920.9007527669272</x:v>
      </x:c>
      <x:c r="Q11" s="12" t="n">
        <x:v>16.576550674438476</x:v>
      </x:c>
      <x:c r="R11" s="12" t="n">
        <x:v>26.56922832863828</x:v>
      </x:c>
      <x:c r="S11" s="12" t="n">
        <x:v>10.973605297475968</x:v>
      </x:c>
      <x:c r="T11" s="12" t="n">
        <x:v>89.9</x:v>
      </x:c>
      <x:c r="U11" s="12" t="n">
        <x:v>245.07712999476223</x:v>
      </x:c>
      <x:c r="V11" s="12" t="n">
        <x:v>244.75798925963002</x:v>
      </x:c>
      <x:c r="W11" s="12" t="n">
        <x:f>IF(ISNUMBER(E11),IF($I$146&gt;$H$146,(E11-$H$146)/($I$146-$H$146),"缺失"),"缺失")</x:f>
        <x:v>0.5868055555555556</x:v>
      </x:c>
      <x:c r="X11" s="12" t="n">
        <x:f>IF(ISNUMBER(F11),IF($I$147&gt;$H$147,(F11-$H$147)/($I$147-$H$147),"缺失"),"缺失")</x:f>
        <x:v>0.508031496062992</x:v>
      </x:c>
      <x:c r="Y11" s="12" t="n">
        <x:f>IF(ISNUMBER(G11),IF($I$148&gt;$H$148,(G11-$H$148)/($I$148-$H$148),"缺失"),"缺失")</x:f>
        <x:v>0.6172446017966903</x:v>
      </x:c>
      <x:c r="Z11" s="12" t="n">
        <x:f>IF(ISNUMBER(H11),IF($I$149&gt;$H$149,(H11-$H$149)/($I$149-$H$149),"缺失"),"缺失")</x:f>
        <x:v>0.6518476682670759</x:v>
      </x:c>
      <x:c r="AA11" s="12" t="n">
        <x:f>IF(ISNUMBER(I11),IF($I$150&gt;$H$150,(I11-$H$150)/($I$150-$H$150),"缺失"),"缺失")</x:f>
        <x:v>0.9668529451179816</x:v>
      </x:c>
      <x:c r="AB11" s="12" t="n">
        <x:f>IF(ISNUMBER(J11),IF($I$151&gt;$H$151,(J11-$H$151)/($I$151-$H$151),"缺失"),"缺失")</x:f>
        <x:v>0.0005549004042642179</x:v>
      </x:c>
      <x:c r="AC11" s="12" t="n">
        <x:f>IF(ISNUMBER(K11),IF($I$152&gt;$H$152,(K11-$H$152)/($I$152-$H$152),"缺失"),"缺失")</x:f>
        <x:v>0.0004263427240263933</x:v>
      </x:c>
      <x:c r="AD11" s="12" t="n">
        <x:f>IF(ISNUMBER(L11),IF($I$153&gt;$H$153,(L11-$H$153)/($I$153-$H$153),"缺失"),"缺失")</x:f>
        <x:v>0.39076129756384015</x:v>
      </x:c>
      <x:c r="AE11" s="12" t="n">
        <x:f>IF(ISNUMBER(M11),IF($I$154&gt;$H$154,(M11-$H$154)/($I$154-$H$154),"缺失"),"缺失")</x:f>
        <x:v>0.388755437</x:v>
      </x:c>
      <x:c r="AF11" s="12" t="n">
        <x:f>IF(ISNUMBER(N11),IF($I$155&gt;$H$155,(N11-$H$155)/($I$155-$H$155),"缺失"),"缺失")</x:f>
        <x:v>0.022317255344060274</x:v>
      </x:c>
      <x:c r="AG11" s="12" t="n">
        <x:f>IF(ISNUMBER(O11),IF($I$156&gt;$H$156,(O11-$H$156)/($I$156-$H$156),"缺失"),"缺失")</x:f>
        <x:v>0.4043671653861707</x:v>
      </x:c>
      <x:c r="AH11" s="12" t="n">
        <x:f>IF(ISNUMBER(P11),IF($I$157&gt;$H$157,(P11-$H$157)/($I$157-$H$157),"缺失"),"缺失")</x:f>
        <x:v>0.2902152018976089</x:v>
      </x:c>
      <x:c r="AI11" s="12" t="n">
        <x:f>IF(ISNUMBER(Q11),IF($I$158&gt;$H$158,(Q11-$H$158)/($I$158-$H$158),"缺失"),"缺失")</x:f>
        <x:v>0.19105913399232663</x:v>
      </x:c>
      <x:c r="AJ11" s="12" t="n">
        <x:f>IF(ISNUMBER(R11),IF($I$159&gt;$H$159,(R11-$H$159)/($I$159-$H$159),"缺失"),"缺失")</x:f>
        <x:v>0.2776907640972544</x:v>
      </x:c>
      <x:c r="AK11" s="12" t="n">
        <x:f>IF(ISNUMBER(S11),IF($I$160&gt;$H$160,(S11-$H$160)/($I$160-$H$160),"缺失"),"缺失")</x:f>
        <x:v>0.21406358662387379</x:v>
      </x:c>
      <x:c r="AL11" s="12" t="n">
        <x:f>IF(ISNUMBER(T11),IF($I$161&gt;$H$161,(T11-$H$161)/($I$161-$H$161),"缺失"),"缺失")</x:f>
        <x:v>1</x:v>
      </x:c>
      <x:c r="AM11" s="12" t="n">
        <x:f>IF(ISNUMBER(U11),IF($I$162&gt;$H$162,(U11-$H$162)/($I$162-$H$162),"缺失"),"缺失")</x:f>
        <x:v>1</x:v>
      </x:c>
      <x:c r="AN11" s="12" t="n">
        <x:f>IF(ISNUMBER(V11),IF($I$163&gt;$H$163,(V11-$H$163)/($I$163-$H$163),"缺失"),"缺失")</x:f>
        <x:v>0</x:v>
      </x:c>
      <x:c r="AO11" s="23" t="str"/>
      <x:c r="AP11" s="23" t="str">
        <x:v>见指标口径：州级、产业、代表点代理；气候基期待核实</x:v>
      </x:c>
      <x:c r="AQ11" s="15" t="n">
        <x:v>0.9999999999999984</x:v>
      </x:c>
      <x:c r="AR11" s="15" t="n">
        <x:v>0.9999999999999984</x:v>
      </x:c>
      <x:c r="AS11" s="15" t="n">
        <x:v>1</x:v>
      </x:c>
      <x:c r="AT11" s="15" t="n">
        <x:v>1</x:v>
      </x:c>
    </x:row>
    <x:row r="12" ht="24" customHeight="1">
      <x:c r="A12" s="18" t="str">
        <x:v>51011</x:v>
      </x:c>
      <x:c r="B12" s="3" t="str">
        <x:v>Appomattox County</x:v>
      </x:c>
      <x:c r="C12" s="3" t="str">
        <x:v>VA</x:v>
      </x:c>
      <x:c r="D12" s="12" t="n">
        <x:v>865.635287</x:v>
      </x:c>
      <x:c r="E12" s="12" t="n">
        <x:v>0.393</x:v>
      </x:c>
      <x:c r="F12" s="12" t="n">
        <x:v>0.273824257425743</x:v>
      </x:c>
      <x:c r="G12" s="12" t="n">
        <x:v>2.704260960406444</x:v>
      </x:c>
      <x:c r="H12" s="12" t="n">
        <x:v>3.0273548989899224</x:v>
      </x:c>
      <x:c r="I12" s="12" t="n">
        <x:v>0.9559626371067665</x:v>
      </x:c>
      <x:c r="J12" s="12" t="n">
        <x:v>0.0018498687767584893</x:v>
      </x:c>
      <x:c r="K12" s="12" t="n">
        <x:v>0.009267960050892702</x:v>
      </x:c>
      <x:c r="L12" s="24" t="n">
        <x:v>0.552458645</x:v>
      </x:c>
      <x:c r="M12" s="24" t="n">
        <x:v>0.552458645</x:v>
      </x:c>
      <x:c r="N12" s="13" t="n">
        <x:v>7925</x:v>
      </x:c>
      <x:c r="O12" s="12" t="n">
        <x:v>0.1441</x:v>
      </x:c>
      <x:c r="P12" s="12" t="n">
        <x:v>1100.909891764323</x:v>
      </x:c>
      <x:c r="Q12" s="12" t="n">
        <x:v>22.787036768595375</x:v>
      </x:c>
      <x:c r="R12" s="12" t="n">
        <x:v>67.78833189643925</x:v>
      </x:c>
      <x:c r="S12" s="12" t="n">
        <x:v>2.3559167773053025</x:v>
      </x:c>
      <x:c r="T12" s="12" t="n">
        <x:v>89.9</x:v>
      </x:c>
      <x:c r="U12" s="12" t="n">
        <x:v>245.07712999476223</x:v>
      </x:c>
      <x:c r="V12" s="12" t="n">
        <x:v>244.75798925963002</x:v>
      </x:c>
      <x:c r="W12" s="12" t="n">
        <x:f>IF(ISNUMBER(E12),IF($I$146&gt;$H$146,(E12-$H$146)/($I$146-$H$146),"缺失"),"缺失")</x:f>
        <x:v>0.3993055555555556</x:v>
      </x:c>
      <x:c r="X12" s="12" t="n">
        <x:f>IF(ISNUMBER(F12),IF($I$147&gt;$H$147,(F12-$H$147)/($I$147-$H$147),"缺失"),"缺失")</x:f>
        <x:v>0.27244094488189013</x:v>
      </x:c>
      <x:c r="Y12" s="12" t="n">
        <x:f>IF(ISNUMBER(G12),IF($I$148&gt;$H$148,(G12-$H$148)/($I$148-$H$148),"缺失"),"缺失")</x:f>
        <x:v>0.7110156180310189</x:v>
      </x:c>
      <x:c r="Z12" s="12" t="n">
        <x:f>IF(ISNUMBER(H12),IF($I$149&gt;$H$149,(H12-$H$149)/($I$149-$H$149),"缺失"),"缺失")</x:f>
        <x:v>0.7459004805507607</x:v>
      </x:c>
      <x:c r="AA12" s="12" t="n">
        <x:f>IF(ISNUMBER(I12),IF($I$150&gt;$H$150,(I12-$H$150)/($I$150-$H$150),"缺失"),"缺失")</x:f>
        <x:v>0.9619369037890653</x:v>
      </x:c>
      <x:c r="AB12" s="12" t="n">
        <x:f>IF(ISNUMBER(J12),IF($I$151&gt;$H$151,(J12-$H$151)/($I$151-$H$151),"缺失"),"缺失")</x:f>
        <x:v>0.004537716975165881</x:v>
      </x:c>
      <x:c r="AC12" s="12" t="n">
        <x:f>IF(ISNUMBER(K12),IF($I$152&gt;$H$152,(K12-$H$152)/($I$152-$H$152),"缺失"),"缺失")</x:f>
        <x:v>0.01593348853085185</x:v>
      </x:c>
      <x:c r="AD12" s="12" t="n">
        <x:f>IF(ISNUMBER(L12),IF($I$153&gt;$H$153,(L12-$H$153)/($I$153-$H$153),"缺失"),"缺失")</x:f>
        <x:v>0.5523105748564597</x:v>
      </x:c>
      <x:c r="AE12" s="12" t="n">
        <x:f>IF(ISNUMBER(M12),IF($I$154&gt;$H$154,(M12-$H$154)/($I$154-$H$154),"缺失"),"缺失")</x:f>
        <x:v>0.552458645</x:v>
      </x:c>
      <x:c r="AF12" s="12" t="n">
        <x:f>IF(ISNUMBER(N12),IF($I$155&gt;$H$155,(N12-$H$155)/($I$155-$H$155),"缺失"),"缺失")</x:f>
        <x:v>0.011237821940228515</x:v>
      </x:c>
      <x:c r="AG12" s="12" t="n">
        <x:f>IF(ISNUMBER(O12),IF($I$156&gt;$H$156,(O12-$H$156)/($I$156-$H$156),"缺失"),"缺失")</x:f>
        <x:v>0.14344925192074404</x:v>
      </x:c>
      <x:c r="AH12" s="12" t="n">
        <x:f>IF(ISNUMBER(P12),IF($I$157&gt;$H$157,(P12-$H$157)/($I$157-$H$157),"缺失"),"缺失")</x:f>
        <x:v>0.3711934015522886</x:v>
      </x:c>
      <x:c r="AI12" s="12" t="n">
        <x:f>IF(ISNUMBER(Q12),IF($I$158&gt;$H$158,(Q12-$H$158)/($I$158-$H$158),"缺失"),"缺失")</x:f>
        <x:v>0.26404225520675934</x:v>
      </x:c>
      <x:c r="AJ12" s="12" t="n">
        <x:f>IF(ISNUMBER(R12),IF($I$159&gt;$H$159,(R12-$H$159)/($I$159-$H$159),"缺失"),"缺失")</x:f>
        <x:v>0.7108396008791712</x:v>
      </x:c>
      <x:c r="AK12" s="12" t="n">
        <x:f>IF(ISNUMBER(S12),IF($I$160&gt;$H$160,(S12-$H$160)/($I$160-$H$160),"缺失"),"缺失")</x:f>
        <x:v>0.04583200220312168</x:v>
      </x:c>
      <x:c r="AL12" s="12" t="n">
        <x:f>IF(ISNUMBER(T12),IF($I$161&gt;$H$161,(T12-$H$161)/($I$161-$H$161),"缺失"),"缺失")</x:f>
        <x:v>1</x:v>
      </x:c>
      <x:c r="AM12" s="12" t="n">
        <x:f>IF(ISNUMBER(U12),IF($I$162&gt;$H$162,(U12-$H$162)/($I$162-$H$162),"缺失"),"缺失")</x:f>
        <x:v>1</x:v>
      </x:c>
      <x:c r="AN12" s="12" t="n">
        <x:f>IF(ISNUMBER(V12),IF($I$163&gt;$H$163,(V12-$H$163)/($I$163-$H$163),"缺失"),"缺失")</x:f>
        <x:v>0</x:v>
      </x:c>
      <x:c r="AO12" s="23" t="str"/>
      <x:c r="AP12" s="23" t="str">
        <x:v>见指标口径：州级、产业、代表点代理；气候基期待核实</x:v>
      </x:c>
      <x:c r="AQ12" s="15" t="n">
        <x:v>1.0000000000000033</x:v>
      </x:c>
      <x:c r="AR12" s="15" t="n">
        <x:v>1.0000000000000036</x:v>
      </x:c>
      <x:c r="AS12" s="15" t="n">
        <x:v>1</x:v>
      </x:c>
      <x:c r="AT12" s="15" t="n">
        <x:v>1</x:v>
      </x:c>
    </x:row>
    <x:row r="13" ht="24" customHeight="1">
      <x:c r="A13" s="18" t="str">
        <x:v>51013</x:v>
      </x:c>
      <x:c r="B13" s="3" t="str">
        <x:v>Arlington County</x:v>
      </x:c>
      <x:c r="C13" s="3" t="str">
        <x:v>VA</x:v>
      </x:c>
      <x:c r="D13" s="12" t="n">
        <x:v>67.332991</x:v>
      </x:c>
      <x:c r="E13" s="12" t="n">
        <x:v>0.086</x:v>
      </x:c>
      <x:c r="F13" s="12" t="n">
        <x:v>0.129641089108911</x:v>
      </x:c>
      <x:c r="G13" s="12" t="n">
        <x:v>2.054873264952013</x:v>
      </x:c>
      <x:c r="H13" s="12" t="n">
        <x:v>2.459404682121931</x:v>
      </x:c>
      <x:c r="I13" s="12" t="n">
        <x:v>0.1312064794643215</x:v>
      </x:c>
      <x:c r="J13" s="12" t="n">
        <x:v>0</x:v>
      </x:c>
      <x:c r="K13" s="12" t="n">
        <x:v>0.0020716109113751487</x:v>
      </x:c>
      <x:c r="L13" s="24" t="n">
        <x:v>0.878167159</x:v>
      </x:c>
      <x:c r="M13" s="24" t="n">
        <x:v>0.651512732</x:v>
      </x:c>
      <x:c r="N13" s="13" t="n">
        <x:v>154277</x:v>
      </x:c>
      <x:c r="O13" s="12" t="n">
        <x:v>0.1597</x:v>
      </x:c>
      <x:c r="P13" s="12" t="n">
        <x:v>1289.9500447591147</x:v>
      </x:c>
      <x:c r="Q13" s="12" t="n">
        <x:v>23.291953341166177</x:v>
      </x:c>
      <x:c r="R13" s="12" t="n">
        <x:v>1.3818187902358303</x:v>
      </x:c>
      <x:c r="S13" s="12" t="n">
        <x:v>3.318861211719045</x:v>
      </x:c>
      <x:c r="T13" s="12" t="n">
        <x:v>89.9</x:v>
      </x:c>
      <x:c r="U13" s="12" t="n">
        <x:v>245.07712999476223</x:v>
      </x:c>
      <x:c r="V13" s="12" t="n">
        <x:v>244.75798925963002</x:v>
      </x:c>
      <x:c r="W13" s="12" t="n">
        <x:f>IF(ISNUMBER(E13),IF($I$146&gt;$H$146,(E13-$H$146)/($I$146-$H$146),"缺失"),"缺失")</x:f>
        <x:v>0.043981481481481476</x:v>
      </x:c>
      <x:c r="X13" s="12" t="n">
        <x:f>IF(ISNUMBER(F13),IF($I$147&gt;$H$147,(F13-$H$147)/($I$147-$H$147),"缺失"),"缺失")</x:f>
        <x:v>0.12566929133858276</x:v>
      </x:c>
      <x:c r="Y13" s="12" t="n">
        <x:f>IF(ISNUMBER(G13),IF($I$148&gt;$H$148,(G13-$H$148)/($I$148-$H$148),"缺失"),"缺失")</x:f>
        <x:v>0.5401935529535888</x:v>
      </x:c>
      <x:c r="Z13" s="12" t="n">
        <x:f>IF(ISNUMBER(H13),IF($I$149&gt;$H$149,(H13-$H$149)/($I$149-$H$149),"缺失"),"缺失")</x:f>
        <x:v>0.6058850387737855</x:v>
      </x:c>
      <x:c r="AA13" s="12" t="n">
        <x:f>IF(ISNUMBER(I13),IF($I$150&gt;$H$150,(I13-$H$150)/($I$150-$H$150),"缺失"),"缺失")</x:f>
        <x:v>0.07653943251075174</x:v>
      </x:c>
      <x:c r="AB13" s="12" t="n">
        <x:f>IF(ISNUMBER(J13),IF($I$151&gt;$H$151,(J13-$H$151)/($I$151-$H$151),"缺失"),"缺失")</x:f>
        <x:v>0</x:v>
      </x:c>
      <x:c r="AC13" s="12" t="n">
        <x:f>IF(ISNUMBER(K13),IF($I$152&gt;$H$152,(K13-$H$152)/($I$152-$H$152),"缺失"),"缺失")</x:f>
        <x:v>0.003561516074252404</x:v>
      </x:c>
      <x:c r="AD13" s="12" t="n">
        <x:f>IF(ISNUMBER(L13),IF($I$153&gt;$H$153,(L13-$H$153)/($I$153-$H$153),"缺失"),"缺失")</x:f>
        <x:v>0.8781268503088516</x:v>
      </x:c>
      <x:c r="AE13" s="12" t="n">
        <x:f>IF(ISNUMBER(M13),IF($I$154&gt;$H$154,(M13-$H$154)/($I$154-$H$154),"缺失"),"缺失")</x:f>
        <x:v>0.651512732</x:v>
      </x:c>
      <x:c r="AF13" s="12" t="n">
        <x:f>IF(ISNUMBER(N13),IF($I$155&gt;$H$155,(N13-$H$155)/($I$155-$H$155),"缺失"),"缺失")</x:f>
        <x:v>0.2384974207513828</x:v>
      </x:c>
      <x:c r="AG13" s="12" t="n">
        <x:f>IF(ISNUMBER(O13),IF($I$156&gt;$H$156,(O13-$H$156)/($I$156-$H$156),"缺失"),"缺失")</x:f>
        <x:v>0.1592195713708047</x:v>
      </x:c>
      <x:c r="AH13" s="12" t="n">
        <x:f>IF(ISNUMBER(P13),IF($I$157&gt;$H$157,(P13-$H$157)/($I$157-$H$157),"缺失"),"缺失")</x:f>
        <x:v>0.4562342574623038</x:v>
      </x:c>
      <x:c r="AI13" s="12" t="n">
        <x:f>IF(ISNUMBER(Q13),IF($I$158&gt;$H$158,(Q13-$H$158)/($I$158-$H$158),"缺失"),"缺失")</x:f>
        <x:v>0.2699758305920712</x:v>
      </x:c>
      <x:c r="AJ13" s="12" t="n">
        <x:f>IF(ISNUMBER(R13),IF($I$159&gt;$H$159,(R13-$H$159)/($I$159-$H$159),"缺失"),"缺失")</x:f>
        <x:v>0.013010162172877836</x:v>
      </x:c>
      <x:c r="AK13" s="12" t="n">
        <x:f>IF(ISNUMBER(S13),IF($I$160&gt;$H$160,(S13-$H$160)/($I$160-$H$160),"缺失"),"缺失")</x:f>
        <x:v>0.06463027595499786</x:v>
      </x:c>
      <x:c r="AL13" s="12" t="n">
        <x:f>IF(ISNUMBER(T13),IF($I$161&gt;$H$161,(T13-$H$161)/($I$161-$H$161),"缺失"),"缺失")</x:f>
        <x:v>1</x:v>
      </x:c>
      <x:c r="AM13" s="12" t="n">
        <x:f>IF(ISNUMBER(U13),IF($I$162&gt;$H$162,(U13-$H$162)/($I$162-$H$162),"缺失"),"缺失")</x:f>
        <x:v>1</x:v>
      </x:c>
      <x:c r="AN13" s="12" t="n">
        <x:f>IF(ISNUMBER(V13),IF($I$163&gt;$H$163,(V13-$H$163)/($I$163-$H$163),"缺失"),"缺失")</x:f>
        <x:v>0</x:v>
      </x:c>
      <x:c r="AO13" s="23" t="str"/>
      <x:c r="AP13" s="23" t="str">
        <x:v>见指标口径：州级、产业、代表点代理；气候基期待核实</x:v>
      </x:c>
      <x:c r="AQ13" s="15" t="n">
        <x:v>0.9999999999999978</x:v>
      </x:c>
      <x:c r="AR13" s="15" t="n">
        <x:v>0.9999999999999962</x:v>
      </x:c>
      <x:c r="AS13" s="15" t="n">
        <x:v>1</x:v>
      </x:c>
      <x:c r="AT13" s="15" t="n">
        <x:v>1</x:v>
      </x:c>
    </x:row>
    <x:row r="14" ht="24" customHeight="1">
      <x:c r="A14" s="18" t="str">
        <x:v>51015</x:v>
      </x:c>
      <x:c r="B14" s="3" t="str">
        <x:v>Augusta County</x:v>
      </x:c>
      <x:c r="C14" s="3" t="str">
        <x:v>VA</x:v>
      </x:c>
      <x:c r="D14" s="12" t="n">
        <x:v>2504.708863</x:v>
      </x:c>
      <x:c r="E14" s="12" t="n">
        <x:v>0.572</x:v>
      </x:c>
      <x:c r="F14" s="12" t="n">
        <x:v>0.6330445544554449</x:v>
      </x:c>
      <x:c r="G14" s="12" t="n">
        <x:v>2.6948104602427287</x:v>
      </x:c>
      <x:c r="H14" s="12" t="n">
        <x:v>2.955861219928874</x:v>
      </x:c>
      <x:c r="I14" s="12" t="n">
        <x:v>0.9400577929704921</x:v>
      </x:c>
      <x:c r="J14" s="12" t="n">
        <x:v>0.08855550585952911</x:v>
      </x:c>
      <x:c r="K14" s="12" t="n">
        <x:v>0.0006103831766360795</x:v>
      </x:c>
      <x:c r="L14" s="24" t="n">
        <x:v>0.207649363</x:v>
      </x:c>
      <x:c r="M14" s="24" t="n">
        <x:v>0.177151904</x:v>
      </x:c>
      <x:c r="N14" s="13" t="n">
        <x:v>40673</x:v>
      </x:c>
      <x:c r="O14" s="12" t="n">
        <x:v>0.2129</x:v>
      </x:c>
      <x:c r="P14" s="12" t="n">
        <x:v>605.9509562174479</x:v>
      </x:c>
      <x:c r="Q14" s="12" t="n">
        <x:v>6.38779649734497</x:v>
      </x:c>
      <x:c r="R14" s="12" t="n">
        <x:v>9.851300825923598</x:v>
      </x:c>
      <x:c r="S14" s="12" t="n">
        <x:v>3.2204022895311195</x:v>
      </x:c>
      <x:c r="T14" s="12" t="n">
        <x:v>89.9</x:v>
      </x:c>
      <x:c r="U14" s="12" t="n">
        <x:v>245.07712999476223</x:v>
      </x:c>
      <x:c r="V14" s="12" t="n">
        <x:v>244.75798925963002</x:v>
      </x:c>
      <x:c r="W14" s="12" t="n">
        <x:f>IF(ISNUMBER(E14),IF($I$146&gt;$H$146,(E14-$H$146)/($I$146-$H$146),"缺失"),"缺失")</x:f>
        <x:v>0.6064814814814814</x:v>
      </x:c>
      <x:c r="X14" s="12" t="n">
        <x:f>IF(ISNUMBER(F14),IF($I$147&gt;$H$147,(F14-$H$147)/($I$147-$H$147),"缺失"),"缺失")</x:f>
        <x:v>0.6381102362204717</x:v>
      </x:c>
      <x:c r="Y14" s="12" t="n">
        <x:f>IF(ISNUMBER(G14),IF($I$148&gt;$H$148,(G14-$H$148)/($I$148-$H$148),"缺失"),"缺失")</x:f>
        <x:v>0.7085296547685787</x:v>
      </x:c>
      <x:c r="Z14" s="12" t="n">
        <x:f>IF(ISNUMBER(H14),IF($I$149&gt;$H$149,(H14-$H$149)/($I$149-$H$149),"缺失"),"缺失")</x:f>
        <x:v>0.7282753106666886</x:v>
      </x:c>
      <x:c r="AA14" s="12" t="n">
        <x:f>IF(ISNUMBER(I14),IF($I$150&gt;$H$150,(I14-$H$150)/($I$150-$H$150),"缺失"),"缺失")</x:f>
        <x:v>0.9448626344443093</x:v>
      </x:c>
      <x:c r="AB14" s="12" t="n">
        <x:f>IF(ISNUMBER(J14),IF($I$151&gt;$H$151,(J14-$H$151)/($I$151-$H$151),"缺失"),"缺失")</x:f>
        <x:v>0.2172261228644162</x:v>
      </x:c>
      <x:c r="AC14" s="12" t="n">
        <x:f>IF(ISNUMBER(K14),IF($I$152&gt;$H$152,(K14-$H$152)/($I$152-$H$152),"缺失"),"缺失")</x:f>
        <x:v>0.001049371521990874</x:v>
      </x:c>
      <x:c r="AD14" s="12" t="n">
        <x:f>IF(ISNUMBER(L14),IF($I$153&gt;$H$153,(L14-$H$153)/($I$153-$H$153),"缺失"),"缺失")</x:f>
        <x:v>0.20738721186861508</x:v>
      </x:c>
      <x:c r="AE14" s="12" t="n">
        <x:f>IF(ISNUMBER(M14),IF($I$154&gt;$H$154,(M14-$H$154)/($I$154-$H$154),"缺失"),"缺失")</x:f>
        <x:v>0.177151904</x:v>
      </x:c>
      <x:c r="AF14" s="12" t="n">
        <x:f>IF(ISNUMBER(N14),IF($I$155&gt;$H$155,(N14-$H$155)/($I$155-$H$155),"缺失"),"缺失")</x:f>
        <x:v>0.06208985909631576</x:v>
      </x:c>
      <x:c r="AG14" s="12" t="n">
        <x:f>IF(ISNUMBER(O14),IF($I$156&gt;$H$156,(O14-$H$156)/($I$156-$H$156),"缺失"),"缺失")</x:f>
        <x:v>0.21300040436716539</x:v>
      </x:c>
      <x:c r="AH14" s="12" t="n">
        <x:f>IF(ISNUMBER(P14),IF($I$157&gt;$H$157,(P14-$H$157)/($I$157-$H$157),"缺失"),"缺失")</x:f>
        <x:v>0.14853313148587585</x:v>
      </x:c>
      <x:c r="AI14" s="12" t="n">
        <x:f>IF(ISNUMBER(Q14),IF($I$158&gt;$H$158,(Q14-$H$158)/($I$158-$H$158),"缺失"),"缺失")</x:f>
        <x:v>0.0713250149786005</x:v>
      </x:c>
      <x:c r="AJ14" s="12" t="n">
        <x:f>IF(ISNUMBER(R14),IF($I$159&gt;$H$159,(R14-$H$159)/($I$159-$H$159),"缺失"),"缺失")</x:f>
        <x:v>0.10201127996451384</x:v>
      </x:c>
      <x:c r="AK14" s="12" t="n">
        <x:f>IF(ISNUMBER(S14),IF($I$160&gt;$H$160,(S14-$H$160)/($I$160-$H$160),"缺失"),"缺失")</x:f>
        <x:v>0.06270819436185782</x:v>
      </x:c>
      <x:c r="AL14" s="12" t="n">
        <x:f>IF(ISNUMBER(T14),IF($I$161&gt;$H$161,(T14-$H$161)/($I$161-$H$161),"缺失"),"缺失")</x:f>
        <x:v>1</x:v>
      </x:c>
      <x:c r="AM14" s="12" t="n">
        <x:f>IF(ISNUMBER(U14),IF($I$162&gt;$H$162,(U14-$H$162)/($I$162-$H$162),"缺失"),"缺失")</x:f>
        <x:v>1</x:v>
      </x:c>
      <x:c r="AN14" s="12" t="n">
        <x:f>IF(ISNUMBER(V14),IF($I$163&gt;$H$163,(V14-$H$163)/($I$163-$H$163),"缺失"),"缺失")</x:f>
        <x:v>0</x:v>
      </x:c>
      <x:c r="AO14" s="23" t="str"/>
      <x:c r="AP14" s="23" t="str">
        <x:v>见指标口径：州级、产业、代表点代理；气候基期待核实</x:v>
      </x:c>
      <x:c r="AQ14" s="15" t="n">
        <x:v>1.0000000000000018</x:v>
      </x:c>
      <x:c r="AR14" s="15" t="n">
        <x:v>1.0000000000000018</x:v>
      </x:c>
      <x:c r="AS14" s="15" t="n">
        <x:v>1</x:v>
      </x:c>
      <x:c r="AT14" s="15" t="n">
        <x:v>1</x:v>
      </x:c>
    </x:row>
    <x:row r="15" ht="24" customHeight="1">
      <x:c r="A15" s="18" t="str">
        <x:v>51017</x:v>
      </x:c>
      <x:c r="B15" s="3" t="str">
        <x:v>Bath County</x:v>
      </x:c>
      <x:c r="C15" s="3" t="str">
        <x:v>VA</x:v>
      </x:c>
      <x:c r="D15" s="12" t="n">
        <x:v>1370.626044</x:v>
      </x:c>
      <x:c r="E15" s="12" t="n">
        <x:v>0.633</x:v>
      </x:c>
      <x:c r="F15" s="12" t="n">
        <x:v>0.898514851485149</x:v>
      </x:c>
      <x:c r="G15" s="12" t="n">
        <x:v>2.344844916311251</x:v>
      </x:c>
      <x:c r="H15" s="12" t="n">
        <x:v>2.6428136946393774</x:v>
      </x:c>
      <x:c r="I15" s="12" t="n">
        <x:v>0.9895568758477306</x:v>
      </x:c>
      <x:c r="J15" s="12" t="n">
        <x:v>0.11979346783113633</x:v>
      </x:c>
      <x:c r="K15" s="12" t="n">
        <x:v>0.000819581987001901</x:v>
      </x:c>
      <x:c r="L15" s="24" t="n">
        <x:v>0.824792058</x:v>
      </x:c>
      <x:c r="M15" s="24" t="n">
        <x:v>0.824523746</x:v>
      </x:c>
      <x:c r="N15" s="13" t="n">
        <x:v>2227</x:v>
      </x:c>
      <x:c r="O15" s="12" t="n">
        <x:v>0.1674</x:v>
      </x:c>
      <x:c r="P15" s="12" t="n">
        <x:v>463.05120849609375</x:v>
      </x:c>
      <x:c r="Q15" s="12" t="n">
        <x:v>3.2645129919052125</x:v>
      </x:c>
      <x:c r="R15" s="12" t="n">
        <x:v>23.349897205347105</x:v>
      </x:c>
      <x:c r="S15" s="12" t="n">
        <x:v>14.690310861723944</x:v>
      </x:c>
      <x:c r="T15" s="12" t="n">
        <x:v>89.9</x:v>
      </x:c>
      <x:c r="U15" s="12" t="n">
        <x:v>245.07712999476223</x:v>
      </x:c>
      <x:c r="V15" s="12" t="n">
        <x:v>244.75798925963002</x:v>
      </x:c>
      <x:c r="W15" s="12" t="n">
        <x:f>IF(ISNUMBER(E15),IF($I$146&gt;$H$146,(E15-$H$146)/($I$146-$H$146),"缺失"),"缺失")</x:f>
        <x:v>0.6770833333333333</x:v>
      </x:c>
      <x:c r="X15" s="12" t="n">
        <x:f>IF(ISNUMBER(F15),IF($I$147&gt;$H$147,(F15-$H$147)/($I$147-$H$147),"缺失"),"缺失")</x:f>
        <x:v>0.9083464566929136</x:v>
      </x:c>
      <x:c r="Y15" s="12" t="n">
        <x:f>IF(ISNUMBER(G15),IF($I$148&gt;$H$148,(G15-$H$148)/($I$148-$H$148),"缺失"),"缺失")</x:f>
        <x:v>0.6164708779565439</x:v>
      </x:c>
      <x:c r="Z15" s="12" t="n">
        <x:f>IF(ISNUMBER(H15),IF($I$149&gt;$H$149,(H15-$H$149)/($I$149-$H$149),"缺失"),"缺失")</x:f>
        <x:v>0.6511004346849343</x:v>
      </x:c>
      <x:c r="AA15" s="12" t="n">
        <x:f>IF(ISNUMBER(I15),IF($I$150&gt;$H$150,(I15-$H$150)/($I$150-$H$150),"缺失"),"缺失")</x:f>
        <x:v>0.9980012044373843</x:v>
      </x:c>
      <x:c r="AB15" s="12" t="n">
        <x:f>IF(ISNUMBER(J15),IF($I$151&gt;$H$151,(J15-$H$151)/($I$151-$H$151),"缺失"),"缺失")</x:f>
        <x:v>0.29385265556179707</x:v>
      </x:c>
      <x:c r="AC15" s="12" t="n">
        <x:f>IF(ISNUMBER(K15),IF($I$152&gt;$H$152,(K15-$H$152)/($I$152-$H$152),"缺失"),"缺失")</x:f>
        <x:v>0.0014090263788663743</x:v>
      </x:c>
      <x:c r="AD15" s="12" t="n">
        <x:f>IF(ISNUMBER(L15),IF($I$153&gt;$H$153,(L15-$H$153)/($I$153-$H$153),"缺失"),"缺失")</x:f>
        <x:v>0.8247340900271378</x:v>
      </x:c>
      <x:c r="AE15" s="12" t="n">
        <x:f>IF(ISNUMBER(M15),IF($I$154&gt;$H$154,(M15-$H$154)/($I$154-$H$154),"缺失"),"缺失")</x:f>
        <x:v>0.824523746</x:v>
      </x:c>
      <x:c r="AF15" s="12" t="n">
        <x:f>IF(ISNUMBER(N15),IF($I$155&gt;$H$155,(N15-$H$155)/($I$155-$H$155),"缺失"),"缺失")</x:f>
        <x:v>0.002389803505045141</x:v>
      </x:c>
      <x:c r="AG15" s="12" t="n">
        <x:f>IF(ISNUMBER(O15),IF($I$156&gt;$H$156,(O15-$H$156)/($I$156-$H$156),"缺失"),"缺失")</x:f>
        <x:v>0.16700363930448847</x:v>
      </x:c>
      <x:c r="AH15" s="12" t="n">
        <x:f>IF(ISNUMBER(P15),IF($I$157&gt;$H$157,(P15-$H$157)/($I$157-$H$157),"缺失"),"缺失")</x:f>
        <x:v>0.08424881588926281</x:v>
      </x:c>
      <x:c r="AI15" s="12" t="n">
        <x:f>IF(ISNUMBER(Q15),IF($I$158&gt;$H$158,(Q15-$H$158)/($I$158-$H$158),"缺失"),"缺失")</x:f>
        <x:v>0.034621450199828846</x:v>
      </x:c>
      <x:c r="AJ15" s="12" t="n">
        <x:f>IF(ISNUMBER(R15),IF($I$159&gt;$H$159,(R15-$H$159)/($I$159-$H$159),"缺失"),"缺失")</x:f>
        <x:v>0.24386058802426738</x:v>
      </x:c>
      <x:c r="AK15" s="12" t="n">
        <x:f>IF(ISNUMBER(S15),IF($I$160&gt;$H$160,(S15-$H$160)/($I$160-$H$160),"缺失"),"缺失")</x:f>
        <x:v>0.2866198486000817</x:v>
      </x:c>
      <x:c r="AL15" s="12" t="n">
        <x:f>IF(ISNUMBER(T15),IF($I$161&gt;$H$161,(T15-$H$161)/($I$161-$H$161),"缺失"),"缺失")</x:f>
        <x:v>1</x:v>
      </x:c>
      <x:c r="AM15" s="12" t="n">
        <x:f>IF(ISNUMBER(U15),IF($I$162&gt;$H$162,(U15-$H$162)/($I$162-$H$162),"缺失"),"缺失")</x:f>
        <x:v>1</x:v>
      </x:c>
      <x:c r="AN15" s="12" t="n">
        <x:f>IF(ISNUMBER(V15),IF($I$163&gt;$H$163,(V15-$H$163)/($I$163-$H$163),"缺失"),"缺失")</x:f>
        <x:v>0</x:v>
      </x:c>
      <x:c r="AO15" s="23" t="str"/>
      <x:c r="AP15" s="23" t="str">
        <x:v>见指标口径：州级、产业、代表点代理；气候基期待核实</x:v>
      </x:c>
      <x:c r="AQ15" s="15" t="n">
        <x:v>1.0000000000000042</x:v>
      </x:c>
      <x:c r="AR15" s="15" t="n">
        <x:v>1.0000000000000016</x:v>
      </x:c>
      <x:c r="AS15" s="15" t="n">
        <x:v>1</x:v>
      </x:c>
      <x:c r="AT15" s="15" t="n">
        <x:v>1</x:v>
      </x:c>
    </x:row>
    <x:row r="16" ht="24" customHeight="1">
      <x:c r="A16" s="18" t="str">
        <x:v>51019</x:v>
      </x:c>
      <x:c r="B16" s="3" t="str">
        <x:v>Bedford County</x:v>
      </x:c>
      <x:c r="C16" s="3" t="str">
        <x:v>VA</x:v>
      </x:c>
      <x:c r="D16" s="12" t="n">
        <x:v>1968.69131</x:v>
      </x:c>
      <x:c r="E16" s="12" t="n">
        <x:v>0.508</x:v>
      </x:c>
      <x:c r="F16" s="12" t="n">
        <x:v>0.527227722772277</x:v>
      </x:c>
      <x:c r="G16" s="12" t="n">
        <x:v>2.7111303374500344</x:v>
      </x:c>
      <x:c r="H16" s="12" t="n">
        <x:v>3.0843331054445926</x:v>
      </x:c>
      <x:c r="I16" s="12" t="n">
        <x:v>0.9417486580123711</x:v>
      </x:c>
      <x:c r="J16" s="12" t="n">
        <x:v>0.013509257071560152</x:v>
      </x:c>
      <x:c r="K16" s="12" t="n">
        <x:v>0.000133217877839206</x:v>
      </x:c>
      <x:c r="L16" s="24" t="n">
        <x:v>0.662832857</x:v>
      </x:c>
      <x:c r="M16" s="24" t="n">
        <x:v>0.30775326</x:v>
      </x:c>
      <x:c r="N16" s="13" t="n">
        <x:v>38193</x:v>
      </x:c>
      <x:c r="O16" s="12" t="n">
        <x:v>0.0853</x:v>
      </x:c>
      <x:c r="P16" s="12" t="n">
        <x:v>991.7323303222656</x:v>
      </x:c>
      <x:c r="Q16" s="12" t="n">
        <x:v>16.741791756947837</x:v>
      </x:c>
      <x:c r="R16" s="12" t="n">
        <x:v>28.240638716691205</x:v>
      </x:c>
      <x:c r="S16" s="12" t="n">
        <x:v>2.6543279414508034</x:v>
      </x:c>
      <x:c r="T16" s="12" t="n">
        <x:v>89.9</x:v>
      </x:c>
      <x:c r="U16" s="12" t="n">
        <x:v>245.07712999476223</x:v>
      </x:c>
      <x:c r="V16" s="12" t="n">
        <x:v>244.75798925963002</x:v>
      </x:c>
      <x:c r="W16" s="12" t="n">
        <x:f>IF(ISNUMBER(E16),IF($I$146&gt;$H$146,(E16-$H$146)/($I$146-$H$146),"缺失"),"缺失")</x:f>
        <x:v>0.5324074074074074</x:v>
      </x:c>
      <x:c r="X16" s="12" t="n">
        <x:f>IF(ISNUMBER(F16),IF($I$147&gt;$H$147,(F16-$H$147)/($I$147-$H$147),"缺失"),"缺失")</x:f>
        <x:v>0.5303937007874012</x:v>
      </x:c>
      <x:c r="Y16" s="12" t="n">
        <x:f>IF(ISNUMBER(G16),IF($I$148&gt;$H$148,(G16-$H$148)/($I$148-$H$148),"缺失"),"缺失")</x:f>
        <x:v>0.7128226143455402</x:v>
      </x:c>
      <x:c r="Z16" s="12" t="n">
        <x:f>IF(ISNUMBER(H16),IF($I$149&gt;$H$149,(H16-$H$149)/($I$149-$H$149),"缺失"),"缺失")</x:f>
        <x:v>0.75994718484186</x:v>
      </x:c>
      <x:c r="AA16" s="12" t="n">
        <x:f>IF(ISNUMBER(I16),IF($I$150&gt;$H$150,(I16-$H$150)/($I$150-$H$150),"缺失"),"缺失")</x:f>
        <x:v>0.9466778226286958</x:v>
      </x:c>
      <x:c r="AB16" s="12" t="n">
        <x:f>IF(ISNUMBER(J16),IF($I$151&gt;$H$151,(J16-$H$151)/($I$151-$H$151),"缺失"),"缺失")</x:f>
        <x:v>0.033138126285322686</x:v>
      </x:c>
      <x:c r="AC16" s="12" t="n">
        <x:f>IF(ISNUMBER(K16),IF($I$152&gt;$H$152,(K16-$H$152)/($I$152-$H$152),"缺失"),"缺失")</x:f>
        <x:v>0.0002290283424830859</x:v>
      </x:c>
      <x:c r="AD16" s="12" t="n">
        <x:f>IF(ISNUMBER(L16),IF($I$153&gt;$H$153,(L16-$H$153)/($I$153-$H$153),"缺失"),"缺失")</x:f>
        <x:v>0.662721304432392</x:v>
      </x:c>
      <x:c r="AE16" s="12" t="n">
        <x:f>IF(ISNUMBER(M16),IF($I$154&gt;$H$154,(M16-$H$154)/($I$154-$H$154),"缺失"),"缺失")</x:f>
        <x:v>0.30775326</x:v>
      </x:c>
      <x:c r="AF16" s="12" t="n">
        <x:f>IF(ISNUMBER(N16),IF($I$155&gt;$H$155,(N16-$H$155)/($I$155-$H$155),"缺失"),"缺失")</x:f>
        <x:v>0.058238843701571154</x:v>
      </x:c>
      <x:c r="AG16" s="12" t="n">
        <x:f>IF(ISNUMBER(O16),IF($I$156&gt;$H$156,(O16-$H$156)/($I$156-$H$156),"缺失"),"缺失")</x:f>
        <x:v>0.08400727860897696</x:v>
      </x:c>
      <x:c r="AH16" s="12" t="n">
        <x:f>IF(ISNUMBER(P16),IF($I$157&gt;$H$157,(P16-$H$157)/($I$157-$H$157),"缺失"),"缺失")</x:f>
        <x:v>0.32207921536425355</x:v>
      </x:c>
      <x:c r="AI16" s="12" t="n">
        <x:f>IF(ISNUMBER(Q16),IF($I$158&gt;$H$158,(Q16-$H$158)/($I$158-$H$158),"缺失"),"缺失")</x:f>
        <x:v>0.19300098037464622</x:v>
      </x:c>
      <x:c r="AJ16" s="12" t="n">
        <x:f>IF(ISNUMBER(R16),IF($I$159&gt;$H$159,(R16-$H$159)/($I$159-$H$159),"缺失"),"缺失")</x:f>
        <x:v>0.29525469447675634</x:v>
      </x:c>
      <x:c r="AK16" s="12" t="n">
        <x:f>IF(ISNUMBER(S16),IF($I$160&gt;$H$160,(S16-$H$160)/($I$160-$H$160),"缺失"),"缺失")</x:f>
        <x:v>0.051657483460135656</x:v>
      </x:c>
      <x:c r="AL16" s="12" t="n">
        <x:f>IF(ISNUMBER(T16),IF($I$161&gt;$H$161,(T16-$H$161)/($I$161-$H$161),"缺失"),"缺失")</x:f>
        <x:v>1</x:v>
      </x:c>
      <x:c r="AM16" s="12" t="n">
        <x:f>IF(ISNUMBER(U16),IF($I$162&gt;$H$162,(U16-$H$162)/($I$162-$H$162),"缺失"),"缺失")</x:f>
        <x:v>1</x:v>
      </x:c>
      <x:c r="AN16" s="12" t="n">
        <x:f>IF(ISNUMBER(V16),IF($I$163&gt;$H$163,(V16-$H$163)/($I$163-$H$163),"缺失"),"缺失")</x:f>
        <x:v>0</x:v>
      </x:c>
      <x:c r="AO16" s="23" t="str"/>
      <x:c r="AP16" s="23" t="str">
        <x:v>见指标口径：州级、产业、代表点代理；气候基期待核实</x:v>
      </x:c>
      <x:c r="AQ16" s="15" t="n">
        <x:v>1.000000000000006</x:v>
      </x:c>
      <x:c r="AR16" s="15" t="n">
        <x:v>1.0000000000000004</x:v>
      </x:c>
      <x:c r="AS16" s="15" t="n">
        <x:v>1</x:v>
      </x:c>
      <x:c r="AT16" s="15" t="n">
        <x:v>1</x:v>
      </x:c>
    </x:row>
    <x:row r="17" ht="24" customHeight="1">
      <x:c r="A17" s="18" t="str">
        <x:v>51021</x:v>
      </x:c>
      <x:c r="B17" s="3" t="str">
        <x:v>Bland County</x:v>
      </x:c>
      <x:c r="C17" s="3" t="str">
        <x:v>VA</x:v>
      </x:c>
      <x:c r="D17" s="12" t="n">
        <x:v>926.296565</x:v>
      </x:c>
      <x:c r="E17" s="12" t="n">
        <x:v>0.68</x:v>
      </x:c>
      <x:c r="F17" s="12" t="n">
        <x:v>0.9854579207920791</x:v>
      </x:c>
      <x:c r="G17" s="12" t="n">
        <x:v>1.8039625546390905</x:v>
      </x:c>
      <x:c r="H17" s="12" t="n">
        <x:v>2.181944094272481</x:v>
      </x:c>
      <x:c r="I17" s="12" t="n">
        <x:v>0.9832995259864299</x:v>
      </x:c>
      <x:c r="J17" s="12" t="n">
        <x:v>0.09325843547986352</x:v>
      </x:c>
      <x:c r="K17" s="12" t="n">
        <x:v>0.0005824619824834977</x:v>
      </x:c>
      <x:c r="L17" s="24" t="n">
        <x:v>0.165452653</x:v>
      </x:c>
      <x:c r="M17" s="24" t="n">
        <x:v>0.165452653</x:v>
      </x:c>
      <x:c r="N17" s="13" t="n">
        <x:v>2654</x:v>
      </x:c>
      <x:c r="O17" s="12" t="n">
        <x:v>0.0974</x:v>
      </x:c>
      <x:c r="P17" s="12" t="n">
        <x:v>372.3394755045573</x:v>
      </x:c>
      <x:c r="Q17" s="12" t="n">
        <x:v>0.5354177872339885</x:v>
      </x:c>
      <x:c r="R17" s="12" t="n">
        <x:v>0.4659493951410033</x:v>
      </x:c>
      <x:c r="S17" s="12" t="n">
        <x:v>17.447338398510915</x:v>
      </x:c>
      <x:c r="T17" s="12" t="n">
        <x:v>89.9</x:v>
      </x:c>
      <x:c r="U17" s="12" t="n">
        <x:v>245.07712999476223</x:v>
      </x:c>
      <x:c r="V17" s="12" t="n">
        <x:v>244.75798925963002</x:v>
      </x:c>
      <x:c r="W17" s="12" t="n">
        <x:f>IF(ISNUMBER(E17),IF($I$146&gt;$H$146,(E17-$H$146)/($I$146-$H$146),"缺失"),"缺失")</x:f>
        <x:v>0.7314814814814815</x:v>
      </x:c>
      <x:c r="X17" s="12" t="n">
        <x:f>IF(ISNUMBER(F17),IF($I$147&gt;$H$147,(F17-$H$147)/($I$147-$H$147),"缺失"),"缺失")</x:f>
        <x:v>0.996850393700787</x:v>
      </x:c>
      <x:c r="Y17" s="12" t="n">
        <x:f>IF(ISNUMBER(G17),IF($I$148&gt;$H$148,(G17-$H$148)/($I$148-$H$148),"缺失"),"缺失")</x:f>
        <x:v>0.4741912464951877</x:v>
      </x:c>
      <x:c r="Z17" s="12" t="n">
        <x:f>IF(ISNUMBER(H17),IF($I$149&gt;$H$149,(H17-$H$149)/($I$149-$H$149),"缺失"),"缺失")</x:f>
        <x:v>0.5374833274447983</x:v>
      </x:c>
      <x:c r="AA17" s="12" t="n">
        <x:f>IF(ISNUMBER(I17),IF($I$150&gt;$H$150,(I17-$H$150)/($I$150-$H$150),"缺失"),"缺失")</x:f>
        <x:v>0.9912837744518526</x:v>
      </x:c>
      <x:c r="AB17" s="12" t="n">
        <x:f>IF(ISNUMBER(J17),IF($I$151&gt;$H$151,(J17-$H$151)/($I$151-$H$151),"缺失"),"缺失")</x:f>
        <x:v>0.22876238091651263</x:v>
      </x:c>
      <x:c r="AC17" s="12" t="n">
        <x:f>IF(ISNUMBER(K17),IF($I$152&gt;$H$152,(K17-$H$152)/($I$152-$H$152),"缺失"),"缺失")</x:f>
        <x:v>0.0010013693700227074</x:v>
      </x:c>
      <x:c r="AD17" s="12" t="n">
        <x:f>IF(ISNUMBER(L17),IF($I$153&gt;$H$153,(L17-$H$153)/($I$153-$H$153),"缺失"),"缺失")</x:f>
        <x:v>0.16517654098469492</x:v>
      </x:c>
      <x:c r="AE17" s="12" t="n">
        <x:f>IF(ISNUMBER(M17),IF($I$154&gt;$H$154,(M17-$H$154)/($I$154-$H$154),"缺失"),"缺失")</x:f>
        <x:v>0.165452653</x:v>
      </x:c>
      <x:c r="AF17" s="12" t="n">
        <x:f>IF(ISNUMBER(N17),IF($I$155&gt;$H$155,(N17-$H$155)/($I$155-$H$155),"缺失"),"缺失")</x:f>
        <x:v>0.0030528613976080225</x:v>
      </x:c>
      <x:c r="AG17" s="12" t="n">
        <x:f>IF(ISNUMBER(O17),IF($I$156&gt;$H$156,(O17-$H$156)/($I$156-$H$156),"缺失"),"缺失")</x:f>
        <x:v>0.09623938536190862</x:v>
      </x:c>
      <x:c r="AH17" s="12" t="n">
        <x:f>IF(ISNUMBER(P17),IF($I$157&gt;$H$157,(P17-$H$157)/($I$157-$H$157),"缺失"),"缺失")</x:f>
        <x:v>0.0434415942886034</x:v>
      </x:c>
      <x:c r="AI17" s="12" t="n">
        <x:f>IF(ISNUMBER(Q17),IF($I$158&gt;$H$158,(Q17-$H$158)/($I$158-$H$158),"缺失"),"缺失")</x:f>
        <x:v>0.0025502269318720245</x:v>
      </x:c>
      <x:c r="AJ17" s="12" t="n">
        <x:f>IF(ISNUMBER(R17),IF($I$159&gt;$H$159,(R17-$H$159)/($I$159-$H$159),"缺失"),"缺失")</x:f>
        <x:v>0.003385795585745714</x:v>
      </x:c>
      <x:c r="AK17" s="12" t="n">
        <x:f>IF(ISNUMBER(S17),IF($I$160&gt;$H$160,(S17-$H$160)/($I$160-$H$160),"缺失"),"缺失")</x:f>
        <x:v>0.340441602510042</x:v>
      </x:c>
      <x:c r="AL17" s="12" t="n">
        <x:f>IF(ISNUMBER(T17),IF($I$161&gt;$H$161,(T17-$H$161)/($I$161-$H$161),"缺失"),"缺失")</x:f>
        <x:v>1</x:v>
      </x:c>
      <x:c r="AM17" s="12" t="n">
        <x:f>IF(ISNUMBER(U17),IF($I$162&gt;$H$162,(U17-$H$162)/($I$162-$H$162),"缺失"),"缺失")</x:f>
        <x:v>1</x:v>
      </x:c>
      <x:c r="AN17" s="12" t="n">
        <x:f>IF(ISNUMBER(V17),IF($I$163&gt;$H$163,(V17-$H$163)/($I$163-$H$163),"缺失"),"缺失")</x:f>
        <x:v>0</x:v>
      </x:c>
      <x:c r="AO17" s="23" t="str"/>
      <x:c r="AP17" s="23" t="str">
        <x:v>见指标口径：州级、产业、代表点代理；气候基期待核实</x:v>
      </x:c>
      <x:c r="AQ17" s="15" t="n">
        <x:v>0.9999999999999997</x:v>
      </x:c>
      <x:c r="AR17" s="15" t="n">
        <x:v>0.9999999999999998</x:v>
      </x:c>
      <x:c r="AS17" s="15" t="n">
        <x:v>1</x:v>
      </x:c>
      <x:c r="AT17" s="15" t="n">
        <x:v>1</x:v>
      </x:c>
    </x:row>
    <x:row r="18" ht="24" customHeight="1">
      <x:c r="A18" s="18" t="str">
        <x:v>51023</x:v>
      </x:c>
      <x:c r="B18" s="3" t="str">
        <x:v>Botetourt County</x:v>
      </x:c>
      <x:c r="C18" s="3" t="str">
        <x:v>VA</x:v>
      </x:c>
      <x:c r="D18" s="12" t="n">
        <x:v>1401.898973</x:v>
      </x:c>
      <x:c r="E18" s="12" t="n">
        <x:v>0.618</x:v>
      </x:c>
      <x:c r="F18" s="12" t="n">
        <x:v>0.59529702970297</x:v>
      </x:c>
      <x:c r="G18" s="12" t="n">
        <x:v>2.4020355088370846</x:v>
      </x:c>
      <x:c r="H18" s="12" t="n">
        <x:v>2.7114536905340274</x:v>
      </x:c>
      <x:c r="I18" s="12" t="n">
        <x:v>0.9528392753030503</x:v>
      </x:c>
      <x:c r="J18" s="12" t="n">
        <x:v>0.01391799227187217</x:v>
      </x:c>
      <x:c r="K18" s="12" t="n">
        <x:v>0.0008998232992795653</x:v>
      </x:c>
      <x:c r="L18" s="24" t="n">
        <x:v>0.151574442</x:v>
      </x:c>
      <x:c r="M18" s="24" t="n">
        <x:v>0.11103638</x:v>
      </x:c>
      <x:c r="N18" s="13" t="n">
        <x:v>17151</x:v>
      </x:c>
      <x:c r="O18" s="12" t="n">
        <x:v>0.013</x:v>
      </x:c>
      <x:c r="P18" s="12" t="n">
        <x:v>809.0045572916666</x:v>
      </x:c>
      <x:c r="Q18" s="12" t="n">
        <x:v>12.352752590179444</x:v>
      </x:c>
      <x:c r="R18" s="12" t="n">
        <x:v>7.897200461818425</x:v>
      </x:c>
      <x:c r="S18" s="12" t="n">
        <x:v>3.8566901296297975</x:v>
      </x:c>
      <x:c r="T18" s="12" t="n">
        <x:v>89.9</x:v>
      </x:c>
      <x:c r="U18" s="12" t="n">
        <x:v>245.07712999476223</x:v>
      </x:c>
      <x:c r="V18" s="12" t="n">
        <x:v>244.75798925963002</x:v>
      </x:c>
      <x:c r="W18" s="12" t="n">
        <x:f>IF(ISNUMBER(E18),IF($I$146&gt;$H$146,(E18-$H$146)/($I$146-$H$146),"缺失"),"缺失")</x:f>
        <x:v>0.6597222222222222</x:v>
      </x:c>
      <x:c r="X18" s="12" t="n">
        <x:f>IF(ISNUMBER(F18),IF($I$147&gt;$H$147,(F18-$H$147)/($I$147-$H$147),"缺失"),"缺失")</x:f>
        <x:v>0.5996850393700783</x:v>
      </x:c>
      <x:c r="Y18" s="12" t="n">
        <x:f>IF(ISNUMBER(G18),IF($I$148&gt;$H$148,(G18-$H$148)/($I$148-$H$148),"缺失"),"缺失")</x:f>
        <x:v>0.6315149189610909</x:v>
      </x:c>
      <x:c r="Z18" s="12" t="n">
        <x:f>IF(ISNUMBER(H18),IF($I$149&gt;$H$149,(H18-$H$149)/($I$149-$H$149),"缺失"),"缺失")</x:f>
        <x:v>0.6680220927164391</x:v>
      </x:c>
      <x:c r="AA18" s="12" t="n">
        <x:f>IF(ISNUMBER(I18),IF($I$150&gt;$H$150,(I18-$H$150)/($I$150-$H$150),"缺失"),"缺失")</x:f>
        <x:v>0.9585838925780881</x:v>
      </x:c>
      <x:c r="AB18" s="12" t="n">
        <x:f>IF(ISNUMBER(J18),IF($I$151&gt;$H$151,(J18-$H$151)/($I$151-$H$151),"缺失"),"缺失")</x:f>
        <x:v>0.03414075127154127</x:v>
      </x:c>
      <x:c r="AC18" s="12" t="n">
        <x:f>IF(ISNUMBER(K18),IF($I$152&gt;$H$152,(K18-$H$152)/($I$152-$H$152),"缺失"),"缺失")</x:f>
        <x:v>0.0015469773434644055</x:v>
      </x:c>
      <x:c r="AD18" s="12" t="n">
        <x:f>IF(ISNUMBER(L18),IF($I$153&gt;$H$153,(L18-$H$153)/($I$153-$H$153),"缺失"),"缺失")</x:f>
        <x:v>0.15129373834490142</x:v>
      </x:c>
      <x:c r="AE18" s="12" t="n">
        <x:f>IF(ISNUMBER(M18),IF($I$154&gt;$H$154,(M18-$H$154)/($I$154-$H$154),"缺失"),"缺失")</x:f>
        <x:v>0.11103638</x:v>
      </x:c>
      <x:c r="AF18" s="12" t="n">
        <x:f>IF(ISNUMBER(N18),IF($I$155&gt;$H$155,(N18-$H$155)/($I$155-$H$155),"缺失"),"缺失")</x:f>
        <x:v>0.02556422034019373</x:v>
      </x:c>
      <x:c r="AG18" s="12" t="n">
        <x:f>IF(ISNUMBER(O18),IF($I$156&gt;$H$156,(O18-$H$156)/($I$156-$H$156),"缺失"),"缺失")</x:f>
        <x:v>0.010917913465426607</x:v>
      </x:c>
      <x:c r="AH18" s="12" t="n">
        <x:f>IF(ISNUMBER(P18),IF($I$157&gt;$H$157,(P18-$H$157)/($I$157-$H$157),"缺失"),"缺失")</x:f>
        <x:v>0.2398780217507398</x:v>
      </x:c>
      <x:c r="AI18" s="12" t="n">
        <x:f>IF(ISNUMBER(Q18),IF($I$158&gt;$H$158,(Q18-$H$158)/($I$158-$H$158),"缺失"),"缺失")</x:f>
        <x:v>0.1414227669036383</x:v>
      </x:c>
      <x:c r="AJ18" s="12" t="n">
        <x:f>IF(ISNUMBER(R18),IF($I$159&gt;$H$159,(R18-$H$159)/($I$159-$H$159),"缺失"),"缺失")</x:f>
        <x:v>0.08147671646351454</x:v>
      </x:c>
      <x:c r="AK18" s="12" t="n">
        <x:f>IF(ISNUMBER(S18),IF($I$160&gt;$H$160,(S18-$H$160)/($I$160-$H$160),"缺失"),"缺失")</x:f>
        <x:v>0.07512958917520143</x:v>
      </x:c>
      <x:c r="AL18" s="12" t="n">
        <x:f>IF(ISNUMBER(T18),IF($I$161&gt;$H$161,(T18-$H$161)/($I$161-$H$161),"缺失"),"缺失")</x:f>
        <x:v>1</x:v>
      </x:c>
      <x:c r="AM18" s="12" t="n">
        <x:f>IF(ISNUMBER(U18),IF($I$162&gt;$H$162,(U18-$H$162)/($I$162-$H$162),"缺失"),"缺失")</x:f>
        <x:v>1</x:v>
      </x:c>
      <x:c r="AN18" s="12" t="n">
        <x:f>IF(ISNUMBER(V18),IF($I$163&gt;$H$163,(V18-$H$163)/($I$163-$H$163),"缺失"),"缺失")</x:f>
        <x:v>0</x:v>
      </x:c>
      <x:c r="AO18" s="23" t="str"/>
      <x:c r="AP18" s="23" t="str">
        <x:v>见指标口径：州级、产业、代表点代理；气候基期待核实</x:v>
      </x:c>
      <x:c r="AQ18" s="15" t="n">
        <x:v>0.9999999999999993</x:v>
      </x:c>
      <x:c r="AR18" s="15" t="n">
        <x:v>0.9999999999999984</x:v>
      </x:c>
      <x:c r="AS18" s="15" t="n">
        <x:v>1</x:v>
      </x:c>
      <x:c r="AT18" s="15" t="n">
        <x:v>1</x:v>
      </x:c>
    </x:row>
    <x:row r="19" ht="24" customHeight="1">
      <x:c r="A19" s="18" t="str">
        <x:v>51025</x:v>
      </x:c>
      <x:c r="B19" s="3" t="str">
        <x:v>Brunswick County</x:v>
      </x:c>
      <x:c r="C19" s="3" t="str">
        <x:v>VA</x:v>
      </x:c>
      <x:c r="D19" s="12" t="n">
        <x:v>1466.842628</x:v>
      </x:c>
      <x:c r="E19" s="12" t="n">
        <x:v>0.326</x:v>
      </x:c>
      <x:c r="F19" s="12" t="n">
        <x:v>0.382735148514851</x:v>
      </x:c>
      <x:c r="G19" s="12" t="n">
        <x:v>3.6084219208604997</x:v>
      </x:c>
      <x:c r="H19" s="12" t="n">
        <x:v>3.9515309660801954</x:v>
      </x:c>
      <x:c r="I19" s="12" t="n">
        <x:v>0.9577715044223881</x:v>
      </x:c>
      <x:c r="J19" s="12" t="n">
        <x:v>0.0000840847789704162</x:v>
      </x:c>
      <x:c r="K19" s="12" t="n">
        <x:v>0.04069174180571945</x:v>
      </x:c>
      <x:c r="L19" s="24" t="n">
        <x:v>0.360050622</x:v>
      </x:c>
      <x:c r="M19" s="24" t="n">
        <x:v>0.360050622</x:v>
      </x:c>
      <x:c r="N19" s="13" t="n">
        <x:v>6696</x:v>
      </x:c>
      <x:c r="O19" s="12" t="n">
        <x:v>0.8311</x:v>
      </x:c>
      <x:c r="P19" s="12" t="n">
        <x:v>1264.3280680338542</x:v>
      </x:c>
      <x:c r="Q19" s="12" t="n">
        <x:v>31.19815813700358</x:v>
      </x:c>
      <x:c r="R19" s="12" t="n">
        <x:v>9.53928979679906</x:v>
      </x:c>
      <x:c r="S19" s="12" t="n">
        <x:v>0.5272323390107743</x:v>
      </x:c>
      <x:c r="T19" s="12" t="n">
        <x:v>89.9</x:v>
      </x:c>
      <x:c r="U19" s="12" t="n">
        <x:v>245.07712999476223</x:v>
      </x:c>
      <x:c r="V19" s="12" t="n">
        <x:v>244.75798925963002</x:v>
      </x:c>
      <x:c r="W19" s="12" t="n">
        <x:f>IF(ISNUMBER(E19),IF($I$146&gt;$H$146,(E19-$H$146)/($I$146-$H$146),"缺失"),"缺失")</x:f>
        <x:v>0.3217592592592593</x:v>
      </x:c>
      <x:c r="X19" s="12" t="n">
        <x:f>IF(ISNUMBER(F19),IF($I$147&gt;$H$147,(F19-$H$147)/($I$147-$H$147),"缺失"),"缺失")</x:f>
        <x:v>0.3833070866141727</x:v>
      </x:c>
      <x:c r="Y19" s="12" t="n">
        <x:f>IF(ISNUMBER(G19),IF($I$148&gt;$H$148,(G19-$H$148)/($I$148-$H$148),"缺失"),"缺失")</x:f>
        <x:v>0.9488560383350598</x:v>
      </x:c>
      <x:c r="Z19" s="12" t="n">
        <x:f>IF(ISNUMBER(H19),IF($I$149&gt;$H$149,(H19-$H$149)/($I$149-$H$149),"缺失"),"缺失")</x:f>
        <x:v>0.9737354500080017</x:v>
      </x:c>
      <x:c r="AA19" s="12" t="n">
        <x:f>IF(ISNUMBER(I19),IF($I$150&gt;$H$150,(I19-$H$150)/($I$150-$H$150),"缺失"),"缺失")</x:f>
        <x:v>0.9638787705242072</x:v>
      </x:c>
      <x:c r="AB19" s="12" t="n">
        <x:f>IF(ISNUMBER(J19),IF($I$151&gt;$H$151,(J19-$H$151)/($I$151-$H$151),"缺失"),"缺失")</x:f>
        <x:v>0.00020625945671439512</x:v>
      </x:c>
      <x:c r="AC19" s="12" t="n">
        <x:f>IF(ISNUMBER(K19),IF($I$152&gt;$H$152,(K19-$H$152)/($I$152-$H$152),"缺失"),"缺失")</x:f>
        <x:v>0.0699572934930125</x:v>
      </x:c>
      <x:c r="AD19" s="12" t="n">
        <x:f>IF(ISNUMBER(L19),IF($I$153&gt;$H$153,(L19-$H$153)/($I$153-$H$153),"缺失"),"缺失")</x:f>
        <x:v>0.35983889319505197</x:v>
      </x:c>
      <x:c r="AE19" s="12" t="n">
        <x:f>IF(ISNUMBER(M19),IF($I$154&gt;$H$154,(M19-$H$154)/($I$154-$H$154),"缺失"),"缺失")</x:f>
        <x:v>0.360050622</x:v>
      </x:c>
      <x:c r="AF19" s="12" t="n">
        <x:f>IF(ISNUMBER(N19),IF($I$155&gt;$H$155,(N19-$H$155)/($I$155-$H$155),"缺失"),"缺失")</x:f>
        <x:v>0.00932939535952645</x:v>
      </x:c>
      <x:c r="AG19" s="12" t="n">
        <x:f>IF(ISNUMBER(O19),IF($I$156&gt;$H$156,(O19-$H$156)/($I$156-$H$156),"缺失"),"缺失")</x:f>
        <x:v>0.8379498584714921</x:v>
      </x:c>
      <x:c r="AH19" s="12" t="n">
        <x:f>IF(ISNUMBER(P19),IF($I$157&gt;$H$157,(P19-$H$157)/($I$157-$H$157),"缺失"),"缺失")</x:f>
        <x:v>0.4447080563018409</x:v>
      </x:c>
      <x:c r="AI19" s="12" t="n">
        <x:f>IF(ISNUMBER(Q19),IF($I$158&gt;$H$158,(Q19-$H$158)/($I$158-$H$158),"缺失"),"缺失")</x:f>
        <x:v>0.362886352282735</x:v>
      </x:c>
      <x:c r="AJ19" s="12" t="n">
        <x:f>IF(ISNUMBER(R19),IF($I$159&gt;$H$159,(R19-$H$159)/($I$159-$H$159),"缺失"),"缺失")</x:f>
        <x:v>0.09873252805992377</x:v>
      </x:c>
      <x:c r="AK19" s="12" t="n">
        <x:f>IF(ISNUMBER(S19),IF($I$160&gt;$H$160,(S19-$H$160)/($I$160-$H$160),"缺失"),"缺失")</x:f>
        <x:v>0.010133046533072822</x:v>
      </x:c>
      <x:c r="AL19" s="12" t="n">
        <x:f>IF(ISNUMBER(T19),IF($I$161&gt;$H$161,(T19-$H$161)/($I$161-$H$161),"缺失"),"缺失")</x:f>
        <x:v>1</x:v>
      </x:c>
      <x:c r="AM19" s="12" t="n">
        <x:f>IF(ISNUMBER(U19),IF($I$162&gt;$H$162,(U19-$H$162)/($I$162-$H$162),"缺失"),"缺失")</x:f>
        <x:v>1</x:v>
      </x:c>
      <x:c r="AN19" s="12" t="n">
        <x:f>IF(ISNUMBER(V19),IF($I$163&gt;$H$163,(V19-$H$163)/($I$163-$H$163),"缺失"),"缺失")</x:f>
        <x:v>0</x:v>
      </x:c>
      <x:c r="AO19" s="23" t="str"/>
      <x:c r="AP19" s="23" t="str">
        <x:v>见指标口径：州级、产业、代表点代理；气候基期待核实</x:v>
      </x:c>
      <x:c r="AQ19" s="15" t="n">
        <x:v>1.0000000000000018</x:v>
      </x:c>
      <x:c r="AR19" s="15" t="n">
        <x:v>1.0000000000000038</x:v>
      </x:c>
      <x:c r="AS19" s="15" t="n">
        <x:v>1</x:v>
      </x:c>
      <x:c r="AT19" s="15" t="n">
        <x:v>1</x:v>
      </x:c>
    </x:row>
    <x:row r="20" ht="24" customHeight="1">
      <x:c r="A20" s="18" t="str">
        <x:v>51027</x:v>
      </x:c>
      <x:c r="B20" s="3" t="str">
        <x:v>Buchanan County</x:v>
      </x:c>
      <x:c r="C20" s="3" t="str">
        <x:v>VA</x:v>
      </x:c>
      <x:c r="D20" s="12" t="n">
        <x:v>1302.387764</x:v>
      </x:c>
      <x:c r="E20" s="12" t="n">
        <x:v>0.912</x:v>
      </x:c>
      <x:c r="F20" s="12" t="n">
        <x:v>0.621596534653465</x:v>
      </x:c>
      <x:c r="G20" s="12" t="n">
        <x:v>2.85421559392595</x:v>
      </x:c>
      <x:c r="H20" s="12" t="n">
        <x:v>2.963370200644107</x:v>
      </x:c>
      <x:c r="I20" s="12" t="n">
        <x:v>0.969007901123205</x:v>
      </x:c>
      <x:c r="J20" s="12" t="n">
        <x:v>0.002017160096096904</x:v>
      </x:c>
      <x:c r="K20" s="12" t="n">
        <x:v>0.000008965226644377734</x:v>
      </x:c>
      <x:c r="L20" s="24" t="n">
        <x:v>0.708456376</x:v>
      </x:c>
      <x:c r="M20" s="24" t="n">
        <x:v>0.708456376</x:v>
      </x:c>
      <x:c r="N20" s="13" t="n">
        <x:v>5948</x:v>
      </x:c>
      <x:c r="O20" s="12" t="n">
        <x:v>0.5975</x:v>
      </x:c>
      <x:c r="P20" s="12" t="n">
        <x:v>633.9737487792969</x:v>
      </x:c>
      <x:c r="Q20" s="12" t="n">
        <x:v>5.61251794497172</x:v>
      </x:c>
      <x:c r="R20" s="12" t="n">
        <x:v>58.89519411197648</x:v>
      </x:c>
      <x:c r="S20" s="12" t="n">
        <x:v>2.819222682145469</x:v>
      </x:c>
      <x:c r="T20" s="12" t="n">
        <x:v>89.9</x:v>
      </x:c>
      <x:c r="U20" s="12" t="n">
        <x:v>245.07712999476223</x:v>
      </x:c>
      <x:c r="V20" s="12" t="n">
        <x:v>244.75798925963002</x:v>
      </x:c>
      <x:c r="W20" s="12" t="n">
        <x:f>IF(ISNUMBER(E20),IF($I$146&gt;$H$146,(E20-$H$146)/($I$146-$H$146),"缺失"),"缺失")</x:f>
        <x:v>1</x:v>
      </x:c>
      <x:c r="X20" s="12" t="n">
        <x:f>IF(ISNUMBER(F20),IF($I$147&gt;$H$147,(F20-$H$147)/($I$147-$H$147),"缺失"),"缺失")</x:f>
        <x:v>0.6264566929133853</x:v>
      </x:c>
      <x:c r="Y20" s="12" t="n">
        <x:f>IF(ISNUMBER(G20),IF($I$148&gt;$H$148,(G20-$H$148)/($I$148-$H$148),"缺失"),"缺失")</x:f>
        <x:v>0.7504613302689231</x:v>
      </x:c>
      <x:c r="Z20" s="12" t="n">
        <x:f>IF(ISNUMBER(H20),IF($I$149&gt;$H$149,(H20-$H$149)/($I$149-$H$149),"缺失"),"缺失")</x:f>
        <x:v>0.7301264821618524</x:v>
      </x:c>
      <x:c r="AA20" s="12" t="n">
        <x:f>IF(ISNUMBER(I20),IF($I$150&gt;$H$150,(I20-$H$150)/($I$150-$H$150),"缺失"),"缺失")</x:f>
        <x:v>0.975941338512328</x:v>
      </x:c>
      <x:c r="AB20" s="12" t="n">
        <x:f>IF(ISNUMBER(J20),IF($I$151&gt;$H$151,(J20-$H$151)/($I$151-$H$151),"缺失"),"缺失")</x:f>
        <x:v>0.004948081574588994</x:v>
      </x:c>
      <x:c r="AC20" s="12" t="n">
        <x:f>IF(ISNUMBER(K20),IF($I$152&gt;$H$152,(K20-$H$152)/($I$152-$H$152),"缺失"),"缺失")</x:f>
        <x:v>0.00001541302887909199</x:v>
      </x:c>
      <x:c r="AD20" s="12" t="n">
        <x:f>IF(ISNUMBER(L20),IF($I$153&gt;$H$153,(L20-$H$153)/($I$153-$H$153),"缺失"),"缺失")</x:f>
        <x:v>0.708359918084387</x:v>
      </x:c>
      <x:c r="AE20" s="12" t="n">
        <x:f>IF(ISNUMBER(M20),IF($I$154&gt;$H$154,(M20-$H$154)/($I$154-$H$154),"缺失"),"缺失")</x:f>
        <x:v>0.708456376</x:v>
      </x:c>
      <x:c r="AF20" s="12" t="n">
        <x:f>IF(ISNUMBER(N20),IF($I$155&gt;$H$155,(N20-$H$155)/($I$155-$H$155),"缺失"),"缺失")</x:f>
        <x:v>0.008167879425950254</x:v>
      </x:c>
      <x:c r="AG20" s="12" t="n">
        <x:f>IF(ISNUMBER(O20),IF($I$156&gt;$H$156,(O20-$H$156)/($I$156-$H$156),"缺失"),"缺失")</x:f>
        <x:v>0.6017994338859686</x:v>
      </x:c>
      <x:c r="AH20" s="12" t="n">
        <x:f>IF(ISNUMBER(P20),IF($I$157&gt;$H$157,(P20-$H$157)/($I$157-$H$157),"缺失"),"缺失")</x:f>
        <x:v>0.16113935416764708</x:v>
      </x:c>
      <x:c r="AI20" s="12" t="n">
        <x:f>IF(ISNUMBER(Q20),IF($I$158&gt;$H$158,(Q20-$H$158)/($I$158-$H$158),"缺失"),"缺失")</x:f>
        <x:v>0.06221425493422298</x:v>
      </x:c>
      <x:c r="AJ20" s="12" t="n">
        <x:f>IF(ISNUMBER(R20),IF($I$159&gt;$H$159,(R20-$H$159)/($I$159-$H$159),"缺失"),"缺失")</x:f>
        <x:v>0.6173865183698646</x:v>
      </x:c>
      <x:c r="AK20" s="12" t="n">
        <x:f>IF(ISNUMBER(S20),IF($I$160&gt;$H$160,(S20-$H$160)/($I$160-$H$160),"缺失"),"缺失")</x:f>
        <x:v>0.05487650250738747</x:v>
      </x:c>
      <x:c r="AL20" s="12" t="n">
        <x:f>IF(ISNUMBER(T20),IF($I$161&gt;$H$161,(T20-$H$161)/($I$161-$H$161),"缺失"),"缺失")</x:f>
        <x:v>1</x:v>
      </x:c>
      <x:c r="AM20" s="12" t="n">
        <x:f>IF(ISNUMBER(U20),IF($I$162&gt;$H$162,(U20-$H$162)/($I$162-$H$162),"缺失"),"缺失")</x:f>
        <x:v>1</x:v>
      </x:c>
      <x:c r="AN20" s="12" t="n">
        <x:f>IF(ISNUMBER(V20),IF($I$163&gt;$H$163,(V20-$H$163)/($I$163-$H$163),"缺失"),"缺失")</x:f>
        <x:v>0</x:v>
      </x:c>
      <x:c r="AO20" s="23" t="str"/>
      <x:c r="AP20" s="23" t="str">
        <x:v>见指标口径：州级、产业、代表点代理；气候基期待核实</x:v>
      </x:c>
      <x:c r="AQ20" s="15" t="n">
        <x:v>1</x:v>
      </x:c>
      <x:c r="AR20" s="15" t="n">
        <x:v>0.9999999999999992</x:v>
      </x:c>
      <x:c r="AS20" s="15" t="n">
        <x:v>1</x:v>
      </x:c>
      <x:c r="AT20" s="15" t="n">
        <x:v>1</x:v>
      </x:c>
    </x:row>
    <x:row r="21" ht="24" customHeight="1">
      <x:c r="A21" s="18" t="str">
        <x:v>51029</x:v>
      </x:c>
      <x:c r="B21" s="3" t="str">
        <x:v>Buckingham County</x:v>
      </x:c>
      <x:c r="C21" s="3" t="str">
        <x:v>VA</x:v>
      </x:c>
      <x:c r="D21" s="12" t="n">
        <x:v>1501.215443</x:v>
      </x:c>
      <x:c r="E21" s="12" t="n">
        <x:v>0.346</x:v>
      </x:c>
      <x:c r="F21" s="12" t="n">
        <x:v>0.258972772277228</x:v>
      </x:c>
      <x:c r="G21" s="12" t="n">
        <x:v>2.3982770445506527</x:v>
      </x:c>
      <x:c r="H21" s="12" t="n">
        <x:v>2.6961157102289874</x:v>
      </x:c>
      <x:c r="I21" s="12" t="n">
        <x:v>0.972627667272039</x:v>
      </x:c>
      <x:c r="J21" s="12" t="n">
        <x:v>0.012758346143022488</x:v>
      </x:c>
      <x:c r="K21" s="12" t="n">
        <x:v>0.015431004327054392</x:v>
      </x:c>
      <x:c r="L21" s="24" t="n">
        <x:v>0.657941047</x:v>
      </x:c>
      <x:c r="M21" s="24" t="n">
        <x:v>0.657941047</x:v>
      </x:c>
      <x:c r="N21" s="13" t="n">
        <x:v>7063</x:v>
      </x:c>
      <x:c r="O21" s="12" t="n">
        <x:v>0.6758</x:v>
      </x:c>
      <x:c r="P21" s="12" t="n">
        <x:v>1107.0936360677083</x:v>
      </x:c>
      <x:c r="Q21" s="12" t="n">
        <x:v>25.56041202545166</x:v>
      </x:c>
      <x:c r="R21" s="12" t="n">
        <x:v>48.19923849789296</x:v>
      </x:c>
      <x:c r="S21" s="12" t="n">
        <x:v>6.666167008515444</x:v>
      </x:c>
      <x:c r="T21" s="12" t="n">
        <x:v>89.9</x:v>
      </x:c>
      <x:c r="U21" s="12" t="n">
        <x:v>245.07712999476223</x:v>
      </x:c>
      <x:c r="V21" s="12" t="n">
        <x:v>244.75798925963002</x:v>
      </x:c>
      <x:c r="W21" s="12" t="n">
        <x:f>IF(ISNUMBER(E21),IF($I$146&gt;$H$146,(E21-$H$146)/($I$146-$H$146),"缺失"),"缺失")</x:f>
        <x:v>0.3449074074074074</x:v>
      </x:c>
      <x:c r="X21" s="12" t="n">
        <x:f>IF(ISNUMBER(F21),IF($I$147&gt;$H$147,(F21-$H$147)/($I$147-$H$147),"缺失"),"缺失")</x:f>
        <x:v>0.25732283464566946</x:v>
      </x:c>
      <x:c r="Y21" s="12" t="n">
        <x:f>IF(ISNUMBER(G21),IF($I$148&gt;$H$148,(G21-$H$148)/($I$148-$H$148),"缺失"),"缺失")</x:f>
        <x:v>0.6305262512739417</x:v>
      </x:c>
      <x:c r="Z21" s="12" t="n">
        <x:f>IF(ISNUMBER(H21),IF($I$149&gt;$H$149,(H21-$H$149)/($I$149-$H$149),"缺失"),"缺失")</x:f>
        <x:v>0.6642408562196568</x:v>
      </x:c>
      <x:c r="AA21" s="12" t="n">
        <x:f>IF(ISNUMBER(I21),IF($I$150&gt;$H$150,(I21-$H$150)/($I$150-$H$150),"缺失"),"缺失")</x:f>
        <x:v>0.9798272528702853</x:v>
      </x:c>
      <x:c r="AB21" s="12" t="n">
        <x:f>IF(ISNUMBER(J21),IF($I$151&gt;$H$151,(J21-$H$151)/($I$151-$H$151),"缺失"),"缺失")</x:f>
        <x:v>0.03129614629729687</x:v>
      </x:c>
      <x:c r="AC21" s="12" t="n">
        <x:f>IF(ISNUMBER(K21),IF($I$152&gt;$H$152,(K21-$H$152)/($I$152-$H$152),"缺失"),"缺失")</x:f>
        <x:v>0.02652900197179464</x:v>
      </x:c>
      <x:c r="AD21" s="12" t="n">
        <x:f>IF(ISNUMBER(L21),IF($I$153&gt;$H$153,(L21-$H$153)/($I$153-$H$153),"缺失"),"缺失")</x:f>
        <x:v>0.6578278759651803</x:v>
      </x:c>
      <x:c r="AE21" s="12" t="n">
        <x:f>IF(ISNUMBER(M21),IF($I$154&gt;$H$154,(M21-$H$154)/($I$154-$H$154),"缺失"),"缺失")</x:f>
        <x:v>0.657941047</x:v>
      </x:c>
      <x:c r="AF21" s="12" t="n">
        <x:f>IF(ISNUMBER(N21),IF($I$155&gt;$H$155,(N21-$H$155)/($I$155-$H$155),"缺失"),"缺失")</x:f>
        <x:v>0.009899283524797122</x:v>
      </x:c>
      <x:c r="AG21" s="12" t="n">
        <x:f>IF(ISNUMBER(O21),IF($I$156&gt;$H$156,(O21-$H$156)/($I$156-$H$156),"缺失"),"缺失")</x:f>
        <x:v>0.6809543065103114</x:v>
      </x:c>
      <x:c r="AH21" s="12" t="n">
        <x:f>IF(ISNUMBER(P21),IF($I$157&gt;$H$157,(P21-$H$157)/($I$157-$H$157),"缺失"),"缺失")</x:f>
        <x:v>0.37397519631894355</x:v>
      </x:c>
      <x:c r="AI21" s="12" t="n">
        <x:f>IF(ISNUMBER(Q21),IF($I$158&gt;$H$158,(Q21-$H$158)/($I$158-$H$158),"缺失"),"缺失")</x:f>
        <x:v>0.2966338397422576</x:v>
      </x:c>
      <x:c r="AJ21" s="12" t="n">
        <x:f>IF(ISNUMBER(R21),IF($I$159&gt;$H$159,(R21-$H$159)/($I$159-$H$159),"缺失"),"缺失")</x:f>
        <x:v>0.504988617117825</x:v>
      </x:c>
      <x:c r="AK21" s="12" t="n">
        <x:f>IF(ISNUMBER(S21),IF($I$160&gt;$H$160,(S21-$H$160)/($I$160-$H$160),"缺失"),"缺失")</x:f>
        <x:v>0.1299752413036264</x:v>
      </x:c>
      <x:c r="AL21" s="12" t="n">
        <x:f>IF(ISNUMBER(T21),IF($I$161&gt;$H$161,(T21-$H$161)/($I$161-$H$161),"缺失"),"缺失")</x:f>
        <x:v>1</x:v>
      </x:c>
      <x:c r="AM21" s="12" t="n">
        <x:f>IF(ISNUMBER(U21),IF($I$162&gt;$H$162,(U21-$H$162)/($I$162-$H$162),"缺失"),"缺失")</x:f>
        <x:v>1</x:v>
      </x:c>
      <x:c r="AN21" s="12" t="n">
        <x:f>IF(ISNUMBER(V21),IF($I$163&gt;$H$163,(V21-$H$163)/($I$163-$H$163),"缺失"),"缺失")</x:f>
        <x:v>0</x:v>
      </x:c>
      <x:c r="AO21" s="23" t="str"/>
      <x:c r="AP21" s="23" t="str">
        <x:v>见指标口径：州级、产业、代表点代理；气候基期待核实</x:v>
      </x:c>
      <x:c r="AQ21" s="15" t="n">
        <x:v>1.0000000000000029</x:v>
      </x:c>
      <x:c r="AR21" s="15" t="n">
        <x:v>1.0000000000000027</x:v>
      </x:c>
      <x:c r="AS21" s="15" t="n">
        <x:v>1</x:v>
      </x:c>
      <x:c r="AT21" s="15" t="n">
        <x:v>1</x:v>
      </x:c>
    </x:row>
    <x:row r="22" ht="24" customHeight="1">
      <x:c r="A22" s="18" t="str">
        <x:v>51031</x:v>
      </x:c>
      <x:c r="B22" s="3" t="str">
        <x:v>Campbell County</x:v>
      </x:c>
      <x:c r="C22" s="3" t="str">
        <x:v>VA</x:v>
      </x:c>
      <x:c r="D22" s="12" t="n">
        <x:v>1303.430816</x:v>
      </x:c>
      <x:c r="E22" s="12" t="n">
        <x:v>0.38</x:v>
      </x:c>
      <x:c r="F22" s="12" t="n">
        <x:v>0.21905940594059398</x:v>
      </x:c>
      <x:c r="G22" s="12" t="n">
        <x:v>2.7124342507272727</x:v>
      </x:c>
      <x:c r="H22" s="12" t="n">
        <x:v>3.085837236830354</x:v>
      </x:c>
      <x:c r="I22" s="12" t="n">
        <x:v>0.9220572142976408</x:v>
      </x:c>
      <x:c r="J22" s="12" t="n">
        <x:v>0</x:v>
      </x:c>
      <x:c r="K22" s="12" t="n">
        <x:v>0.003474641875920235</x:v>
      </x:c>
      <x:c r="L22" s="24" t="n">
        <x:v>0.353309086</x:v>
      </x:c>
      <x:c r="M22" s="24" t="n">
        <x:v>0.333423978</x:v>
      </x:c>
      <x:c r="N22" s="13" t="n">
        <x:v>26706</x:v>
      </x:c>
      <x:c r="O22" s="12" t="n">
        <x:v>0.4152</x:v>
      </x:c>
      <x:c r="P22" s="12" t="n">
        <x:v>1080.457745361328</x:v>
      </x:c>
      <x:c r="Q22" s="12" t="n">
        <x:v>20.535024642944336</x:v>
      </x:c>
      <x:c r="R22" s="12" t="n">
        <x:v>62.671573558557334</x:v>
      </x:c>
      <x:c r="S22" s="12" t="n">
        <x:v>0.47055272024142436</x:v>
      </x:c>
      <x:c r="T22" s="12" t="n">
        <x:v>89.9</x:v>
      </x:c>
      <x:c r="U22" s="12" t="n">
        <x:v>245.07712999476223</x:v>
      </x:c>
      <x:c r="V22" s="12" t="n">
        <x:v>244.75798925963002</x:v>
      </x:c>
      <x:c r="W22" s="12" t="n">
        <x:f>IF(ISNUMBER(E22),IF($I$146&gt;$H$146,(E22-$H$146)/($I$146-$H$146),"缺失"),"缺失")</x:f>
        <x:v>0.3842592592592593</x:v>
      </x:c>
      <x:c r="X22" s="12" t="n">
        <x:f>IF(ISNUMBER(F22),IF($I$147&gt;$H$147,(F22-$H$147)/($I$147-$H$147),"缺失"),"缺失")</x:f>
        <x:v>0.21669291338582664</x:v>
      </x:c>
      <x:c r="Y22" s="12" t="n">
        <x:f>IF(ISNUMBER(G22),IF($I$148&gt;$H$148,(G22-$H$148)/($I$148-$H$148),"缺失"),"缺失")</x:f>
        <x:v>0.7131656100016927</x:v>
      </x:c>
      <x:c r="Z22" s="12" t="n">
        <x:f>IF(ISNUMBER(H22),IF($I$149&gt;$H$149,(H22-$H$149)/($I$149-$H$149),"缺失"),"缺失")</x:f>
        <x:v>0.7603179948428305</x:v>
      </x:c>
      <x:c r="AA22" s="12" t="n">
        <x:f>IF(ISNUMBER(I22),IF($I$150&gt;$H$150,(I22-$H$150)/($I$150-$H$150),"缺失"),"缺失")</x:f>
        <x:v>0.9255385388424693</x:v>
      </x:c>
      <x:c r="AB22" s="12" t="n">
        <x:f>IF(ISNUMBER(J22),IF($I$151&gt;$H$151,(J22-$H$151)/($I$151-$H$151),"缺失"),"缺失")</x:f>
        <x:v>0</x:v>
      </x:c>
      <x:c r="AC22" s="12" t="n">
        <x:f>IF(ISNUMBER(K22),IF($I$152&gt;$H$152,(K22-$H$152)/($I$152-$H$152),"缺失"),"缺失")</x:f>
        <x:v>0.005973608666284656</x:v>
      </x:c>
      <x:c r="AD22" s="12" t="n">
        <x:f>IF(ISNUMBER(L22),IF($I$153&gt;$H$153,(L22-$H$153)/($I$153-$H$153),"缺失"),"缺失")</x:f>
        <x:v>0.35309512674150384</x:v>
      </x:c>
      <x:c r="AE22" s="12" t="n">
        <x:f>IF(ISNUMBER(M22),IF($I$154&gt;$H$154,(M22-$H$154)/($I$154-$H$154),"缺失"),"缺失")</x:f>
        <x:v>0.333423978</x:v>
      </x:c>
      <x:c r="AF22" s="12" t="n">
        <x:f>IF(ISNUMBER(N22),IF($I$155&gt;$H$155,(N22-$H$155)/($I$155-$H$155),"缺失"),"缺失")</x:f>
        <x:v>0.04040149941147789</x:v>
      </x:c>
      <x:c r="AG22" s="12" t="n">
        <x:f>IF(ISNUMBER(O22),IF($I$156&gt;$H$156,(O22-$H$156)/($I$156-$H$156),"缺失"),"缺失")</x:f>
        <x:v>0.41750909826122123</x:v>
      </x:c>
      <x:c r="AH22" s="12" t="n">
        <x:f>IF(ISNUMBER(P22),IF($I$157&gt;$H$157,(P22-$H$157)/($I$157-$H$157),"缺失"),"缺失")</x:f>
        <x:v>0.36199287982315337</x:v>
      </x:c>
      <x:c r="AI22" s="12" t="n">
        <x:f>IF(ISNUMBER(Q22),IF($I$158&gt;$H$158,(Q22-$H$158)/($I$158-$H$158),"缺失"),"缺失")</x:f>
        <x:v>0.237577519363071</x:v>
      </x:c>
      <x:c r="AJ22" s="12" t="n">
        <x:f>IF(ISNUMBER(R22),IF($I$159&gt;$H$159,(R22-$H$159)/($I$159-$H$159),"缺失"),"缺失")</x:f>
        <x:v>0.6570704081915593</x:v>
      </x:c>
      <x:c r="AK22" s="12" t="n">
        <x:f>IF(ISNUMBER(S22),IF($I$160&gt;$H$160,(S22-$H$160)/($I$160-$H$160),"缺失"),"缺失")</x:f>
        <x:v>0.009026566292157466</x:v>
      </x:c>
      <x:c r="AL22" s="12" t="n">
        <x:f>IF(ISNUMBER(T22),IF($I$161&gt;$H$161,(T22-$H$161)/($I$161-$H$161),"缺失"),"缺失")</x:f>
        <x:v>1</x:v>
      </x:c>
      <x:c r="AM22" s="12" t="n">
        <x:f>IF(ISNUMBER(U22),IF($I$162&gt;$H$162,(U22-$H$162)/($I$162-$H$162),"缺失"),"缺失")</x:f>
        <x:v>1</x:v>
      </x:c>
      <x:c r="AN22" s="12" t="n">
        <x:f>IF(ISNUMBER(V22),IF($I$163&gt;$H$163,(V22-$H$163)/($I$163-$H$163),"缺失"),"缺失")</x:f>
        <x:v>0</x:v>
      </x:c>
      <x:c r="AO22" s="23" t="str"/>
      <x:c r="AP22" s="23" t="str">
        <x:v>见指标口径：州级、产业、代表点代理；气候基期待核实</x:v>
      </x:c>
      <x:c r="AQ22" s="15" t="n">
        <x:v>1.0000000000000038</x:v>
      </x:c>
      <x:c r="AR22" s="15" t="n">
        <x:v>0.9999999999999998</x:v>
      </x:c>
      <x:c r="AS22" s="15" t="n">
        <x:v>1</x:v>
      </x:c>
      <x:c r="AT22" s="15" t="n">
        <x:v>1</x:v>
      </x:c>
    </x:row>
    <x:row r="23" ht="24" customHeight="1">
      <x:c r="A23" s="18" t="str">
        <x:v>51033</x:v>
      </x:c>
      <x:c r="B23" s="3" t="str">
        <x:v>Caroline County</x:v>
      </x:c>
      <x:c r="C23" s="3" t="str">
        <x:v>VA</x:v>
      </x:c>
      <x:c r="D23" s="12" t="n">
        <x:v>1365.869819</x:v>
      </x:c>
      <x:c r="E23" s="12" t="n">
        <x:v>0.285</x:v>
      </x:c>
      <x:c r="F23" s="12" t="n">
        <x:v>0.25</x:v>
      </x:c>
      <x:c r="G23" s="12" t="n">
        <x:v>2.6818331796563357</x:v>
      </x:c>
      <x:c r="H23" s="12" t="n">
        <x:v>3.0340617984616123</x:v>
      </x:c>
      <x:c r="I23" s="12" t="n">
        <x:v>0.9476037242816672</x:v>
      </x:c>
      <x:c r="J23" s="12" t="n">
        <x:v>0.01222979278753612</x:v>
      </x:c>
      <x:c r="K23" s="12" t="n">
        <x:v>0.11541502804208145</x:v>
      </x:c>
      <x:c r="L23" s="24" t="n">
        <x:v>0.07393956</x:v>
      </x:c>
      <x:c r="M23" s="24" t="n">
        <x:v>0.070718838</x:v>
      </x:c>
      <x:c r="N23" s="13" t="n">
        <x:v>17136</x:v>
      </x:c>
      <x:c r="O23" s="12" t="n">
        <x:v>0.399</x:v>
      </x:c>
      <x:c r="P23" s="12" t="n">
        <x:v>1166.837626139323</x:v>
      </x:c>
      <x:c r="Q23" s="12" t="n">
        <x:v>25.231641896565755</x:v>
      </x:c>
      <x:c r="R23" s="12" t="n">
        <x:v>12.751119832964601</x:v>
      </x:c>
      <x:c r="S23" s="12" t="n">
        <x:v>1.757122057887892</x:v>
      </x:c>
      <x:c r="T23" s="12" t="n">
        <x:v>89.9</x:v>
      </x:c>
      <x:c r="U23" s="12" t="n">
        <x:v>245.07712999476223</x:v>
      </x:c>
      <x:c r="V23" s="12" t="n">
        <x:v>244.75798925963002</x:v>
      </x:c>
      <x:c r="W23" s="12" t="n">
        <x:f>IF(ISNUMBER(E23),IF($I$146&gt;$H$146,(E23-$H$146)/($I$146-$H$146),"缺失"),"缺失")</x:f>
        <x:v>0.2743055555555555</x:v>
      </x:c>
      <x:c r="X23" s="12" t="n">
        <x:f>IF(ISNUMBER(F23),IF($I$147&gt;$H$147,(F23-$H$147)/($I$147-$H$147),"缺失"),"缺失")</x:f>
        <x:v>0.2481889763779527</x:v>
      </x:c>
      <x:c r="Y23" s="12" t="n">
        <x:f>IF(ISNUMBER(G23),IF($I$148&gt;$H$148,(G23-$H$148)/($I$148-$H$148),"缺失"),"缺失")</x:f>
        <x:v>0.7051159684847547</x:v>
      </x:c>
      <x:c r="Z23" s="12" t="n">
        <x:f>IF(ISNUMBER(H23),IF($I$149&gt;$H$149,(H23-$H$149)/($I$149-$H$149),"缺失"),"缺失")</x:f>
        <x:v>0.7475539168284349</x:v>
      </x:c>
      <x:c r="AA23" s="12" t="n">
        <x:f>IF(ISNUMBER(I23),IF($I$150&gt;$H$150,(I23-$H$150)/($I$150-$H$150),"缺失"),"缺失")</x:f>
        <x:v>0.9529633905762214</x:v>
      </x:c>
      <x:c r="AB23" s="12" t="n">
        <x:f>IF(ISNUMBER(J23),IF($I$151&gt;$H$151,(J23-$H$151)/($I$151-$H$151),"缺失"),"缺失")</x:f>
        <x:v>0.02999960809761218</x:v>
      </x:c>
      <x:c r="AC23" s="12" t="n">
        <x:f>IF(ISNUMBER(K23),IF($I$152&gt;$H$152,(K23-$H$152)/($I$152-$H$152),"缺失"),"缺失")</x:f>
        <x:v>0.19842166080758175</x:v>
      </x:c>
      <x:c r="AD23" s="12" t="n">
        <x:f>IF(ISNUMBER(L23),IF($I$153&gt;$H$153,(L23-$H$153)/($I$153-$H$153),"缺失"),"缺失")</x:f>
        <x:v>0.0736331706557622</x:v>
      </x:c>
      <x:c r="AE23" s="12" t="n">
        <x:f>IF(ISNUMBER(M23),IF($I$154&gt;$H$154,(M23-$H$154)/($I$154-$H$154),"缺失"),"缺失")</x:f>
        <x:v>0.070718838</x:v>
      </x:c>
      <x:c r="AF23" s="12" t="n">
        <x:f>IF(ISNUMBER(N23),IF($I$155&gt;$H$155,(N23-$H$155)/($I$155-$H$155),"缺失"),"缺失")</x:f>
        <x:v>0.02554092790837068</x:v>
      </x:c>
      <x:c r="AG23" s="12" t="n">
        <x:f>IF(ISNUMBER(O23),IF($I$156&gt;$H$156,(O23-$H$156)/($I$156-$H$156),"缺失"),"缺失")</x:f>
        <x:v>0.40113222806308135</x:v>
      </x:c>
      <x:c r="AH23" s="12" t="n">
        <x:f>IF(ISNUMBER(P23),IF($I$157&gt;$H$157,(P23-$H$157)/($I$157-$H$157),"缺失"),"缺失")</x:f>
        <x:v>0.4008513915117688</x:v>
      </x:c>
      <x:c r="AI23" s="12" t="n">
        <x:f>IF(ISNUMBER(Q23),IF($I$158&gt;$H$158,(Q23-$H$158)/($I$158-$H$158),"缺失"),"缺失")</x:f>
        <x:v>0.29277026613394697</x:v>
      </x:c>
      <x:c r="AJ23" s="12" t="n">
        <x:f>IF(ISNUMBER(R23),IF($I$159&gt;$H$159,(R23-$H$159)/($I$159-$H$159),"缺失"),"缺失")</x:f>
        <x:v>0.13248387934338757</x:v>
      </x:c>
      <x:c r="AK23" s="12" t="n">
        <x:f>IF(ISNUMBER(S23),IF($I$160&gt;$H$160,(S23-$H$160)/($I$160-$H$160),"缺失"),"缺失")</x:f>
        <x:v>0.03414253534033286</x:v>
      </x:c>
      <x:c r="AL23" s="12" t="n">
        <x:f>IF(ISNUMBER(T23),IF($I$161&gt;$H$161,(T23-$H$161)/($I$161-$H$161),"缺失"),"缺失")</x:f>
        <x:v>1</x:v>
      </x:c>
      <x:c r="AM23" s="12" t="n">
        <x:f>IF(ISNUMBER(U23),IF($I$162&gt;$H$162,(U23-$H$162)/($I$162-$H$162),"缺失"),"缺失")</x:f>
        <x:v>1</x:v>
      </x:c>
      <x:c r="AN23" s="12" t="n">
        <x:f>IF(ISNUMBER(V23),IF($I$163&gt;$H$163,(V23-$H$163)/($I$163-$H$163),"缺失"),"缺失")</x:f>
        <x:v>0</x:v>
      </x:c>
      <x:c r="AO23" s="23" t="str"/>
      <x:c r="AP23" s="23" t="str">
        <x:v>见指标口径：州级、产业、代表点代理；气候基期待核实</x:v>
      </x:c>
      <x:c r="AQ23" s="15" t="n">
        <x:v>1.0000000000000004</x:v>
      </x:c>
      <x:c r="AR23" s="15" t="n">
        <x:v>1.0000000000000004</x:v>
      </x:c>
      <x:c r="AS23" s="15" t="n">
        <x:v>1</x:v>
      </x:c>
      <x:c r="AT23" s="15" t="n">
        <x:v>1</x:v>
      </x:c>
    </x:row>
    <x:row r="24" ht="24" customHeight="1">
      <x:c r="A24" s="18" t="str">
        <x:v>51035</x:v>
      </x:c>
      <x:c r="B24" s="3" t="str">
        <x:v>Carroll County</x:v>
      </x:c>
      <x:c r="C24" s="3" t="str">
        <x:v>VA</x:v>
      </x:c>
      <x:c r="D24" s="12" t="n">
        <x:v>1229.57593</x:v>
      </x:c>
      <x:c r="E24" s="12" t="n">
        <x:v>0.577</x:v>
      </x:c>
      <x:c r="F24" s="12" t="n">
        <x:v>0.20977722772277202</x:v>
      </x:c>
      <x:c r="G24" s="12" t="n">
        <x:v>2.138159109123712</x:v>
      </x:c>
      <x:c r="H24" s="12" t="n">
        <x:v>2.512509966702758</x:v>
      </x:c>
      <x:c r="I24" s="12" t="n">
        <x:v>0.9603106724132646</x:v>
      </x:c>
      <x:c r="J24" s="12" t="n">
        <x:v>0.01016955474921705</x:v>
      </x:c>
      <x:c r="K24" s="12" t="n">
        <x:v>0.0006611604021840186</x:v>
      </x:c>
      <x:c r="L24" s="24" t="n">
        <x:v>0.392631994</x:v>
      </x:c>
      <x:c r="M24" s="24" t="n">
        <x:v>0.224143026</x:v>
      </x:c>
      <x:c r="N24" s="13" t="n">
        <x:v>11951</x:v>
      </x:c>
      <x:c r="O24" s="12" t="n">
        <x:v>0.2797</x:v>
      </x:c>
      <x:c r="P24" s="12" t="n">
        <x:v>464.679970296224</x:v>
      </x:c>
      <x:c r="Q24" s="12" t="n">
        <x:v>2.0751580874125164</x:v>
      </x:c>
      <x:c r="R24" s="12" t="n">
        <x:v>2.0930344135796983</x:v>
      </x:c>
      <x:c r="S24" s="12" t="n">
        <x:v>16.19712705951114</x:v>
      </x:c>
      <x:c r="T24" s="12" t="n">
        <x:v>89.9</x:v>
      </x:c>
      <x:c r="U24" s="12" t="n">
        <x:v>245.07712999476223</x:v>
      </x:c>
      <x:c r="V24" s="12" t="n">
        <x:v>244.75798925963002</x:v>
      </x:c>
      <x:c r="W24" s="12" t="n">
        <x:f>IF(ISNUMBER(E24),IF($I$146&gt;$H$146,(E24-$H$146)/($I$146-$H$146),"缺失"),"缺失")</x:f>
        <x:v>0.6122685185185184</x:v>
      </x:c>
      <x:c r="X24" s="12" t="n">
        <x:f>IF(ISNUMBER(F24),IF($I$147&gt;$H$147,(F24-$H$147)/($I$147-$H$147),"缺失"),"缺失")</x:f>
        <x:v>0.20724409448818865</x:v>
      </x:c>
      <x:c r="Y24" s="12" t="n">
        <x:f>IF(ISNUMBER(G24),IF($I$148&gt;$H$148,(G24-$H$148)/($I$148-$H$148),"缺失"),"缺失")</x:f>
        <x:v>0.562101975291605</x:v>
      </x:c>
      <x:c r="Z24" s="12" t="n">
        <x:f>IF(ISNUMBER(H24),IF($I$149&gt;$H$149,(H24-$H$149)/($I$149-$H$149),"缺失"),"缺失")</x:f>
        <x:v>0.6189769606719414</x:v>
      </x:c>
      <x:c r="AA24" s="12" t="n">
        <x:f>IF(ISNUMBER(I24),IF($I$150&gt;$H$150,(I24-$H$150)/($I$150-$H$150),"缺失"),"缺失")</x:f>
        <x:v>0.966604634280956</x:v>
      </x:c>
      <x:c r="AB24" s="12" t="n">
        <x:f>IF(ISNUMBER(J24),IF($I$151&gt;$H$151,(J24-$H$151)/($I$151-$H$151),"缺失"),"缺失")</x:f>
        <x:v>0.024945856590035145</x:v>
      </x:c>
      <x:c r="AC24" s="12" t="n">
        <x:f>IF(ISNUMBER(K24),IF($I$152&gt;$H$152,(K24-$H$152)/($I$152-$H$152),"缺失"),"缺失")</x:f>
        <x:v>0.0011366677917691015</x:v>
      </x:c>
      <x:c r="AD24" s="12" t="n">
        <x:f>IF(ISNUMBER(L24),IF($I$153&gt;$H$153,(L24-$H$153)/($I$153-$H$153),"缺失"),"缺失")</x:f>
        <x:v>0.39243104482105723</x:v>
      </x:c>
      <x:c r="AE24" s="12" t="n">
        <x:f>IF(ISNUMBER(M24),IF($I$154&gt;$H$154,(M24-$H$154)/($I$154-$H$154),"缺失"),"缺失")</x:f>
        <x:v>0.224143026</x:v>
      </x:c>
      <x:c r="AF24" s="12" t="n">
        <x:f>IF(ISNUMBER(N24),IF($I$155&gt;$H$155,(N24-$H$155)/($I$155-$H$155),"缺失"),"缺失")</x:f>
        <x:v>0.017489510641535685</x:v>
      </x:c>
      <x:c r="AG24" s="12" t="n">
        <x:f>IF(ISNUMBER(O24),IF($I$156&gt;$H$156,(O24-$H$156)/($I$156-$H$156),"缺失"),"缺失")</x:f>
        <x:v>0.2805297209866559</x:v>
      </x:c>
      <x:c r="AH24" s="12" t="n">
        <x:f>IF(ISNUMBER(P24),IF($I$157&gt;$H$157,(P24-$H$157)/($I$157-$H$157),"缺失"),"缺失")</x:f>
        <x:v>0.08498152423382507</x:v>
      </x:c>
      <x:c r="AI24" s="12" t="n">
        <x:f>IF(ISNUMBER(Q24),IF($I$158&gt;$H$158,(Q24-$H$158)/($I$158-$H$158),"缺失"),"缺失")</x:f>
        <x:v>0.020644632307387476</x:v>
      </x:c>
      <x:c r="AJ24" s="12" t="n">
        <x:f>IF(ISNUMBER(R24),IF($I$159&gt;$H$159,(R24-$H$159)/($I$159-$H$159),"缺失"),"缺失")</x:f>
        <x:v>0.020483935090956785</x:v>
      </x:c>
      <x:c r="AK24" s="12" t="n">
        <x:f>IF(ISNUMBER(S24),IF($I$160&gt;$H$160,(S24-$H$160)/($I$160-$H$160),"缺失"),"缺失")</x:f>
        <x:v>0.3160354019461166</x:v>
      </x:c>
      <x:c r="AL24" s="12" t="n">
        <x:f>IF(ISNUMBER(T24),IF($I$161&gt;$H$161,(T24-$H$161)/($I$161-$H$161),"缺失"),"缺失")</x:f>
        <x:v>1</x:v>
      </x:c>
      <x:c r="AM24" s="12" t="n">
        <x:f>IF(ISNUMBER(U24),IF($I$162&gt;$H$162,(U24-$H$162)/($I$162-$H$162),"缺失"),"缺失")</x:f>
        <x:v>1</x:v>
      </x:c>
      <x:c r="AN24" s="12" t="n">
        <x:f>IF(ISNUMBER(V24),IF($I$163&gt;$H$163,(V24-$H$163)/($I$163-$H$163),"缺失"),"缺失")</x:f>
        <x:v>0</x:v>
      </x:c>
      <x:c r="AO24" s="23" t="str"/>
      <x:c r="AP24" s="23" t="str">
        <x:v>见指标口径：州级、产业、代表点代理；气候基期待核实</x:v>
      </x:c>
      <x:c r="AQ24" s="15" t="n">
        <x:v>1.000000000000001</x:v>
      </x:c>
      <x:c r="AR24" s="15" t="n">
        <x:v>0.9999999999999977</x:v>
      </x:c>
      <x:c r="AS24" s="15" t="n">
        <x:v>1</x:v>
      </x:c>
      <x:c r="AT24" s="15" t="n">
        <x:v>1</x:v>
      </x:c>
    </x:row>
    <x:row r="25" ht="24" customHeight="1">
      <x:c r="A25" s="18" t="str">
        <x:v>51036</x:v>
      </x:c>
      <x:c r="B25" s="3" t="str">
        <x:v>Charles City County</x:v>
      </x:c>
      <x:c r="C25" s="3" t="str">
        <x:v>VA</x:v>
      </x:c>
      <x:c r="D25" s="12" t="n">
        <x:v>473.71155</x:v>
      </x:c>
      <x:c r="E25" s="12" t="n">
        <x:v>0.34</x:v>
      </x:c>
      <x:c r="F25" s="12" t="n">
        <x:v>0.204517326732673</x:v>
      </x:c>
      <x:c r="G25" s="12" t="n">
        <x:v>3.726248555304921</x:v>
      </x:c>
      <x:c r="H25" s="12" t="n">
        <x:v>3.980217336746502</x:v>
      </x:c>
      <x:c r="I25" s="12" t="n">
        <x:v>0.9644287957367845</x:v>
      </x:c>
      <x:c r="J25" s="12" t="n">
        <x:v>0.05492308615632921</x:v>
      </x:c>
      <x:c r="K25" s="12" t="n">
        <x:v>0.22420326402436122</x:v>
      </x:c>
      <x:c r="L25" s="24" t="n">
        <x:v>0.028259131</x:v>
      </x:c>
      <x:c r="M25" s="24" t="n">
        <x:v>0.000799787</x:v>
      </x:c>
      <x:c r="N25" s="13" t="n">
        <x:v>3374</x:v>
      </x:c>
      <x:c r="O25" s="12" t="n">
        <x:v>0.2685</x:v>
      </x:c>
      <x:c r="P25" s="12" t="n">
        <x:v>1458.9757283528645</x:v>
      </x:c>
      <x:c r="Q25" s="12" t="n">
        <x:v>35.7952392578125</x:v>
      </x:c>
      <x:c r="R25" s="12" t="n">
        <x:v>15.113782806585153</x:v>
      </x:c>
      <x:c r="S25" s="12" t="n">
        <x:v>8.94633590742126</x:v>
      </x:c>
      <x:c r="T25" s="12" t="n">
        <x:v>89.9</x:v>
      </x:c>
      <x:c r="U25" s="12" t="n">
        <x:v>245.07712999476223</x:v>
      </x:c>
      <x:c r="V25" s="12" t="n">
        <x:v>244.75798925963002</x:v>
      </x:c>
      <x:c r="W25" s="12" t="n">
        <x:f>IF(ISNUMBER(E25),IF($I$146&gt;$H$146,(E25-$H$146)/($I$146-$H$146),"缺失"),"缺失")</x:f>
        <x:v>0.337962962962963</x:v>
      </x:c>
      <x:c r="X25" s="12" t="n">
        <x:f>IF(ISNUMBER(F25),IF($I$147&gt;$H$147,(F25-$H$147)/($I$147-$H$147),"缺失"),"缺失")</x:f>
        <x:v>0.20188976377952725</x:v>
      </x:c>
      <x:c r="Y25" s="12" t="n">
        <x:f>IF(ISNUMBER(G25),IF($I$148&gt;$H$148,(G25-$H$148)/($I$148-$H$148),"缺失"),"缺失")</x:f>
        <x:v>0.9798504491589894</x:v>
      </x:c>
      <x:c r="Z25" s="12" t="n">
        <x:f>IF(ISNUMBER(H25),IF($I$149&gt;$H$149,(H25-$H$149)/($I$149-$H$149),"缺失"),"缺失")</x:f>
        <x:v>0.9808074340350005</x:v>
      </x:c>
      <x:c r="AA25" s="12" t="n">
        <x:f>IF(ISNUMBER(I25),IF($I$150&gt;$H$150,(I25-$H$150)/($I$150-$H$150),"缺失"),"缺失")</x:f>
        <x:v>0.9710255481999006</x:v>
      </x:c>
      <x:c r="AB25" s="12" t="n">
        <x:f>IF(ISNUMBER(J25),IF($I$151&gt;$H$151,(J25-$H$151)/($I$151-$H$151),"缺失"),"缺失")</x:f>
        <x:v>0.13472599976350164</x:v>
      </x:c>
      <x:c r="AC25" s="12" t="n">
        <x:f>IF(ISNUMBER(K25),IF($I$152&gt;$H$152,(K25-$H$152)/($I$152-$H$152),"缺失"),"缺失")</x:f>
        <x:v>0.38545053240358074</x:v>
      </x:c>
      <x:c r="AD25" s="12" t="n">
        <x:f>IF(ISNUMBER(L25),IF($I$153&gt;$H$153,(L25-$H$153)/($I$153-$H$153),"缺失"),"缺失")</x:f>
        <x:v>0.02793762817495547</x:v>
      </x:c>
      <x:c r="AE25" s="12" t="n">
        <x:f>IF(ISNUMBER(M25),IF($I$154&gt;$H$154,(M25-$H$154)/($I$154-$H$154),"缺失"),"缺失")</x:f>
        <x:v>0.000799787</x:v>
      </x:c>
      <x:c r="AF25" s="12" t="n">
        <x:f>IF(ISNUMBER(N25),IF($I$155&gt;$H$155,(N25-$H$155)/($I$155-$H$155),"缺失"),"缺失")</x:f>
        <x:v>0.004170898125114521</x:v>
      </x:c>
      <x:c r="AG25" s="12" t="n">
        <x:f>IF(ISNUMBER(O25),IF($I$156&gt;$H$156,(O25-$H$156)/($I$156-$H$156),"缺失"),"缺失")</x:f>
        <x:v>0.26920744035584315</x:v>
      </x:c>
      <x:c r="AH25" s="12" t="n">
        <x:f>IF(ISNUMBER(P25),IF($I$157&gt;$H$157,(P25-$H$157)/($I$157-$H$157),"缺失"),"缺失")</x:f>
        <x:v>0.5322714832890514</x:v>
      </x:c>
      <x:c r="AI25" s="12" t="n">
        <x:f>IF(ISNUMBER(Q25),IF($I$158&gt;$H$158,(Q25-$H$158)/($I$158-$H$158),"缺失"),"缺失")</x:f>
        <x:v>0.4169093906707026</x:v>
      </x:c>
      <x:c r="AJ25" s="12" t="n">
        <x:f>IF(ISNUMBER(R25),IF($I$159&gt;$H$159,(R25-$H$159)/($I$159-$H$159),"缺失"),"缺失")</x:f>
        <x:v>0.15731180208188403</x:v>
      </x:c>
      <x:c r="AK25" s="12" t="n">
        <x:f>IF(ISNUMBER(S25),IF($I$160&gt;$H$160,(S25-$H$160)/($I$160-$H$160),"缺失"),"缺失")</x:f>
        <x:v>0.17448792306417005</x:v>
      </x:c>
      <x:c r="AL25" s="12" t="n">
        <x:f>IF(ISNUMBER(T25),IF($I$161&gt;$H$161,(T25-$H$161)/($I$161-$H$161),"缺失"),"缺失")</x:f>
        <x:v>1</x:v>
      </x:c>
      <x:c r="AM25" s="12" t="n">
        <x:f>IF(ISNUMBER(U25),IF($I$162&gt;$H$162,(U25-$H$162)/($I$162-$H$162),"缺失"),"缺失")</x:f>
        <x:v>1</x:v>
      </x:c>
      <x:c r="AN25" s="12" t="n">
        <x:f>IF(ISNUMBER(V25),IF($I$163&gt;$H$163,(V25-$H$163)/($I$163-$H$163),"缺失"),"缺失")</x:f>
        <x:v>0</x:v>
      </x:c>
      <x:c r="AO25" s="23" t="str"/>
      <x:c r="AP25" s="23" t="str">
        <x:v>baseline_water_stress:有效县域面积覆盖&lt;99%（诊断提示，非行业阈值）；water_stress_2050_bau:有效县域面积覆盖&lt;99%（诊断提示，非行业阈值）</x:v>
      </x:c>
      <x:c r="AQ25" s="15" t="n">
        <x:v>0.9501389768269732</x:v>
      </x:c>
      <x:c r="AR25" s="15" t="n">
        <x:v>0.9509502375518551</x:v>
      </x:c>
      <x:c r="AS25" s="15" t="n">
        <x:v>1</x:v>
      </x:c>
      <x:c r="AT25" s="15" t="n">
        <x:v>1</x:v>
      </x:c>
    </x:row>
    <x:row r="26" ht="24" customHeight="1">
      <x:c r="A26" s="18" t="str">
        <x:v>51037</x:v>
      </x:c>
      <x:c r="B26" s="3" t="str">
        <x:v>Charlotte County</x:v>
      </x:c>
      <x:c r="C26" s="3" t="str">
        <x:v>VA</x:v>
      </x:c>
      <x:c r="D26" s="12" t="n">
        <x:v>1231.010115</x:v>
      </x:c>
      <x:c r="E26" s="12" t="n">
        <x:v>0.294</x:v>
      </x:c>
      <x:c r="F26" s="12" t="n">
        <x:v>0.186881188118812</x:v>
      </x:c>
      <x:c r="G26" s="12" t="n">
        <x:v>2.8073771926411126</x:v>
      </x:c>
      <x:c r="H26" s="12" t="n">
        <x:v>3.1907234230691794</x:v>
      </x:c>
      <x:c r="I26" s="12" t="n">
        <x:v>0.9638385457259844</x:v>
      </x:c>
      <x:c r="J26" s="12" t="n">
        <x:v>0.0003487855299243418</x:v>
      </x:c>
      <x:c r="K26" s="12" t="n">
        <x:v>0.053943232671401546</x:v>
      </x:c>
      <x:c r="L26" s="24" t="n">
        <x:v>0.766877928</x:v>
      </x:c>
      <x:c r="M26" s="24" t="n">
        <x:v>0.766877928</x:v>
      </x:c>
      <x:c r="N26" s="13" t="n">
        <x:v>4783</x:v>
      </x:c>
      <x:c r="O26" s="12" t="n">
        <x:v>0.7436</x:v>
      </x:c>
      <x:c r="P26" s="12" t="n">
        <x:v>1180.271219889323</x:v>
      </x:c>
      <x:c r="Q26" s="12" t="n">
        <x:v>28.169246101379393</x:v>
      </x:c>
      <x:c r="R26" s="12" t="n">
        <x:v>57.89628314760852</x:v>
      </x:c>
      <x:c r="S26" s="12" t="n">
        <x:v>10.30563761673169</x:v>
      </x:c>
      <x:c r="T26" s="12" t="n">
        <x:v>89.9</x:v>
      </x:c>
      <x:c r="U26" s="12" t="n">
        <x:v>245.07712999476223</x:v>
      </x:c>
      <x:c r="V26" s="12" t="n">
        <x:v>244.75798925963002</x:v>
      </x:c>
      <x:c r="W26" s="12" t="n">
        <x:f>IF(ISNUMBER(E26),IF($I$146&gt;$H$146,(E26-$H$146)/($I$146-$H$146),"缺失"),"缺失")</x:f>
        <x:v>0.2847222222222222</x:v>
      </x:c>
      <x:c r="X26" s="12" t="n">
        <x:f>IF(ISNUMBER(F26),IF($I$147&gt;$H$147,(F26-$H$147)/($I$147-$H$147),"缺失"),"缺失")</x:f>
        <x:v>0.18393700787401582</x:v>
      </x:c>
      <x:c r="Y26" s="12" t="n">
        <x:f>IF(ISNUMBER(G26),IF($I$148&gt;$H$148,(G26-$H$148)/($I$148-$H$148),"缺失"),"缺失")</x:f>
        <x:v>0.7381404432419487</x:v>
      </x:c>
      <x:c r="Z26" s="12" t="n">
        <x:f>IF(ISNUMBER(H26),IF($I$149&gt;$H$149,(H26-$H$149)/($I$149-$H$149),"缺失"),"缺失")</x:f>
        <x:v>0.786175341607335</x:v>
      </x:c>
      <x:c r="AA26" s="12" t="n">
        <x:f>IF(ISNUMBER(I26),IF($I$150&gt;$H$150,(I26-$H$150)/($I$150-$H$150),"缺失"),"缺失")</x:f>
        <x:v>0.9703918992575534</x:v>
      </x:c>
      <x:c r="AB26" s="12" t="n">
        <x:f>IF(ISNUMBER(J26),IF($I$151&gt;$H$151,(J26-$H$151)/($I$151-$H$151),"缺失"),"缺失")</x:f>
        <x:v>0.0008555688055902262</x:v>
      </x:c>
      <x:c r="AC26" s="12" t="n">
        <x:f>IF(ISNUMBER(K26),IF($I$152&gt;$H$152,(K26-$H$152)/($I$152-$H$152),"缺失"),"缺失")</x:f>
        <x:v>0.09273927319141399</x:v>
      </x:c>
      <x:c r="AD26" s="12" t="n">
        <x:f>IF(ISNUMBER(L26),IF($I$153&gt;$H$153,(L26-$H$153)/($I$153-$H$153),"缺失"),"缺失")</x:f>
        <x:v>0.7668007989966625</x:v>
      </x:c>
      <x:c r="AE26" s="12" t="n">
        <x:f>IF(ISNUMBER(M26),IF($I$154&gt;$H$154,(M26-$H$154)/($I$154-$H$154),"缺失"),"缺失")</x:f>
        <x:v>0.766877928</x:v>
      </x:c>
      <x:c r="AF26" s="12" t="n">
        <x:f>IF(ISNUMBER(N26),IF($I$155&gt;$H$155,(N26-$H$155)/($I$155-$H$155),"缺失"),"缺失")</x:f>
        <x:v>0.006358833887693211</x:v>
      </x:c>
      <x:c r="AG26" s="12" t="n">
        <x:f>IF(ISNUMBER(O26),IF($I$156&gt;$H$156,(O26-$H$156)/($I$156-$H$156),"缺失"),"缺失")</x:f>
        <x:v>0.7494945410432674</x:v>
      </x:c>
      <x:c r="AH26" s="12" t="n">
        <x:f>IF(ISNUMBER(P26),IF($I$157&gt;$H$157,(P26-$H$157)/($I$157-$H$157),"缺失"),"缺失")</x:f>
        <x:v>0.40689457489026987</x:v>
      </x:c>
      <x:c r="AI26" s="12" t="n">
        <x:f>IF(ISNUMBER(Q26),IF($I$158&gt;$H$158,(Q26-$H$158)/($I$158-$H$158),"缺失"),"缺失")</x:f>
        <x:v>0.3272918028557913</x:v>
      </x:c>
      <x:c r="AJ26" s="12" t="n">
        <x:f>IF(ISNUMBER(R26),IF($I$159&gt;$H$159,(R26-$H$159)/($I$159-$H$159),"缺失"),"缺失")</x:f>
        <x:v>0.6068895137090772</x:v>
      </x:c>
      <x:c r="AK26" s="12" t="n">
        <x:f>IF(ISNUMBER(S26),IF($I$160&gt;$H$160,(S26-$H$160)/($I$160-$H$160),"缺失"),"缺失")</x:f>
        <x:v>0.20102374873573908</x:v>
      </x:c>
      <x:c r="AL26" s="12" t="n">
        <x:f>IF(ISNUMBER(T26),IF($I$161&gt;$H$161,(T26-$H$161)/($I$161-$H$161),"缺失"),"缺失")</x:f>
        <x:v>1</x:v>
      </x:c>
      <x:c r="AM26" s="12" t="n">
        <x:f>IF(ISNUMBER(U26),IF($I$162&gt;$H$162,(U26-$H$162)/($I$162-$H$162),"缺失"),"缺失")</x:f>
        <x:v>1</x:v>
      </x:c>
      <x:c r="AN26" s="12" t="n">
        <x:f>IF(ISNUMBER(V26),IF($I$163&gt;$H$163,(V26-$H$163)/($I$163-$H$163),"缺失"),"缺失")</x:f>
        <x:v>0</x:v>
      </x:c>
      <x:c r="AO26" s="23" t="str"/>
      <x:c r="AP26" s="23" t="str">
        <x:v>见指标口径：州级、产业、代表点代理；气候基期待核实</x:v>
      </x:c>
      <x:c r="AQ26" s="15" t="n">
        <x:v>0.9999999999999997</x:v>
      </x:c>
      <x:c r="AR26" s="15" t="n">
        <x:v>0.9999999999999997</x:v>
      </x:c>
      <x:c r="AS26" s="15" t="n">
        <x:v>1</x:v>
      </x:c>
      <x:c r="AT26" s="15" t="n">
        <x:v>1</x:v>
      </x:c>
    </x:row>
    <x:row r="27" ht="24" customHeight="1">
      <x:c r="A27" s="18" t="str">
        <x:v>51041</x:v>
      </x:c>
      <x:c r="B27" s="3" t="str">
        <x:v>Chesterfield County</x:v>
      </x:c>
      <x:c r="C27" s="3" t="str">
        <x:v>VA</x:v>
      </x:c>
      <x:c r="D27" s="12" t="n">
        <x:v>1096.874572</x:v>
      </x:c>
      <x:c r="E27" s="12" t="n">
        <x:v>0.243</x:v>
      </x:c>
      <x:c r="F27" s="12" t="n">
        <x:v>0.31930693069306904</x:v>
      </x:c>
      <x:c r="G27" s="12" t="n">
        <x:v>2.899433277396443</x:v>
      </x:c>
      <x:c r="H27" s="12" t="n">
        <x:v>3.1962812418170747</x:v>
      </x:c>
      <x:c r="I27" s="12" t="n">
        <x:v>0.6929462446824776</x:v>
      </x:c>
      <x:c r="J27" s="12" t="n">
        <x:v>0.037350045455412866</x:v>
      </x:c>
      <x:c r="K27" s="12" t="n">
        <x:v>0.0703159812244344</x:v>
      </x:c>
      <x:c r="L27" s="24" t="n">
        <x:v>0.783316321</x:v>
      </x:c>
      <x:c r="M27" s="24" t="n">
        <x:v>0.005439653</x:v>
      </x:c>
      <x:c r="N27" s="13" t="n">
        <x:v>205327</x:v>
      </x:c>
      <x:c r="O27" s="12" t="n">
        <x:v>0.2943</x:v>
      </x:c>
      <x:c r="P27" s="12" t="n">
        <x:v>1311.3430094401042</x:v>
      </x:c>
      <x:c r="Q27" s="12" t="n">
        <x:v>30.659940719604492</x:v>
      </x:c>
      <x:c r="R27" s="12" t="n">
        <x:v>14.479288192402342</x:v>
      </x:c>
      <x:c r="S27" s="12" t="n">
        <x:v>11.647954701706437</x:v>
      </x:c>
      <x:c r="T27" s="12" t="n">
        <x:v>89.9</x:v>
      </x:c>
      <x:c r="U27" s="12" t="n">
        <x:v>245.07712999476223</x:v>
      </x:c>
      <x:c r="V27" s="12" t="n">
        <x:v>244.75798925963002</x:v>
      </x:c>
      <x:c r="W27" s="12" t="n">
        <x:f>IF(ISNUMBER(E27),IF($I$146&gt;$H$146,(E27-$H$146)/($I$146-$H$146),"缺失"),"缺失")</x:f>
        <x:v>0.22569444444444445</x:v>
      </x:c>
      <x:c r="X27" s="12" t="n">
        <x:f>IF(ISNUMBER(F27),IF($I$147&gt;$H$147,(F27-$H$147)/($I$147-$H$147),"缺失"),"缺失")</x:f>
        <x:v>0.3187401574803146</x:v>
      </x:c>
      <x:c r="Y27" s="12" t="n">
        <x:f>IF(ISNUMBER(G27),IF($I$148&gt;$H$148,(G27-$H$148)/($I$148-$H$148),"缺失"),"缺失")</x:f>
        <x:v>0.7623558858980406</x:v>
      </x:c>
      <x:c r="Z27" s="12" t="n">
        <x:f>IF(ISNUMBER(H27),IF($I$149&gt;$H$149,(H27-$H$149)/($I$149-$H$149),"缺失"),"缺失")</x:f>
        <x:v>0.7875454976953005</x:v>
      </x:c>
      <x:c r="AA27" s="12" t="n">
        <x:f>IF(ISNUMBER(I27),IF($I$150&gt;$H$150,(I27-$H$150)/($I$150-$H$150),"缺失"),"缺失")</x:f>
        <x:v>0.6795818748519337</x:v>
      </x:c>
      <x:c r="AB27" s="12" t="n">
        <x:f>IF(ISNUMBER(J27),IF($I$151&gt;$H$151,(J27-$H$151)/($I$151-$H$151),"缺失"),"缺失")</x:f>
        <x:v>0.09161943669497986</x:v>
      </x:c>
      <x:c r="AC27" s="12" t="n">
        <x:f>IF(ISNUMBER(K27),IF($I$152&gt;$H$152,(K27-$H$152)/($I$152-$H$152),"缺失"),"缺失")</x:f>
        <x:v>0.12088732301637439</x:v>
      </x:c>
      <x:c r="AD27" s="12" t="n">
        <x:f>IF(ISNUMBER(L27),IF($I$153&gt;$H$153,(L27-$H$153)/($I$153-$H$153),"缺失"),"缺失")</x:f>
        <x:v>0.7832446306788846</x:v>
      </x:c>
      <x:c r="AE27" s="12" t="n">
        <x:f>IF(ISNUMBER(M27),IF($I$154&gt;$H$154,(M27-$H$154)/($I$154-$H$154),"缺失"),"缺失")</x:f>
        <x:v>0.005439653</x:v>
      </x:c>
      <x:c r="AF27" s="12" t="n">
        <x:f>IF(ISNUMBER(N27),IF($I$155&gt;$H$155,(N27-$H$155)/($I$155-$H$155),"缺失"),"缺失")</x:f>
        <x:v>0.31776933038916994</x:v>
      </x:c>
      <x:c r="AG27" s="12" t="n">
        <x:f>IF(ISNUMBER(O27),IF($I$156&gt;$H$156,(O27-$H$156)/($I$156-$H$156),"缺失"),"缺失")</x:f>
        <x:v>0.2952891225232511</x:v>
      </x:c>
      <x:c r="AH27" s="12" t="n">
        <x:f>IF(ISNUMBER(P27),IF($I$157&gt;$H$157,(P27-$H$157)/($I$157-$H$157),"缺失"),"缺失")</x:f>
        <x:v>0.4658580119827215</x:v>
      </x:c>
      <x:c r="AI27" s="12" t="n">
        <x:f>IF(ISNUMBER(Q27),IF($I$158&gt;$H$158,(Q27-$H$158)/($I$158-$H$158),"缺失"),"缺失")</x:f>
        <x:v>0.3565614388350238</x:v>
      </x:c>
      <x:c r="AJ27" s="12" t="n">
        <x:f>IF(ISNUMBER(R27),IF($I$159&gt;$H$159,(R27-$H$159)/($I$159-$H$159),"缺失"),"缺失")</x:f>
        <x:v>0.15064424795554043</x:v>
      </x:c>
      <x:c r="AK27" s="12" t="n">
        <x:f>IF(ISNUMBER(S27),IF($I$160&gt;$H$160,(S27-$H$160)/($I$160-$H$160),"缺失"),"缺失")</x:f>
        <x:v>0.22722800634748608</x:v>
      </x:c>
      <x:c r="AL27" s="12" t="n">
        <x:f>IF(ISNUMBER(T27),IF($I$161&gt;$H$161,(T27-$H$161)/($I$161-$H$161),"缺失"),"缺失")</x:f>
        <x:v>1</x:v>
      </x:c>
      <x:c r="AM27" s="12" t="n">
        <x:f>IF(ISNUMBER(U27),IF($I$162&gt;$H$162,(U27-$H$162)/($I$162-$H$162),"缺失"),"缺失")</x:f>
        <x:v>1</x:v>
      </x:c>
      <x:c r="AN27" s="12" t="n">
        <x:f>IF(ISNUMBER(V27),IF($I$163&gt;$H$163,(V27-$H$163)/($I$163-$H$163),"缺失"),"缺失")</x:f>
        <x:v>0</x:v>
      </x:c>
      <x:c r="AO27" s="23" t="str"/>
      <x:c r="AP27" s="23" t="str">
        <x:v>见指标口径：州级、产业、代表点代理；气候基期待核实</x:v>
      </x:c>
      <x:c r="AQ27" s="15" t="n">
        <x:v>0.9999637777411363</x:v>
      </x:c>
      <x:c r="AR27" s="15" t="n">
        <x:v>0.9998767009930954</x:v>
      </x:c>
      <x:c r="AS27" s="15" t="n">
        <x:v>1</x:v>
      </x:c>
      <x:c r="AT27" s="15" t="n">
        <x:v>1</x:v>
      </x:c>
    </x:row>
    <x:row r="28" ht="24" customHeight="1">
      <x:c r="A28" s="18" t="str">
        <x:v>51043</x:v>
      </x:c>
      <x:c r="B28" s="3" t="str">
        <x:v>Clarke County</x:v>
      </x:c>
      <x:c r="C28" s="3" t="str">
        <x:v>VA</x:v>
      </x:c>
      <x:c r="D28" s="12" t="n">
        <x:v>455.72973</x:v>
      </x:c>
      <x:c r="E28" s="12" t="n">
        <x:v>0.443</x:v>
      </x:c>
      <x:c r="F28" s="12" t="n">
        <x:v>0.534653465346535</x:v>
      </x:c>
      <x:c r="G28" s="12" t="n">
        <x:v>2.803844034936887</x:v>
      </x:c>
      <x:c r="H28" s="12" t="n">
        <x:v>3.088403031532259</x:v>
      </x:c>
      <x:c r="I28" s="12" t="n">
        <x:v>0.9430091334793327</x:v>
      </x:c>
      <x:c r="J28" s="12" t="n">
        <x:v>0.0028344761368589624</x:v>
      </x:c>
      <x:c r="K28" s="12" t="n">
        <x:v>0.0031198518512693687</x:v>
      </x:c>
      <x:c r="L28" s="24" t="n">
        <x:v>0.110621831</x:v>
      </x:c>
      <x:c r="M28" s="24" t="n">
        <x:v>0.105684548</x:v>
      </x:c>
      <x:c r="N28" s="13" t="n">
        <x:v>8054</x:v>
      </x:c>
      <x:c r="O28" s="12" t="n">
        <x:v>0.0598</x:v>
      </x:c>
      <x:c r="P28" s="12" t="n">
        <x:v>938.1668986002604</x:v>
      </x:c>
      <x:c r="Q28" s="12" t="n">
        <x:v>15.71135196685791</x:v>
      </x:c>
      <x:c r="R28" s="12" t="n">
        <x:v>14.822066459457874</x:v>
      </x:c>
      <x:c r="S28" s="12" t="n">
        <x:v>0.8052109829806781</x:v>
      </x:c>
      <x:c r="T28" s="12" t="n">
        <x:v>89.9</x:v>
      </x:c>
      <x:c r="U28" s="12" t="n">
        <x:v>245.07712999476223</x:v>
      </x:c>
      <x:c r="V28" s="12" t="n">
        <x:v>244.75798925963002</x:v>
      </x:c>
      <x:c r="W28" s="12" t="n">
        <x:f>IF(ISNUMBER(E28),IF($I$146&gt;$H$146,(E28-$H$146)/($I$146-$H$146),"缺失"),"缺失")</x:f>
        <x:v>0.45717592592592593</x:v>
      </x:c>
      <x:c r="X28" s="12" t="n">
        <x:f>IF(ISNUMBER(F28),IF($I$147&gt;$H$147,(F28-$H$147)/($I$147-$H$147),"缺失"),"缺失")</x:f>
        <x:v>0.5379527559055121</x:v>
      </x:c>
      <x:c r="Y28" s="12" t="n">
        <x:f>IF(ISNUMBER(G28),IF($I$148&gt;$H$148,(G28-$H$148)/($I$148-$H$148),"缺失"),"缺失")</x:f>
        <x:v>0.7372110426704492</x:v>
      </x:c>
      <x:c r="Z28" s="12" t="n">
        <x:f>IF(ISNUMBER(H28),IF($I$149&gt;$H$149,(H28-$H$149)/($I$149-$H$149),"缺失"),"缺失")</x:f>
        <x:v>0.7609505342239709</x:v>
      </x:c>
      <x:c r="AA28" s="12" t="n">
        <x:f>IF(ISNUMBER(I28),IF($I$150&gt;$H$150,(I28-$H$150)/($I$150-$H$150),"缺失"),"缺失")</x:f>
        <x:v>0.9480309762616996</x:v>
      </x:c>
      <x:c r="AB28" s="12" t="n">
        <x:f>IF(ISNUMBER(J28),IF($I$151&gt;$H$151,(J28-$H$151)/($I$151-$H$151),"缺失"),"缺失")</x:f>
        <x:v>0.006952952903213813</x:v>
      </x:c>
      <x:c r="AC28" s="12" t="n">
        <x:f>IF(ISNUMBER(K28),IF($I$152&gt;$H$152,(K28-$H$152)/($I$152-$H$152),"缺失"),"缺失")</x:f>
        <x:v>0.005363653211406459</x:v>
      </x:c>
      <x:c r="AD28" s="12" t="n">
        <x:f>IF(ISNUMBER(L28),IF($I$153&gt;$H$153,(L28-$H$153)/($I$153-$H$153),"缺失"),"缺失")</x:f>
        <x:v>0.110327578074155</x:v>
      </x:c>
      <x:c r="AE28" s="12" t="n">
        <x:f>IF(ISNUMBER(M28),IF($I$154&gt;$H$154,(M28-$H$154)/($I$154-$H$154),"缺失"),"缺失")</x:f>
        <x:v>0.105684548</x:v>
      </x:c>
      <x:c r="AF28" s="12" t="n">
        <x:f>IF(ISNUMBER(N28),IF($I$155&gt;$H$155,(N28-$H$155)/($I$155-$H$155),"缺失"),"缺失")</x:f>
        <x:v>0.011438136853906763</x:v>
      </x:c>
      <x:c r="AG28" s="12" t="n">
        <x:f>IF(ISNUMBER(O28),IF($I$156&gt;$H$156,(O28-$H$156)/($I$156-$H$156),"缺失"),"缺失")</x:f>
        <x:v>0.058228871815608575</x:v>
      </x:c>
      <x:c r="AH28" s="12" t="n">
        <x:f>IF(ISNUMBER(P28),IF($I$157&gt;$H$157,(P28-$H$157)/($I$157-$H$157),"缺失"),"缺失")</x:f>
        <x:v>0.2979824820054189</x:v>
      </x:c>
      <x:c r="AI28" s="12" t="n">
        <x:f>IF(ISNUMBER(Q28),IF($I$158&gt;$H$158,(Q28-$H$158)/($I$158-$H$158),"缺失"),"缺失")</x:f>
        <x:v>0.18089166864539788</x:v>
      </x:c>
      <x:c r="AJ28" s="12" t="n">
        <x:f>IF(ISNUMBER(R28),IF($I$159&gt;$H$159,(R28-$H$159)/($I$159-$H$159),"缺失"),"缺失")</x:f>
        <x:v>0.15424631580267353</x:v>
      </x:c>
      <x:c r="AK28" s="12" t="n">
        <x:f>IF(ISNUMBER(S28),IF($I$160&gt;$H$160,(S28-$H$160)/($I$160-$H$160),"缺失"),"缺失")</x:f>
        <x:v>0.015559651080305045</x:v>
      </x:c>
      <x:c r="AL28" s="12" t="n">
        <x:f>IF(ISNUMBER(T28),IF($I$161&gt;$H$161,(T28-$H$161)/($I$161-$H$161),"缺失"),"缺失")</x:f>
        <x:v>1</x:v>
      </x:c>
      <x:c r="AM28" s="12" t="n">
        <x:f>IF(ISNUMBER(U28),IF($I$162&gt;$H$162,(U28-$H$162)/($I$162-$H$162),"缺失"),"缺失")</x:f>
        <x:v>1</x:v>
      </x:c>
      <x:c r="AN28" s="12" t="n">
        <x:f>IF(ISNUMBER(V28),IF($I$163&gt;$H$163,(V28-$H$163)/($I$163-$H$163),"缺失"),"缺失")</x:f>
        <x:v>0</x:v>
      </x:c>
      <x:c r="AO28" s="23" t="str"/>
      <x:c r="AP28" s="23" t="str">
        <x:v>见指标口径：州级、产业、代表点代理；气候基期待核实</x:v>
      </x:c>
      <x:c r="AQ28" s="15" t="n">
        <x:v>0.9999999999999983</x:v>
      </x:c>
      <x:c r="AR28" s="15" t="n">
        <x:v>0.9999999999999982</x:v>
      </x:c>
      <x:c r="AS28" s="15" t="n">
        <x:v>1</x:v>
      </x:c>
      <x:c r="AT28" s="15" t="n">
        <x:v>1</x:v>
      </x:c>
    </x:row>
    <x:row r="29" ht="24" customHeight="1">
      <x:c r="A29" s="18" t="str">
        <x:v>51045</x:v>
      </x:c>
      <x:c r="B29" s="3" t="str">
        <x:v>Craig County</x:v>
      </x:c>
      <x:c r="C29" s="3" t="str">
        <x:v>VA</x:v>
      </x:c>
      <x:c r="D29" s="12" t="n">
        <x:v>849.770441</x:v>
      </x:c>
      <x:c r="E29" s="12" t="n">
        <x:v>0.657</x:v>
      </x:c>
      <x:c r="F29" s="12" t="n">
        <x:v>0.98855198019802</x:v>
      </x:c>
      <x:c r="G29" s="12" t="n">
        <x:v>2.2873329265285407</x:v>
      </x:c>
      <x:c r="H29" s="12" t="n">
        <x:v>2.5980514442377265</x:v>
      </x:c>
      <x:c r="I29" s="12" t="n">
        <x:v>0.9856779454298359</x:v>
      </x:c>
      <x:c r="J29" s="12" t="n">
        <x:v>0.09466944279036105</x:v>
      </x:c>
      <x:c r="K29" s="12" t="n">
        <x:v>0.00004435053394874979</x:v>
      </x:c>
      <x:c r="L29" s="24" t="n">
        <x:v>0.030571992</x:v>
      </x:c>
      <x:c r="M29" s="24" t="n">
        <x:v>0.030243261</x:v>
      </x:c>
      <x:c r="N29" s="13" t="n">
        <x:v>2063</x:v>
      </x:c>
      <x:c r="O29" s="12" t="n">
        <x:v>0.0589</x:v>
      </x:c>
      <x:c r="P29" s="12" t="n">
        <x:v>533.837479654948</x:v>
      </x:c>
      <x:c r="Q29" s="12" t="n">
        <x:v>3.3997844378153483</x:v>
      </x:c>
      <x:c r="R29" s="12" t="n">
        <x:v>22.890512124412275</x:v>
      </x:c>
      <x:c r="S29" s="12" t="n">
        <x:v>20.70722877434567</x:v>
      </x:c>
      <x:c r="T29" s="12" t="n">
        <x:v>89.9</x:v>
      </x:c>
      <x:c r="U29" s="12" t="n">
        <x:v>245.07712999476223</x:v>
      </x:c>
      <x:c r="V29" s="12" t="n">
        <x:v>244.75798925963002</x:v>
      </x:c>
      <x:c r="W29" s="12" t="n">
        <x:f>IF(ISNUMBER(E29),IF($I$146&gt;$H$146,(E29-$H$146)/($I$146-$H$146),"缺失"),"缺失")</x:f>
        <x:v>0.704861111111111</x:v>
      </x:c>
      <x:c r="X29" s="12" t="n">
        <x:f>IF(ISNUMBER(F29),IF($I$147&gt;$H$147,(F29-$H$147)/($I$147-$H$147),"缺失"),"缺失")</x:f>
        <x:v>1</x:v>
      </x:c>
      <x:c r="Y29" s="12" t="n">
        <x:f>IF(ISNUMBER(G29),IF($I$148&gt;$H$148,(G29-$H$148)/($I$148-$H$148),"缺失"),"缺失")</x:f>
        <x:v>0.6013422930908886</x:v>
      </x:c>
      <x:c r="Z29" s="12" t="n">
        <x:f>IF(ISNUMBER(H29),IF($I$149&gt;$H$149,(H29-$H$149)/($I$149-$H$149),"缺失"),"缺失")</x:f>
        <x:v>0.6400653015363268</x:v>
      </x:c>
      <x:c r="AA29" s="12" t="n">
        <x:f>IF(ISNUMBER(I29),IF($I$150&gt;$H$150,(I29-$H$150)/($I$150-$H$150),"缺失"),"缺失")</x:f>
        <x:v>0.9938370704064415</x:v>
      </x:c>
      <x:c r="AB29" s="12" t="n">
        <x:f>IF(ISNUMBER(J29),IF($I$151&gt;$H$151,(J29-$H$151)/($I$151-$H$151),"缺失"),"缺失")</x:f>
        <x:v>0.23222357335641491</x:v>
      </x:c>
      <x:c r="AC29" s="12" t="n">
        <x:f>IF(ISNUMBER(K29),IF($I$152&gt;$H$152,(K29-$H$152)/($I$152-$H$152),"缺失"),"缺失")</x:f>
        <x:v>0.00007624749352922537</x:v>
      </x:c>
      <x:c r="AD29" s="12" t="n">
        <x:f>IF(ISNUMBER(L29),IF($I$153&gt;$H$153,(L29-$H$153)/($I$153-$H$153),"缺失"),"缺失")</x:f>
        <x:v>0.030251254390630918</x:v>
      </x:c>
      <x:c r="AE29" s="12" t="n">
        <x:f>IF(ISNUMBER(M29),IF($I$154&gt;$H$154,(M29-$H$154)/($I$154-$H$154),"缺失"),"缺失")</x:f>
        <x:v>0.030243261</x:v>
      </x:c>
      <x:c r="AF29" s="12" t="n">
        <x:f>IF(ISNUMBER(N29),IF($I$155&gt;$H$155,(N29-$H$155)/($I$155-$H$155),"缺失"),"缺失")</x:f>
        <x:v>0.002135139583779772</x:v>
      </x:c>
      <x:c r="AG29" s="12" t="n">
        <x:f>IF(ISNUMBER(O29),IF($I$156&gt;$H$156,(O29-$H$156)/($I$156-$H$156),"缺失"),"缺失")</x:f>
        <x:v>0.05731904569348969</x:v>
      </x:c>
      <x:c r="AH29" s="12" t="n">
        <x:f>IF(ISNUMBER(P29),IF($I$157&gt;$H$157,(P29-$H$157)/($I$157-$H$157),"缺失"),"缺失")</x:f>
        <x:v>0.11609244799949094</x:v>
      </x:c>
      <x:c r="AI29" s="12" t="n">
        <x:f>IF(ISNUMBER(Q29),IF($I$158&gt;$H$158,(Q29-$H$158)/($I$158-$H$158),"缺失"),"缺失")</x:f>
        <x:v>0.03621110553180029</x:v>
      </x:c>
      <x:c r="AJ29" s="12" t="n">
        <x:f>IF(ISNUMBER(R29),IF($I$159&gt;$H$159,(R29-$H$159)/($I$159-$H$159),"缺失"),"缺失")</x:f>
        <x:v>0.23903316345122724</x:v>
      </x:c>
      <x:c r="AK29" s="12" t="n">
        <x:f>IF(ISNUMBER(S29),IF($I$160&gt;$H$160,(S29-$H$160)/($I$160-$H$160),"缺失"),"缺失")</x:f>
        <x:v>0.4040800737405827</x:v>
      </x:c>
      <x:c r="AL29" s="12" t="n">
        <x:f>IF(ISNUMBER(T29),IF($I$161&gt;$H$161,(T29-$H$161)/($I$161-$H$161),"缺失"),"缺失")</x:f>
        <x:v>1</x:v>
      </x:c>
      <x:c r="AM29" s="12" t="n">
        <x:f>IF(ISNUMBER(U29),IF($I$162&gt;$H$162,(U29-$H$162)/($I$162-$H$162),"缺失"),"缺失")</x:f>
        <x:v>1</x:v>
      </x:c>
      <x:c r="AN29" s="12" t="n">
        <x:f>IF(ISNUMBER(V29),IF($I$163&gt;$H$163,(V29-$H$163)/($I$163-$H$163),"缺失"),"缺失")</x:f>
        <x:v>0</x:v>
      </x:c>
      <x:c r="AO29" s="23" t="str"/>
      <x:c r="AP29" s="23" t="str">
        <x:v>见指标口径：州级、产业、代表点代理；气候基期待核实</x:v>
      </x:c>
      <x:c r="AQ29" s="15" t="n">
        <x:v>0.9999999999999996</x:v>
      </x:c>
      <x:c r="AR29" s="15" t="n">
        <x:v>0.9999999999999982</x:v>
      </x:c>
      <x:c r="AS29" s="15" t="n">
        <x:v>1</x:v>
      </x:c>
      <x:c r="AT29" s="15" t="n">
        <x:v>1</x:v>
      </x:c>
    </x:row>
    <x:row r="30" ht="24" customHeight="1">
      <x:c r="A30" s="18" t="str">
        <x:v>51047</x:v>
      </x:c>
      <x:c r="B30" s="3" t="str">
        <x:v>Culpeper County</x:v>
      </x:c>
      <x:c r="C30" s="3" t="str">
        <x:v>VA</x:v>
      </x:c>
      <x:c r="D30" s="12" t="n">
        <x:v>982.06927</x:v>
      </x:c>
      <x:c r="E30" s="12" t="n">
        <x:v>0.26</x:v>
      </x:c>
      <x:c r="F30" s="12" t="n">
        <x:v>0.553836633663366</x:v>
      </x:c>
      <x:c r="G30" s="12" t="n">
        <x:v>2.7027135553703565</x:v>
      </x:c>
      <x:c r="H30" s="12" t="n">
        <x:v>3.052382768</x:v>
      </x:c>
      <x:c r="I30" s="12" t="n">
        <x:v>0.9440077401924095</x:v>
      </x:c>
      <x:c r="J30" s="12" t="n">
        <x:v>0.0072157831657329455</x:v>
      </x:c>
      <x:c r="K30" s="12" t="n">
        <x:v>0.030180361087277972</x:v>
      </x:c>
      <x:c r="L30" s="24" t="n">
        <x:v>0.483703737</x:v>
      </x:c>
      <x:c r="M30" s="24" t="n">
        <x:v>0.398503358</x:v>
      </x:c>
      <x:c r="N30" s="13" t="n">
        <x:v>28403</x:v>
      </x:c>
      <x:c r="O30" s="12" t="n">
        <x:v>0.4327</x:v>
      </x:c>
      <x:c r="P30" s="12" t="n">
        <x:v>1080.3833801269532</x:v>
      </x:c>
      <x:c r="Q30" s="12" t="n">
        <x:v>22.50271841684977</x:v>
      </x:c>
      <x:c r="R30" s="12" t="n">
        <x:v>42.09394898660602</x:v>
      </x:c>
      <x:c r="S30" s="12" t="n">
        <x:v>0.2620098669523769</x:v>
      </x:c>
      <x:c r="T30" s="12" t="n">
        <x:v>89.9</x:v>
      </x:c>
      <x:c r="U30" s="12" t="n">
        <x:v>245.07712999476223</x:v>
      </x:c>
      <x:c r="V30" s="12" t="n">
        <x:v>244.75798925963002</x:v>
      </x:c>
      <x:c r="W30" s="12" t="n">
        <x:f>IF(ISNUMBER(E30),IF($I$146&gt;$H$146,(E30-$H$146)/($I$146-$H$146),"缺失"),"缺失")</x:f>
        <x:v>0.2453703703703704</x:v>
      </x:c>
      <x:c r="X30" s="12" t="n">
        <x:f>IF(ISNUMBER(F30),IF($I$147&gt;$H$147,(F30-$H$147)/($I$147-$H$147),"缺失"),"缺失")</x:f>
        <x:v>0.5574803149606294</x:v>
      </x:c>
      <x:c r="Y30" s="12" t="n">
        <x:f>IF(ISNUMBER(G30),IF($I$148&gt;$H$148,(G30-$H$148)/($I$148-$H$148),"缺失"),"缺失")</x:f>
        <x:v>0.7106085716308085</x:v>
      </x:c>
      <x:c r="Z30" s="12" t="n">
        <x:f>IF(ISNUMBER(H30),IF($I$149&gt;$H$149,(H30-$H$149)/($I$149-$H$149),"缺失"),"缺失")</x:f>
        <x:v>0.7520705427007622</x:v>
      </x:c>
      <x:c r="AA30" s="12" t="n">
        <x:f>IF(ISNUMBER(I30),IF($I$150&gt;$H$150,(I30-$H$150)/($I$150-$H$150),"缺失"),"缺失")</x:f>
        <x:v>0.9491030068859839</x:v>
      </x:c>
      <x:c r="AB30" s="12" t="n">
        <x:f>IF(ISNUMBER(J30),IF($I$151&gt;$H$151,(J30-$H$151)/($I$151-$H$151),"缺失"),"缺失")</x:f>
        <x:v>0.017700272674280287</x:v>
      </x:c>
      <x:c r="AC30" s="12" t="n">
        <x:f>IF(ISNUMBER(K30),IF($I$152&gt;$H$152,(K30-$H$152)/($I$152-$H$152),"缺失"),"缺失")</x:f>
        <x:v>0.05188611459269209</x:v>
      </x:c>
      <x:c r="AD30" s="12" t="n">
        <x:f>IF(ISNUMBER(L30),IF($I$153&gt;$H$153,(L30-$H$153)/($I$153-$H$153),"缺失"),"缺失")</x:f>
        <x:v>0.48353291912827123</x:v>
      </x:c>
      <x:c r="AE30" s="12" t="n">
        <x:f>IF(ISNUMBER(M30),IF($I$154&gt;$H$154,(M30-$H$154)/($I$154-$H$154),"缺失"),"缺失")</x:f>
        <x:v>0.398503358</x:v>
      </x:c>
      <x:c r="AF30" s="12" t="n">
        <x:f>IF(ISNUMBER(N30),IF($I$155&gt;$H$155,(N30-$H$155)/($I$155-$H$155),"缺失"),"缺失")</x:f>
        <x:v>0.04303664986505918</x:v>
      </x:c>
      <x:c r="AG30" s="12" t="n">
        <x:f>IF(ISNUMBER(O30),IF($I$156&gt;$H$156,(O30-$H$156)/($I$156-$H$156),"缺失"),"缺失")</x:f>
        <x:v>0.43520016174686615</x:v>
      </x:c>
      <x:c r="AH30" s="12" t="n">
        <x:f>IF(ISNUMBER(P30),IF($I$157&gt;$H$157,(P30-$H$157)/($I$157-$H$157),"缺失"),"缺失")</x:f>
        <x:v>0.3619594261727992</x:v>
      </x:c>
      <x:c r="AI30" s="12" t="n">
        <x:f>IF(ISNUMBER(Q30),IF($I$158&gt;$H$158,(Q30-$H$158)/($I$158-$H$158),"缺失"),"缺失")</x:f>
        <x:v>0.26070106090822287</x:v>
      </x:c>
      <x:c r="AJ30" s="12" t="n">
        <x:f>IF(ISNUMBER(R30),IF($I$159&gt;$H$159,(R30-$H$159)/($I$159-$H$159),"缺失"),"缺失")</x:f>
        <x:v>0.44083149527064885</x:v>
      </x:c>
      <x:c r="AK30" s="12" t="n">
        <x:f>IF(ISNUMBER(S30),IF($I$160&gt;$H$160,(S30-$H$160)/($I$160-$H$160),"缺失"),"缺失")</x:f>
        <x:v>0.004955463635531614</x:v>
      </x:c>
      <x:c r="AL30" s="12" t="n">
        <x:f>IF(ISNUMBER(T30),IF($I$161&gt;$H$161,(T30-$H$161)/($I$161-$H$161),"缺失"),"缺失")</x:f>
        <x:v>1</x:v>
      </x:c>
      <x:c r="AM30" s="12" t="n">
        <x:f>IF(ISNUMBER(U30),IF($I$162&gt;$H$162,(U30-$H$162)/($I$162-$H$162),"缺失"),"缺失")</x:f>
        <x:v>1</x:v>
      </x:c>
      <x:c r="AN30" s="12" t="n">
        <x:f>IF(ISNUMBER(V30),IF($I$163&gt;$H$163,(V30-$H$163)/($I$163-$H$163),"缺失"),"缺失")</x:f>
        <x:v>0</x:v>
      </x:c>
      <x:c r="AO30" s="23" t="str"/>
      <x:c r="AP30" s="23" t="str">
        <x:v>见指标口径：州级、产业、代表点代理；气候基期待核实</x:v>
      </x:c>
      <x:c r="AQ30" s="15" t="n">
        <x:v>0.999999999999998</x:v>
      </x:c>
      <x:c r="AR30" s="15" t="n">
        <x:v>0.9999999999999991</x:v>
      </x:c>
      <x:c r="AS30" s="15" t="n">
        <x:v>1</x:v>
      </x:c>
      <x:c r="AT30" s="15" t="n">
        <x:v>1</x:v>
      </x:c>
    </x:row>
    <x:row r="31" ht="24" customHeight="1">
      <x:c r="A31" s="18" t="str">
        <x:v>51049</x:v>
      </x:c>
      <x:c r="B31" s="3" t="str">
        <x:v>Cumberland County</x:v>
      </x:c>
      <x:c r="C31" s="3" t="str">
        <x:v>VA</x:v>
      </x:c>
      <x:c r="D31" s="12" t="n">
        <x:v>770.454313</x:v>
      </x:c>
      <x:c r="E31" s="12" t="n">
        <x:v>0.273</x:v>
      </x:c>
      <x:c r="F31" s="12" t="n">
        <x:v>0.364170792079208</x:v>
      </x:c>
      <x:c r="G31" s="12" t="n">
        <x:v>2.6312783232290764</x:v>
      </x:c>
      <x:c r="H31" s="12" t="n">
        <x:v>2.9280717493246224</x:v>
      </x:c>
      <x:c r="I31" s="12" t="n">
        <x:v>0.9716976164874342</x:v>
      </x:c>
      <x:c r="J31" s="12" t="n">
        <x:v>0.0027465826975607934</x:v>
      </x:c>
      <x:c r="K31" s="12" t="n">
        <x:v>0.06289730572167042</x:v>
      </x:c>
      <x:c r="L31" s="24" t="n">
        <x:v>0.530011115</x:v>
      </x:c>
      <x:c r="M31" s="24" t="n">
        <x:v>0.530011115</x:v>
      </x:c>
      <x:c r="N31" s="13" t="n">
        <x:v>5406</x:v>
      </x:c>
      <x:c r="O31" s="12" t="n">
        <x:v>0.4426</x:v>
      </x:c>
      <x:c r="P31" s="12" t="n">
        <x:v>1142.9783203125</x:v>
      </x:c>
      <x:c r="Q31" s="12" t="n">
        <x:v>29.52299912770589</x:v>
      </x:c>
      <x:c r="R31" s="12" t="n">
        <x:v>42.65023729117594</x:v>
      </x:c>
      <x:c r="S31" s="12" t="n">
        <x:v>15.459336449704109</x:v>
      </x:c>
      <x:c r="T31" s="12" t="n">
        <x:v>89.9</x:v>
      </x:c>
      <x:c r="U31" s="12" t="n">
        <x:v>245.07712999476223</x:v>
      </x:c>
      <x:c r="V31" s="12" t="n">
        <x:v>244.75798925963002</x:v>
      </x:c>
      <x:c r="W31" s="12" t="n">
        <x:f>IF(ISNUMBER(E31),IF($I$146&gt;$H$146,(E31-$H$146)/($I$146-$H$146),"缺失"),"缺失")</x:f>
        <x:v>0.2604166666666667</x:v>
      </x:c>
      <x:c r="X31" s="12" t="n">
        <x:f>IF(ISNUMBER(F31),IF($I$147&gt;$H$147,(F31-$H$147)/($I$147-$H$147),"缺失"),"缺失")</x:f>
        <x:v>0.36440944881889764</x:v>
      </x:c>
      <x:c r="Y31" s="12" t="n">
        <x:f>IF(ISNUMBER(G31),IF($I$148&gt;$H$148,(G31-$H$148)/($I$148-$H$148),"缺失"),"缺失")</x:f>
        <x:v>0.6918174643168336</x:v>
      </x:c>
      <x:c r="Z31" s="12" t="n">
        <x:f>IF(ISNUMBER(H31),IF($I$149&gt;$H$149,(H31-$H$149)/($I$149-$H$149),"缺失"),"缺失")</x:f>
        <x:v>0.7214244373192682</x:v>
      </x:c>
      <x:c r="AA31" s="12" t="n">
        <x:f>IF(ISNUMBER(I31),IF($I$150&gt;$H$150,(I31-$H$150)/($I$150-$H$150),"缺失"),"缺失")</x:f>
        <x:v>0.978828818841974</x:v>
      </x:c>
      <x:c r="AB31" s="12" t="n">
        <x:f>IF(ISNUMBER(J31),IF($I$151&gt;$H$151,(J31-$H$151)/($I$151-$H$151),"缺失"),"缺失")</x:f>
        <x:v>0.0067373508256394835</x:v>
      </x:c>
      <x:c r="AC31" s="12" t="n">
        <x:f>IF(ISNUMBER(K31),IF($I$152&gt;$H$152,(K31-$H$152)/($I$152-$H$152),"缺失"),"缺失")</x:f>
        <x:v>0.10813312679754025</x:v>
      </x:c>
      <x:c r="AD31" s="12" t="n">
        <x:f>IF(ISNUMBER(L31),IF($I$153&gt;$H$153,(L31-$H$153)/($I$153-$H$153),"缺失"),"缺失")</x:f>
        <x:v>0.5298556180366762</x:v>
      </x:c>
      <x:c r="AE31" s="12" t="n">
        <x:f>IF(ISNUMBER(M31),IF($I$154&gt;$H$154,(M31-$H$154)/($I$154-$H$154),"缺失"),"缺失")</x:f>
        <x:v>0.530011115</x:v>
      </x:c>
      <x:c r="AF31" s="12" t="n">
        <x:f>IF(ISNUMBER(N31),IF($I$155&gt;$H$155,(N31-$H$155)/($I$155-$H$155),"缺失"),"缺失")</x:f>
        <x:v>0.007326246222743972</x:v>
      </x:c>
      <x:c r="AG31" s="12" t="n">
        <x:f>IF(ISNUMBER(O31),IF($I$156&gt;$H$156,(O31-$H$156)/($I$156-$H$156),"缺失"),"缺失")</x:f>
        <x:v>0.4452082490901739</x:v>
      </x:c>
      <x:c r="AH31" s="12" t="n">
        <x:f>IF(ISNUMBER(P31),IF($I$157&gt;$H$157,(P31-$H$157)/($I$157-$H$157),"缺失"),"缺失")</x:f>
        <x:v>0.3901181385134614</x:v>
      </x:c>
      <x:c r="AI31" s="12" t="n">
        <x:f>IF(ISNUMBER(Q31),IF($I$158&gt;$H$158,(Q31-$H$158)/($I$158-$H$158),"缺失"),"缺失")</x:f>
        <x:v>0.3432005609975652</x:v>
      </x:c>
      <x:c r="AJ31" s="12" t="n">
        <x:f>IF(ISNUMBER(R31),IF($I$159&gt;$H$159,(R31-$H$159)/($I$159-$H$159),"缺失"),"缺失")</x:f>
        <x:v>0.44667722240160157</x:v>
      </x:c>
      <x:c r="AK31" s="12" t="n">
        <x:f>IF(ISNUMBER(S31),IF($I$160&gt;$H$160,(S31-$H$160)/($I$160-$H$160),"缺失"),"缺失")</x:f>
        <x:v>0.3016325045835497</x:v>
      </x:c>
      <x:c r="AL31" s="12" t="n">
        <x:f>IF(ISNUMBER(T31),IF($I$161&gt;$H$161,(T31-$H$161)/($I$161-$H$161),"缺失"),"缺失")</x:f>
        <x:v>1</x:v>
      </x:c>
      <x:c r="AM31" s="12" t="n">
        <x:f>IF(ISNUMBER(U31),IF($I$162&gt;$H$162,(U31-$H$162)/($I$162-$H$162),"缺失"),"缺失")</x:f>
        <x:v>1</x:v>
      </x:c>
      <x:c r="AN31" s="12" t="n">
        <x:f>IF(ISNUMBER(V31),IF($I$163&gt;$H$163,(V31-$H$163)/($I$163-$H$163),"缺失"),"缺失")</x:f>
        <x:v>0</x:v>
      </x:c>
      <x:c r="AO31" s="23" t="str"/>
      <x:c r="AP31" s="23" t="str">
        <x:v>见指标口径：州级、产业、代表点代理；气候基期待核实</x:v>
      </x:c>
      <x:c r="AQ31" s="15" t="n">
        <x:v>1.0000000000000022</x:v>
      </x:c>
      <x:c r="AR31" s="15" t="n">
        <x:v>1.0000000000000022</x:v>
      </x:c>
      <x:c r="AS31" s="15" t="n">
        <x:v>1</x:v>
      </x:c>
      <x:c r="AT31" s="15" t="n">
        <x:v>1</x:v>
      </x:c>
    </x:row>
    <x:row r="32" ht="24" customHeight="1">
      <x:c r="A32" s="18" t="str">
        <x:v>51051</x:v>
      </x:c>
      <x:c r="B32" s="3" t="str">
        <x:v>Dickenson County</x:v>
      </x:c>
      <x:c r="C32" s="3" t="str">
        <x:v>VA</x:v>
      </x:c>
      <x:c r="D32" s="12" t="n">
        <x:v>855.84191</x:v>
      </x:c>
      <x:c r="E32" s="12" t="n">
        <x:v>0.892</x:v>
      </x:c>
      <x:c r="F32" s="12" t="n">
        <x:v>0.910272277227723</x:v>
      </x:c>
      <x:c r="G32" s="12" t="n">
        <x:v>2.8357511638495003</x:v>
      </x:c>
      <x:c r="H32" s="12" t="n">
        <x:v>2.9474699200897367</x:v>
      </x:c>
      <x:c r="I32" s="12" t="n">
        <x:v>0.97420351791149</x:v>
      </x:c>
      <x:c r="J32" s="12" t="n">
        <x:v>0.01674951568065897</x:v>
      </x:c>
      <x:c r="K32" s="12" t="n">
        <x:v>0.00004187740598784089</x:v>
      </x:c>
      <x:c r="L32" s="24" t="n">
        <x:v>0.812005929</x:v>
      </x:c>
      <x:c r="M32" s="24" t="n">
        <x:v>0.812005929</x:v>
      </x:c>
      <x:c r="N32" s="13" t="n">
        <x:v>4623</x:v>
      </x:c>
      <x:c r="O32" s="12" t="n">
        <x:v>0.4629</x:v>
      </x:c>
      <x:c r="P32" s="12" t="n">
        <x:v>647.8973775227864</x:v>
      </x:c>
      <x:c r="Q32" s="12" t="n">
        <x:v>3.1390092611312865</x:v>
      </x:c>
      <x:c r="R32" s="12" t="n">
        <x:v>57.79286286831637</x:v>
      </x:c>
      <x:c r="S32" s="12" t="n">
        <x:v>1.845488208166594</x:v>
      </x:c>
      <x:c r="T32" s="12" t="n">
        <x:v>89.9</x:v>
      </x:c>
      <x:c r="U32" s="12" t="n">
        <x:v>245.07712999476223</x:v>
      </x:c>
      <x:c r="V32" s="12" t="n">
        <x:v>244.75798925963002</x:v>
      </x:c>
      <x:c r="W32" s="12" t="n">
        <x:f>IF(ISNUMBER(E32),IF($I$146&gt;$H$146,(E32-$H$146)/($I$146-$H$146),"缺失"),"缺失")</x:f>
        <x:v>0.9768518518518519</x:v>
      </x:c>
      <x:c r="X32" s="12" t="n">
        <x:f>IF(ISNUMBER(F32),IF($I$147&gt;$H$147,(F32-$H$147)/($I$147-$H$147),"缺失"),"缺失")</x:f>
        <x:v>0.9203149606299212</x:v>
      </x:c>
      <x:c r="Y32" s="12" t="n">
        <x:f>IF(ISNUMBER(G32),IF($I$148&gt;$H$148,(G32-$H$148)/($I$148-$H$148),"缺失"),"缺失")</x:f>
        <x:v>0.7456042439733016</x:v>
      </x:c>
      <x:c r="Z32" s="12" t="n">
        <x:f>IF(ISNUMBER(H32),IF($I$149&gt;$H$149,(H32-$H$149)/($I$149-$H$149),"缺失"),"缺失")</x:f>
        <x:v>0.7262066230966071</x:v>
      </x:c>
      <x:c r="AA32" s="12" t="n">
        <x:f>IF(ISNUMBER(I32),IF($I$150&gt;$H$150,(I32-$H$150)/($I$150-$H$150),"缺失"),"缺失")</x:f>
        <x:v>0.9815189700625164</x:v>
      </x:c>
      <x:c r="AB32" s="12" t="n">
        <x:f>IF(ISNUMBER(J32),IF($I$151&gt;$H$151,(J32-$H$151)/($I$151-$H$151),"缺失"),"缺失")</x:f>
        <x:v>0.04108646115056632</x:v>
      </x:c>
      <x:c r="AC32" s="12" t="n">
        <x:f>IF(ISNUMBER(K32),IF($I$152&gt;$H$152,(K32-$H$152)/($I$152-$H$152),"缺失"),"缺失")</x:f>
        <x:v>0.00007199568884037419</x:v>
      </x:c>
      <x:c r="AD32" s="12" t="n">
        <x:f>IF(ISNUMBER(L32),IF($I$153&gt;$H$153,(L32-$H$153)/($I$153-$H$153),"缺失"),"缺失")</x:f>
        <x:v>0.8119437307053247</x:v>
      </x:c>
      <x:c r="AE32" s="12" t="n">
        <x:f>IF(ISNUMBER(M32),IF($I$154&gt;$H$154,(M32-$H$154)/($I$154-$H$154),"缺失"),"缺失")</x:f>
        <x:v>0.812005929</x:v>
      </x:c>
      <x:c r="AF32" s="12" t="n">
        <x:f>IF(ISNUMBER(N32),IF($I$155&gt;$H$155,(N32-$H$155)/($I$155-$H$155),"缺失"),"缺失")</x:f>
        <x:v>0.006110381281580655</x:v>
      </x:c>
      <x:c r="AG32" s="12" t="n">
        <x:f>IF(ISNUMBER(O32),IF($I$156&gt;$H$156,(O32-$H$156)/($I$156-$H$156),"缺失"),"缺失")</x:f>
        <x:v>0.46572988273352206</x:v>
      </x:c>
      <x:c r="AH32" s="12" t="n">
        <x:f>IF(ISNUMBER(P32),IF($I$157&gt;$H$157,(P32-$H$157)/($I$157-$H$157),"缺失"),"缺失")</x:f>
        <x:v>0.16740298275110607</x:v>
      </x:c>
      <x:c r="AI32" s="12" t="n">
        <x:f>IF(ISNUMBER(Q32),IF($I$158&gt;$H$158,(Q32-$H$158)/($I$158-$H$158),"缺失"),"缺失")</x:f>
        <x:v>0.033146581106320246</x:v>
      </x:c>
      <x:c r="AJ32" s="12" t="n">
        <x:f>IF(ISNUMBER(R32),IF($I$159&gt;$H$159,(R32-$H$159)/($I$159-$H$159),"缺失"),"缺失")</x:f>
        <x:v>0.6058027270058833</x:v>
      </x:c>
      <x:c r="AK32" s="12" t="n">
        <x:f>IF(ISNUMBER(S32),IF($I$160&gt;$H$160,(S32-$H$160)/($I$160-$H$160),"缺失"),"缺失")</x:f>
        <x:v>0.035867589272805915</x:v>
      </x:c>
      <x:c r="AL32" s="12" t="n">
        <x:f>IF(ISNUMBER(T32),IF($I$161&gt;$H$161,(T32-$H$161)/($I$161-$H$161),"缺失"),"缺失")</x:f>
        <x:v>1</x:v>
      </x:c>
      <x:c r="AM32" s="12" t="n">
        <x:f>IF(ISNUMBER(U32),IF($I$162&gt;$H$162,(U32-$H$162)/($I$162-$H$162),"缺失"),"缺失")</x:f>
        <x:v>1</x:v>
      </x:c>
      <x:c r="AN32" s="12" t="n">
        <x:f>IF(ISNUMBER(V32),IF($I$163&gt;$H$163,(V32-$H$163)/($I$163-$H$163),"缺失"),"缺失")</x:f>
        <x:v>0</x:v>
      </x:c>
      <x:c r="AO32" s="23" t="str"/>
      <x:c r="AP32" s="23" t="str">
        <x:v>见指标口径：州级、产业、代表点代理；气候基期待核实</x:v>
      </x:c>
      <x:c r="AQ32" s="15" t="n">
        <x:v>0.9999999999999973</x:v>
      </x:c>
      <x:c r="AR32" s="15" t="n">
        <x:v>0.9999999999999966</x:v>
      </x:c>
      <x:c r="AS32" s="15" t="n">
        <x:v>1</x:v>
      </x:c>
      <x:c r="AT32" s="15" t="n">
        <x:v>1</x:v>
      </x:c>
    </x:row>
    <x:row r="33" ht="24" customHeight="1">
      <x:c r="A33" s="18" t="str">
        <x:v>51053</x:v>
      </x:c>
      <x:c r="B33" s="3" t="str">
        <x:v>Dinwiddie County</x:v>
      </x:c>
      <x:c r="C33" s="3" t="str">
        <x:v>VA</x:v>
      </x:c>
      <x:c r="D33" s="12" t="n">
        <x:v>1304.903542</x:v>
      </x:c>
      <x:c r="E33" s="12" t="n">
        <x:v>0.341</x:v>
      </x:c>
      <x:c r="F33" s="12" t="n">
        <x:v>0.172957920792079</x:v>
      </x:c>
      <x:c r="G33" s="12" t="n">
        <x:v>3.6284600263122377</x:v>
      </x:c>
      <x:c r="H33" s="12" t="n">
        <x:v>3.9595424341985486</x:v>
      </x:c>
      <x:c r="I33" s="12" t="n">
        <x:v>0.9395822929054082</x:v>
      </x:c>
      <x:c r="J33" s="12" t="n">
        <x:v>0</x:v>
      </x:c>
      <x:c r="K33" s="12" t="n">
        <x:v>0.07402443499590267</x:v>
      </x:c>
      <x:c r="L33" s="24" t="n">
        <x:v>0.095437547</x:v>
      </x:c>
      <x:c r="M33" s="24" t="n">
        <x:v>0.094689604</x:v>
      </x:c>
      <x:c r="N33" s="13" t="n">
        <x:v>14247</x:v>
      </x:c>
      <x:c r="O33" s="12" t="n">
        <x:v>0.3261</x:v>
      </x:c>
      <x:c r="P33" s="12" t="n">
        <x:v>1295.3619669596353</x:v>
      </x:c>
      <x:c r="Q33" s="12" t="n">
        <x:v>31.794620196024574</x:v>
      </x:c>
      <x:c r="R33" s="12" t="n">
        <x:v>3.3065541894369184</x:v>
      </x:c>
      <x:c r="S33" s="12" t="n">
        <x:v>10.969877217717437</x:v>
      </x:c>
      <x:c r="T33" s="12" t="n">
        <x:v>89.9</x:v>
      </x:c>
      <x:c r="U33" s="12" t="n">
        <x:v>245.07712999476223</x:v>
      </x:c>
      <x:c r="V33" s="12" t="n">
        <x:v>244.75798925963002</x:v>
      </x:c>
      <x:c r="W33" s="12" t="n">
        <x:f>IF(ISNUMBER(E33),IF($I$146&gt;$H$146,(E33-$H$146)/($I$146-$H$146),"缺失"),"缺失")</x:f>
        <x:v>0.3391203703703704</x:v>
      </x:c>
      <x:c r="X33" s="12" t="n">
        <x:f>IF(ISNUMBER(F33),IF($I$147&gt;$H$147,(F33-$H$147)/($I$147-$H$147),"缺失"),"缺失")</x:f>
        <x:v>0.1697637795275588</x:v>
      </x:c>
      <x:c r="Y33" s="12" t="n">
        <x:f>IF(ISNUMBER(G33),IF($I$148&gt;$H$148,(G33-$H$148)/($I$148-$H$148),"缺失"),"缺失")</x:f>
        <x:v>0.9541270814691769</x:v>
      </x:c>
      <x:c r="Z33" s="12" t="n">
        <x:f>IF(ISNUMBER(H33),IF($I$149&gt;$H$149,(H33-$H$149)/($I$149-$H$149),"缺失"),"缺失")</x:f>
        <x:v>0.9757104985502123</x:v>
      </x:c>
      <x:c r="AA33" s="12" t="n">
        <x:f>IF(ISNUMBER(I33),IF($I$150&gt;$H$150,(I33-$H$150)/($I$150-$H$150),"缺失"),"缺失")</x:f>
        <x:v>0.9443521725928677</x:v>
      </x:c>
      <x:c r="AB33" s="12" t="n">
        <x:f>IF(ISNUMBER(J33),IF($I$151&gt;$H$151,(J33-$H$151)/($I$151-$H$151),"缺失"),"缺失")</x:f>
        <x:v>0</x:v>
      </x:c>
      <x:c r="AC33" s="12" t="n">
        <x:f>IF(ISNUMBER(K33),IF($I$152&gt;$H$152,(K33-$H$152)/($I$152-$H$152),"缺失"),"缺失")</x:f>
        <x:v>0.1272629013864163</x:v>
      </x:c>
      <x:c r="AD33" s="12" t="n">
        <x:f>IF(ISNUMBER(L33),IF($I$153&gt;$H$153,(L33-$H$153)/($I$153-$H$153),"缺失"),"缺失")</x:f>
        <x:v>0.09513827031693944</x:v>
      </x:c>
      <x:c r="AE33" s="12" t="n">
        <x:f>IF(ISNUMBER(M33),IF($I$154&gt;$H$154,(M33-$H$154)/($I$154-$H$154),"缺失"),"缺失")</x:f>
        <x:v>0.094689604</x:v>
      </x:c>
      <x:c r="AF33" s="12" t="n">
        <x:f>IF(ISNUMBER(N33),IF($I$155&gt;$H$155,(N33-$H$155)/($I$155-$H$155),"缺失"),"缺失")</x:f>
        <x:v>0.02105480553925085</x:v>
      </x:c>
      <x:c r="AG33" s="12" t="n">
        <x:f>IF(ISNUMBER(O33),IF($I$156&gt;$H$156,(O33-$H$156)/($I$156-$H$156),"缺失"),"缺失")</x:f>
        <x:v>0.3274363121714517</x:v>
      </x:c>
      <x:c r="AH33" s="12" t="n">
        <x:f>IF(ISNUMBER(P33),IF($I$157&gt;$H$157,(P33-$H$157)/($I$157-$H$157),"缺失"),"缺失")</x:f>
        <x:v>0.45866884338894215</x:v>
      </x:c>
      <x:c r="AI33" s="12" t="n">
        <x:f>IF(ISNUMBER(Q33),IF($I$158&gt;$H$158,(Q33-$H$158)/($I$158-$H$158),"缺失"),"缺失")</x:f>
        <x:v>0.36989573320612135</x:v>
      </x:c>
      <x:c r="AJ33" s="12" t="n">
        <x:f>IF(ISNUMBER(R33),IF($I$159&gt;$H$159,(R33-$H$159)/($I$159-$H$159),"缺失"),"缺失")</x:f>
        <x:v>0.03323614544555111</x:v>
      </x:c>
      <x:c r="AK33" s="12" t="n">
        <x:f>IF(ISNUMBER(S33),IF($I$160&gt;$H$160,(S33-$H$160)/($I$160-$H$160),"缺失"),"缺失")</x:f>
        <x:v>0.21399080831874515</x:v>
      </x:c>
      <x:c r="AL33" s="12" t="n">
        <x:f>IF(ISNUMBER(T33),IF($I$161&gt;$H$161,(T33-$H$161)/($I$161-$H$161),"缺失"),"缺失")</x:f>
        <x:v>1</x:v>
      </x:c>
      <x:c r="AM33" s="12" t="n">
        <x:f>IF(ISNUMBER(U33),IF($I$162&gt;$H$162,(U33-$H$162)/($I$162-$H$162),"缺失"),"缺失")</x:f>
        <x:v>1</x:v>
      </x:c>
      <x:c r="AN33" s="12" t="n">
        <x:f>IF(ISNUMBER(V33),IF($I$163&gt;$H$163,(V33-$H$163)/($I$163-$H$163),"缺失"),"缺失")</x:f>
        <x:v>0</x:v>
      </x:c>
      <x:c r="AO33" s="23" t="str"/>
      <x:c r="AP33" s="23" t="str">
        <x:v>见指标口径：州级、产业、代表点代理；气候基期待核实</x:v>
      </x:c>
      <x:c r="AQ33" s="15" t="n">
        <x:v>0.9999999999999997</x:v>
      </x:c>
      <x:c r="AR33" s="15" t="n">
        <x:v>1.0000000000000029</x:v>
      </x:c>
      <x:c r="AS33" s="15" t="n">
        <x:v>1</x:v>
      </x:c>
      <x:c r="AT33" s="15" t="n">
        <x:v>1</x:v>
      </x:c>
    </x:row>
    <x:row r="34" ht="24" customHeight="1">
      <x:c r="A34" s="18" t="str">
        <x:v>51057</x:v>
      </x:c>
      <x:c r="B34" s="3" t="str">
        <x:v>Essex County</x:v>
      </x:c>
      <x:c r="C34" s="3" t="str">
        <x:v>VA</x:v>
      </x:c>
      <x:c r="D34" s="12" t="n">
        <x:v>666.543883</x:v>
      </x:c>
      <x:c r="E34" s="12" t="n">
        <x:v>0.257</x:v>
      </x:c>
      <x:c r="F34" s="12" t="n">
        <x:v>0.0640470297029703</x:v>
      </x:c>
      <x:c r="G34" s="12" t="n">
        <x:v>2.8251253707149635</x:v>
      </x:c>
      <x:c r="H34" s="12" t="n">
        <x:v>3.1688572662298014</x:v>
      </x:c>
      <x:c r="I34" s="12" t="n">
        <x:v>0.9520736222429033</x:v>
      </x:c>
      <x:c r="J34" s="12" t="n">
        <x:v>0.030160964209093487</x:v>
      </x:c>
      <x:c r="K34" s="12" t="n">
        <x:v>0.14333199100866945</x:v>
      </x:c>
      <x:c r="L34" s="24" t="n">
        <x:v>0.005986232</x:v>
      </x:c>
      <x:c r="M34" s="24" t="n">
        <x:v>0.005836576</x:v>
      </x:c>
      <x:c r="N34" s="13" t="n">
        <x:v>4938</x:v>
      </x:c>
      <x:c r="O34" s="12" t="n">
        <x:v>0.8272</x:v>
      </x:c>
      <x:c r="P34" s="12" t="n">
        <x:v>1322.6714965820313</x:v>
      </x:c>
      <x:c r="Q34" s="12" t="n">
        <x:v>31.04402364095052</x:v>
      </x:c>
      <x:c r="R34" s="12" t="n">
        <x:v>46.18375943434977</x:v>
      </x:c>
      <x:c r="S34" s="12" t="n">
        <x:v>37.82462183187374</x:v>
      </x:c>
      <x:c r="T34" s="12" t="n">
        <x:v>89.9</x:v>
      </x:c>
      <x:c r="U34" s="12" t="n">
        <x:v>245.07712999476223</x:v>
      </x:c>
      <x:c r="V34" s="12" t="n">
        <x:v>244.75798925963002</x:v>
      </x:c>
      <x:c r="W34" s="12" t="n">
        <x:f>IF(ISNUMBER(E34),IF($I$146&gt;$H$146,(E34-$H$146)/($I$146-$H$146),"缺失"),"缺失")</x:f>
        <x:v>0.24189814814814817</x:v>
      </x:c>
      <x:c r="X34" s="12" t="n">
        <x:f>IF(ISNUMBER(F34),IF($I$147&gt;$H$147,(F34-$H$147)/($I$147-$H$147),"缺失"),"缺失")</x:f>
        <x:v>0.05889763779527557</x:v>
      </x:c>
      <x:c r="Y34" s="12" t="n">
        <x:f>IF(ISNUMBER(G34),IF($I$148&gt;$H$148,(G34-$H$148)/($I$148-$H$148),"缺失"),"缺失")</x:f>
        <x:v>0.7428091187514463</x:v>
      </x:c>
      <x:c r="Z34" s="12" t="n">
        <x:f>IF(ISNUMBER(H34),IF($I$149&gt;$H$149,(H34-$H$149)/($I$149-$H$149),"缺失"),"缺失")</x:f>
        <x:v>0.7807847289816131</x:v>
      </x:c>
      <x:c r="AA34" s="12" t="n">
        <x:f>IF(ISNUMBER(I34),IF($I$150&gt;$H$150,(I34-$H$150)/($I$150-$H$150),"缺失"),"缺失")</x:f>
        <x:v>0.9577619438396046</x:v>
      </x:c>
      <x:c r="AB34" s="12" t="n">
        <x:f>IF(ISNUMBER(J34),IF($I$151&gt;$H$151,(J34-$H$151)/($I$151-$H$151),"缺失"),"缺失")</x:f>
        <x:v>0.07398466366830418</x:v>
      </x:c>
      <x:c r="AC34" s="12" t="n">
        <x:f>IF(ISNUMBER(K34),IF($I$152&gt;$H$152,(K34-$H$152)/($I$152-$H$152),"缺失"),"缺失")</x:f>
        <x:v>0.2464165385154869</x:v>
      </x:c>
      <x:c r="AD34" s="12" t="n">
        <x:f>IF(ISNUMBER(L34),IF($I$153&gt;$H$153,(L34-$H$153)/($I$153-$H$153),"缺失"),"缺失")</x:f>
        <x:v>0.005657360132262226</x:v>
      </x:c>
      <x:c r="AE34" s="12" t="n">
        <x:f>IF(ISNUMBER(M34),IF($I$154&gt;$H$154,(M34-$H$154)/($I$154-$H$154),"缺失"),"缺失")</x:f>
        <x:v>0.005836576</x:v>
      </x:c>
      <x:c r="AF34" s="12" t="n">
        <x:f>IF(ISNUMBER(N34),IF($I$155&gt;$H$155,(N34-$H$155)/($I$155-$H$155),"缺失"),"缺失")</x:f>
        <x:v>0.006599522349864748</x:v>
      </x:c>
      <x:c r="AG34" s="12" t="n">
        <x:f>IF(ISNUMBER(O34),IF($I$156&gt;$H$156,(O34-$H$156)/($I$156-$H$156),"缺失"),"缺失")</x:f>
        <x:v>0.834007278608977</x:v>
      </x:c>
      <x:c r="AH34" s="12" t="n">
        <x:f>IF(ISNUMBER(P34),IF($I$157&gt;$H$157,(P34-$H$157)/($I$157-$H$157),"缺失"),"缺失")</x:f>
        <x:v>0.4709542004244522</x:v>
      </x:c>
      <x:c r="AI34" s="12" t="n">
        <x:f>IF(ISNUMBER(Q34),IF($I$158&gt;$H$158,(Q34-$H$158)/($I$158-$H$158),"缺失"),"缺失")</x:f>
        <x:v>0.3610750260132261</x:v>
      </x:c>
      <x:c r="AJ34" s="12" t="n">
        <x:f>IF(ISNUMBER(R34),IF($I$159&gt;$H$159,(R34-$H$159)/($I$159-$H$159),"缺失"),"缺失")</x:f>
        <x:v>0.48380905870030505</x:v>
      </x:c>
      <x:c r="AK34" s="12" t="n">
        <x:f>IF(ISNUMBER(S34),IF($I$160&gt;$H$160,(S34-$H$160)/($I$160-$H$160),"缺失"),"缺失")</x:f>
        <x:v>0.7382399993958789</x:v>
      </x:c>
      <x:c r="AL34" s="12" t="n">
        <x:f>IF(ISNUMBER(T34),IF($I$161&gt;$H$161,(T34-$H$161)/($I$161-$H$161),"缺失"),"缺失")</x:f>
        <x:v>1</x:v>
      </x:c>
      <x:c r="AM34" s="12" t="n">
        <x:f>IF(ISNUMBER(U34),IF($I$162&gt;$H$162,(U34-$H$162)/($I$162-$H$162),"缺失"),"缺失")</x:f>
        <x:v>1</x:v>
      </x:c>
      <x:c r="AN34" s="12" t="n">
        <x:f>IF(ISNUMBER(V34),IF($I$163&gt;$H$163,(V34-$H$163)/($I$163-$H$163),"缺失"),"缺失")</x:f>
        <x:v>0</x:v>
      </x:c>
      <x:c r="AO34" s="23" t="str"/>
      <x:c r="AP34" s="23" t="str">
        <x:v>baseline_water_stress:有效县域面积覆盖&lt;99%（诊断提示，非行业阈值）；water_stress_2050_bau:有效县域面积覆盖&lt;99%（诊断提示，非行业阈值）</x:v>
      </x:c>
      <x:c r="AQ34" s="15" t="n">
        <x:v>0.9472257900944885</x:v>
      </x:c>
      <x:c r="AR34" s="15" t="n">
        <x:v>0.9472381388354015</x:v>
      </x:c>
      <x:c r="AS34" s="15" t="n">
        <x:v>1</x:v>
      </x:c>
      <x:c r="AT34" s="15" t="n">
        <x:v>1</x:v>
      </x:c>
    </x:row>
    <x:row r="35" ht="24" customHeight="1">
      <x:c r="A35" s="18" t="str">
        <x:v>51059</x:v>
      </x:c>
      <x:c r="B35" s="3" t="str">
        <x:v>Fairfax County</x:v>
      </x:c>
      <x:c r="C35" s="3" t="str">
        <x:v>VA</x:v>
      </x:c>
      <x:c r="D35" s="12" t="n">
        <x:v>1012.738308</x:v>
      </x:c>
      <x:c r="E35" s="12" t="n">
        <x:v>0.157</x:v>
      </x:c>
      <x:c r="F35" s="12" t="n">
        <x:v>0.269492574257426</x:v>
      </x:c>
      <x:c r="G35" s="12" t="n">
        <x:v>2.5458454150152194</x:v>
      </x:c>
      <x:c r="H35" s="12" t="n">
        <x:v>2.940970590372003</x:v>
      </x:c>
      <x:c r="I35" s="12" t="n">
        <x:v>0.4607667814855819</x:v>
      </x:c>
      <x:c r="J35" s="12" t="n">
        <x:v>0.0556416666701398</x:v>
      </x:c>
      <x:c r="K35" s="12" t="n">
        <x:v>0.04395915802591258</x:v>
      </x:c>
      <x:c r="L35" s="24" t="n">
        <x:v>0.862499152</x:v>
      </x:c>
      <x:c r="M35" s="24" t="n">
        <x:v>0.497105893</x:v>
      </x:c>
      <x:c r="N35" s="13" t="n">
        <x:v>644674</x:v>
      </x:c>
      <x:c r="O35" s="12" t="n">
        <x:v>0.2412</x:v>
      </x:c>
      <x:c r="P35" s="12" t="n">
        <x:v>1116.6178344726563</x:v>
      </x:c>
      <x:c r="Q35" s="12" t="n">
        <x:v>22.107075691223145</x:v>
      </x:c>
      <x:c r="R35" s="12" t="n">
        <x:v>4.4936621531184615</x:v>
      </x:c>
      <x:c r="S35" s="12" t="n">
        <x:v>3.4685480253583956</x:v>
      </x:c>
      <x:c r="T35" s="12" t="n">
        <x:v>89.9</x:v>
      </x:c>
      <x:c r="U35" s="12" t="n">
        <x:v>245.07712999476223</x:v>
      </x:c>
      <x:c r="V35" s="12" t="n">
        <x:v>244.75798925963002</x:v>
      </x:c>
      <x:c r="W35" s="12" t="n">
        <x:f>IF(ISNUMBER(E35),IF($I$146&gt;$H$146,(E35-$H$146)/($I$146-$H$146),"缺失"),"缺失")</x:f>
        <x:v>0.1261574074074074</x:v>
      </x:c>
      <x:c r="X35" s="12" t="n">
        <x:f>IF(ISNUMBER(F35),IF($I$147&gt;$H$147,(F35-$H$147)/($I$147-$H$147),"缺失"),"缺失")</x:f>
        <x:v>0.2680314960629923</x:v>
      </x:c>
      <x:c r="Y35" s="12" t="n">
        <x:f>IF(ISNUMBER(G35),IF($I$148&gt;$H$148,(G35-$H$148)/($I$148-$H$148),"缺失"),"缺失")</x:f>
        <x:v>0.669344254693653</x:v>
      </x:c>
      <x:c r="Z35" s="12" t="n">
        <x:f>IF(ISNUMBER(H35),IF($I$149&gt;$H$149,(H35-$H$149)/($I$149-$H$149),"缺失"),"缺失")</x:f>
        <x:v>0.7246043585060572</x:v>
      </x:c>
      <x:c r="AA35" s="12" t="n">
        <x:f>IF(ISNUMBER(I35),IF($I$150&gt;$H$150,(I35-$H$150)/($I$150-$H$150),"缺失"),"缺失")</x:f>
        <x:v>0.43033110213274595</x:v>
      </x:c>
      <x:c r="AB35" s="12" t="n">
        <x:f>IF(ISNUMBER(J35),IF($I$151&gt;$H$151,(J35-$H$151)/($I$151-$H$151),"缺失"),"缺失")</x:f>
        <x:v>0.13648867343879628</x:v>
      </x:c>
      <x:c r="AC35" s="12" t="n">
        <x:f>IF(ISNUMBER(K35),IF($I$152&gt;$H$152,(K35-$H$152)/($I$152-$H$152),"缺失"),"缺失")</x:f>
        <x:v>0.0755746395523486</x:v>
      </x:c>
      <x:c r="AD35" s="12" t="n">
        <x:f>IF(ISNUMBER(L35),IF($I$153&gt;$H$153,(L35-$H$153)/($I$153-$H$153),"缺失"),"缺失")</x:f>
        <x:v>0.8624536595107076</x:v>
      </x:c>
      <x:c r="AE35" s="12" t="n">
        <x:f>IF(ISNUMBER(M35),IF($I$154&gt;$H$154,(M35-$H$154)/($I$154-$H$154),"缺失"),"缺失")</x:f>
        <x:v>0.497105893</x:v>
      </x:c>
      <x:c r="AF35" s="12" t="n">
        <x:f>IF(ISNUMBER(N35),IF($I$155&gt;$H$155,(N35-$H$155)/($I$155-$H$155),"缺失"),"缺失")</x:f>
        <x:v>1</x:v>
      </x:c>
      <x:c r="AG35" s="12" t="n">
        <x:f>IF(ISNUMBER(O35),IF($I$156&gt;$H$156,(O35-$H$156)/($I$156-$H$156),"缺失"),"缺失")</x:f>
        <x:v>0.24160938131823695</x:v>
      </x:c>
      <x:c r="AH35" s="12" t="n">
        <x:f>IF(ISNUMBER(P35),IF($I$157&gt;$H$157,(P35-$H$157)/($I$157-$H$157),"缺失"),"缺失")</x:f>
        <x:v>0.37825971456219687</x:v>
      </x:c>
      <x:c r="AI35" s="12" t="n">
        <x:f>IF(ISNUMBER(Q35),IF($I$158&gt;$H$158,(Q35-$H$158)/($I$158-$H$158),"缺失"),"缺失")</x:f>
        <x:v>0.25605162758460853</x:v>
      </x:c>
      <x:c r="AJ35" s="12" t="n">
        <x:f>IF(ISNUMBER(R35),IF($I$159&gt;$H$159,(R35-$H$159)/($I$159-$H$159),"缺失"),"缺失")</x:f>
        <x:v>0.045710808625875156</x:v>
      </x:c>
      <x:c r="AK35" s="12" t="n">
        <x:f>IF(ISNUMBER(S35),IF($I$160&gt;$H$160,(S35-$H$160)/($I$160-$H$160),"缺失"),"缺失")</x:f>
        <x:v>0.06755241102248148</x:v>
      </x:c>
      <x:c r="AL35" s="12" t="n">
        <x:f>IF(ISNUMBER(T35),IF($I$161&gt;$H$161,(T35-$H$161)/($I$161-$H$161),"缺失"),"缺失")</x:f>
        <x:v>1</x:v>
      </x:c>
      <x:c r="AM35" s="12" t="n">
        <x:f>IF(ISNUMBER(U35),IF($I$162&gt;$H$162,(U35-$H$162)/($I$162-$H$162),"缺失"),"缺失")</x:f>
        <x:v>1</x:v>
      </x:c>
      <x:c r="AN35" s="12" t="n">
        <x:f>IF(ISNUMBER(V35),IF($I$163&gt;$H$163,(V35-$H$163)/($I$163-$H$163),"缺失"),"缺失")</x:f>
        <x:v>0</x:v>
      </x:c>
      <x:c r="AO35" s="23" t="str"/>
      <x:c r="AP35" s="23" t="str">
        <x:v>baseline_water_stress:有效县域面积覆盖&lt;99%（诊断提示，非行业阈值）；water_stress_2050_bau:有效县域面积覆盖&lt;99%（诊断提示，非行业阈值）</x:v>
      </x:c>
      <x:c r="AQ35" s="15" t="n">
        <x:v>0.9878487190949229</x:v>
      </x:c>
      <x:c r="AR35" s="15" t="n">
        <x:v>0.9872210852017274</x:v>
      </x:c>
      <x:c r="AS35" s="15" t="n">
        <x:v>1</x:v>
      </x:c>
      <x:c r="AT35" s="15" t="n">
        <x:v>1</x:v>
      </x:c>
    </x:row>
    <x:row r="36" ht="24" customHeight="1">
      <x:c r="A36" s="18" t="str">
        <x:v>51061</x:v>
      </x:c>
      <x:c r="B36" s="3" t="str">
        <x:v>Fauquier County</x:v>
      </x:c>
      <x:c r="C36" s="3" t="str">
        <x:v>VA</x:v>
      </x:c>
      <x:c r="D36" s="12" t="n">
        <x:v>1678.296516</x:v>
      </x:c>
      <x:c r="E36" s="12" t="n">
        <x:v>0.271</x:v>
      </x:c>
      <x:c r="F36" s="12" t="n">
        <x:v>0.567141089108911</x:v>
      </x:c>
      <x:c r="G36" s="12" t="n">
        <x:v>2.4107519217707027</x:v>
      </x:c>
      <x:c r="H36" s="12" t="n">
        <x:v>2.7860531574254677</x:v>
      </x:c>
      <x:c r="I36" s="12" t="n">
        <x:v>0.9503877861157101</x:v>
      </x:c>
      <x:c r="J36" s="12" t="n">
        <x:v>0.030508967857351525</x:v>
      </x:c>
      <x:c r="K36" s="12" t="n">
        <x:v>0.02944112657901935</x:v>
      </x:c>
      <x:c r="L36" s="24" t="n">
        <x:v>0.150109326</x:v>
      </x:c>
      <x:c r="M36" s="24" t="n">
        <x:v>0.141521691</x:v>
      </x:c>
      <x:c r="N36" s="13" t="n">
        <x:v>41754</x:v>
      </x:c>
      <x:c r="O36" s="12" t="n">
        <x:v>0.0732</x:v>
      </x:c>
      <x:c r="P36" s="12" t="n">
        <x:v>975.415205891927</x:v>
      </x:c>
      <x:c r="Q36" s="12" t="n">
        <x:v>16.178626537322998</x:v>
      </x:c>
      <x:c r="R36" s="12" t="n">
        <x:v>11.953978840829102</x:v>
      </x:c>
      <x:c r="S36" s="12" t="n">
        <x:v>9.831196182642868</x:v>
      </x:c>
      <x:c r="T36" s="12" t="n">
        <x:v>89.9</x:v>
      </x:c>
      <x:c r="U36" s="12" t="n">
        <x:v>245.07712999476223</x:v>
      </x:c>
      <x:c r="V36" s="12" t="n">
        <x:v>244.75798925963002</x:v>
      </x:c>
      <x:c r="W36" s="12" t="n">
        <x:f>IF(ISNUMBER(E36),IF($I$146&gt;$H$146,(E36-$H$146)/($I$146-$H$146),"缺失"),"缺失")</x:f>
        <x:v>0.2581018518518519</x:v>
      </x:c>
      <x:c r="X36" s="12" t="n">
        <x:f>IF(ISNUMBER(F36),IF($I$147&gt;$H$147,(F36-$H$147)/($I$147-$H$147),"缺失"),"缺失")</x:f>
        <x:v>0.5710236220472441</x:v>
      </x:c>
      <x:c r="Y36" s="12" t="n">
        <x:f>IF(ISNUMBER(G36),IF($I$148&gt;$H$148,(G36-$H$148)/($I$148-$H$148),"缺失"),"缺失")</x:f>
        <x:v>0.6338077798634618</x:v>
      </x:c>
      <x:c r="Z36" s="12" t="n">
        <x:f>IF(ISNUMBER(H36),IF($I$149&gt;$H$149,(H36-$H$149)/($I$149-$H$149),"缺失"),"缺失")</x:f>
        <x:v>0.6864129252276618</x:v>
      </x:c>
      <x:c r="AA36" s="12" t="n">
        <x:f>IF(ISNUMBER(I36),IF($I$150&gt;$H$150,(I36-$H$150)/($I$150-$H$150),"缺失"),"缺失")</x:f>
        <x:v>0.9559521543276679</x:v>
      </x:c>
      <x:c r="AB36" s="12" t="n">
        <x:f>IF(ISNUMBER(J36),IF($I$151&gt;$H$151,(J36-$H$151)/($I$151-$H$151),"缺失"),"缺失")</x:f>
        <x:v>0.07483831452287305</x:v>
      </x:c>
      <x:c r="AC36" s="12" t="n">
        <x:f>IF(ISNUMBER(K36),IF($I$152&gt;$H$152,(K36-$H$152)/($I$152-$H$152),"缺失"),"缺失")</x:f>
        <x:v>0.05061522169994444</x:v>
      </x:c>
      <x:c r="AD36" s="12" t="n">
        <x:f>IF(ISNUMBER(L36),IF($I$153&gt;$H$153,(L36-$H$153)/($I$153-$H$153),"缺失"),"缺失")</x:f>
        <x:v>0.1498281376077168</x:v>
      </x:c>
      <x:c r="AE36" s="12" t="n">
        <x:f>IF(ISNUMBER(M36),IF($I$154&gt;$H$154,(M36-$H$154)/($I$154-$H$154),"缺失"),"缺失")</x:f>
        <x:v>0.141521691</x:v>
      </x:c>
      <x:c r="AF36" s="12" t="n">
        <x:f>IF(ISNUMBER(N36),IF($I$155&gt;$H$155,(N36-$H$155)/($I$155-$H$155),"缺失"),"缺失")</x:f>
        <x:v>0.06376846701636371</x:v>
      </x:c>
      <x:c r="AG36" s="12" t="n">
        <x:f>IF(ISNUMBER(O36),IF($I$156&gt;$H$156,(O36-$H$156)/($I$156-$H$156),"缺失"),"缺失")</x:f>
        <x:v>0.0717751718560453</x:v>
      </x:c>
      <x:c r="AH36" s="12" t="n">
        <x:f>IF(ISNUMBER(P36),IF($I$157&gt;$H$157,(P36-$H$157)/($I$157-$H$157),"缺失"),"缺失")</x:f>
        <x:v>0.3147388582731098</x:v>
      </x:c>
      <x:c r="AI36" s="12" t="n">
        <x:f>IF(ISNUMBER(Q36),IF($I$158&gt;$H$158,(Q36-$H$158)/($I$158-$H$158),"缺失"),"缺失")</x:f>
        <x:v>0.18638289044344059</x:v>
      </x:c>
      <x:c r="AJ36" s="12" t="n">
        <x:f>IF(ISNUMBER(R36),IF($I$159&gt;$H$159,(R36-$H$159)/($I$159-$H$159),"缺失"),"缺失")</x:f>
        <x:v>0.1241071640922486</x:v>
      </x:c>
      <x:c r="AK36" s="12" t="n">
        <x:f>IF(ISNUMBER(S36),IF($I$160&gt;$H$160,(S36-$H$160)/($I$160-$H$160),"缺失"),"缺失")</x:f>
        <x:v>0.19176186441666696</x:v>
      </x:c>
      <x:c r="AL36" s="12" t="n">
        <x:f>IF(ISNUMBER(T36),IF($I$161&gt;$H$161,(T36-$H$161)/($I$161-$H$161),"缺失"),"缺失")</x:f>
        <x:v>1</x:v>
      </x:c>
      <x:c r="AM36" s="12" t="n">
        <x:f>IF(ISNUMBER(U36),IF($I$162&gt;$H$162,(U36-$H$162)/($I$162-$H$162),"缺失"),"缺失")</x:f>
        <x:v>1</x:v>
      </x:c>
      <x:c r="AN36" s="12" t="n">
        <x:f>IF(ISNUMBER(V36),IF($I$163&gt;$H$163,(V36-$H$163)/($I$163-$H$163),"缺失"),"缺失")</x:f>
        <x:v>0</x:v>
      </x:c>
      <x:c r="AO36" s="23" t="str"/>
      <x:c r="AP36" s="23" t="str">
        <x:v>见指标口径：州级、产业、代表点代理；气候基期待核实</x:v>
      </x:c>
      <x:c r="AQ36" s="15" t="n">
        <x:v>1.0000000000000033</x:v>
      </x:c>
      <x:c r="AR36" s="15" t="n">
        <x:v>1.0000000000000033</x:v>
      </x:c>
      <x:c r="AS36" s="15" t="n">
        <x:v>1</x:v>
      </x:c>
      <x:c r="AT36" s="15" t="n">
        <x:v>1</x:v>
      </x:c>
    </x:row>
    <x:row r="37" ht="24" customHeight="1">
      <x:c r="A37" s="18" t="str">
        <x:v>51063</x:v>
      </x:c>
      <x:c r="B37" s="3" t="str">
        <x:v>Floyd County</x:v>
      </x:c>
      <x:c r="C37" s="3" t="str">
        <x:v>VA</x:v>
      </x:c>
      <x:c r="D37" s="12" t="n">
        <x:v>986.585624</x:v>
      </x:c>
      <x:c r="E37" s="12" t="n">
        <x:v>0.642</x:v>
      </x:c>
      <x:c r="F37" s="12" t="n">
        <x:v>0.405321782178218</x:v>
      </x:c>
      <x:c r="G37" s="12" t="n">
        <x:v>1.9851704756533912</x:v>
      </x:c>
      <x:c r="H37" s="12" t="n">
        <x:v>2.3810166263385715</x:v>
      </x:c>
      <x:c r="I37" s="12" t="n">
        <x:v>0.9703626461695385</x:v>
      </x:c>
      <x:c r="J37" s="12" t="n">
        <x:v>0.007969459998008079</x:v>
      </x:c>
      <x:c r="K37" s="12" t="n">
        <x:v>0.0017185166296309789</x:v>
      </x:c>
      <x:c r="L37" s="24" t="n">
        <x:v>0.942991141</x:v>
      </x:c>
      <x:c r="M37" s="24" t="n">
        <x:v>0.942991141</x:v>
      </x:c>
      <x:c r="N37" s="13" t="n">
        <x:v>8360</x:v>
      </x:c>
      <x:c r="O37" s="12" t="n">
        <x:v>0.0929</x:v>
      </x:c>
      <x:c r="P37" s="12" t="n">
        <x:v>448.19280598958335</x:v>
      </x:c>
      <x:c r="Q37" s="12" t="n">
        <x:v>1.4712213079134624</x:v>
      </x:c>
      <x:c r="R37" s="12" t="n">
        <x:v>21.43222372293155</x:v>
      </x:c>
      <x:c r="S37" s="12" t="n">
        <x:v>22.481047513099046</x:v>
      </x:c>
      <x:c r="T37" s="12" t="n">
        <x:v>89.9</x:v>
      </x:c>
      <x:c r="U37" s="12" t="n">
        <x:v>245.07712999476223</x:v>
      </x:c>
      <x:c r="V37" s="12" t="n">
        <x:v>244.75798925963002</x:v>
      </x:c>
      <x:c r="W37" s="12" t="n">
        <x:f>IF(ISNUMBER(E37),IF($I$146&gt;$H$146,(E37-$H$146)/($I$146-$H$146),"缺失"),"缺失")</x:f>
        <x:v>0.6875</x:v>
      </x:c>
      <x:c r="X37" s="12" t="n">
        <x:f>IF(ISNUMBER(F37),IF($I$147&gt;$H$147,(F37-$H$147)/($I$147-$H$147),"缺失"),"缺失")</x:f>
        <x:v>0.4062992125984253</x:v>
      </x:c>
      <x:c r="Y37" s="12" t="n">
        <x:f>IF(ISNUMBER(G37),IF($I$148&gt;$H$148,(G37-$H$148)/($I$148-$H$148),"缺失"),"缺失")</x:f>
        <x:v>0.5218581664148658</x:v>
      </x:c>
      <x:c r="Z37" s="12" t="n">
        <x:f>IF(ISNUMBER(H37),IF($I$149&gt;$H$149,(H37-$H$149)/($I$149-$H$149),"缺失"),"缺失")</x:f>
        <x:v>0.5865602142828806</x:v>
      </x:c>
      <x:c r="AA37" s="12" t="n">
        <x:f>IF(ISNUMBER(I37),IF($I$150&gt;$H$150,(I37-$H$150)/($I$150-$H$150),"缺失"),"缺失")</x:f>
        <x:v>0.9773956930232167</x:v>
      </x:c>
      <x:c r="AB37" s="12" t="n">
        <x:f>IF(ISNUMBER(J37),IF($I$151&gt;$H$151,(J37-$H$151)/($I$151-$H$151),"缺失"),"缺失")</x:f>
        <x:v>0.019549037407526344</x:v>
      </x:c>
      <x:c r="AC37" s="12" t="n">
        <x:f>IF(ISNUMBER(K37),IF($I$152&gt;$H$152,(K37-$H$152)/($I$152-$H$152),"缺失"),"缺失")</x:f>
        <x:v>0.0029544759427039087</x:v>
      </x:c>
      <x:c r="AD37" s="12" t="n">
        <x:f>IF(ISNUMBER(L37),IF($I$153&gt;$H$153,(L37-$H$153)/($I$153-$H$153),"缺失"),"缺失")</x:f>
        <x:v>0.9429722794806323</x:v>
      </x:c>
      <x:c r="AE37" s="12" t="n">
        <x:f>IF(ISNUMBER(M37),IF($I$154&gt;$H$154,(M37-$H$154)/($I$154-$H$154),"缺失"),"缺失")</x:f>
        <x:v>0.942991141</x:v>
      </x:c>
      <x:c r="AF37" s="12" t="n">
        <x:f>IF(ISNUMBER(N37),IF($I$155&gt;$H$155,(N37-$H$155)/($I$155-$H$155),"缺失"),"缺失")</x:f>
        <x:v>0.011913302463097023</x:v>
      </x:c>
      <x:c r="AG37" s="12" t="n">
        <x:f>IF(ISNUMBER(O37),IF($I$156&gt;$H$156,(O37-$H$156)/($I$156-$H$156),"缺失"),"缺失")</x:f>
        <x:v>0.0916902547513142</x:v>
      </x:c>
      <x:c r="AH37" s="12" t="n">
        <x:f>IF(ISNUMBER(P37),IF($I$157&gt;$H$157,(P37-$H$157)/($I$157-$H$157),"缺失"),"缺失")</x:f>
        <x:v>0.07756467367613218</x:v>
      </x:c>
      <x:c r="AI37" s="12" t="n">
        <x:f>IF(ISNUMBER(Q37),IF($I$158&gt;$H$158,(Q37-$H$158)/($I$158-$H$158),"缺失"),"缺失")</x:f>
        <x:v>0.013547411491531632</x:v>
      </x:c>
      <x:c r="AJ37" s="12" t="n">
        <x:f>IF(ISNUMBER(R37),IF($I$159&gt;$H$159,(R37-$H$159)/($I$159-$H$159),"缺失"),"缺失")</x:f>
        <x:v>0.22370881454211206</x:v>
      </x:c>
      <x:c r="AK37" s="12" t="n">
        <x:f>IF(ISNUMBER(S37),IF($I$160&gt;$H$160,(S37-$H$160)/($I$160-$H$160),"缺失"),"缺失")</x:f>
        <x:v>0.4387079598839764</x:v>
      </x:c>
      <x:c r="AL37" s="12" t="n">
        <x:f>IF(ISNUMBER(T37),IF($I$161&gt;$H$161,(T37-$H$161)/($I$161-$H$161),"缺失"),"缺失")</x:f>
        <x:v>1</x:v>
      </x:c>
      <x:c r="AM37" s="12" t="n">
        <x:f>IF(ISNUMBER(U37),IF($I$162&gt;$H$162,(U37-$H$162)/($I$162-$H$162),"缺失"),"缺失")</x:f>
        <x:v>1</x:v>
      </x:c>
      <x:c r="AN37" s="12" t="n">
        <x:f>IF(ISNUMBER(V37),IF($I$163&gt;$H$163,(V37-$H$163)/($I$163-$H$163),"缺失"),"缺失")</x:f>
        <x:v>0</x:v>
      </x:c>
      <x:c r="AO37" s="23" t="str"/>
      <x:c r="AP37" s="23" t="str">
        <x:v>见指标口径：州级、产业、代表点代理；气候基期待核实</x:v>
      </x:c>
      <x:c r="AQ37" s="15" t="n">
        <x:v>0.9999999999999978</x:v>
      </x:c>
      <x:c r="AR37" s="15" t="n">
        <x:v>0.9999999999999982</x:v>
      </x:c>
      <x:c r="AS37" s="15" t="n">
        <x:v>1</x:v>
      </x:c>
      <x:c r="AT37" s="15" t="n">
        <x:v>1</x:v>
      </x:c>
    </x:row>
    <x:row r="38" ht="24" customHeight="1">
      <x:c r="A38" s="18" t="str">
        <x:v>51065</x:v>
      </x:c>
      <x:c r="B38" s="3" t="str">
        <x:v>Fluvanna County</x:v>
      </x:c>
      <x:c r="C38" s="3" t="str">
        <x:v>VA</x:v>
      </x:c>
      <x:c r="D38" s="12" t="n">
        <x:v>743.630405</x:v>
      </x:c>
      <x:c r="E38" s="12" t="n">
        <x:v>0.339</x:v>
      </x:c>
      <x:c r="F38" s="12" t="n">
        <x:v>0.440284653465347</x:v>
      </x:c>
      <x:c r="G38" s="12" t="n">
        <x:v>2.346516140275985</x:v>
      </x:c>
      <x:c r="H38" s="12" t="n">
        <x:v>2.6445841989707772</x:v>
      </x:c>
      <x:c r="I38" s="12" t="n">
        <x:v>0.9569544416605115</x:v>
      </x:c>
      <x:c r="J38" s="12" t="n">
        <x:v>0.006863231032992752</x:v>
      </x:c>
      <x:c r="K38" s="12" t="n">
        <x:v>0.01923206897717014</x:v>
      </x:c>
      <x:c r="L38" s="24" t="n">
        <x:v>0.908376754</x:v>
      </x:c>
      <x:c r="M38" s="24" t="n">
        <x:v>0.899799599</x:v>
      </x:c>
      <x:c r="N38" s="13" t="n">
        <x:v>14736</x:v>
      </x:c>
      <x:c r="O38" s="12" t="n">
        <x:v>0.0582</x:v>
      </x:c>
      <x:c r="P38" s="12" t="n">
        <x:v>1120.311592610677</x:v>
      </x:c>
      <x:c r="Q38" s="12" t="n">
        <x:v>25.22671095530192</x:v>
      </x:c>
      <x:c r="R38" s="12" t="n">
        <x:v>17.23381030215436</x:v>
      </x:c>
      <x:c r="S38" s="12" t="n">
        <x:v>12.568681907719393</x:v>
      </x:c>
      <x:c r="T38" s="12" t="n">
        <x:v>89.9</x:v>
      </x:c>
      <x:c r="U38" s="12" t="n">
        <x:v>245.07712999476223</x:v>
      </x:c>
      <x:c r="V38" s="12" t="n">
        <x:v>244.75798925963002</x:v>
      </x:c>
      <x:c r="W38" s="12" t="n">
        <x:f>IF(ISNUMBER(E38),IF($I$146&gt;$H$146,(E38-$H$146)/($I$146-$H$146),"缺失"),"缺失")</x:f>
        <x:v>0.3368055555555556</x:v>
      </x:c>
      <x:c r="X38" s="12" t="n">
        <x:f>IF(ISNUMBER(F38),IF($I$147&gt;$H$147,(F38-$H$147)/($I$147-$H$147),"缺失"),"缺失")</x:f>
        <x:v>0.44188976377952793</x:v>
      </x:c>
      <x:c r="Y38" s="12" t="n">
        <x:f>IF(ISNUMBER(G38),IF($I$148&gt;$H$148,(G38-$H$148)/($I$148-$H$148),"缺失"),"缺失")</x:f>
        <x:v>0.6169104950463979</x:v>
      </x:c>
      <x:c r="Z38" s="12" t="n">
        <x:f>IF(ISNUMBER(H38),IF($I$149&gt;$H$149,(H38-$H$149)/($I$149-$H$149),"缺失"),"缺失")</x:f>
        <x:v>0.65153691298667</x:v>
      </x:c>
      <x:c r="AA38" s="12" t="n">
        <x:f>IF(ISNUMBER(I38),IF($I$150&gt;$H$150,(I38-$H$150)/($I$150-$H$150),"缺失"),"缺失")</x:f>
        <x:v>0.9630016321160392</x:v>
      </x:c>
      <x:c r="AB38" s="12" t="n">
        <x:f>IF(ISNUMBER(J38),IF($I$151&gt;$H$151,(J38-$H$151)/($I$151-$H$151),"缺失"),"缺失")</x:f>
        <x:v>0.016835464414653677</x:v>
      </x:c>
      <x:c r="AC38" s="12" t="n">
        <x:f>IF(ISNUMBER(K38),IF($I$152&gt;$H$152,(K38-$H$152)/($I$152-$H$152),"缺失"),"缺失")</x:f>
        <x:v>0.03306379708043477</x:v>
      </x:c>
      <x:c r="AD38" s="12" t="n">
        <x:f>IF(ISNUMBER(L38),IF($I$153&gt;$H$153,(L38-$H$153)/($I$153-$H$153),"缺失"),"缺失")</x:f>
        <x:v>0.9083464402266799</x:v>
      </x:c>
      <x:c r="AE38" s="12" t="n">
        <x:f>IF(ISNUMBER(M38),IF($I$154&gt;$H$154,(M38-$H$154)/($I$154-$H$154),"缺失"),"缺失")</x:f>
        <x:v>0.899799599</x:v>
      </x:c>
      <x:c r="AF38" s="12" t="n">
        <x:f>IF(ISNUMBER(N38),IF($I$155&gt;$H$155,(N38-$H$155)/($I$155-$H$155),"缺失"),"缺失")</x:f>
        <x:v>0.02181413881668235</x:v>
      </x:c>
      <x:c r="AG38" s="12" t="n">
        <x:f>IF(ISNUMBER(O38),IF($I$156&gt;$H$156,(O38-$H$156)/($I$156-$H$156),"缺失"),"缺失")</x:f>
        <x:v>0.05661140315406389</x:v>
      </x:c>
      <x:c r="AH38" s="12" t="n">
        <x:f>IF(ISNUMBER(P38),IF($I$157&gt;$H$157,(P38-$H$157)/($I$157-$H$157),"缺失"),"缺失")</x:f>
        <x:v>0.37992137399594966</x:v>
      </x:c>
      <x:c r="AI38" s="12" t="n">
        <x:f>IF(ISNUMBER(Q38),IF($I$158&gt;$H$158,(Q38-$H$158)/($I$158-$H$158),"缺失"),"缺失")</x:f>
        <x:v>0.2927123197061628</x:v>
      </x:c>
      <x:c r="AJ38" s="12" t="n">
        <x:f>IF(ISNUMBER(R38),IF($I$159&gt;$H$159,(R38-$H$159)/($I$159-$H$159),"缺失"),"缺失")</x:f>
        <x:v>0.17959000233776778</x:v>
      </x:c>
      <x:c r="AK38" s="12" t="n">
        <x:f>IF(ISNUMBER(S38),IF($I$160&gt;$H$160,(S38-$H$160)/($I$160-$H$160),"缺失"),"缺失")</x:f>
        <x:v>0.24520212972457284</x:v>
      </x:c>
      <x:c r="AL38" s="12" t="n">
        <x:f>IF(ISNUMBER(T38),IF($I$161&gt;$H$161,(T38-$H$161)/($I$161-$H$161),"缺失"),"缺失")</x:f>
        <x:v>1</x:v>
      </x:c>
      <x:c r="AM38" s="12" t="n">
        <x:f>IF(ISNUMBER(U38),IF($I$162&gt;$H$162,(U38-$H$162)/($I$162-$H$162),"缺失"),"缺失")</x:f>
        <x:v>1</x:v>
      </x:c>
      <x:c r="AN38" s="12" t="n">
        <x:f>IF(ISNUMBER(V38),IF($I$163&gt;$H$163,(V38-$H$163)/($I$163-$H$163),"缺失"),"缺失")</x:f>
        <x:v>0</x:v>
      </x:c>
      <x:c r="AO38" s="23" t="str"/>
      <x:c r="AP38" s="23" t="str">
        <x:v>见指标口径：州级、产业、代表点代理；气候基期待核实</x:v>
      </x:c>
      <x:c r="AQ38" s="15" t="n">
        <x:v>0.999999999999999</x:v>
      </x:c>
      <x:c r="AR38" s="15" t="n">
        <x:v>0.999999999999999</x:v>
      </x:c>
      <x:c r="AS38" s="15" t="n">
        <x:v>1</x:v>
      </x:c>
      <x:c r="AT38" s="15" t="n">
        <x:v>1</x:v>
      </x:c>
    </x:row>
    <x:row r="39" ht="24" customHeight="1">
      <x:c r="A39" s="18" t="str">
        <x:v>51067</x:v>
      </x:c>
      <x:c r="B39" s="3" t="str">
        <x:v>Franklin County</x:v>
      </x:c>
      <x:c r="C39" s="3" t="str">
        <x:v>VA</x:v>
      </x:c>
      <x:c r="D39" s="12" t="n">
        <x:v>1788.673576</x:v>
      </x:c>
      <x:c r="E39" s="12" t="n">
        <x:v>0.428</x:v>
      </x:c>
      <x:c r="F39" s="12" t="n">
        <x:v>0.612314356435644</x:v>
      </x:c>
      <x:c r="G39" s="12" t="n">
        <x:v>2.769614453338184</x:v>
      </x:c>
      <x:c r="H39" s="12" t="n">
        <x:v>3.15493236615613</x:v>
      </x:c>
      <x:c r="I39" s="12" t="n">
        <x:v>0.9469220853681029</x:v>
      </x:c>
      <x:c r="J39" s="12" t="n">
        <x:v>0.005608742064579221</x:v>
      </x:c>
      <x:c r="K39" s="12" t="n">
        <x:v>0.0005252311417963707</x:v>
      </x:c>
      <x:c r="L39" s="24" t="n">
        <x:v>0.245920709</x:v>
      </x:c>
      <x:c r="M39" s="24" t="n">
        <x:v>0.138491527</x:v>
      </x:c>
      <x:c r="N39" s="13" t="n">
        <x:v>26324</x:v>
      </x:c>
      <x:c r="O39" s="12" t="n">
        <x:v>0.321</x:v>
      </x:c>
      <x:c r="P39" s="12" t="n">
        <x:v>951.2546305338542</x:v>
      </x:c>
      <x:c r="Q39" s="12" t="n">
        <x:v>16.051398022969565</x:v>
      </x:c>
      <x:c r="R39" s="12" t="n">
        <x:v>27.662871053936286</x:v>
      </x:c>
      <x:c r="S39" s="12" t="n">
        <x:v>1.3971710899330834</x:v>
      </x:c>
      <x:c r="T39" s="12" t="n">
        <x:v>89.9</x:v>
      </x:c>
      <x:c r="U39" s="12" t="n">
        <x:v>245.07712999476223</x:v>
      </x:c>
      <x:c r="V39" s="12" t="n">
        <x:v>244.75798925963002</x:v>
      </x:c>
      <x:c r="W39" s="12" t="n">
        <x:f>IF(ISNUMBER(E39),IF($I$146&gt;$H$146,(E39-$H$146)/($I$146-$H$146),"缺失"),"缺失")</x:f>
        <x:v>0.4398148148148148</x:v>
      </x:c>
      <x:c r="X39" s="12" t="n">
        <x:f>IF(ISNUMBER(F39),IF($I$147&gt;$H$147,(F39-$H$147)/($I$147-$H$147),"缺失"),"缺失")</x:f>
        <x:v>0.6170078740157483</x:v>
      </x:c>
      <x:c r="Y39" s="12" t="n">
        <x:f>IF(ISNUMBER(G39),IF($I$148&gt;$H$148,(G39-$H$148)/($I$148-$H$148),"缺失"),"缺失")</x:f>
        <x:v>0.728206917929011</x:v>
      </x:c>
      <x:c r="Z39" s="12" t="n">
        <x:f>IF(ISNUMBER(H39),IF($I$149&gt;$H$149,(H39-$H$149)/($I$149-$H$149),"缺失"),"缺失")</x:f>
        <x:v>0.7773518558571566</x:v>
      </x:c>
      <x:c r="AA39" s="12" t="n">
        <x:f>IF(ISNUMBER(I39),IF($I$150&gt;$H$150,(I39-$H$150)/($I$150-$H$150),"缺失"),"缺失")</x:f>
        <x:v>0.9522316332382466</x:v>
      </x:c>
      <x:c r="AB39" s="12" t="n">
        <x:f>IF(ISNUMBER(J39),IF($I$151&gt;$H$151,(J39-$H$151)/($I$151-$H$151),"缺失"),"缺失")</x:f>
        <x:v>0.01375821052581116</x:v>
      </x:c>
      <x:c r="AC39" s="12" t="n">
        <x:f>IF(ISNUMBER(K39),IF($I$152&gt;$H$152,(K39-$H$152)/($I$152-$H$152),"缺失"),"缺失")</x:f>
        <x:v>0.0009029780370117807</x:v>
      </x:c>
      <x:c r="AD39" s="12" t="n">
        <x:f>IF(ISNUMBER(L39),IF($I$153&gt;$H$153,(L39-$H$153)/($I$153-$H$153),"缺失"),"缺失")</x:f>
        <x:v>0.24567122003632846</x:v>
      </x:c>
      <x:c r="AE39" s="12" t="n">
        <x:f>IF(ISNUMBER(M39),IF($I$154&gt;$H$154,(M39-$H$154)/($I$154-$H$154),"缺失"),"缺失")</x:f>
        <x:v>0.138491527</x:v>
      </x:c>
      <x:c r="AF39" s="12" t="n">
        <x:f>IF(ISNUMBER(N39),IF($I$155&gt;$H$155,(N39-$H$155)/($I$155-$H$155),"缺失"),"缺失")</x:f>
        <x:v>0.039808318814384167</x:v>
      </x:c>
      <x:c r="AG39" s="12" t="n">
        <x:f>IF(ISNUMBER(O39),IF($I$156&gt;$H$156,(O39-$H$156)/($I$156-$H$156),"缺失"),"缺失")</x:f>
        <x:v>0.322280630812778</x:v>
      </x:c>
      <x:c r="AH39" s="12" t="n">
        <x:f>IF(ISNUMBER(P39),IF($I$157&gt;$H$157,(P39-$H$157)/($I$157-$H$157),"缺失"),"缺失")</x:f>
        <x:v>0.3038700773544573</x:v>
      </x:c>
      <x:c r="AI39" s="12" t="n">
        <x:f>IF(ISNUMBER(Q39),IF($I$158&gt;$H$158,(Q39-$H$158)/($I$158-$H$158),"缺失"),"缺失")</x:f>
        <x:v>0.18488775239076463</x:v>
      </x:c>
      <x:c r="AJ39" s="12" t="n">
        <x:f>IF(ISNUMBER(R39),IF($I$159&gt;$H$159,(R39-$H$159)/($I$159-$H$159),"缺失"),"缺失")</x:f>
        <x:v>0.2891832526114365</x:v>
      </x:c>
      <x:c r="AK39" s="12" t="n">
        <x:f>IF(ISNUMBER(S39),IF($I$160&gt;$H$160,(S39-$H$160)/($I$160-$H$160),"缺失"),"缺失")</x:f>
        <x:v>0.0271156949629991</x:v>
      </x:c>
      <x:c r="AL39" s="12" t="n">
        <x:f>IF(ISNUMBER(T39),IF($I$161&gt;$H$161,(T39-$H$161)/($I$161-$H$161),"缺失"),"缺失")</x:f>
        <x:v>1</x:v>
      </x:c>
      <x:c r="AM39" s="12" t="n">
        <x:f>IF(ISNUMBER(U39),IF($I$162&gt;$H$162,(U39-$H$162)/($I$162-$H$162),"缺失"),"缺失")</x:f>
        <x:v>1</x:v>
      </x:c>
      <x:c r="AN39" s="12" t="n">
        <x:f>IF(ISNUMBER(V39),IF($I$163&gt;$H$163,(V39-$H$163)/($I$163-$H$163),"缺失"),"缺失")</x:f>
        <x:v>0</x:v>
      </x:c>
      <x:c r="AO39" s="23" t="str"/>
      <x:c r="AP39" s="23" t="str">
        <x:v>见指标口径：州级、产业、代表点代理；气候基期待核实</x:v>
      </x:c>
      <x:c r="AQ39" s="15" t="n">
        <x:v>1.0000000000000004</x:v>
      </x:c>
      <x:c r="AR39" s="15" t="n">
        <x:v>1.0000000000000004</x:v>
      </x:c>
      <x:c r="AS39" s="15" t="n">
        <x:v>1</x:v>
      </x:c>
      <x:c r="AT39" s="15" t="n">
        <x:v>1</x:v>
      </x:c>
    </x:row>
    <x:row r="40" ht="24" customHeight="1">
      <x:c r="A40" s="18" t="str">
        <x:v>51069</x:v>
      </x:c>
      <x:c r="B40" s="3" t="str">
        <x:v>Frederick County</x:v>
      </x:c>
      <x:c r="C40" s="3" t="str">
        <x:v>VA</x:v>
      </x:c>
      <x:c r="D40" s="12" t="n">
        <x:v>1070.014045</x:v>
      </x:c>
      <x:c r="E40" s="12" t="n">
        <x:v>0.473</x:v>
      </x:c>
      <x:c r="F40" s="12" t="n">
        <x:v>0.24969059405940602</x:v>
      </x:c>
      <x:c r="G40" s="12" t="n">
        <x:v>2.817386513410663</x:v>
      </x:c>
      <x:c r="H40" s="12" t="n">
        <x:v>3.193939064011559</x:v>
      </x:c>
      <x:c r="I40" s="12" t="n">
        <x:v>0.8774905854590328</x:v>
      </x:c>
      <x:c r="J40" s="12" t="n">
        <x:v>0.0009742612744840876</x:v>
      </x:c>
      <x:c r="K40" s="12" t="n">
        <x:v>0.00027683658001122446</x:v>
      </x:c>
      <x:c r="L40" s="24" t="n">
        <x:v>0.516389871</x:v>
      </x:c>
      <x:c r="M40" s="24" t="n">
        <x:v>0.427468164</x:v>
      </x:c>
      <x:c r="N40" s="13" t="n">
        <x:v>50664</x:v>
      </x:c>
      <x:c r="O40" s="12" t="n">
        <x:v>0.2545</x:v>
      </x:c>
      <x:c r="P40" s="12" t="n">
        <x:v>773.333642578125</x:v>
      </x:c>
      <x:c r="Q40" s="12" t="n">
        <x:v>13.499966144561768</x:v>
      </x:c>
      <x:c r="R40" s="12" t="n">
        <x:v>10.093284126681855</x:v>
      </x:c>
      <x:c r="S40" s="12" t="n">
        <x:v>0.23022705429005008</x:v>
      </x:c>
      <x:c r="T40" s="12" t="n">
        <x:v>89.9</x:v>
      </x:c>
      <x:c r="U40" s="12" t="n">
        <x:v>245.07712999476223</x:v>
      </x:c>
      <x:c r="V40" s="12" t="n">
        <x:v>244.75798925963002</x:v>
      </x:c>
      <x:c r="W40" s="12" t="n">
        <x:f>IF(ISNUMBER(E40),IF($I$146&gt;$H$146,(E40-$H$146)/($I$146-$H$146),"缺失"),"缺失")</x:f>
        <x:v>0.49189814814814814</x:v>
      </x:c>
      <x:c r="X40" s="12" t="n">
        <x:f>IF(ISNUMBER(F40),IF($I$147&gt;$H$147,(F40-$H$147)/($I$147-$H$147),"缺失"),"缺失")</x:f>
        <x:v>0.24787401574803153</x:v>
      </x:c>
      <x:c r="Y40" s="12" t="n">
        <x:f>IF(ISNUMBER(G40),IF($I$148&gt;$H$148,(G40-$H$148)/($I$148-$H$148),"缺失"),"缺失")</x:f>
        <x:v>0.7407734048084293</x:v>
      </x:c>
      <x:c r="Z40" s="12" t="n">
        <x:f>IF(ISNUMBER(H40),IF($I$149&gt;$H$149,(H40-$H$149)/($I$149-$H$149),"缺失"),"缺失")</x:f>
        <x:v>0.7869680860658658</x:v>
      </x:c>
      <x:c r="AA40" s="12" t="n">
        <x:f>IF(ISNUMBER(I40),IF($I$150&gt;$H$150,(I40-$H$150)/($I$150-$H$150),"缺失"),"缺失")</x:f>
        <x:v>0.8776950882523018</x:v>
      </x:c>
      <x:c r="AB40" s="12" t="n">
        <x:f>IF(ISNUMBER(J40),IF($I$151&gt;$H$151,(J40-$H$151)/($I$151-$H$151),"缺失"),"缺失")</x:f>
        <x:v>0.0023898570423032586</x:v>
      </x:c>
      <x:c r="AC40" s="12" t="n">
        <x:f>IF(ISNUMBER(K40),IF($I$152&gt;$H$152,(K40-$H$152)/($I$152-$H$152),"缺失"),"缺失")</x:f>
        <x:v>0.0004759377951898083</x:v>
      </x:c>
      <x:c r="AD40" s="12" t="n">
        <x:f>IF(ISNUMBER(L40),IF($I$153&gt;$H$153,(L40-$H$153)/($I$153-$H$153),"缺失"),"缺失")</x:f>
        <x:v>0.5162298674150384</x:v>
      </x:c>
      <x:c r="AE40" s="12" t="n">
        <x:f>IF(ISNUMBER(M40),IF($I$154&gt;$H$154,(M40-$H$154)/($I$154-$H$154),"缺失"),"缺失")</x:f>
        <x:v>0.427468164</x:v>
      </x:c>
      <x:c r="AF40" s="12" t="n">
        <x:f>IF(ISNUMBER(N40),IF($I$155&gt;$H$155,(N40-$H$155)/($I$155-$H$155),"缺失"),"缺失")</x:f>
        <x:v>0.07760417151925662</x:v>
      </x:c>
      <x:c r="AG40" s="12" t="n">
        <x:f>IF(ISNUMBER(O40),IF($I$156&gt;$H$156,(O40-$H$156)/($I$156-$H$156),"缺失"),"缺失")</x:f>
        <x:v>0.2550545895673272</x:v>
      </x:c>
      <x:c r="AH40" s="12" t="n">
        <x:f>IF(ISNUMBER(P40),IF($I$157&gt;$H$157,(P40-$H$157)/($I$157-$H$157),"缺失"),"缺失")</x:f>
        <x:v>0.2238312450724734</x:v>
      </x:c>
      <x:c r="AI40" s="12" t="n">
        <x:f>IF(ISNUMBER(Q40),IF($I$158&gt;$H$158,(Q40-$H$158)/($I$158-$H$158),"缺失"),"缺失")</x:f>
        <x:v>0.1549043566904828</x:v>
      </x:c>
      <x:c r="AJ40" s="12" t="n">
        <x:f>IF(ISNUMBER(R40),IF($I$159&gt;$H$159,(R40-$H$159)/($I$159-$H$159),"缺失"),"缺失")</x:f>
        <x:v>0.10455414907547542</x:v>
      </x:c>
      <x:c r="AK40" s="12" t="n">
        <x:f>IF(ISNUMBER(S40),IF($I$160&gt;$H$160,(S40-$H$160)/($I$160-$H$160),"缺失"),"缺失")</x:f>
        <x:v>0.004335010376050695</x:v>
      </x:c>
      <x:c r="AL40" s="12" t="n">
        <x:f>IF(ISNUMBER(T40),IF($I$161&gt;$H$161,(T40-$H$161)/($I$161-$H$161),"缺失"),"缺失")</x:f>
        <x:v>1</x:v>
      </x:c>
      <x:c r="AM40" s="12" t="n">
        <x:f>IF(ISNUMBER(U40),IF($I$162&gt;$H$162,(U40-$H$162)/($I$162-$H$162),"缺失"),"缺失")</x:f>
        <x:v>1</x:v>
      </x:c>
      <x:c r="AN40" s="12" t="n">
        <x:f>IF(ISNUMBER(V40),IF($I$163&gt;$H$163,(V40-$H$163)/($I$163-$H$163),"缺失"),"缺失")</x:f>
        <x:v>0</x:v>
      </x:c>
      <x:c r="AO40" s="23" t="str"/>
      <x:c r="AP40" s="23" t="str">
        <x:v>见指标口径：州级、产业、代表点代理；气候基期待核实</x:v>
      </x:c>
      <x:c r="AQ40" s="15" t="n">
        <x:v>0.9999999999999969</x:v>
      </x:c>
      <x:c r="AR40" s="15" t="n">
        <x:v>0.9999999999999971</x:v>
      </x:c>
      <x:c r="AS40" s="15" t="n">
        <x:v>1</x:v>
      </x:c>
      <x:c r="AT40" s="15" t="n">
        <x:v>1</x:v>
      </x:c>
    </x:row>
    <x:row r="41" ht="24" customHeight="1">
      <x:c r="A41" s="18" t="str">
        <x:v>51071</x:v>
      </x:c>
      <x:c r="B41" s="3" t="str">
        <x:v>Giles County</x:v>
      </x:c>
      <x:c r="C41" s="3" t="str">
        <x:v>VA</x:v>
      </x:c>
      <x:c r="D41" s="12" t="n">
        <x:v>925.20724</x:v>
      </x:c>
      <x:c r="E41" s="12" t="n">
        <x:v>0.567</x:v>
      </x:c>
      <x:c r="F41" s="12" t="n">
        <x:v>0.879022277227723</x:v>
      </x:c>
      <x:c r="G41" s="12" t="n">
        <x:v>1.8996510225747727</x:v>
      </x:c>
      <x:c r="H41" s="12" t="n">
        <x:v>2.293711300731786</x:v>
      </x:c>
      <x:c r="I41" s="12" t="n">
        <x:v>0.9655697919441955</x:v>
      </x:c>
      <x:c r="J41" s="12" t="n">
        <x:v>0.06264398258068277</x:v>
      </x:c>
      <x:c r="K41" s="12" t="n">
        <x:v>0.0003371521302104779</x:v>
      </x:c>
      <x:c r="L41" s="24" t="n">
        <x:v>0.237610248</x:v>
      </x:c>
      <x:c r="M41" s="24" t="n">
        <x:v>0.237610248</x:v>
      </x:c>
      <x:c r="N41" s="13" t="n">
        <x:v>7753</x:v>
      </x:c>
      <x:c r="O41" s="12" t="n">
        <x:v>0.1037</x:v>
      </x:c>
      <x:c r="P41" s="12" t="n">
        <x:v>430.1556376139323</x:v>
      </x:c>
      <x:c r="Q41" s="12" t="n">
        <x:v>1.806439503033956</x:v>
      </x:c>
      <x:c r="R41" s="12" t="n">
        <x:v>26.12494497171362</x:v>
      </x:c>
      <x:c r="S41" s="12" t="n">
        <x:v>1.358464304835096</x:v>
      </x:c>
      <x:c r="T41" s="12" t="n">
        <x:v>89.9</x:v>
      </x:c>
      <x:c r="U41" s="12" t="n">
        <x:v>245.07712999476223</x:v>
      </x:c>
      <x:c r="V41" s="12" t="n">
        <x:v>244.75798925963002</x:v>
      </x:c>
      <x:c r="W41" s="12" t="n">
        <x:f>IF(ISNUMBER(E41),IF($I$146&gt;$H$146,(E41-$H$146)/($I$146-$H$146),"缺失"),"缺失")</x:f>
        <x:v>0.6006944444444443</x:v>
      </x:c>
      <x:c r="X41" s="12" t="n">
        <x:f>IF(ISNUMBER(F41),IF($I$147&gt;$H$147,(F41-$H$147)/($I$147-$H$147),"缺失"),"缺失")</x:f>
        <x:v>0.888503937007874</x:v>
      </x:c>
      <x:c r="Y41" s="12" t="n">
        <x:f>IF(ISNUMBER(G41),IF($I$148&gt;$H$148,(G41-$H$148)/($I$148-$H$148),"缺失"),"缺失")</x:f>
        <x:v>0.4993621910808103</x:v>
      </x:c>
      <x:c r="Z41" s="12" t="n">
        <x:f>IF(ISNUMBER(H41),IF($I$149&gt;$H$149,(H41-$H$149)/($I$149-$H$149),"缺失"),"缺失")</x:f>
        <x:v>0.5650370360689035</x:v>
      </x:c>
      <x:c r="AA41" s="12" t="n">
        <x:f>IF(ISNUMBER(I41),IF($I$150&gt;$H$150,(I41-$H$150)/($I$150-$H$150),"缺失"),"缺失")</x:f>
        <x:v>0.9722504376989587</x:v>
      </x:c>
      <x:c r="AB41" s="12" t="n">
        <x:f>IF(ISNUMBER(J41),IF($I$151&gt;$H$151,(J41-$H$151)/($I$151-$H$151),"缺失"),"缺失")</x:f>
        <x:v>0.1536653122209391</x:v>
      </x:c>
      <x:c r="AC41" s="12" t="n">
        <x:f>IF(ISNUMBER(K41),IF($I$152&gt;$H$152,(K41-$H$152)/($I$152-$H$152),"缺失"),"缺失")</x:f>
        <x:v>0.0005796323646586587</x:v>
      </x:c>
      <x:c r="AD41" s="12" t="n">
        <x:f>IF(ISNUMBER(L41),IF($I$153&gt;$H$153,(L41-$H$153)/($I$153-$H$153),"缺失"),"缺失")</x:f>
        <x:v>0.2373580095001361</x:v>
      </x:c>
      <x:c r="AE41" s="12" t="n">
        <x:f>IF(ISNUMBER(M41),IF($I$154&gt;$H$154,(M41-$H$154)/($I$154-$H$154),"缺失"),"缺失")</x:f>
        <x:v>0.237610248</x:v>
      </x:c>
      <x:c r="AF41" s="12" t="n">
        <x:f>IF(ISNUMBER(N41),IF($I$155&gt;$H$155,(N41-$H$155)/($I$155-$H$155),"缺失"),"缺失")</x:f>
        <x:v>0.010970735388657518</x:v>
      </x:c>
      <x:c r="AG41" s="12" t="n">
        <x:f>IF(ISNUMBER(O41),IF($I$156&gt;$H$156,(O41-$H$156)/($I$156-$H$156),"缺失"),"缺失")</x:f>
        <x:v>0.1026081682167408</x:v>
      </x:c>
      <x:c r="AH41" s="12" t="n">
        <x:f>IF(ISNUMBER(P41),IF($I$157&gt;$H$157,(P41-$H$157)/($I$157-$H$157),"缺失"),"缺失")</x:f>
        <x:v>0.06945054441545238</x:v>
      </x:c>
      <x:c r="AI41" s="12" t="n">
        <x:f>IF(ISNUMBER(Q41),IF($I$158&gt;$H$158,(Q41-$H$158)/($I$158-$H$158),"缺失"),"缺失")</x:f>
        <x:v>0.017486760166795613</x:v>
      </x:c>
      <x:c r="AJ41" s="12" t="n">
        <x:f>IF(ISNUMBER(R41),IF($I$159&gt;$H$159,(R41-$H$159)/($I$159-$H$159),"缺失"),"缺失")</x:f>
        <x:v>0.27302203521679885</x:v>
      </x:c>
      <x:c r="AK41" s="12" t="n">
        <x:f>IF(ISNUMBER(S41),IF($I$160&gt;$H$160,(S41-$H$160)/($I$160-$H$160),"缺失"),"缺失")</x:f>
        <x:v>0.026360074268467544</x:v>
      </x:c>
      <x:c r="AL41" s="12" t="n">
        <x:f>IF(ISNUMBER(T41),IF($I$161&gt;$H$161,(T41-$H$161)/($I$161-$H$161),"缺失"),"缺失")</x:f>
        <x:v>1</x:v>
      </x:c>
      <x:c r="AM41" s="12" t="n">
        <x:f>IF(ISNUMBER(U41),IF($I$162&gt;$H$162,(U41-$H$162)/($I$162-$H$162),"缺失"),"缺失")</x:f>
        <x:v>1</x:v>
      </x:c>
      <x:c r="AN41" s="12" t="n">
        <x:f>IF(ISNUMBER(V41),IF($I$163&gt;$H$163,(V41-$H$163)/($I$163-$H$163),"缺失"),"缺失")</x:f>
        <x:v>0</x:v>
      </x:c>
      <x:c r="AO41" s="23" t="str"/>
      <x:c r="AP41" s="23" t="str">
        <x:v>见指标口径：州级、产业、代表点代理；气候基期待核实</x:v>
      </x:c>
      <x:c r="AQ41" s="15" t="n">
        <x:v>0.9999999999999998</x:v>
      </x:c>
      <x:c r="AR41" s="15" t="n">
        <x:v>0.9999999999999988</x:v>
      </x:c>
      <x:c r="AS41" s="15" t="n">
        <x:v>1</x:v>
      </x:c>
      <x:c r="AT41" s="15" t="n">
        <x:v>1</x:v>
      </x:c>
    </x:row>
    <x:row r="42" ht="24" customHeight="1">
      <x:c r="A42" s="18" t="str">
        <x:v>51073</x:v>
      </x:c>
      <x:c r="B42" s="3" t="str">
        <x:v>Gloucester County</x:v>
      </x:c>
      <x:c r="C42" s="3" t="str">
        <x:v>VA</x:v>
      </x:c>
      <x:c r="D42" s="12" t="n">
        <x:v>564.124717</x:v>
      </x:c>
      <x:c r="E42" s="12" t="n">
        <x:v>0.372</x:v>
      </x:c>
      <x:c r="F42" s="12" t="n">
        <x:v>0.0764232673267327</x:v>
      </x:c>
      <x:c r="G42" s="12" t="n">
        <x:v>2.8441451824923965</x:v>
      </x:c>
      <x:c r="H42" s="12" t="n">
        <x:v>3.186925486</x:v>
      </x:c>
      <x:c r="I42" s="12" t="n">
        <x:v>0.9047722972788647</x:v>
      </x:c>
      <x:c r="J42" s="12" t="n">
        <x:v>0.01752911957831195</x:v>
      </x:c>
      <x:c r="K42" s="12" t="n">
        <x:v>0.27139943417330087</x:v>
      </x:c>
      <x:c r="L42" s="24" t="n">
        <x:v>0.006762826</x:v>
      </x:c>
      <x:c r="M42" s="24" t="n">
        <x:v>0.002694563</x:v>
      </x:c>
      <x:c r="N42" s="13" t="n">
        <x:v>20420</x:v>
      </x:c>
      <x:c r="O42" s="12" t="n">
        <x:v>0.0344</x:v>
      </x:c>
      <x:c r="P42" s="12" t="n">
        <x:v>1388.5063557942708</x:v>
      </x:c>
      <x:c r="Q42" s="12" t="n">
        <x:v>25.37721125284831</x:v>
      </x:c>
      <x:c r="R42" s="12" t="n">
        <x:v>17.81822270447094</x:v>
      </x:c>
      <x:c r="S42" s="12" t="n">
        <x:v>19.587237357482262</x:v>
      </x:c>
      <x:c r="T42" s="12" t="n">
        <x:v>89.9</x:v>
      </x:c>
      <x:c r="U42" s="12" t="n">
        <x:v>245.07712999476223</x:v>
      </x:c>
      <x:c r="V42" s="12" t="n">
        <x:v>244.75798925963002</x:v>
      </x:c>
      <x:c r="W42" s="12" t="n">
        <x:f>IF(ISNUMBER(E42),IF($I$146&gt;$H$146,(E42-$H$146)/($I$146-$H$146),"缺失"),"缺失")</x:f>
        <x:v>0.375</x:v>
      </x:c>
      <x:c r="X42" s="12" t="n">
        <x:f>IF(ISNUMBER(F42),IF($I$147&gt;$H$147,(F42-$H$147)/($I$147-$H$147),"缺失"),"缺失")</x:f>
        <x:v>0.07149606299212599</x:v>
      </x:c>
      <x:c r="Y42" s="12" t="n">
        <x:f>IF(ISNUMBER(G42),IF($I$148&gt;$H$148,(G42-$H$148)/($I$148-$H$148),"缺失"),"缺失")</x:f>
        <x:v>0.7478122987438414</x:v>
      </x:c>
      <x:c r="Z42" s="12" t="n">
        <x:f>IF(ISNUMBER(H42),IF($I$149&gt;$H$149,(H42-$H$149)/($I$149-$H$149),"缺失"),"缺失")</x:f>
        <x:v>0.7852390450433249</x:v>
      </x:c>
      <x:c r="AA42" s="12" t="n">
        <x:f>IF(ISNUMBER(I42),IF($I$150&gt;$H$150,(I42-$H$150)/($I$150-$H$150),"缺失"),"缺失")</x:f>
        <x:v>0.9069827248871952</x:v>
      </x:c>
      <x:c r="AB42" s="12" t="n">
        <x:f>IF(ISNUMBER(J42),IF($I$151&gt;$H$151,(J42-$H$151)/($I$151-$H$151),"缺失"),"缺失")</x:f>
        <x:v>0.04299882481913116</x:v>
      </x:c>
      <x:c r="AC42" s="12" t="n">
        <x:f>IF(ISNUMBER(K42),IF($I$152&gt;$H$152,(K42-$H$152)/($I$152-$H$152),"缺失"),"缺失")</x:f>
        <x:v>0.4665902472533258</x:v>
      </x:c>
      <x:c r="AD42" s="12" t="n">
        <x:f>IF(ISNUMBER(L42),IF($I$153&gt;$H$153,(L42-$H$153)/($I$153-$H$153),"缺失"),"缺失")</x:f>
        <x:v>0.006434211070272016</x:v>
      </x:c>
      <x:c r="AE42" s="12" t="n">
        <x:f>IF(ISNUMBER(M42),IF($I$154&gt;$H$154,(M42-$H$154)/($I$154-$H$154),"缺失"),"缺失")</x:f>
        <x:v>0.002694563</x:v>
      </x:c>
      <x:c r="AF42" s="12" t="n">
        <x:f>IF(ISNUMBER(N42),IF($I$155&gt;$H$155,(N42-$H$155)/($I$155-$H$155),"缺失"),"缺失")</x:f>
        <x:v>0.030640417648830874</x:v>
      </x:c>
      <x:c r="AG42" s="12" t="n">
        <x:f>IF(ISNUMBER(O42),IF($I$156&gt;$H$156,(O42-$H$156)/($I$156-$H$156),"缺失"),"缺失")</x:f>
        <x:v>0.032551556813586735</x:v>
      </x:c>
      <x:c r="AH42" s="12" t="n">
        <x:f>IF(ISNUMBER(P42),IF($I$157&gt;$H$157,(P42-$H$157)/($I$157-$H$157),"缺失"),"缺失")</x:f>
        <x:v>0.5005704099303685</x:v>
      </x:c>
      <x:c r="AI42" s="12" t="n">
        <x:f>IF(ISNUMBER(Q42),IF($I$158&gt;$H$158,(Q42-$H$158)/($I$158-$H$158),"缺失"),"缺失")</x:f>
        <x:v>0.2944809383443996</x:v>
      </x:c>
      <x:c r="AJ42" s="12" t="n">
        <x:f>IF(ISNUMBER(R42),IF($I$159&gt;$H$159,(R42-$H$159)/($I$159-$H$159),"缺失"),"缺失")</x:f>
        <x:v>0.1857312701081347</x:v>
      </x:c>
      <x:c r="AK42" s="12" t="n">
        <x:f>IF(ISNUMBER(S42),IF($I$160&gt;$H$160,(S42-$H$160)/($I$160-$H$160),"缺失"),"缺失")</x:f>
        <x:v>0.38221598220889635</x:v>
      </x:c>
      <x:c r="AL42" s="12" t="n">
        <x:f>IF(ISNUMBER(T42),IF($I$161&gt;$H$161,(T42-$H$161)/($I$161-$H$161),"缺失"),"缺失")</x:f>
        <x:v>1</x:v>
      </x:c>
      <x:c r="AM42" s="12" t="n">
        <x:f>IF(ISNUMBER(U42),IF($I$162&gt;$H$162,(U42-$H$162)/($I$162-$H$162),"缺失"),"缺失")</x:f>
        <x:v>1</x:v>
      </x:c>
      <x:c r="AN42" s="12" t="n">
        <x:f>IF(ISNUMBER(V42),IF($I$163&gt;$H$163,(V42-$H$163)/($I$163-$H$163),"缺失"),"缺失")</x:f>
        <x:v>0</x:v>
      </x:c>
      <x:c r="AO42" s="23" t="str"/>
      <x:c r="AP42" s="23" t="str">
        <x:v>baseline_water_stress:有效县域面积覆盖&lt;99%（诊断提示，非行业阈值）；water_stress_2050_bau:有效县域面积覆盖&lt;99%（诊断提示，非行业阈值）</x:v>
      </x:c>
      <x:c r="AQ42" s="15" t="n">
        <x:v>0.8313563358046614</x:v>
      </x:c>
      <x:c r="AR42" s="15" t="n">
        <x:v>0.8317601669142863</x:v>
      </x:c>
      <x:c r="AS42" s="15" t="n">
        <x:v>1</x:v>
      </x:c>
      <x:c r="AT42" s="15" t="n">
        <x:v>1</x:v>
      </x:c>
    </x:row>
    <x:row r="43" ht="24" customHeight="1">
      <x:c r="A43" s="18" t="str">
        <x:v>51075</x:v>
      </x:c>
      <x:c r="B43" s="3" t="str">
        <x:v>Goochland County</x:v>
      </x:c>
      <x:c r="C43" s="3" t="str">
        <x:v>VA</x:v>
      </x:c>
      <x:c r="D43" s="12" t="n">
        <x:v>730.637052</x:v>
      </x:c>
      <x:c r="E43" s="12" t="n">
        <x:v>0.267</x:v>
      </x:c>
      <x:c r="F43" s="12" t="n">
        <x:v>0.24350247524752502</x:v>
      </x:c>
      <x:c r="G43" s="12" t="n">
        <x:v>2.3181685306796718</x:v>
      </x:c>
      <x:c r="H43" s="12" t="n">
        <x:v>2.620948860168973</x:v>
      </x:c>
      <x:c r="I43" s="12" t="n">
        <x:v>0.932681377833513</x:v>
      </x:c>
      <x:c r="J43" s="12" t="n">
        <x:v>0.00034970834665027766</x:v>
      </x:c>
      <x:c r="K43" s="12" t="n">
        <x:v>0.040244257193633476</x:v>
      </x:c>
      <x:c r="L43" s="24" t="n">
        <x:v>0.368396337</x:v>
      </x:c>
      <x:c r="M43" s="24" t="n">
        <x:v>0.274634108</x:v>
      </x:c>
      <x:c r="N43" s="13" t="n">
        <x:v>13769</x:v>
      </x:c>
      <x:c r="O43" s="12" t="n">
        <x:v>0.0592</x:v>
      </x:c>
      <x:c r="P43" s="12" t="n">
        <x:v>1124.5735595703125</x:v>
      </x:c>
      <x:c r="Q43" s="12" t="n">
        <x:v>27.101297696431477</x:v>
      </x:c>
      <x:c r="R43" s="12" t="n">
        <x:v>6.632914082750527</x:v>
      </x:c>
      <x:c r="S43" s="12" t="n">
        <x:v>2.7738726222031276</x:v>
      </x:c>
      <x:c r="T43" s="12" t="n">
        <x:v>89.9</x:v>
      </x:c>
      <x:c r="U43" s="12" t="n">
        <x:v>245.07712999476223</x:v>
      </x:c>
      <x:c r="V43" s="12" t="n">
        <x:v>244.75798925963002</x:v>
      </x:c>
      <x:c r="W43" s="12" t="n">
        <x:f>IF(ISNUMBER(E43),IF($I$146&gt;$H$146,(E43-$H$146)/($I$146-$H$146),"缺失"),"缺失")</x:f>
        <x:v>0.25347222222222227</x:v>
      </x:c>
      <x:c r="X43" s="12" t="n">
        <x:f>IF(ISNUMBER(F43),IF($I$147&gt;$H$147,(F43-$H$147)/($I$147-$H$147),"缺失"),"缺失")</x:f>
        <x:v>0.24157480314960653</x:v>
      </x:c>
      <x:c r="Y43" s="12" t="n">
        <x:f>IF(ISNUMBER(G43),IF($I$148&gt;$H$148,(G43-$H$148)/($I$148-$H$148),"缺失"),"缺失")</x:f>
        <x:v>0.6094536287627484</x:v>
      </x:c>
      <x:c r="Z43" s="12" t="n">
        <x:f>IF(ISNUMBER(H43),IF($I$149&gt;$H$149,(H43-$H$149)/($I$149-$H$149),"缺失"),"缺失")</x:f>
        <x:v>0.6457101480597499</x:v>
      </x:c>
      <x:c r="AA43" s="12" t="n">
        <x:f>IF(ISNUMBER(I43),IF($I$150&gt;$H$150,(I43-$H$150)/($I$150-$H$150),"缺失"),"缺失")</x:f>
        <x:v>0.9369438583929134</x:v>
      </x:c>
      <x:c r="AB43" s="12" t="n">
        <x:f>IF(ISNUMBER(J43),IF($I$151&gt;$H$151,(J43-$H$151)/($I$151-$H$151),"缺失"),"缺失")</x:f>
        <x:v>0.0008578324694645815</x:v>
      </x:c>
      <x:c r="AC43" s="12" t="n">
        <x:f>IF(ISNUMBER(K43),IF($I$152&gt;$H$152,(K43-$H$152)/($I$152-$H$152),"缺失"),"缺失")</x:f>
        <x:v>0.06918797738728351</x:v>
      </x:c>
      <x:c r="AD43" s="12" t="n">
        <x:f>IF(ISNUMBER(L43),IF($I$153&gt;$H$153,(L43-$H$153)/($I$153-$H$153),"缺失"),"缺失")</x:f>
        <x:v>0.36818736939511587</x:v>
      </x:c>
      <x:c r="AE43" s="12" t="n">
        <x:f>IF(ISNUMBER(M43),IF($I$154&gt;$H$154,(M43-$H$154)/($I$154-$H$154),"缺失"),"缺失")</x:f>
        <x:v>0.274634108</x:v>
      </x:c>
      <x:c r="AF43" s="12" t="n">
        <x:f>IF(ISNUMBER(N43),IF($I$155&gt;$H$155,(N43-$H$155)/($I$155-$H$155),"缺失"),"缺失")</x:f>
        <x:v>0.020312553378489594</x:v>
      </x:c>
      <x:c r="AG43" s="12" t="n">
        <x:f>IF(ISNUMBER(O43),IF($I$156&gt;$H$156,(O43-$H$156)/($I$156-$H$156),"缺失"),"缺失")</x:f>
        <x:v>0.05762232106752932</x:v>
      </x:c>
      <x:c r="AH43" s="12" t="n">
        <x:f>IF(ISNUMBER(P43),IF($I$157&gt;$H$157,(P43-$H$157)/($I$157-$H$157),"缺失"),"缺失")</x:f>
        <x:v>0.3818386456039428</x:v>
      </x:c>
      <x:c r="AI43" s="12" t="n">
        <x:f>IF(ISNUMBER(Q43),IF($I$158&gt;$H$158,(Q43-$H$158)/($I$158-$H$158),"缺失"),"缺失")</x:f>
        <x:v>0.31474170505227067</x:v>
      </x:c>
      <x:c r="AJ43" s="12" t="n">
        <x:f>IF(ISNUMBER(R43),IF($I$159&gt;$H$159,(R43-$H$159)/($I$159-$H$159),"缺失"),"缺失")</x:f>
        <x:v>0.06819102786158511</x:v>
      </x:c>
      <x:c r="AK43" s="12" t="n">
        <x:f>IF(ISNUMBER(S43),IF($I$160&gt;$H$160,(S43-$H$160)/($I$160-$H$160),"缺失"),"缺失")</x:f>
        <x:v>0.0539911940607177</x:v>
      </x:c>
      <x:c r="AL43" s="12" t="n">
        <x:f>IF(ISNUMBER(T43),IF($I$161&gt;$H$161,(T43-$H$161)/($I$161-$H$161),"缺失"),"缺失")</x:f>
        <x:v>1</x:v>
      </x:c>
      <x:c r="AM43" s="12" t="n">
        <x:f>IF(ISNUMBER(U43),IF($I$162&gt;$H$162,(U43-$H$162)/($I$162-$H$162),"缺失"),"缺失")</x:f>
        <x:v>1</x:v>
      </x:c>
      <x:c r="AN43" s="12" t="n">
        <x:f>IF(ISNUMBER(V43),IF($I$163&gt;$H$163,(V43-$H$163)/($I$163-$H$163),"缺失"),"缺失")</x:f>
        <x:v>0</x:v>
      </x:c>
      <x:c r="AO43" s="23" t="str"/>
      <x:c r="AP43" s="23" t="str">
        <x:v>见指标口径：州级、产业、代表点代理；气候基期待核实</x:v>
      </x:c>
      <x:c r="AQ43" s="15" t="n">
        <x:v>1.0000000000000127</x:v>
      </x:c>
      <x:c r="AR43" s="15" t="n">
        <x:v>1.0000000000000069</x:v>
      </x:c>
      <x:c r="AS43" s="15" t="n">
        <x:v>1</x:v>
      </x:c>
      <x:c r="AT43" s="15" t="n">
        <x:v>1</x:v>
      </x:c>
    </x:row>
    <x:row r="44" ht="24" customHeight="1">
      <x:c r="A44" s="18" t="str">
        <x:v>51077</x:v>
      </x:c>
      <x:c r="B44" s="3" t="str">
        <x:v>Grayson County</x:v>
      </x:c>
      <x:c r="C44" s="3" t="str">
        <x:v>VA</x:v>
      </x:c>
      <x:c r="D44" s="12" t="n">
        <x:v>1144.218745</x:v>
      </x:c>
      <x:c r="E44" s="12" t="n">
        <x:v>0.575</x:v>
      </x:c>
      <x:c r="F44" s="12" t="n">
        <x:v>0.692141089108911</x:v>
      </x:c>
      <x:c r="G44" s="12" t="n">
        <x:v>1.8824315624200825</x:v>
      </x:c>
      <x:c r="H44" s="12" t="n">
        <x:v>2.2766447646357553</x:v>
      </x:c>
      <x:c r="I44" s="12" t="n">
        <x:v>0.9784424294182659</x:v>
      </x:c>
      <x:c r="J44" s="12" t="n">
        <x:v>0.04798140909914173</x:v>
      </x:c>
      <x:c r="K44" s="12" t="n">
        <x:v>0.00039325454636792925</x:v>
      </x:c>
      <x:c r="L44" s="24" t="n">
        <x:v>0.140098916</x:v>
      </x:c>
      <x:c r="M44" s="24" t="n">
        <x:v>0.140098916</x:v>
      </x:c>
      <x:c r="N44" s="13" t="n">
        <x:v>6624</x:v>
      </x:c>
      <x:c r="O44" s="12" t="n">
        <x:v>0.5851</x:v>
      </x:c>
      <x:c r="P44" s="12" t="n">
        <x:v>280.3023106892904</x:v>
      </x:c>
      <x:c r="Q44" s="12" t="n">
        <x:v>0.572783546646436</x:v>
      </x:c>
      <x:c r="R44" s="12" t="n">
        <x:v>29.371625876559705</x:v>
      </x:c>
      <x:c r="S44" s="12" t="n">
        <x:v>22.283227192201878</x:v>
      </x:c>
      <x:c r="T44" s="12" t="n">
        <x:v>89.9</x:v>
      </x:c>
      <x:c r="U44" s="12" t="n">
        <x:v>245.07712999476223</x:v>
      </x:c>
      <x:c r="V44" s="12" t="n">
        <x:v>244.75798925963002</x:v>
      </x:c>
      <x:c r="W44" s="12" t="n">
        <x:f>IF(ISNUMBER(E44),IF($I$146&gt;$H$146,(E44-$H$146)/($I$146-$H$146),"缺失"),"缺失")</x:f>
        <x:v>0.6099537037037036</x:v>
      </x:c>
      <x:c r="X44" s="12" t="n">
        <x:f>IF(ISNUMBER(F44),IF($I$147&gt;$H$147,(F44-$H$147)/($I$147-$H$147),"缺失"),"缺失")</x:f>
        <x:v>0.6982677165354331</x:v>
      </x:c>
      <x:c r="Y44" s="12" t="n">
        <x:f>IF(ISNUMBER(G44),IF($I$148&gt;$H$148,(G44-$H$148)/($I$148-$H$148),"缺失"),"缺失")</x:f>
        <x:v>0.4948325953343367</x:v>
      </x:c>
      <x:c r="Z44" s="12" t="n">
        <x:f>IF(ISNUMBER(H44),IF($I$149&gt;$H$149,(H44-$H$149)/($I$149-$H$149),"缺失"),"缺失")</x:f>
        <x:v>0.5608296627461746</x:v>
      </x:c>
      <x:c r="AA44" s="12" t="n">
        <x:f>IF(ISNUMBER(I44),IF($I$150&gt;$H$150,(I44-$H$150)/($I$150-$H$150),"缺失"),"缺失")</x:f>
        <x:v>0.9860695532795004</x:v>
      </x:c>
      <x:c r="AB44" s="12" t="n">
        <x:f>IF(ISNUMBER(J44),IF($I$151&gt;$H$151,(J44-$H$151)/($I$151-$H$151),"缺失"),"缺失")</x:f>
        <x:v>0.11769810772365907</x:v>
      </x:c>
      <x:c r="AC44" s="12" t="n">
        <x:f>IF(ISNUMBER(K44),IF($I$152&gt;$H$152,(K44-$H$152)/($I$152-$H$152),"缺失"),"缺失")</x:f>
        <x:v>0.000676083708804421</x:v>
      </x:c>
      <x:c r="AD44" s="12" t="n">
        <x:f>IF(ISNUMBER(L44),IF($I$153&gt;$H$153,(L44-$H$153)/($I$153-$H$153),"缺失"),"缺失")</x:f>
        <x:v>0.13981441563927177</x:v>
      </x:c>
      <x:c r="AE44" s="12" t="n">
        <x:f>IF(ISNUMBER(M44),IF($I$154&gt;$H$154,(M44-$H$154)/($I$154-$H$154),"缺失"),"缺失")</x:f>
        <x:v>0.140098916</x:v>
      </x:c>
      <x:c r="AF44" s="12" t="n">
        <x:f>IF(ISNUMBER(N44),IF($I$155&gt;$H$155,(N44-$H$155)/($I$155-$H$155),"缺失"),"缺失")</x:f>
        <x:v>0.0092175916867758</x:v>
      </x:c>
      <x:c r="AG44" s="12" t="n">
        <x:f>IF(ISNUMBER(O44),IF($I$156&gt;$H$156,(O44-$H$156)/($I$156-$H$156),"缺失"),"缺失")</x:f>
        <x:v>0.5892640517589972</x:v>
      </x:c>
      <x:c r="AH44" s="12" t="n">
        <x:f>IF(ISNUMBER(P44),IF($I$157&gt;$H$157,(P44-$H$157)/($I$157-$H$157),"缺失"),"缺失")</x:f>
        <x:v>0.002038119167436537</x:v>
      </x:c>
      <x:c r="AI44" s="12" t="n">
        <x:f>IF(ISNUMBER(Q44),IF($I$158&gt;$H$158,(Q44-$H$158)/($I$158-$H$158),"缺失"),"缺失")</x:f>
        <x:v>0.002989334226715457</x:v>
      </x:c>
      <x:c r="AJ44" s="12" t="n">
        <x:f>IF(ISNUMBER(R44),IF($I$159&gt;$H$159,(R44-$H$159)/($I$159-$H$159),"缺失"),"缺失")</x:f>
        <x:v>0.3071396150671936</x:v>
      </x:c>
      <x:c r="AK44" s="12" t="n">
        <x:f>IF(ISNUMBER(S44),IF($I$160&gt;$H$160,(S44-$H$160)/($I$160-$H$160),"缺失"),"缺失")</x:f>
        <x:v>0.4348461788579788</x:v>
      </x:c>
      <x:c r="AL44" s="12" t="n">
        <x:f>IF(ISNUMBER(T44),IF($I$161&gt;$H$161,(T44-$H$161)/($I$161-$H$161),"缺失"),"缺失")</x:f>
        <x:v>1</x:v>
      </x:c>
      <x:c r="AM44" s="12" t="n">
        <x:f>IF(ISNUMBER(U44),IF($I$162&gt;$H$162,(U44-$H$162)/($I$162-$H$162),"缺失"),"缺失")</x:f>
        <x:v>1</x:v>
      </x:c>
      <x:c r="AN44" s="12" t="n">
        <x:f>IF(ISNUMBER(V44),IF($I$163&gt;$H$163,(V44-$H$163)/($I$163-$H$163),"缺失"),"缺失")</x:f>
        <x:v>0</x:v>
      </x:c>
      <x:c r="AO44" s="23" t="str"/>
      <x:c r="AP44" s="23" t="str">
        <x:v>见指标口径：州级、产业、代表点代理；气候基期待核实</x:v>
      </x:c>
      <x:c r="AQ44" s="15" t="n">
        <x:v>1.0000000000000018</x:v>
      </x:c>
      <x:c r="AR44" s="15" t="n">
        <x:v>1.0000000000000016</x:v>
      </x:c>
      <x:c r="AS44" s="15" t="n">
        <x:v>1</x:v>
      </x:c>
      <x:c r="AT44" s="15" t="n">
        <x:v>1</x:v>
      </x:c>
    </x:row>
    <x:row r="45" ht="24" customHeight="1">
      <x:c r="A45" s="18" t="str">
        <x:v>51079</x:v>
      </x:c>
      <x:c r="B45" s="3" t="str">
        <x:v>Greene County</x:v>
      </x:c>
      <x:c r="C45" s="3" t="str">
        <x:v>VA</x:v>
      </x:c>
      <x:c r="D45" s="12" t="n">
        <x:v>403.900921</x:v>
      </x:c>
      <x:c r="E45" s="12" t="n">
        <x:v>0.483</x:v>
      </x:c>
      <x:c r="F45" s="12" t="n">
        <x:v>0.606435643564356</x:v>
      </x:c>
      <x:c r="G45" s="12" t="n">
        <x:v>2.4920633416949443</x:v>
      </x:c>
      <x:c r="H45" s="12" t="n">
        <x:v>2.810297266400528</x:v>
      </x:c>
      <x:c r="I45" s="12" t="n">
        <x:v>0.9464494632935493</x:v>
      </x:c>
      <x:c r="J45" s="12" t="n">
        <x:v>0.16813731711847354</x:v>
      </x:c>
      <x:c r="K45" s="12" t="n">
        <x:v>0.0009675396023968291</x:v>
      </x:c>
      <x:c r="L45" s="24" t="n">
        <x:v>0.450311203</x:v>
      </x:c>
      <x:c r="M45" s="24" t="n">
        <x:v>0.415456432</x:v>
      </x:c>
      <x:c r="N45" s="13" t="n">
        <x:v>11737</x:v>
      </x:c>
      <x:c r="O45" s="12" t="n">
        <x:v>0.2199</x:v>
      </x:c>
      <x:c r="P45" s="12" t="n">
        <x:v>895.867997233073</x:v>
      </x:c>
      <x:c r="Q45" s="12" t="n">
        <x:v>11.744675795237224</x:v>
      </x:c>
      <x:c r="R45" s="12" t="n">
        <x:v>30.960691848888985</x:v>
      </x:c>
      <x:c r="S45" s="12" t="n">
        <x:v>17.058626627366603</x:v>
      </x:c>
      <x:c r="T45" s="12" t="n">
        <x:v>89.9</x:v>
      </x:c>
      <x:c r="U45" s="12" t="n">
        <x:v>245.07712999476223</x:v>
      </x:c>
      <x:c r="V45" s="12" t="n">
        <x:v>244.75798925963002</x:v>
      </x:c>
      <x:c r="W45" s="12" t="n">
        <x:f>IF(ISNUMBER(E45),IF($I$146&gt;$H$146,(E45-$H$146)/($I$146-$H$146),"缺失"),"缺失")</x:f>
        <x:v>0.5034722222222222</x:v>
      </x:c>
      <x:c r="X45" s="12" t="n">
        <x:f>IF(ISNUMBER(F45),IF($I$147&gt;$H$147,(F45-$H$147)/($I$147-$H$147),"缺失"),"缺失")</x:f>
        <x:v>0.6110236220472435</x:v>
      </x:c>
      <x:c r="Y45" s="12" t="n">
        <x:f>IF(ISNUMBER(G45),IF($I$148&gt;$H$148,(G45-$H$148)/($I$148-$H$148),"缺失"),"缺失")</x:f>
        <x:v>0.6551968279822704</x:v>
      </x:c>
      <x:c r="Z45" s="12" t="n">
        <x:f>IF(ISNUMBER(H45),IF($I$149&gt;$H$149,(H45-$H$149)/($I$149-$H$149),"缺失"),"缺失")</x:f>
        <x:v>0.692389768844963</x:v>
      </x:c>
      <x:c r="AA45" s="12" t="n">
        <x:f>IF(ISNUMBER(I45),IF($I$150&gt;$H$150,(I45-$H$150)/($I$150-$H$150),"缺失"),"缺失")</x:f>
        <x:v>0.9517242609854875</x:v>
      </x:c>
      <x:c r="AB45" s="12" t="n">
        <x:f>IF(ISNUMBER(J45),IF($I$151&gt;$H$151,(J45-$H$151)/($I$151-$H$151),"缺失"),"缺失")</x:f>
        <x:v>0.4124398268855991</x:v>
      </x:c>
      <x:c r="AC45" s="12" t="n">
        <x:f>IF(ISNUMBER(K45),IF($I$152&gt;$H$152,(K45-$H$152)/($I$152-$H$152),"缺失"),"缺失")</x:f>
        <x:v>0.0016633952966219273</x:v>
      </x:c>
      <x:c r="AD45" s="12" t="n">
        <x:f>IF(ISNUMBER(L45),IF($I$153&gt;$H$153,(L45-$H$153)/($I$153-$H$153),"缺失"),"缺失")</x:f>
        <x:v>0.4501293371273495</x:v>
      </x:c>
      <x:c r="AE45" s="12" t="n">
        <x:f>IF(ISNUMBER(M45),IF($I$154&gt;$H$154,(M45-$H$154)/($I$154-$H$154),"缺失"),"缺失")</x:f>
        <x:v>0.415456432</x:v>
      </x:c>
      <x:c r="AF45" s="12" t="n">
        <x:f>IF(ISNUMBER(N45),IF($I$155&gt;$H$155,(N45-$H$155)/($I$155-$H$155),"缺失"),"缺失")</x:f>
        <x:v>0.017157205280860142</x:v>
      </x:c>
      <x:c r="AG45" s="12" t="n">
        <x:f>IF(ISNUMBER(O45),IF($I$156&gt;$H$156,(O45-$H$156)/($I$156-$H$156),"缺失"),"缺失")</x:f>
        <x:v>0.22007682976142337</x:v>
      </x:c>
      <x:c r="AH45" s="12" t="n">
        <x:f>IF(ISNUMBER(P45),IF($I$157&gt;$H$157,(P45-$H$157)/($I$157-$H$157),"缺失"),"缺失")</x:f>
        <x:v>0.2789540654529945</x:v>
      </x:c>
      <x:c r="AI45" s="12" t="n">
        <x:f>IF(ISNUMBER(Q45),IF($I$158&gt;$H$158,(Q45-$H$158)/($I$158-$H$158),"缺失"),"缺失")</x:f>
        <x:v>0.13427689430041234</x:v>
      </x:c>
      <x:c r="AJ45" s="12" t="n">
        <x:f>IF(ISNUMBER(R45),IF($I$159&gt;$H$159,(R45-$H$159)/($I$159-$H$159),"缺失"),"缺失")</x:f>
        <x:v>0.32383823337537615</x:v>
      </x:c>
      <x:c r="AK45" s="12" t="n">
        <x:f>IF(ISNUMBER(S45),IF($I$160&gt;$H$160,(S45-$H$160)/($I$160-$H$160),"缺失"),"缺失")</x:f>
        <x:v>0.3328533035143724</x:v>
      </x:c>
      <x:c r="AL45" s="12" t="n">
        <x:f>IF(ISNUMBER(T45),IF($I$161&gt;$H$161,(T45-$H$161)/($I$161-$H$161),"缺失"),"缺失")</x:f>
        <x:v>1</x:v>
      </x:c>
      <x:c r="AM45" s="12" t="n">
        <x:f>IF(ISNUMBER(U45),IF($I$162&gt;$H$162,(U45-$H$162)/($I$162-$H$162),"缺失"),"缺失")</x:f>
        <x:v>1</x:v>
      </x:c>
      <x:c r="AN45" s="12" t="n">
        <x:f>IF(ISNUMBER(V45),IF($I$163&gt;$H$163,(V45-$H$163)/($I$163-$H$163),"缺失"),"缺失")</x:f>
        <x:v>0</x:v>
      </x:c>
      <x:c r="AO45" s="23" t="str"/>
      <x:c r="AP45" s="23" t="str">
        <x:v>见指标口径：州级、产业、代表点代理；气候基期待核实</x:v>
      </x:c>
      <x:c r="AQ45" s="15" t="n">
        <x:v>1.0000000000000018</x:v>
      </x:c>
      <x:c r="AR45" s="15" t="n">
        <x:v>1.000000000000004</x:v>
      </x:c>
      <x:c r="AS45" s="15" t="n">
        <x:v>1</x:v>
      </x:c>
      <x:c r="AT45" s="15" t="n">
        <x:v>1</x:v>
      </x:c>
    </x:row>
    <x:row r="46" ht="24" customHeight="1">
      <x:c r="A46" s="18" t="str">
        <x:v>51081</x:v>
      </x:c>
      <x:c r="B46" s="3" t="str">
        <x:v>Greensville County</x:v>
      </x:c>
      <x:c r="C46" s="3" t="str">
        <x:v>VA</x:v>
      </x:c>
      <x:c r="D46" s="12" t="n">
        <x:v>765.023848</x:v>
      </x:c>
      <x:c r="E46" s="12" t="n">
        <x:v>0.338</x:v>
      </x:c>
      <x:c r="F46" s="12" t="n">
        <x:v>0.219368811881188</x:v>
      </x:c>
      <x:c r="G46" s="12" t="n">
        <x:v>3.7205495379841893</x:v>
      </x:c>
      <x:c r="H46" s="12" t="n">
        <x:v>4.058068907</x:v>
      </x:c>
      <x:c r="I46" s="12" t="n">
        <x:v>0.9506478389691012</x:v>
      </x:c>
      <x:c r="J46" s="12" t="n">
        <x:v>0.0020384362043033254</x:v>
      </x:c>
      <x:c r="K46" s="12" t="n">
        <x:v>0.2057799934157927</x:v>
      </x:c>
      <x:c r="L46" s="24" t="n">
        <x:v>0.677313498</x:v>
      </x:c>
      <x:c r="M46" s="24" t="n">
        <x:v>0.677313498</x:v>
      </x:c>
      <x:c r="N46" s="13" t="n">
        <x:v>3519</x:v>
      </x:c>
      <x:c r="O46" s="12" t="n">
        <x:v>0.8979</x:v>
      </x:c>
      <x:c r="P46" s="12" t="n">
        <x:v>1344.000439453125</x:v>
      </x:c>
      <x:c r="Q46" s="12" t="n">
        <x:v>34.5699120203654</x:v>
      </x:c>
      <x:c r="R46" s="12" t="n">
        <x:v>0.2407284800489219</x:v>
      </x:c>
      <x:c r="S46" s="12" t="n">
        <x:v>1.2866810441857353</x:v>
      </x:c>
      <x:c r="T46" s="12" t="n">
        <x:v>89.9</x:v>
      </x:c>
      <x:c r="U46" s="12" t="n">
        <x:v>245.07712999476223</x:v>
      </x:c>
      <x:c r="V46" s="12" t="n">
        <x:v>244.75798925963002</x:v>
      </x:c>
      <x:c r="W46" s="12" t="n">
        <x:f>IF(ISNUMBER(E46),IF($I$146&gt;$H$146,(E46-$H$146)/($I$146-$H$146),"缺失"),"缺失")</x:f>
        <x:v>0.3356481481481482</x:v>
      </x:c>
      <x:c r="X46" s="12" t="n">
        <x:f>IF(ISNUMBER(F46),IF($I$147&gt;$H$147,(F46-$H$147)/($I$147-$H$147),"缺失"),"缺失")</x:f>
        <x:v>0.21700787401574786</x:v>
      </x:c>
      <x:c r="Y46" s="12" t="n">
        <x:f>IF(ISNUMBER(G46),IF($I$148&gt;$H$148,(G46-$H$148)/($I$148-$H$148),"缺失"),"缺失")</x:f>
        <x:v>0.978351317108207</x:v>
      </x:c>
      <x:c r="Z46" s="12" t="n">
        <x:f>IF(ISNUMBER(H46),IF($I$149&gt;$H$149,(H46-$H$149)/($I$149-$H$149),"缺失"),"缺失")</x:f>
        <x:v>1</x:v>
      </x:c>
      <x:c r="AA46" s="12" t="n">
        <x:f>IF(ISNUMBER(I46),IF($I$150&gt;$H$150,(I46-$H$150)/($I$150-$H$150),"缺失"),"缺失")</x:f>
        <x:v>0.9562313279193503</x:v>
      </x:c>
      <x:c r="AB46" s="12" t="n">
        <x:f>IF(ISNUMBER(J46),IF($I$151&gt;$H$151,(J46-$H$151)/($I$151-$H$151),"缺失"),"缺失")</x:f>
        <x:v>0.005000271739960031</x:v>
      </x:c>
      <x:c r="AC46" s="12" t="n">
        <x:f>IF(ISNUMBER(K46),IF($I$152&gt;$H$152,(K46-$H$152)/($I$152-$H$152),"缺失"),"缺失")</x:f>
        <x:v>0.35377722249174837</x:v>
      </x:c>
      <x:c r="AD46" s="12" t="n">
        <x:f>IF(ISNUMBER(L46),IF($I$153&gt;$H$153,(L46-$H$153)/($I$153-$H$153),"缺失"),"缺失")</x:f>
        <x:v>0.677206736387613</x:v>
      </x:c>
      <x:c r="AE46" s="12" t="n">
        <x:f>IF(ISNUMBER(M46),IF($I$154&gt;$H$154,(M46-$H$154)/($I$154-$H$154),"缺失"),"缺失")</x:f>
        <x:v>0.677313498</x:v>
      </x:c>
      <x:c r="AF46" s="12" t="n">
        <x:f>IF(ISNUMBER(N46),IF($I$155&gt;$H$155,(N46-$H$155)/($I$155-$H$155),"缺失"),"缺失")</x:f>
        <x:v>0.004396058299404025</x:v>
      </x:c>
      <x:c r="AG46" s="12" t="n">
        <x:f>IF(ISNUMBER(O46),IF($I$156&gt;$H$156,(O46-$H$156)/($I$156-$H$156),"缺失"),"缺失")</x:f>
        <x:v>0.9054791750909827</x:v>
      </x:c>
      <x:c r="AH46" s="12" t="n">
        <x:f>IF(ISNUMBER(P46),IF($I$157&gt;$H$157,(P46-$H$157)/($I$157-$H$157),"缺失"),"缺失")</x:f>
        <x:v>0.48054915434656204</x:v>
      </x:c>
      <x:c r="AI46" s="12" t="n">
        <x:f>IF(ISNUMBER(Q46),IF($I$158&gt;$H$158,(Q46-$H$158)/($I$158-$H$158),"缺失"),"缺失")</x:f>
        <x:v>0.40250984046768623</x:v>
      </x:c>
      <x:c r="AJ46" s="12" t="n">
        <x:f>IF(ISNUMBER(R46),IF($I$159&gt;$H$159,(R46-$H$159)/($I$159-$H$159),"缺失"),"缺失")</x:f>
        <x:v>0.0010190731452484857</x:v>
      </x:c>
      <x:c r="AK46" s="12" t="n">
        <x:f>IF(ISNUMBER(S46),IF($I$160&gt;$H$160,(S46-$H$160)/($I$160-$H$160),"缺失"),"缺失")</x:f>
        <x:v>0.024958745867508975</x:v>
      </x:c>
      <x:c r="AL46" s="12" t="n">
        <x:f>IF(ISNUMBER(T46),IF($I$161&gt;$H$161,(T46-$H$161)/($I$161-$H$161),"缺失"),"缺失")</x:f>
        <x:v>1</x:v>
      </x:c>
      <x:c r="AM46" s="12" t="n">
        <x:f>IF(ISNUMBER(U46),IF($I$162&gt;$H$162,(U46-$H$162)/($I$162-$H$162),"缺失"),"缺失")</x:f>
        <x:v>1</x:v>
      </x:c>
      <x:c r="AN46" s="12" t="n">
        <x:f>IF(ISNUMBER(V46),IF($I$163&gt;$H$163,(V46-$H$163)/($I$163-$H$163),"缺失"),"缺失")</x:f>
        <x:v>0</x:v>
      </x:c>
      <x:c r="AO46" s="23" t="str"/>
      <x:c r="AP46" s="23" t="str">
        <x:v>见指标口径：州级、产业、代表点代理；气候基期待核实</x:v>
      </x:c>
      <x:c r="AQ46" s="15" t="n">
        <x:v>0.9999999999999986</x:v>
      </x:c>
      <x:c r="AR46" s="15" t="n">
        <x:v>1.0000000000000013</x:v>
      </x:c>
      <x:c r="AS46" s="15" t="n">
        <x:v>1</x:v>
      </x:c>
      <x:c r="AT46" s="15" t="n">
        <x:v>1</x:v>
      </x:c>
    </x:row>
    <x:row r="47" ht="24" customHeight="1">
      <x:c r="A47" s="18" t="str">
        <x:v>51083</x:v>
      </x:c>
      <x:c r="B47" s="3" t="str">
        <x:v>Halifax County</x:v>
      </x:c>
      <x:c r="C47" s="3" t="str">
        <x:v>VA</x:v>
      </x:c>
      <x:c r="D47" s="12" t="n">
        <x:v>2117.913727</x:v>
      </x:c>
      <x:c r="E47" s="12" t="n">
        <x:v>0.28</x:v>
      </x:c>
      <x:c r="F47" s="12" t="n">
        <x:v>0.206064356435644</x:v>
      </x:c>
      <x:c r="G47" s="12" t="n">
        <x:v>2.7697299319853768</x:v>
      </x:c>
      <x:c r="H47" s="12" t="n">
        <x:v>3.155046543</x:v>
      </x:c>
      <x:c r="I47" s="12" t="n">
        <x:v>0.9497389617917062</x:v>
      </x:c>
      <x:c r="J47" s="12" t="n">
        <x:v>0.010253379354039818</x:v>
      </x:c>
      <x:c r="K47" s="12" t="n">
        <x:v>0.042623449893511335</x:v>
      </x:c>
      <x:c r="L47" s="24" t="n">
        <x:v>0.464537212</x:v>
      </x:c>
      <x:c r="M47" s="24" t="n">
        <x:v>0.463018364</x:v>
      </x:c>
      <x:c r="N47" s="13" t="n">
        <x:v>14432</x:v>
      </x:c>
      <x:c r="O47" s="12" t="n">
        <x:v>0.7684</x:v>
      </x:c>
      <x:c r="P47" s="12" t="n">
        <x:v>1178.5864624023438</x:v>
      </x:c>
      <x:c r="Q47" s="12" t="n">
        <x:v>29.13109563191732</x:v>
      </x:c>
      <x:c r="R47" s="12" t="n">
        <x:v>61.35572661464156</x:v>
      </x:c>
      <x:c r="S47" s="12" t="n">
        <x:v>1.30914287505748</x:v>
      </x:c>
      <x:c r="T47" s="12" t="n">
        <x:v>89.9</x:v>
      </x:c>
      <x:c r="U47" s="12" t="n">
        <x:v>245.07712999476223</x:v>
      </x:c>
      <x:c r="V47" s="12" t="n">
        <x:v>244.75798925963002</x:v>
      </x:c>
      <x:c r="W47" s="12" t="n">
        <x:f>IF(ISNUMBER(E47),IF($I$146&gt;$H$146,(E47-$H$146)/($I$146-$H$146),"缺失"),"缺失")</x:f>
        <x:v>0.26851851851851855</x:v>
      </x:c>
      <x:c r="X47" s="12" t="n">
        <x:f>IF(ISNUMBER(F47),IF($I$147&gt;$H$147,(F47-$H$147)/($I$147-$H$147),"缺失"),"缺失")</x:f>
        <x:v>0.20346456692913426</x:v>
      </x:c>
      <x:c r="Y47" s="12" t="n">
        <x:f>IF(ISNUMBER(G47),IF($I$148&gt;$H$148,(G47-$H$148)/($I$148-$H$148),"缺失"),"缺失")</x:f>
        <x:v>0.728237294699504</x:v>
      </x:c>
      <x:c r="Z47" s="12" t="n">
        <x:f>IF(ISNUMBER(H47),IF($I$149&gt;$H$149,(H47-$H$149)/($I$149-$H$149),"缺失"),"缺失")</x:f>
        <x:v>0.7773800036080692</x:v>
      </x:c>
      <x:c r="AA47" s="12" t="n">
        <x:f>IF(ISNUMBER(I47),IF($I$150&gt;$H$150,(I47-$H$150)/($I$150-$H$150),"缺失"),"缺失")</x:f>
        <x:v>0.955255624316399</x:v>
      </x:c>
      <x:c r="AB47" s="12" t="n">
        <x:f>IF(ISNUMBER(J47),IF($I$151&gt;$H$151,(J47-$H$151)/($I$151-$H$151),"缺失"),"缺失")</x:f>
        <x:v>0.02515147784113133</x:v>
      </x:c>
      <x:c r="AC47" s="12" t="n">
        <x:f>IF(ISNUMBER(K47),IF($I$152&gt;$H$152,(K47-$H$152)/($I$152-$H$152),"缺失"),"缺失")</x:f>
        <x:v>0.07327828845768339</x:v>
      </x:c>
      <x:c r="AD47" s="12" t="n">
        <x:f>IF(ISNUMBER(L47),IF($I$153&gt;$H$153,(L47-$H$153)/($I$153-$H$153),"缺失"),"缺失")</x:f>
        <x:v>0.4643600528369554</x:v>
      </x:c>
      <x:c r="AE47" s="12" t="n">
        <x:f>IF(ISNUMBER(M47),IF($I$154&gt;$H$154,(M47-$H$154)/($I$154-$H$154),"缺失"),"缺失")</x:f>
        <x:v>0.463018364</x:v>
      </x:c>
      <x:c r="AF47" s="12" t="n">
        <x:f>IF(ISNUMBER(N47),IF($I$155&gt;$H$155,(N47-$H$155)/($I$155-$H$155),"缺失"),"缺失")</x:f>
        <x:v>0.021342078865068496</x:v>
      </x:c>
      <x:c r="AG47" s="12" t="n">
        <x:f>IF(ISNUMBER(O47),IF($I$156&gt;$H$156,(O47-$H$156)/($I$156-$H$156),"缺失"),"缺失")</x:f>
        <x:v>0.7745653052972099</x:v>
      </x:c>
      <x:c r="AH47" s="12" t="n">
        <x:f>IF(ISNUMBER(P47),IF($I$157&gt;$H$157,(P47-$H$157)/($I$157-$H$157),"缺失"),"缺失")</x:f>
        <x:v>0.4061366765473847</x:v>
      </x:c>
      <x:c r="AI47" s="12" t="n">
        <x:f>IF(ISNUMBER(Q47),IF($I$158&gt;$H$158,(Q47-$H$158)/($I$158-$H$158),"缺失"),"缺失")</x:f>
        <x:v>0.3385950695909573</x:v>
      </x:c>
      <x:c r="AJ47" s="12" t="n">
        <x:f>IF(ISNUMBER(R47),IF($I$159&gt;$H$159,(R47-$H$159)/($I$159-$H$159),"缺失"),"缺失")</x:f>
        <x:v>0.643242898037132</x:v>
      </x:c>
      <x:c r="AK47" s="12" t="n">
        <x:f>IF(ISNUMBER(S47),IF($I$160&gt;$H$160,(S47-$H$160)/($I$160-$H$160),"缺失"),"缺失")</x:f>
        <x:v>0.025397238090533736</x:v>
      </x:c>
      <x:c r="AL47" s="12" t="n">
        <x:f>IF(ISNUMBER(T47),IF($I$161&gt;$H$161,(T47-$H$161)/($I$161-$H$161),"缺失"),"缺失")</x:f>
        <x:v>1</x:v>
      </x:c>
      <x:c r="AM47" s="12" t="n">
        <x:f>IF(ISNUMBER(U47),IF($I$162&gt;$H$162,(U47-$H$162)/($I$162-$H$162),"缺失"),"缺失")</x:f>
        <x:v>1</x:v>
      </x:c>
      <x:c r="AN47" s="12" t="n">
        <x:f>IF(ISNUMBER(V47),IF($I$163&gt;$H$163,(V47-$H$163)/($I$163-$H$163),"缺失"),"缺失")</x:f>
        <x:v>0</x:v>
      </x:c>
      <x:c r="AO47" s="23" t="str"/>
      <x:c r="AP47" s="23" t="str">
        <x:v>见指标口径：州级、产业、代表点代理；气候基期待核实</x:v>
      </x:c>
      <x:c r="AQ47" s="15" t="n">
        <x:v>1.0000000000000004</x:v>
      </x:c>
      <x:c r="AR47" s="15" t="n">
        <x:v>1.0000000000000022</x:v>
      </x:c>
      <x:c r="AS47" s="15" t="n">
        <x:v>1</x:v>
      </x:c>
      <x:c r="AT47" s="15" t="n">
        <x:v>1</x:v>
      </x:c>
    </x:row>
    <x:row r="48" ht="24" customHeight="1">
      <x:c r="A48" s="18" t="str">
        <x:v>51085</x:v>
      </x:c>
      <x:c r="B48" s="3" t="str">
        <x:v>Hanover County</x:v>
      </x:c>
      <x:c r="C48" s="3" t="str">
        <x:v>VA</x:v>
      </x:c>
      <x:c r="D48" s="12" t="n">
        <x:v>1211.009692</x:v>
      </x:c>
      <x:c r="E48" s="12" t="n">
        <x:v>0.273</x:v>
      </x:c>
      <x:c r="F48" s="12" t="n">
        <x:v>0.17264851485148502</x:v>
      </x:c>
      <x:c r="G48" s="12" t="n">
        <x:v>1.9379325328868395</x:v>
      </x:c>
      <x:c r="H48" s="12" t="n">
        <x:v>2.3327351983676343</x:v>
      </x:c>
      <x:c r="I48" s="12" t="n">
        <x:v>0.8726298092619704</x:v>
      </x:c>
      <x:c r="J48" s="12" t="n">
        <x:v>0.00039541992416523717</x:v>
      </x:c>
      <x:c r="K48" s="12" t="n">
        <x:v>0.11635595962162633</x:v>
      </x:c>
      <x:c r="L48" s="24" t="n">
        <x:v>0.580829814</x:v>
      </x:c>
      <x:c r="M48" s="24" t="n">
        <x:v>0.528150832</x:v>
      </x:c>
      <x:c r="N48" s="13" t="n">
        <x:v>62089</x:v>
      </x:c>
      <x:c r="O48" s="12" t="n">
        <x:v>0.0274</x:v>
      </x:c>
      <x:c r="P48" s="12" t="n">
        <x:v>1198.5546264648438</x:v>
      </x:c>
      <x:c r="Q48" s="12" t="n">
        <x:v>25.60501340230306</x:v>
      </x:c>
      <x:c r="R48" s="12" t="n">
        <x:v>2.7098102775290616</x:v>
      </x:c>
      <x:c r="S48" s="12" t="n">
        <x:v>0.8941238958008734</x:v>
      </x:c>
      <x:c r="T48" s="12" t="n">
        <x:v>89.9</x:v>
      </x:c>
      <x:c r="U48" s="12" t="n">
        <x:v>245.07712999476223</x:v>
      </x:c>
      <x:c r="V48" s="12" t="n">
        <x:v>244.75798925963002</x:v>
      </x:c>
      <x:c r="W48" s="12" t="n">
        <x:f>IF(ISNUMBER(E48),IF($I$146&gt;$H$146,(E48-$H$146)/($I$146-$H$146),"缺失"),"缺失")</x:f>
        <x:v>0.2604166666666667</x:v>
      </x:c>
      <x:c r="X48" s="12" t="n">
        <x:f>IF(ISNUMBER(F48),IF($I$147&gt;$H$147,(F48-$H$147)/($I$147-$H$147),"缺失"),"缺失")</x:f>
        <x:v>0.16944881889763763</x:v>
      </x:c>
      <x:c r="Y48" s="12" t="n">
        <x:f>IF(ISNUMBER(G48),IF($I$148&gt;$H$148,(G48-$H$148)/($I$148-$H$148),"缺失"),"缺失")</x:f>
        <x:v>0.5094321796124133</x:v>
      </x:c>
      <x:c r="Z48" s="12" t="n">
        <x:f>IF(ISNUMBER(H48),IF($I$149&gt;$H$149,(H48-$H$149)/($I$149-$H$149),"缺失"),"缺失")</x:f>
        <x:v>0.5746575064993474</x:v>
      </x:c>
      <x:c r="AA48" s="12" t="n">
        <x:f>IF(ISNUMBER(I48),IF($I$150&gt;$H$150,(I48-$H$150)/($I$150-$H$150),"缺失"),"缺失")</x:f>
        <x:v>0.8724769169013525</x:v>
      </x:c>
      <x:c r="AB48" s="12" t="n">
        <x:f>IF(ISNUMBER(J48),IF($I$151&gt;$H$151,(J48-$H$151)/($I$151-$H$151),"缺失"),"缺失")</x:f>
        <x:v>0.0009699626939741891</x:v>
      </x:c>
      <x:c r="AC48" s="12" t="n">
        <x:f>IF(ISNUMBER(K48),IF($I$152&gt;$H$152,(K48-$H$152)/($I$152-$H$152),"缺失"),"缺失")</x:f>
        <x:v>0.20003931155798074</x:v>
      </x:c>
      <x:c r="AD48" s="12" t="n">
        <x:f>IF(ISNUMBER(L48),IF($I$153&gt;$H$153,(L48-$H$153)/($I$153-$H$153),"缺失"),"缺失")</x:f>
        <x:v>0.5806911305265837</x:v>
      </x:c>
      <x:c r="AE48" s="12" t="n">
        <x:f>IF(ISNUMBER(M48),IF($I$154&gt;$H$154,(M48-$H$154)/($I$154-$H$154),"缺失"),"缺失")</x:f>
        <x:v>0.528150832</x:v>
      </x:c>
      <x:c r="AF48" s="12" t="n">
        <x:f>IF(ISNUMBER(N48),IF($I$155&gt;$H$155,(N48-$H$155)/($I$155-$H$155),"缺失"),"缺失")</x:f>
        <x:v>0.09534524042448128</x:v>
      </x:c>
      <x:c r="AG48" s="12" t="n">
        <x:f>IF(ISNUMBER(O48),IF($I$156&gt;$H$156,(O48-$H$156)/($I$156-$H$156),"缺失"),"缺失")</x:f>
        <x:v>0.02547513141932875</x:v>
      </x:c>
      <x:c r="AH48" s="12" t="n">
        <x:f>IF(ISNUMBER(P48),IF($I$157&gt;$H$157,(P48-$H$157)/($I$157-$H$157),"缺失"),"缺失")</x:f>
        <x:v>0.4151194758941107</x:v>
      </x:c>
      <x:c r="AI48" s="12" t="n">
        <x:f>IF(ISNUMBER(Q48),IF($I$158&gt;$H$158,(Q48-$H$158)/($I$158-$H$158),"缺失"),"缺失")</x:f>
        <x:v>0.2971579770873422</x:v>
      </x:c>
      <x:c r="AJ48" s="12" t="n">
        <x:f>IF(ISNUMBER(R48),IF($I$159&gt;$H$159,(R48-$H$159)/($I$159-$H$159),"缺失"),"缺失")</x:f>
        <x:v>0.02696529263880802</x:v>
      </x:c>
      <x:c r="AK48" s="12" t="n">
        <x:f>IF(ISNUMBER(S48),IF($I$160&gt;$H$160,(S48-$H$160)/($I$160-$H$160),"缺失"),"缺失")</x:f>
        <x:v>0.017295378725159564</x:v>
      </x:c>
      <x:c r="AL48" s="12" t="n">
        <x:f>IF(ISNUMBER(T48),IF($I$161&gt;$H$161,(T48-$H$161)/($I$161-$H$161),"缺失"),"缺失")</x:f>
        <x:v>1</x:v>
      </x:c>
      <x:c r="AM48" s="12" t="n">
        <x:f>IF(ISNUMBER(U48),IF($I$162&gt;$H$162,(U48-$H$162)/($I$162-$H$162),"缺失"),"缺失")</x:f>
        <x:v>1</x:v>
      </x:c>
      <x:c r="AN48" s="12" t="n">
        <x:f>IF(ISNUMBER(V48),IF($I$163&gt;$H$163,(V48-$H$163)/($I$163-$H$163),"缺失"),"缺失")</x:f>
        <x:v>0</x:v>
      </x:c>
      <x:c r="AO48" s="23" t="str"/>
      <x:c r="AP48" s="23" t="str">
        <x:v>见指标口径：州级、产业、代表点代理；气候基期待核实</x:v>
      </x:c>
      <x:c r="AQ48" s="15" t="n">
        <x:v>0.999999999999993</x:v>
      </x:c>
      <x:c r="AR48" s="15" t="n">
        <x:v>0.999999999999993</x:v>
      </x:c>
      <x:c r="AS48" s="15" t="n">
        <x:v>1</x:v>
      </x:c>
      <x:c r="AT48" s="15" t="n">
        <x:v>1</x:v>
      </x:c>
    </x:row>
    <x:row r="49" ht="24" customHeight="1">
      <x:c r="A49" s="18" t="str">
        <x:v>51087</x:v>
      </x:c>
      <x:c r="B49" s="3" t="str">
        <x:v>Henrico County</x:v>
      </x:c>
      <x:c r="C49" s="3" t="str">
        <x:v>VA</x:v>
      </x:c>
      <x:c r="D49" s="12" t="n">
        <x:v>605.276759</x:v>
      </x:c>
      <x:c r="E49" s="12" t="n">
        <x:v>0.246</x:v>
      </x:c>
      <x:c r="F49" s="12" t="n">
        <x:v>0.078279702970297</x:v>
      </x:c>
      <x:c r="G49" s="12" t="n">
        <x:v>3.0289768462658917</x:v>
      </x:c>
      <x:c r="H49" s="12" t="n">
        <x:v>3.305137836903937</x:v>
      </x:c>
      <x:c r="I49" s="12" t="n">
        <x:v>0.531850266565564</x:v>
      </x:c>
      <x:c r="J49" s="12" t="n">
        <x:v>0.007109099369410904</x:v>
      </x:c>
      <x:c r="K49" s="12" t="n">
        <x:v>0.1421317047607058</x:v>
      </x:c>
      <x:c r="L49" s="24" t="n">
        <x:v>0.789355845</x:v>
      </x:c>
      <x:c r="M49" s="24" t="n">
        <x:v>0.004251545</x:v>
      </x:c>
      <x:c r="N49" s="13" t="n">
        <x:v>185131</x:v>
      </x:c>
      <x:c r="O49" s="12" t="n">
        <x:v>0.3414</x:v>
      </x:c>
      <x:c r="P49" s="12" t="n">
        <x:v>1331.1063883463542</x:v>
      </x:c>
      <x:c r="Q49" s="12" t="n">
        <x:v>30.182514699300132</x:v>
      </x:c>
      <x:c r="R49" s="12" t="n">
        <x:v>2.3705507283732823</x:v>
      </x:c>
      <x:c r="S49" s="12" t="n">
        <x:v>5.60715842641278</x:v>
      </x:c>
      <x:c r="T49" s="12" t="n">
        <x:v>89.9</x:v>
      </x:c>
      <x:c r="U49" s="12" t="n">
        <x:v>245.07712999476223</x:v>
      </x:c>
      <x:c r="V49" s="12" t="n">
        <x:v>244.75798925963002</x:v>
      </x:c>
      <x:c r="W49" s="12" t="n">
        <x:f>IF(ISNUMBER(E49),IF($I$146&gt;$H$146,(E49-$H$146)/($I$146-$H$146),"缺失"),"缺失")</x:f>
        <x:v>0.22916666666666669</x:v>
      </x:c>
      <x:c r="X49" s="12" t="n">
        <x:f>IF(ISNUMBER(F49),IF($I$147&gt;$H$147,(F49-$H$147)/($I$147-$H$147),"缺失"),"缺失")</x:f>
        <x:v>0.07338582677165349</x:v>
      </x:c>
      <x:c r="Y49" s="12" t="n">
        <x:f>IF(ISNUMBER(G49),IF($I$148&gt;$H$148,(G49-$H$148)/($I$148-$H$148),"缺失"),"缺失")</x:f>
        <x:v>0.7964324477218585</x:v>
      </x:c>
      <x:c r="Z49" s="12" t="n">
        <x:f>IF(ISNUMBER(H49),IF($I$149&gt;$H$149,(H49-$H$149)/($I$149-$H$149),"缺失"),"缺失")</x:f>
        <x:v>0.8143816600890318</x:v>
      </x:c>
      <x:c r="AA49" s="12" t="n">
        <x:f>IF(ISNUMBER(I49),IF($I$150&gt;$H$150,(I49-$H$150)/($I$150-$H$150),"缺失"),"缺失")</x:f>
        <x:v>0.506641096736934</x:v>
      </x:c>
      <x:c r="AB49" s="12" t="n">
        <x:f>IF(ISNUMBER(J49),IF($I$151&gt;$H$151,(J49-$H$151)/($I$151-$H$151),"缺失"),"缺失")</x:f>
        <x:v>0.01743857796402416</x:v>
      </x:c>
      <x:c r="AC49" s="12" t="n">
        <x:f>IF(ISNUMBER(K49),IF($I$152&gt;$H$152,(K49-$H$152)/($I$152-$H$152),"缺失"),"缺失")</x:f>
        <x:v>0.24435300489421005</x:v>
      </x:c>
      <x:c r="AD49" s="12" t="n">
        <x:f>IF(ISNUMBER(L49),IF($I$153&gt;$H$153,(L49-$H$153)/($I$153-$H$153),"缺失"),"缺失")</x:f>
        <x:v>0.7892861528700587</x:v>
      </x:c>
      <x:c r="AE49" s="12" t="n">
        <x:f>IF(ISNUMBER(M49),IF($I$154&gt;$H$154,(M49-$H$154)/($I$154-$H$154),"缺失"),"缺失")</x:f>
        <x:v>0.004251545</x:v>
      </x:c>
      <x:c r="AF49" s="12" t="n">
        <x:f>IF(ISNUMBER(N49),IF($I$155&gt;$H$155,(N49-$H$155)/($I$155-$H$155),"缺失"),"缺失")</x:f>
        <x:v>0.28640840018261265</x:v>
      </x:c>
      <x:c r="AG49" s="12" t="n">
        <x:f>IF(ISNUMBER(O49),IF($I$156&gt;$H$156,(O49-$H$156)/($I$156-$H$156),"缺失"),"缺失")</x:f>
        <x:v>0.3429033562474727</x:v>
      </x:c>
      <x:c r="AH49" s="12" t="n">
        <x:f>IF(ISNUMBER(P49),IF($I$157&gt;$H$157,(P49-$H$157)/($I$157-$H$157),"缺失"),"缺失")</x:f>
        <x:v>0.47474868748861637</x:v>
      </x:c>
      <x:c r="AI49" s="12" t="n">
        <x:f>IF(ISNUMBER(Q49),IF($I$158&gt;$H$158,(Q49-$H$158)/($I$158-$H$158),"缺失"),"缺失")</x:f>
        <x:v>0.35095092130346045</x:v>
      </x:c>
      <x:c r="AJ49" s="12" t="n">
        <x:f>IF(ISNUMBER(R49),IF($I$159&gt;$H$159,(R49-$H$159)/($I$159-$H$159),"缺失"),"缺失")</x:f>
        <x:v>0.023400201058340564</x:v>
      </x:c>
      <x:c r="AK49" s="12" t="n">
        <x:f>IF(ISNUMBER(S49),IF($I$160&gt;$H$160,(S49-$H$160)/($I$160-$H$160),"缺失"),"缺失")</x:f>
        <x:v>0.10930163593191856</x:v>
      </x:c>
      <x:c r="AL49" s="12" t="n">
        <x:f>IF(ISNUMBER(T49),IF($I$161&gt;$H$161,(T49-$H$161)/($I$161-$H$161),"缺失"),"缺失")</x:f>
        <x:v>1</x:v>
      </x:c>
      <x:c r="AM49" s="12" t="n">
        <x:f>IF(ISNUMBER(U49),IF($I$162&gt;$H$162,(U49-$H$162)/($I$162-$H$162),"缺失"),"缺失")</x:f>
        <x:v>1</x:v>
      </x:c>
      <x:c r="AN49" s="12" t="n">
        <x:f>IF(ISNUMBER(V49),IF($I$163&gt;$H$163,(V49-$H$163)/($I$163-$H$163),"缺失"),"缺失")</x:f>
        <x:v>0</x:v>
      </x:c>
      <x:c r="AO49" s="23" t="str"/>
      <x:c r="AP49" s="23" t="str">
        <x:v>见指标口径：州级、产业、代表点代理；气候基期待核实</x:v>
      </x:c>
      <x:c r="AQ49" s="15" t="n">
        <x:v>1.0000000000000138</x:v>
      </x:c>
      <x:c r="AR49" s="15" t="n">
        <x:v>1.0000000000000135</x:v>
      </x:c>
      <x:c r="AS49" s="15" t="n">
        <x:v>1</x:v>
      </x:c>
      <x:c r="AT49" s="15" t="n">
        <x:v>1</x:v>
      </x:c>
    </x:row>
    <x:row r="50" ht="24" customHeight="1">
      <x:c r="A50" s="18" t="str">
        <x:v>51089</x:v>
      </x:c>
      <x:c r="B50" s="3" t="str">
        <x:v>Henry County</x:v>
      </x:c>
      <x:c r="C50" s="3" t="str">
        <x:v>VA</x:v>
      </x:c>
      <x:c r="D50" s="12" t="n">
        <x:v>990.284625</x:v>
      </x:c>
      <x:c r="E50" s="12" t="n">
        <x:v>0.26</x:v>
      </x:c>
      <x:c r="F50" s="12" t="n">
        <x:v>0.435024752475247</x:v>
      </x:c>
      <x:c r="G50" s="12" t="n">
        <x:v>2.7697299319853768</x:v>
      </x:c>
      <x:c r="H50" s="12" t="n">
        <x:v>3.155046543</x:v>
      </x:c>
      <x:c r="I50" s="12" t="n">
        <x:v>0.9099270132665992</x:v>
      </x:c>
      <x:c r="J50" s="12" t="n">
        <x:v>0.018693292916252484</x:v>
      </x:c>
      <x:c r="K50" s="12" t="n">
        <x:v>0.0012780626495955526</x:v>
      </x:c>
      <x:c r="L50" s="24" t="n">
        <x:v>0.280384738</x:v>
      </x:c>
      <x:c r="M50" s="24" t="n">
        <x:v>0.279606775</x:v>
      </x:c>
      <x:c r="N50" s="13" t="n">
        <x:v>20515</x:v>
      </x:c>
      <x:c r="O50" s="12" t="n">
        <x:v>0.7757</x:v>
      </x:c>
      <x:c r="P50" s="12" t="n">
        <x:v>987.2169209798176</x:v>
      </x:c>
      <x:c r="Q50" s="12" t="n">
        <x:v>19.6994348526001</x:v>
      </x:c>
      <x:c r="R50" s="12" t="n">
        <x:v>41.12848463679932</x:v>
      </x:c>
      <x:c r="S50" s="12" t="n">
        <x:v>8.91158280538729</x:v>
      </x:c>
      <x:c r="T50" s="12" t="n">
        <x:v>89.9</x:v>
      </x:c>
      <x:c r="U50" s="12" t="n">
        <x:v>245.07712999476223</x:v>
      </x:c>
      <x:c r="V50" s="12" t="n">
        <x:v>244.75798925963002</x:v>
      </x:c>
      <x:c r="W50" s="12" t="n">
        <x:f>IF(ISNUMBER(E50),IF($I$146&gt;$H$146,(E50-$H$146)/($I$146-$H$146),"缺失"),"缺失")</x:f>
        <x:v>0.2453703703703704</x:v>
      </x:c>
      <x:c r="X50" s="12" t="n">
        <x:f>IF(ISNUMBER(F50),IF($I$147&gt;$H$147,(F50-$H$147)/($I$147-$H$147),"缺失"),"缺失")</x:f>
        <x:v>0.4365354330708655</x:v>
      </x:c>
      <x:c r="Y50" s="12" t="n">
        <x:f>IF(ISNUMBER(G50),IF($I$148&gt;$H$148,(G50-$H$148)/($I$148-$H$148),"缺失"),"缺失")</x:f>
        <x:v>0.728237294699504</x:v>
      </x:c>
      <x:c r="Z50" s="12" t="n">
        <x:f>IF(ISNUMBER(H50),IF($I$149&gt;$H$149,(H50-$H$149)/($I$149-$H$149),"缺失"),"缺失")</x:f>
        <x:v>0.7773800036080692</x:v>
      </x:c>
      <x:c r="AA50" s="12" t="n">
        <x:f>IF(ISNUMBER(I50),IF($I$150&gt;$H$150,(I50-$H$150)/($I$150-$H$150),"缺失"),"缺失")</x:f>
        <x:v>0.912516448350072</x:v>
      </x:c>
      <x:c r="AB50" s="12" t="n">
        <x:f>IF(ISNUMBER(J50),IF($I$151&gt;$H$151,(J50-$H$151)/($I$151-$H$151),"缺失"),"缺失")</x:f>
        <x:v>0.04585453501002648</x:v>
      </x:c>
      <x:c r="AC50" s="12" t="n">
        <x:f>IF(ISNUMBER(K50),IF($I$152&gt;$H$152,(K50-$H$152)/($I$152-$H$152),"缺失"),"缺失")</x:f>
        <x:v>0.0021972469084045503</x:v>
      </x:c>
      <x:c r="AD50" s="12" t="n">
        <x:f>IF(ISNUMBER(L50),IF($I$153&gt;$H$153,(L50-$H$153)/($I$153-$H$153),"缺失"),"缺失")</x:f>
        <x:v>0.2801466515439716</x:v>
      </x:c>
      <x:c r="AE50" s="12" t="n">
        <x:f>IF(ISNUMBER(M50),IF($I$154&gt;$H$154,(M50-$H$154)/($I$154-$H$154),"缺失"),"缺失")</x:f>
        <x:v>0.279606775</x:v>
      </x:c>
      <x:c r="AF50" s="12" t="n">
        <x:f>IF(ISNUMBER(N50),IF($I$155&gt;$H$155,(N50-$H$155)/($I$155-$H$155),"缺失"),"缺失")</x:f>
        <x:v>0.030787936383710204</x:v>
      </x:c>
      <x:c r="AG50" s="12" t="n">
        <x:f>IF(ISNUMBER(O50),IF($I$156&gt;$H$156,(O50-$H$156)/($I$156-$H$156),"缺失"),"缺失")</x:f>
        <x:v>0.7819450060655074</x:v>
      </x:c>
      <x:c r="AH50" s="12" t="n">
        <x:f>IF(ISNUMBER(P50),IF($I$157&gt;$H$157,(P50-$H$157)/($I$157-$H$157),"缺失"),"缺失")</x:f>
        <x:v>0.3200479311678403</x:v>
      </x:c>
      <x:c r="AI50" s="12" t="n">
        <x:f>IF(ISNUMBER(Q50),IF($I$158&gt;$H$158,(Q50-$H$158)/($I$158-$H$158),"缺失"),"缺失")</x:f>
        <x:v>0.22775800603840352</x:v>
      </x:c>
      <x:c r="AJ50" s="12" t="n">
        <x:f>IF(ISNUMBER(R50),IF($I$159&gt;$H$159,(R50-$H$159)/($I$159-$H$159),"缺失"),"缺失")</x:f>
        <x:v>0.4306859626443678</x:v>
      </x:c>
      <x:c r="AK50" s="12" t="n">
        <x:f>IF(ISNUMBER(S50),IF($I$160&gt;$H$160,(S50-$H$160)/($I$160-$H$160),"缺失"),"缺失")</x:f>
        <x:v>0.17380948482576933</x:v>
      </x:c>
      <x:c r="AL50" s="12" t="n">
        <x:f>IF(ISNUMBER(T50),IF($I$161&gt;$H$161,(T50-$H$161)/($I$161-$H$161),"缺失"),"缺失")</x:f>
        <x:v>1</x:v>
      </x:c>
      <x:c r="AM50" s="12" t="n">
        <x:f>IF(ISNUMBER(U50),IF($I$162&gt;$H$162,(U50-$H$162)/($I$162-$H$162),"缺失"),"缺失")</x:f>
        <x:v>1</x:v>
      </x:c>
      <x:c r="AN50" s="12" t="n">
        <x:f>IF(ISNUMBER(V50),IF($I$163&gt;$H$163,(V50-$H$163)/($I$163-$H$163),"缺失"),"缺失")</x:f>
        <x:v>0</x:v>
      </x:c>
      <x:c r="AO50" s="23" t="str"/>
      <x:c r="AP50" s="23" t="str">
        <x:v>见指标口径：州级、产业、代表点代理；气候基期待核实</x:v>
      </x:c>
      <x:c r="AQ50" s="15" t="n">
        <x:v>0.999999999999998</x:v>
      </x:c>
      <x:c r="AR50" s="15" t="n">
        <x:v>0.9999999999999993</x:v>
      </x:c>
      <x:c r="AS50" s="15" t="n">
        <x:v>1</x:v>
      </x:c>
      <x:c r="AT50" s="15" t="n">
        <x:v>1</x:v>
      </x:c>
    </x:row>
    <x:row r="51" ht="24" customHeight="1">
      <x:c r="A51" s="18" t="str">
        <x:v>51091</x:v>
      </x:c>
      <x:c r="B51" s="3" t="str">
        <x:v>Highland County</x:v>
      </x:c>
      <x:c r="C51" s="3" t="str">
        <x:v>VA</x:v>
      </x:c>
      <x:c r="D51" s="12" t="n">
        <x:v>1075.266903</x:v>
      </x:c>
      <x:c r="E51" s="12" t="n">
        <x:v>0.578</x:v>
      </x:c>
      <x:c r="F51" s="12" t="n">
        <x:v>0.943997524752475</x:v>
      </x:c>
      <x:c r="G51" s="12" t="n">
        <x:v>1.772309969453828</x:v>
      </x:c>
      <x:c r="H51" s="12" t="n">
        <x:v>2.0854394731999175</x:v>
      </x:c>
      <x:c r="I51" s="12" t="n">
        <x:v>0.9914187729070881</x:v>
      </x:c>
      <x:c r="J51" s="12" t="n">
        <x:v>0.06665593787884394</x:v>
      </x:c>
      <x:c r="K51" s="12" t="n">
        <x:v>0.00021977434272429935</x:v>
      </x:c>
      <x:c r="L51" s="24" t="n">
        <x:v>0.844048653</x:v>
      </x:c>
      <x:c r="M51" s="24" t="n">
        <x:v>0.844048653</x:v>
      </x:c>
      <x:c r="N51" s="13" t="n">
        <x:v>1115</x:v>
      </x:c>
      <x:c r="O51" s="12" t="n">
        <x:v>0.1352</x:v>
      </x:c>
      <x:c r="P51" s="12" t="n">
        <x:v>275.7717076619466</x:v>
      </x:c>
      <x:c r="Q51" s="12" t="n">
        <x:v>0.624642726778984</x:v>
      </x:c>
      <x:c r="R51" s="12" t="n">
        <x:v>52.09469914545961</x:v>
      </x:c>
      <x:c r="S51" s="12" t="n">
        <x:v>28.36468069555688</x:v>
      </x:c>
      <x:c r="T51" s="12" t="n">
        <x:v>89.9</x:v>
      </x:c>
      <x:c r="U51" s="12" t="n">
        <x:v>245.07712999476223</x:v>
      </x:c>
      <x:c r="V51" s="12" t="n">
        <x:v>244.75798925963002</x:v>
      </x:c>
      <x:c r="W51" s="12" t="n">
        <x:f>IF(ISNUMBER(E51),IF($I$146&gt;$H$146,(E51-$H$146)/($I$146-$H$146),"缺失"),"缺失")</x:f>
        <x:v>0.6134259259259258</x:v>
      </x:c>
      <x:c r="X51" s="12" t="n">
        <x:f>IF(ISNUMBER(F51),IF($I$147&gt;$H$147,(F51-$H$147)/($I$147-$H$147),"缺失"),"缺失")</x:f>
        <x:v>0.9546456692913381</x:v>
      </x:c>
      <x:c r="Y51" s="12" t="n">
        <x:f>IF(ISNUMBER(G51),IF($I$148&gt;$H$148,(G51-$H$148)/($I$148-$H$148),"缺失"),"缺失")</x:f>
        <x:v>0.46586500316746016</x:v>
      </x:c>
      <x:c r="Z51" s="12" t="n">
        <x:f>IF(ISNUMBER(H51),IF($I$149&gt;$H$149,(H51-$H$149)/($I$149-$H$149),"缺失"),"缺失")</x:f>
        <x:v>0.5136922683841849</x:v>
      </x:c>
      <x:c r="AA51" s="12" t="n">
        <x:f>IF(ISNUMBER(I51),IF($I$150&gt;$H$150,(I51-$H$150)/($I$150-$H$150),"缺失"),"缺失")</x:f>
        <x:v>1</x:v>
      </x:c>
      <x:c r="AB51" s="12" t="n">
        <x:f>IF(ISNUMBER(J51),IF($I$151&gt;$H$151,(J51-$H$151)/($I$151-$H$151),"缺失"),"缺失")</x:f>
        <x:v>0.16350661441966768</x:v>
      </x:c>
      <x:c r="AC51" s="12" t="n">
        <x:f>IF(ISNUMBER(K51),IF($I$152&gt;$H$152,(K51-$H$152)/($I$152-$H$152),"缺失"),"缺失")</x:f>
        <x:v>0.0003778363253557435</x:v>
      </x:c>
      <x:c r="AD51" s="12" t="n">
        <x:f>IF(ISNUMBER(L51),IF($I$153&gt;$H$153,(L51-$H$153)/($I$153-$H$153),"缺失"),"缺失")</x:f>
        <x:v>0.8439970561183318</x:v>
      </x:c>
      <x:c r="AE51" s="12" t="n">
        <x:f>IF(ISNUMBER(M51),IF($I$154&gt;$H$154,(M51-$H$154)/($I$154-$H$154),"缺失"),"缺失")</x:f>
        <x:v>0.844048653</x:v>
      </x:c>
      <x:c r="AF51" s="12" t="n">
        <x:f>IF(ISNUMBER(N51),IF($I$155&gt;$H$155,(N51-$H$155)/($I$155-$H$155),"缺失"),"缺失")</x:f>
        <x:v>0.0006630578925628818</x:v>
      </x:c>
      <x:c r="AG51" s="12" t="n">
        <x:f>IF(ISNUMBER(O51),IF($I$156&gt;$H$156,(O51-$H$156)/($I$156-$H$156),"缺失"),"缺失")</x:f>
        <x:v>0.1344520824909017</x:v>
      </x:c>
      <x:c r="AH51" s="12" t="n">
        <x:f>IF(ISNUMBER(P51),IF($I$157&gt;$H$157,(P51-$H$157)/($I$157-$H$157),"缺失"),"缺失")</x:f>
        <x:v>0</x:v>
      </x:c>
      <x:c r="AI51" s="12" t="n">
        <x:f>IF(ISNUMBER(Q51),IF($I$158&gt;$H$158,(Q51-$H$158)/($I$158-$H$158),"缺失"),"缺失")</x:f>
        <x:v>0.003598762341087342</x:v>
      </x:c>
      <x:c r="AJ51" s="12" t="n">
        <x:f>IF(ISNUMBER(R51),IF($I$159&gt;$H$159,(R51-$H$159)/($I$159-$H$159),"缺失"),"缺失")</x:f>
        <x:v>0.545923865635488</x:v>
      </x:c>
      <x:c r="AK51" s="12" t="n">
        <x:f>IF(ISNUMBER(S51),IF($I$160&gt;$H$160,(S51-$H$160)/($I$160-$H$160),"缺失"),"缺失")</x:f>
        <x:v>0.5535662458522642</x:v>
      </x:c>
      <x:c r="AL51" s="12" t="n">
        <x:f>IF(ISNUMBER(T51),IF($I$161&gt;$H$161,(T51-$H$161)/($I$161-$H$161),"缺失"),"缺失")</x:f>
        <x:v>1</x:v>
      </x:c>
      <x:c r="AM51" s="12" t="n">
        <x:f>IF(ISNUMBER(U51),IF($I$162&gt;$H$162,(U51-$H$162)/($I$162-$H$162),"缺失"),"缺失")</x:f>
        <x:v>1</x:v>
      </x:c>
      <x:c r="AN51" s="12" t="n">
        <x:f>IF(ISNUMBER(V51),IF($I$163&gt;$H$163,(V51-$H$163)/($I$163-$H$163),"缺失"),"缺失")</x:f>
        <x:v>0</x:v>
      </x:c>
      <x:c r="AO51" s="23" t="str"/>
      <x:c r="AP51" s="23" t="str">
        <x:v>见指标口径：州级、产业、代表点代理；气候基期待核实</x:v>
      </x:c>
      <x:c r="AQ51" s="15" t="n">
        <x:v>0.9999999999999973</x:v>
      </x:c>
      <x:c r="AR51" s="15" t="n">
        <x:v>0.9999999999999989</x:v>
      </x:c>
      <x:c r="AS51" s="15" t="n">
        <x:v>1</x:v>
      </x:c>
      <x:c r="AT51" s="15" t="n">
        <x:v>1</x:v>
      </x:c>
    </x:row>
    <x:row r="52" ht="24" customHeight="1">
      <x:c r="A52" s="18" t="str">
        <x:v>51093</x:v>
      </x:c>
      <x:c r="B52" s="3" t="str">
        <x:v>Isle of Wight County</x:v>
      </x:c>
      <x:c r="C52" s="3" t="str">
        <x:v>VA</x:v>
      </x:c>
      <x:c r="D52" s="12" t="n">
        <x:v>817.621466</x:v>
      </x:c>
      <x:c r="E52" s="12" t="n">
        <x:v>0.346</x:v>
      </x:c>
      <x:c r="F52" s="12" t="n">
        <x:v>0.152537128712871</x:v>
      </x:c>
      <x:c r="G52" s="12" t="n">
        <x:v>2.3981062928857173</x:v>
      </x:c>
      <x:c r="H52" s="12" t="n">
        <x:v>2.7301634014401865</x:v>
      </x:c>
      <x:c r="I52" s="12" t="n">
        <x:v>0.9105327592308081</x:v>
      </x:c>
      <x:c r="J52" s="12" t="n">
        <x:v>0.01916220020604844</x:v>
      </x:c>
      <x:c r="K52" s="12" t="n">
        <x:v>0.2298970703627264</x:v>
      </x:c>
      <x:c r="L52" s="24" t="n">
        <x:v>0.18837392</x:v>
      </x:c>
      <x:c r="M52" s="24" t="n">
        <x:v>0.173762765</x:v>
      </x:c>
      <x:c r="N52" s="13" t="n">
        <x:v>20826</x:v>
      </x:c>
      <x:c r="O52" s="12" t="n">
        <x:v>0.2243</x:v>
      </x:c>
      <x:c r="P52" s="12" t="n">
        <x:v>1407.8460001627604</x:v>
      </x:c>
      <x:c r="Q52" s="12" t="n">
        <x:v>25.0467347462972</x:v>
      </x:c>
      <x:c r="R52" s="12" t="n">
        <x:v>24.59190481252301</x:v>
      </x:c>
      <x:c r="S52" s="12" t="n">
        <x:v>10.152163387959797</x:v>
      </x:c>
      <x:c r="T52" s="12" t="n">
        <x:v>89.9</x:v>
      </x:c>
      <x:c r="U52" s="12" t="n">
        <x:v>245.07712999476223</x:v>
      </x:c>
      <x:c r="V52" s="12" t="n">
        <x:v>244.75798925963002</x:v>
      </x:c>
      <x:c r="W52" s="12" t="n">
        <x:f>IF(ISNUMBER(E52),IF($I$146&gt;$H$146,(E52-$H$146)/($I$146-$H$146),"缺失"),"缺失")</x:f>
        <x:v>0.3449074074074074</x:v>
      </x:c>
      <x:c r="X52" s="12" t="n">
        <x:f>IF(ISNUMBER(F52),IF($I$147&gt;$H$147,(F52-$H$147)/($I$147-$H$147),"缺失"),"缺失")</x:f>
        <x:v>0.1489763779527556</x:v>
      </x:c>
      <x:c r="Y52" s="12" t="n">
        <x:f>IF(ISNUMBER(G52),IF($I$148&gt;$H$148,(G52-$H$148)/($I$148-$H$148),"缺失"),"缺失")</x:f>
        <x:v>0.6304813348823565</x:v>
      </x:c>
      <x:c r="Z52" s="12" t="n">
        <x:f>IF(ISNUMBER(H52),IF($I$149&gt;$H$149,(H52-$H$149)/($I$149-$H$149),"缺失"),"缺失")</x:f>
        <x:v>0.6726345540911203</x:v>
      </x:c>
      <x:c r="AA52" s="12" t="n">
        <x:f>IF(ISNUMBER(I52),IF($I$150&gt;$H$150,(I52-$H$150)/($I$150-$H$150),"缺失"),"缺失")</x:f>
        <x:v>0.9131667326067918</x:v>
      </x:c>
      <x:c r="AB52" s="12" t="n">
        <x:f>IF(ISNUMBER(J52),IF($I$151&gt;$H$151,(J52-$H$151)/($I$151-$H$151),"缺失"),"缺失")</x:f>
        <x:v>0.04700476176957783</x:v>
      </x:c>
      <x:c r="AC52" s="12" t="n">
        <x:f>IF(ISNUMBER(K52),IF($I$152&gt;$H$152,(K52-$H$152)/($I$152-$H$152),"缺失"),"缺失")</x:f>
        <x:v>0.3952393313939794</x:v>
      </x:c>
      <x:c r="AD52" s="12" t="n">
        <x:f>IF(ISNUMBER(L52),IF($I$153&gt;$H$153,(L52-$H$153)/($I$153-$H$153),"缺失"),"缺失")</x:f>
        <x:v>0.18810539154151462</x:v>
      </x:c>
      <x:c r="AE52" s="12" t="n">
        <x:f>IF(ISNUMBER(M52),IF($I$154&gt;$H$154,(M52-$H$154)/($I$154-$H$154),"缺失"),"缺失")</x:f>
        <x:v>0.173762765</x:v>
      </x:c>
      <x:c r="AF52" s="12" t="n">
        <x:f>IF(ISNUMBER(N52),IF($I$155&gt;$H$155,(N52-$H$155)/($I$155-$H$155),"缺失"),"缺失")</x:f>
        <x:v>0.031270866136841484</x:v>
      </x:c>
      <x:c r="AG52" s="12" t="n">
        <x:f>IF(ISNUMBER(O52),IF($I$156&gt;$H$156,(O52-$H$156)/($I$156-$H$156),"缺失"),"缺失")</x:f>
        <x:v>0.22452486858067125</x:v>
      </x:c>
      <x:c r="AH52" s="12" t="n">
        <x:f>IF(ISNUMBER(P52),IF($I$157&gt;$H$157,(P52-$H$157)/($I$157-$H$157),"缺失"),"缺失")</x:f>
        <x:v>0.50927046589222</x:v>
      </x:c>
      <x:c r="AI52" s="12" t="n">
        <x:f>IF(ISNUMBER(Q52),IF($I$158&gt;$H$158,(Q52-$H$158)/($I$158-$H$158),"缺失"),"缺失")</x:f>
        <x:v>0.2905973120757836</x:v>
      </x:c>
      <x:c r="AJ52" s="12" t="n">
        <x:f>IF(ISNUMBER(R52),IF($I$159&gt;$H$159,(R52-$H$159)/($I$159-$H$159),"缺失"),"缺失")</x:f>
        <x:v>0.256912161293871</x:v>
      </x:c>
      <x:c r="AK52" s="12" t="n">
        <x:f>IF(ISNUMBER(S52),IF($I$160&gt;$H$160,(S52-$H$160)/($I$160-$H$160),"缺失"),"缺失")</x:f>
        <x:v>0.19802767703813526</x:v>
      </x:c>
      <x:c r="AL52" s="12" t="n">
        <x:f>IF(ISNUMBER(T52),IF($I$161&gt;$H$161,(T52-$H$161)/($I$161-$H$161),"缺失"),"缺失")</x:f>
        <x:v>1</x:v>
      </x:c>
      <x:c r="AM52" s="12" t="n">
        <x:f>IF(ISNUMBER(U52),IF($I$162&gt;$H$162,(U52-$H$162)/($I$162-$H$162),"缺失"),"缺失")</x:f>
        <x:v>1</x:v>
      </x:c>
      <x:c r="AN52" s="12" t="n">
        <x:f>IF(ISNUMBER(V52),IF($I$163&gt;$H$163,(V52-$H$163)/($I$163-$H$163),"缺失"),"缺失")</x:f>
        <x:v>0</x:v>
      </x:c>
      <x:c r="AO52" s="23" t="str"/>
      <x:c r="AP52" s="23" t="str">
        <x:v>baseline_water_stress:有效县域面积覆盖&lt;99%（诊断提示，非行业阈值）；water_stress_2050_bau:有效县域面积覆盖&lt;99%（诊断提示，非行业阈值）</x:v>
      </x:c>
      <x:c r="AQ52" s="15" t="n">
        <x:v>0.9007816263717756</x:v>
      </x:c>
      <x:c r="AR52" s="15" t="n">
        <x:v>0.9007116383409257</x:v>
      </x:c>
      <x:c r="AS52" s="15" t="n">
        <x:v>1</x:v>
      </x:c>
      <x:c r="AT52" s="15" t="n">
        <x:v>1</x:v>
      </x:c>
    </x:row>
    <x:row r="53" ht="24" customHeight="1">
      <x:c r="A53" s="18" t="str">
        <x:v>51095</x:v>
      </x:c>
      <x:c r="B53" s="3" t="str">
        <x:v>James City County</x:v>
      </x:c>
      <x:c r="C53" s="3" t="str">
        <x:v>VA</x:v>
      </x:c>
      <x:c r="D53" s="12" t="n">
        <x:v>368.550686</x:v>
      </x:c>
      <x:c r="E53" s="12" t="n">
        <x:v>0.348</x:v>
      </x:c>
      <x:c r="F53" s="12" t="n">
        <x:v>0.233910891089109</x:v>
      </x:c>
      <x:c r="G53" s="12" t="n">
        <x:v>3.802847971072168</x:v>
      </x:c>
      <x:c r="H53" s="12" t="n">
        <x:v>4.054554194</x:v>
      </x:c>
      <x:c r="I53" s="12" t="n">
        <x:v>0.7754271745672977</x:v>
      </x:c>
      <x:c r="J53" s="12" t="n">
        <x:v>0.017482062550182417</x:v>
      </x:c>
      <x:c r="K53" s="12" t="n">
        <x:v>0.1865662658002383</x:v>
      </x:c>
      <x:c r="L53" s="24" t="n">
        <x:v>0.41811956</x:v>
      </x:c>
      <x:c r="M53" s="24" t="n">
        <x:v>0.37467653</x:v>
      </x:c>
      <x:c r="N53" s="13" t="n">
        <x:v>37979</x:v>
      </x:c>
      <x:c r="O53" s="12" t="n">
        <x:v>0.1763</x:v>
      </x:c>
      <x:c r="P53" s="12" t="n">
        <x:v>1388.7602783203124</x:v>
      </x:c>
      <x:c r="Q53" s="12" t="n">
        <x:v>29.156037712097167</x:v>
      </x:c>
      <x:c r="R53" s="12" t="n">
        <x:v>5.10750534167021</x:v>
      </x:c>
      <x:c r="S53" s="12" t="n">
        <x:v>2.852810689189553</x:v>
      </x:c>
      <x:c r="T53" s="12" t="n">
        <x:v>89.9</x:v>
      </x:c>
      <x:c r="U53" s="12" t="n">
        <x:v>245.07712999476223</x:v>
      </x:c>
      <x:c r="V53" s="12" t="n">
        <x:v>244.75798925963002</x:v>
      </x:c>
      <x:c r="W53" s="12" t="n">
        <x:f>IF(ISNUMBER(E53),IF($I$146&gt;$H$146,(E53-$H$146)/($I$146-$H$146),"缺失"),"缺失")</x:f>
        <x:v>0.3472222222222222</x:v>
      </x:c>
      <x:c r="X53" s="12" t="n">
        <x:f>IF(ISNUMBER(F53),IF($I$147&gt;$H$147,(F53-$H$147)/($I$147-$H$147),"缺失"),"缺失")</x:f>
        <x:v>0.23181102362204728</x:v>
      </x:c>
      <x:c r="Y53" s="12" t="n">
        <x:f>IF(ISNUMBER(G53),IF($I$148&gt;$H$148,(G53-$H$148)/($I$148-$H$148),"缺失"),"缺失")</x:f>
        <x:v>1</x:v>
      </x:c>
      <x:c r="Z53" s="12" t="n">
        <x:f>IF(ISNUMBER(H53),IF($I$149&gt;$H$149,(H53-$H$149)/($I$149-$H$149),"缺失"),"缺失")</x:f>
        <x:v>0.9991335260049232</x:v>
      </x:c>
      <x:c r="AA53" s="12" t="n">
        <x:f>IF(ISNUMBER(I53),IF($I$150&gt;$H$150,(I53-$H$150)/($I$150-$H$150),"缺失"),"缺失")</x:f>
        <x:v>0.768127326828254</x:v>
      </x:c>
      <x:c r="AB53" s="12" t="n">
        <x:f>IF(ISNUMBER(J53),IF($I$151&gt;$H$151,(J53-$H$151)/($I$151-$H$151),"缺失"),"缺失")</x:f>
        <x:v>0.04288339421236217</x:v>
      </x:c>
      <x:c r="AC53" s="12" t="n">
        <x:f>IF(ISNUMBER(K53),IF($I$152&gt;$H$152,(K53-$H$152)/($I$152-$H$152),"缺失"),"缺失")</x:f>
        <x:v>0.3207449579031823</x:v>
      </x:c>
      <x:c r="AD53" s="12" t="n">
        <x:f>IF(ISNUMBER(L53),IF($I$153&gt;$H$153,(L53-$H$153)/($I$153-$H$153),"缺失"),"缺失")</x:f>
        <x:v>0.41792704344412984</x:v>
      </x:c>
      <x:c r="AE53" s="12" t="n">
        <x:f>IF(ISNUMBER(M53),IF($I$154&gt;$H$154,(M53-$H$154)/($I$154-$H$154),"缺失"),"缺失")</x:f>
        <x:v>0.37467653</x:v>
      </x:c>
      <x:c r="AF53" s="12" t="n">
        <x:f>IF(ISNUMBER(N53),IF($I$155&gt;$H$155,(N53-$H$155)/($I$155-$H$155),"缺失"),"缺失")</x:f>
        <x:v>0.05790653834089561</x:v>
      </x:c>
      <x:c r="AG53" s="12" t="n">
        <x:f>IF(ISNUMBER(O53),IF($I$156&gt;$H$156,(O53-$H$156)/($I$156-$H$156),"缺失"),"缺失")</x:f>
        <x:v>0.17600080873433077</x:v>
      </x:c>
      <x:c r="AH53" s="12" t="n">
        <x:f>IF(ISNUMBER(P53),IF($I$157&gt;$H$157,(P53-$H$157)/($I$157-$H$157),"缺失"),"缺失")</x:f>
        <x:v>0.5006846385141234</x:v>
      </x:c>
      <x:c r="AI53" s="12" t="n">
        <x:f>IF(ISNUMBER(Q53),IF($I$158&gt;$H$158,(Q53-$H$158)/($I$158-$H$158),"缺失"),"缺失")</x:f>
        <x:v>0.3388881788312821</x:v>
      </x:c>
      <x:c r="AJ53" s="12" t="n">
        <x:f>IF(ISNUMBER(R53),IF($I$159&gt;$H$159,(R53-$H$159)/($I$159-$H$159),"缺失"),"缺失")</x:f>
        <x:v>0.05216134830465153</x:v>
      </x:c>
      <x:c r="AK53" s="12" t="n">
        <x:f>IF(ISNUMBER(S53),IF($I$160&gt;$H$160,(S53-$H$160)/($I$160-$H$160),"缺失"),"缺失")</x:f>
        <x:v>0.05553219615764367</x:v>
      </x:c>
      <x:c r="AL53" s="12" t="n">
        <x:f>IF(ISNUMBER(T53),IF($I$161&gt;$H$161,(T53-$H$161)/($I$161-$H$161),"缺失"),"缺失")</x:f>
        <x:v>1</x:v>
      </x:c>
      <x:c r="AM53" s="12" t="n">
        <x:f>IF(ISNUMBER(U53),IF($I$162&gt;$H$162,(U53-$H$162)/($I$162-$H$162),"缺失"),"缺失")</x:f>
        <x:v>1</x:v>
      </x:c>
      <x:c r="AN53" s="12" t="n">
        <x:f>IF(ISNUMBER(V53),IF($I$163&gt;$H$163,(V53-$H$163)/($I$163-$H$163),"缺失"),"缺失")</x:f>
        <x:v>0</x:v>
      </x:c>
      <x:c r="AO53" s="23" t="str"/>
      <x:c r="AP53" s="23" t="str">
        <x:v>baseline_water_stress:有效县域面积覆盖&lt;99%（诊断提示，非行业阈值）；water_stress_2050_bau:有效县域面积覆盖&lt;99%（诊断提示，非行业阈值）</x:v>
      </x:c>
      <x:c r="AQ53" s="15" t="n">
        <x:v>0.8652167414017422</x:v>
      </x:c>
      <x:c r="AR53" s="15" t="n">
        <x:v>0.8648652533026031</x:v>
      </x:c>
      <x:c r="AS53" s="15" t="n">
        <x:v>1</x:v>
      </x:c>
      <x:c r="AT53" s="15" t="n">
        <x:v>1</x:v>
      </x:c>
    </x:row>
    <x:row r="54" ht="24" customHeight="1">
      <x:c r="A54" s="18" t="str">
        <x:v>51097</x:v>
      </x:c>
      <x:c r="B54" s="3" t="str">
        <x:v>King and Queen County</x:v>
      </x:c>
      <x:c r="C54" s="3" t="str">
        <x:v>VA</x:v>
      </x:c>
      <x:c r="D54" s="12" t="n">
        <x:v>816.185249</x:v>
      </x:c>
      <x:c r="E54" s="12" t="n">
        <x:v>0.303</x:v>
      </x:c>
      <x:c r="F54" s="12" t="n">
        <x:v>0.412438118811881</x:v>
      </x:c>
      <x:c r="G54" s="12" t="n">
        <x:v>2.8441451824923965</x:v>
      </x:c>
      <x:c r="H54" s="12" t="n">
        <x:v>3.1869254859999994</x:v>
      </x:c>
      <x:c r="I54" s="12" t="n">
        <x:v>0.9680810549024788</x:v>
      </x:c>
      <x:c r="J54" s="12" t="n">
        <x:v>0.06299546263529546</x:v>
      </x:c>
      <x:c r="K54" s="12" t="n">
        <x:v>0.1208074670893321</x:v>
      </x:c>
      <x:c r="L54" s="24" t="n">
        <x:v>0.820224719</x:v>
      </x:c>
      <x:c r="M54" s="24" t="n">
        <x:v>0.820224719</x:v>
      </x:c>
      <x:c r="N54" s="13" t="n">
        <x:v>3542</x:v>
      </x:c>
      <x:c r="O54" s="12" t="n">
        <x:v>0.1973</x:v>
      </x:c>
      <x:c r="P54" s="12" t="n">
        <x:v>1328.0845458984377</x:v>
      </x:c>
      <x:c r="Q54" s="12" t="n">
        <x:v>30.585072390238444</x:v>
      </x:c>
      <x:c r="R54" s="12" t="n">
        <x:v>26.029048237715426</x:v>
      </x:c>
      <x:c r="S54" s="12" t="n">
        <x:v>15.130200630178791</x:v>
      </x:c>
      <x:c r="T54" s="12" t="n">
        <x:v>89.9</x:v>
      </x:c>
      <x:c r="U54" s="12" t="n">
        <x:v>245.07712999476223</x:v>
      </x:c>
      <x:c r="V54" s="12" t="n">
        <x:v>244.75798925963002</x:v>
      </x:c>
      <x:c r="W54" s="12" t="n">
        <x:f>IF(ISNUMBER(E54),IF($I$146&gt;$H$146,(E54-$H$146)/($I$146-$H$146),"缺失"),"缺失")</x:f>
        <x:v>0.2951388888888889</x:v>
      </x:c>
      <x:c r="X54" s="12" t="n">
        <x:f>IF(ISNUMBER(F54),IF($I$147&gt;$H$147,(F54-$H$147)/($I$147-$H$147),"缺失"),"缺失")</x:f>
        <x:v>0.4135433070866139</x:v>
      </x:c>
      <x:c r="Y54" s="12" t="n">
        <x:f>IF(ISNUMBER(G54),IF($I$148&gt;$H$148,(G54-$H$148)/($I$148-$H$148),"缺失"),"缺失")</x:f>
        <x:v>0.7478122987438414</x:v>
      </x:c>
      <x:c r="Z54" s="12" t="n">
        <x:f>IF(ISNUMBER(H54),IF($I$149&gt;$H$149,(H54-$H$149)/($I$149-$H$149),"缺失"),"缺失")</x:f>
        <x:v>0.7852390450433248</x:v>
      </x:c>
      <x:c r="AA54" s="12" t="n">
        <x:f>IF(ISNUMBER(I54),IF($I$150&gt;$H$150,(I54-$H$150)/($I$150-$H$150),"缺失"),"缺失")</x:f>
        <x:v>0.9749463446677951</x:v>
      </x:c>
      <x:c r="AB54" s="12" t="n">
        <x:f>IF(ISNUMBER(J54),IF($I$151&gt;$H$151,(J54-$H$151)/($I$151-$H$151),"缺失"),"缺失")</x:f>
        <x:v>0.15452749067937172</x:v>
      </x:c>
      <x:c r="AC54" s="12" t="n">
        <x:f>IF(ISNUMBER(K54),IF($I$152&gt;$H$152,(K54-$H$152)/($I$152-$H$152),"缺失"),"缺失")</x:f>
        <x:v>0.20769234877352846</x:v>
      </x:c>
      <x:c r="AD54" s="12" t="n">
        <x:f>IF(ISNUMBER(L54),IF($I$153&gt;$H$153,(L54-$H$153)/($I$153-$H$153),"缺失"),"缺失")</x:f>
        <x:v>0.8201652399119442</x:v>
      </x:c>
      <x:c r="AE54" s="12" t="n">
        <x:f>IF(ISNUMBER(M54),IF($I$154&gt;$H$154,(M54-$H$154)/($I$154-$H$154),"缺失"),"缺失")</x:f>
        <x:v>0.820224719</x:v>
      </x:c>
      <x:c r="AF54" s="12" t="n">
        <x:f>IF(ISNUMBER(N54),IF($I$155&gt;$H$155,(N54-$H$155)/($I$155-$H$155),"缺失"),"缺失")</x:f>
        <x:v>0.004431773361532704</x:v>
      </x:c>
      <x:c r="AG54" s="12" t="n">
        <x:f>IF(ISNUMBER(O54),IF($I$156&gt;$H$156,(O54-$H$156)/($I$156-$H$156),"缺失"),"缺失")</x:f>
        <x:v>0.19723008491710473</x:v>
      </x:c>
      <x:c r="AH54" s="12" t="n">
        <x:f>IF(ISNUMBER(P54),IF($I$157&gt;$H$157,(P54-$H$157)/($I$157-$H$157),"缺失"),"缺失")</x:f>
        <x:v>0.47338929339098734</x:v>
      </x:c>
      <x:c r="AI54" s="12" t="n">
        <x:f>IF(ISNUMBER(Q54),IF($I$158&gt;$H$158,(Q54-$H$158)/($I$158-$H$158),"缺失"),"缺失")</x:f>
        <x:v>0.35568161650318003</x:v>
      </x:c>
      <x:c r="AJ54" s="12" t="n">
        <x:f>IF(ISNUMBER(R54),IF($I$159&gt;$H$159,(R54-$H$159)/($I$159-$H$159),"缺失"),"缺失")</x:f>
        <x:v>0.27201430930363873</x:v>
      </x:c>
      <x:c r="AK54" s="12" t="n">
        <x:f>IF(ISNUMBER(S54),IF($I$160&gt;$H$160,(S54-$H$160)/($I$160-$H$160),"缺失"),"缺失")</x:f>
        <x:v>0.2952072270536454</x:v>
      </x:c>
      <x:c r="AL54" s="12" t="n">
        <x:f>IF(ISNUMBER(T54),IF($I$161&gt;$H$161,(T54-$H$161)/($I$161-$H$161),"缺失"),"缺失")</x:f>
        <x:v>1</x:v>
      </x:c>
      <x:c r="AM54" s="12" t="n">
        <x:f>IF(ISNUMBER(U54),IF($I$162&gt;$H$162,(U54-$H$162)/($I$162-$H$162),"缺失"),"缺失")</x:f>
        <x:v>1</x:v>
      </x:c>
      <x:c r="AN54" s="12" t="n">
        <x:f>IF(ISNUMBER(V54),IF($I$163&gt;$H$163,(V54-$H$163)/($I$163-$H$163),"缺失"),"缺失")</x:f>
        <x:v>0</x:v>
      </x:c>
      <x:c r="AO54" s="23" t="str"/>
      <x:c r="AP54" s="23" t="str">
        <x:v>baseline_water_stress:有效县域面积覆盖&lt;99%（诊断提示，非行业阈值）；water_stress_2050_bau:有效县域面积覆盖&lt;99%（诊断提示，非行业阈值）</x:v>
      </x:c>
      <x:c r="AQ54" s="15" t="n">
        <x:v>0.9859335319834215</x:v>
      </x:c>
      <x:c r="AR54" s="15" t="n">
        <x:v>0.9860111773460238</x:v>
      </x:c>
      <x:c r="AS54" s="15" t="n">
        <x:v>1</x:v>
      </x:c>
      <x:c r="AT54" s="15" t="n">
        <x:v>1</x:v>
      </x:c>
    </x:row>
    <x:row r="55" ht="24" customHeight="1">
      <x:c r="A55" s="18" t="str">
        <x:v>51099</x:v>
      </x:c>
      <x:c r="B55" s="3" t="str">
        <x:v>King George County</x:v>
      </x:c>
      <x:c r="C55" s="3" t="str">
        <x:v>VA</x:v>
      </x:c>
      <x:c r="D55" s="12" t="n">
        <x:v>465.234037</x:v>
      </x:c>
      <x:c r="E55" s="12" t="n">
        <x:v>0.286</x:v>
      </x:c>
      <x:c r="F55" s="12" t="n">
        <x:v>0.20142326732673302</x:v>
      </x:c>
      <x:c r="G55" s="12" t="n">
        <x:v>3.257565567474323</x:v>
      </x:c>
      <x:c r="H55" s="12" t="n">
        <x:v>3.6330316164778633</x:v>
      </x:c>
      <x:c r="I55" s="12" t="n">
        <x:v>0.9209758184487638</x:v>
      </x:c>
      <x:c r="J55" s="12" t="n">
        <x:v>0.039479587465087944</x:v>
      </x:c>
      <x:c r="K55" s="12" t="n">
        <x:v>0.13617120577168026</x:v>
      </x:c>
      <x:c r="L55" s="24" t="n">
        <x:v>0.205967675</x:v>
      </x:c>
      <x:c r="M55" s="24" t="n">
        <x:v>0.188396187</x:v>
      </x:c>
      <x:c r="N55" s="13" t="n">
        <x:v>14625</x:v>
      </x:c>
      <x:c r="O55" s="12" t="n">
        <x:v>0.0528</x:v>
      </x:c>
      <x:c r="P55" s="12" t="n">
        <x:v>1212.2066243489585</x:v>
      </x:c>
      <x:c r="Q55" s="12" t="n">
        <x:v>25.848881975809732</x:v>
      </x:c>
      <x:c r="R55" s="12" t="n">
        <x:v>27.31736591173561</x:v>
      </x:c>
      <x:c r="S55" s="12" t="n">
        <x:v>10.832674151157459</x:v>
      </x:c>
      <x:c r="T55" s="12" t="n">
        <x:v>89.9</x:v>
      </x:c>
      <x:c r="U55" s="12" t="n">
        <x:v>245.07712999476223</x:v>
      </x:c>
      <x:c r="V55" s="12" t="n">
        <x:v>244.75798925963002</x:v>
      </x:c>
      <x:c r="W55" s="12" t="n">
        <x:f>IF(ISNUMBER(E55),IF($I$146&gt;$H$146,(E55-$H$146)/($I$146-$H$146),"缺失"),"缺失")</x:f>
        <x:v>0.27546296296296297</x:v>
      </x:c>
      <x:c r="X55" s="12" t="n">
        <x:f>IF(ISNUMBER(F55),IF($I$147&gt;$H$147,(F55-$H$147)/($I$147-$H$147),"缺失"),"缺失")</x:f>
        <x:v>0.19874015748031526</x:v>
      </x:c>
      <x:c r="Y55" s="12" t="n">
        <x:f>IF(ISNUMBER(G55),IF($I$148&gt;$H$148,(G55-$H$148)/($I$148-$H$148),"缺失"),"缺失")</x:f>
        <x:v>0.8565629332292996</x:v>
      </x:c>
      <x:c r="Z55" s="12" t="n">
        <x:f>IF(ISNUMBER(H55),IF($I$149&gt;$H$149,(H55-$H$149)/($I$149-$H$149),"缺失"),"缺失")</x:f>
        <x:v>0.8952165484990424</x:v>
      </x:c>
      <x:c r="AA55" s="12" t="n">
        <x:f>IF(ISNUMBER(I55),IF($I$150&gt;$H$150,(I55-$H$150)/($I$150-$H$150),"缺失"),"缺失")</x:f>
        <x:v>0.9243776318990359</x:v>
      </x:c>
      <x:c r="AB55" s="12" t="n">
        <x:f>IF(ISNUMBER(J55),IF($I$151&gt;$H$151,(J55-$H$151)/($I$151-$H$151),"缺失"),"缺失")</x:f>
        <x:v>0.09684319042715772</x:v>
      </x:c>
      <x:c r="AC55" s="12" t="n">
        <x:f>IF(ISNUMBER(K55),IF($I$152&gt;$H$152,(K55-$H$152)/($I$152-$H$152),"缺失"),"缺失")</x:f>
        <x:v>0.23410570756467045</x:v>
      </x:c>
      <x:c r="AD55" s="12" t="n">
        <x:f>IF(ISNUMBER(L55),IF($I$153&gt;$H$153,(L55-$H$153)/($I$153-$H$153),"缺失"),"缺失")</x:f>
        <x:v>0.20570496747805858</x:v>
      </x:c>
      <x:c r="AE55" s="12" t="n">
        <x:f>IF(ISNUMBER(M55),IF($I$154&gt;$H$154,(M55-$H$154)/($I$154-$H$154),"缺失"),"缺失")</x:f>
        <x:v>0.188396187</x:v>
      </x:c>
      <x:c r="AF55" s="12" t="n">
        <x:f>IF(ISNUMBER(N55),IF($I$155&gt;$H$155,(N55-$H$155)/($I$155-$H$155),"缺失"),"缺失")</x:f>
        <x:v>0.021641774821191766</x:v>
      </x:c>
      <x:c r="AG55" s="12" t="n">
        <x:f>IF(ISNUMBER(O55),IF($I$156&gt;$H$156,(O55-$H$156)/($I$156-$H$156),"缺失"),"缺失")</x:f>
        <x:v>0.05115244642135059</x:v>
      </x:c>
      <x:c r="AH55" s="12" t="n">
        <x:f>IF(ISNUMBER(P55),IF($I$157&gt;$H$157,(P55-$H$157)/($I$157-$H$157),"缺失"),"缺失")</x:f>
        <x:v>0.42126090969298635</x:v>
      </x:c>
      <x:c r="AI55" s="12" t="n">
        <x:f>IF(ISNUMBER(Q55),IF($I$158&gt;$H$158,(Q55-$H$158)/($I$158-$H$158),"缺失"),"缺失")</x:f>
        <x:v>0.30002382194888594</x:v>
      </x:c>
      <x:c r="AJ55" s="12" t="n">
        <x:f>IF(ISNUMBER(R55),IF($I$159&gt;$H$159,(R55-$H$159)/($I$159-$H$159),"缺失"),"缺失")</x:f>
        <x:v>0.2855525295366315</x:v>
      </x:c>
      <x:c r="AK55" s="12" t="n">
        <x:f>IF(ISNUMBER(S55),IF($I$160&gt;$H$160,(S55-$H$160)/($I$160-$H$160),"缺失"),"缺失")</x:f>
        <x:v>0.2113123767160311</x:v>
      </x:c>
      <x:c r="AL55" s="12" t="n">
        <x:f>IF(ISNUMBER(T55),IF($I$161&gt;$H$161,(T55-$H$161)/($I$161-$H$161),"缺失"),"缺失")</x:f>
        <x:v>1</x:v>
      </x:c>
      <x:c r="AM55" s="12" t="n">
        <x:f>IF(ISNUMBER(U55),IF($I$162&gt;$H$162,(U55-$H$162)/($I$162-$H$162),"缺失"),"缺失")</x:f>
        <x:v>1</x:v>
      </x:c>
      <x:c r="AN55" s="12" t="n">
        <x:f>IF(ISNUMBER(V55),IF($I$163&gt;$H$163,(V55-$H$163)/($I$163-$H$163),"缺失"),"缺失")</x:f>
        <x:v>0</x:v>
      </x:c>
      <x:c r="AO55" s="23" t="str"/>
      <x:c r="AP55" s="23" t="str">
        <x:v>见指标口径：州级、产业、代表点代理；气候基期待核实</x:v>
      </x:c>
      <x:c r="AQ55" s="15" t="n">
        <x:v>0.9952705332529422</x:v>
      </x:c>
      <x:c r="AR55" s="15" t="n">
        <x:v>0.9948769341638193</x:v>
      </x:c>
      <x:c r="AS55" s="15" t="n">
        <x:v>1</x:v>
      </x:c>
      <x:c r="AT55" s="15" t="n">
        <x:v>1</x:v>
      </x:c>
    </x:row>
    <x:row r="56" ht="24" customHeight="1">
      <x:c r="A56" s="18" t="str">
        <x:v>51101</x:v>
      </x:c>
      <x:c r="B56" s="3" t="str">
        <x:v>King William County</x:v>
      </x:c>
      <x:c r="C56" s="3" t="str">
        <x:v>VA</x:v>
      </x:c>
      <x:c r="D56" s="12" t="n">
        <x:v>709.424848</x:v>
      </x:c>
      <x:c r="E56" s="12" t="n">
        <x:v>0.281</x:v>
      </x:c>
      <x:c r="F56" s="12" t="n">
        <x:v>0.547648514851485</x:v>
      </x:c>
      <x:c r="G56" s="12" t="n">
        <x:v>2.0814965244870605</x:v>
      </x:c>
      <x:c r="H56" s="12" t="n">
        <x:v>2.4725835250387025</x:v>
      </x:c>
      <x:c r="I56" s="12" t="n">
        <x:v>0.9529207992768327</x:v>
      </x:c>
      <x:c r="J56" s="12" t="n">
        <x:v>0.015934771082937876</x:v>
      </x:c>
      <x:c r="K56" s="12" t="n">
        <x:v>0.17113778738629395</x:v>
      </x:c>
      <x:c r="L56" s="24" t="n">
        <x:v>0.247080376</x:v>
      </x:c>
      <x:c r="M56" s="24" t="n">
        <x:v>0.24627891</x:v>
      </x:c>
      <x:c r="N56" s="13" t="n">
        <x:v>10446</x:v>
      </x:c>
      <x:c r="O56" s="12" t="n">
        <x:v>0.0334</x:v>
      </x:c>
      <x:c r="P56" s="12" t="n">
        <x:v>1311.7197224934896</x:v>
      </x:c>
      <x:c r="Q56" s="12" t="n">
        <x:v>30.434492556254067</x:v>
      </x:c>
      <x:c r="R56" s="12" t="n">
        <x:v>22.24194607658253</x:v>
      </x:c>
      <x:c r="S56" s="12" t="n">
        <x:v>13.974350886928928</x:v>
      </x:c>
      <x:c r="T56" s="12" t="n">
        <x:v>89.9</x:v>
      </x:c>
      <x:c r="U56" s="12" t="n">
        <x:v>245.07712999476223</x:v>
      </x:c>
      <x:c r="V56" s="12" t="n">
        <x:v>244.75798925963002</x:v>
      </x:c>
      <x:c r="W56" s="12" t="n">
        <x:f>IF(ISNUMBER(E56),IF($I$146&gt;$H$146,(E56-$H$146)/($I$146-$H$146),"缺失"),"缺失")</x:f>
        <x:v>0.269675925925926</x:v>
      </x:c>
      <x:c r="X56" s="12" t="n">
        <x:f>IF(ISNUMBER(F56),IF($I$147&gt;$H$147,(F56-$H$147)/($I$147-$H$147),"缺失"),"缺失")</x:f>
        <x:v>0.5511811023622044</x:v>
      </x:c>
      <x:c r="Y56" s="12" t="n">
        <x:f>IF(ISNUMBER(G56),IF($I$148&gt;$H$148,(G56-$H$148)/($I$148-$H$148),"缺失"),"缺失")</x:f>
        <x:v>0.5471968272760053</x:v>
      </x:c>
      <x:c r="Z56" s="12" t="n">
        <x:f>IF(ISNUMBER(H56),IF($I$149&gt;$H$149,(H56-$H$149)/($I$149-$H$149),"缺失"),"缺失")</x:f>
        <x:v>0.6091339881681124</x:v>
      </x:c>
      <x:c r="AA56" s="12" t="n">
        <x:f>IF(ISNUMBER(I56),IF($I$150&gt;$H$150,(I56-$H$150)/($I$150-$H$150),"缺失"),"缺失")</x:f>
        <x:v>0.9586714107124683</x:v>
      </x:c>
      <x:c r="AB56" s="12" t="n">
        <x:f>IF(ISNUMBER(J56),IF($I$151&gt;$H$151,(J56-$H$151)/($I$151-$H$151),"缺失"),"缺失")</x:f>
        <x:v>0.039087897556243666</x:v>
      </x:c>
      <x:c r="AC56" s="12" t="n">
        <x:f>IF(ISNUMBER(K56),IF($I$152&gt;$H$152,(K56-$H$152)/($I$152-$H$152),"缺失"),"缺失")</x:f>
        <x:v>0.29422029848437103</x:v>
      </x:c>
      <x:c r="AD56" s="12" t="n">
        <x:f>IF(ISNUMBER(L56),IF($I$153&gt;$H$153,(L56-$H$153)/($I$153-$H$153),"缺失"),"缺失")</x:f>
        <x:v>0.24683127071497007</x:v>
      </x:c>
      <x:c r="AE56" s="12" t="n">
        <x:f>IF(ISNUMBER(M56),IF($I$154&gt;$H$154,(M56-$H$154)/($I$154-$H$154),"缺失"),"缺失")</x:f>
        <x:v>0.24627891</x:v>
      </x:c>
      <x:c r="AF56" s="12" t="n">
        <x:f>IF(ISNUMBER(N56),IF($I$155&gt;$H$155,(N56-$H$155)/($I$155-$H$155),"缺失"),"缺失")</x:f>
        <x:v>0.015152503315289462</x:v>
      </x:c>
      <x:c r="AG56" s="12" t="n">
        <x:f>IF(ISNUMBER(O56),IF($I$156&gt;$H$156,(O56-$H$156)/($I$156-$H$156),"缺失"),"缺失")</x:f>
        <x:v>0.03154063890012131</x:v>
      </x:c>
      <x:c r="AH56" s="12" t="n">
        <x:f>IF(ISNUMBER(P56),IF($I$157&gt;$H$157,(P56-$H$157)/($I$157-$H$157),"缺失"),"缺失")</x:f>
        <x:v>0.46602747862768995</x:v>
      </x:c>
      <x:c r="AI56" s="12" t="n">
        <x:f>IF(ISNUMBER(Q56),IF($I$158&gt;$H$158,(Q56-$H$158)/($I$158-$H$158),"缺失"),"缺失")</x:f>
        <x:v>0.35391206318488655</x:v>
      </x:c>
      <x:c r="AJ56" s="12" t="n">
        <x:f>IF(ISNUMBER(R56),IF($I$159&gt;$H$159,(R56-$H$159)/($I$159-$H$159),"缺失"),"缺失")</x:f>
        <x:v>0.23221774038576423</x:v>
      </x:c>
      <x:c r="AK56" s="12" t="n">
        <x:f>IF(ISNUMBER(S56),IF($I$160&gt;$H$160,(S56-$H$160)/($I$160-$H$160),"缺失"),"缺失")</x:f>
        <x:v>0.27264312146963515</x:v>
      </x:c>
      <x:c r="AL56" s="12" t="n">
        <x:f>IF(ISNUMBER(T56),IF($I$161&gt;$H$161,(T56-$H$161)/($I$161-$H$161),"缺失"),"缺失")</x:f>
        <x:v>1</x:v>
      </x:c>
      <x:c r="AM56" s="12" t="n">
        <x:f>IF(ISNUMBER(U56),IF($I$162&gt;$H$162,(U56-$H$162)/($I$162-$H$162),"缺失"),"缺失")</x:f>
        <x:v>1</x:v>
      </x:c>
      <x:c r="AN56" s="12" t="n">
        <x:f>IF(ISNUMBER(V56),IF($I$163&gt;$H$163,(V56-$H$163)/($I$163-$H$163),"缺失"),"缺失")</x:f>
        <x:v>0</x:v>
      </x:c>
      <x:c r="AO56" s="23" t="str"/>
      <x:c r="AP56" s="23" t="str">
        <x:v>见指标口径：州级、产业、代表点代理；气候基期待核实</x:v>
      </x:c>
      <x:c r="AQ56" s="15" t="n">
        <x:v>0.9987428087527254</x:v>
      </x:c>
      <x:c r="AR56" s="15" t="n">
        <x:v>0.9985443628525466</x:v>
      </x:c>
      <x:c r="AS56" s="15" t="n">
        <x:v>1</x:v>
      </x:c>
      <x:c r="AT56" s="15" t="n">
        <x:v>1</x:v>
      </x:c>
    </x:row>
    <x:row r="57" ht="24" customHeight="1">
      <x:c r="A57" s="18" t="str">
        <x:v>51103</x:v>
      </x:c>
      <x:c r="B57" s="3" t="str">
        <x:v>Lancaster County</x:v>
      </x:c>
      <x:c r="C57" s="3" t="str">
        <x:v>VA</x:v>
      </x:c>
      <x:c r="D57" s="12" t="n">
        <x:v>345.261478</x:v>
      </x:c>
      <x:c r="E57" s="12" t="n">
        <x:v>0.284</x:v>
      </x:c>
      <x:c r="F57" s="12" t="n">
        <x:v>0.024443069306930697</x:v>
      </x:c>
      <x:c r="G57" s="12" t="n">
        <x:v>3.588668060843457</x:v>
      </x:c>
      <x:c r="H57" s="12" t="n">
        <x:v>3.980139822</x:v>
      </x:c>
      <x:c r="I57" s="12" t="n">
        <x:v>0.9136941245645857</x:v>
      </x:c>
      <x:c r="J57" s="12" t="n">
        <x:v>0.0031179615195836095</x:v>
      </x:c>
      <x:c r="K57" s="12" t="n">
        <x:v>0.1220472544289543</x:v>
      </x:c>
      <x:c r="L57" s="24" t="n">
        <x:v>0.391812865</x:v>
      </x:c>
      <x:c r="M57" s="24" t="n">
        <x:v>0.391583534</x:v>
      </x:c>
      <x:c r="N57" s="13" t="n">
        <x:v>4591</x:v>
      </x:c>
      <x:c r="O57" s="12" t="n">
        <x:v>0.5075</x:v>
      </x:c>
      <x:c r="P57" s="12" t="n">
        <x:v>1375.9684488932292</x:v>
      </x:c>
      <x:c r="Q57" s="12" t="n">
        <x:v>24.8767946879069</x:v>
      </x:c>
      <x:c r="R57" s="12" t="n">
        <x:v>46.776990383923895</x:v>
      </x:c>
      <x:c r="S57" s="12" t="n">
        <x:v>39.14284856529532</x:v>
      </x:c>
      <x:c r="T57" s="12" t="n">
        <x:v>89.9</x:v>
      </x:c>
      <x:c r="U57" s="12" t="n">
        <x:v>245.07712999476223</x:v>
      </x:c>
      <x:c r="V57" s="12" t="n">
        <x:v>244.75798925963002</x:v>
      </x:c>
      <x:c r="W57" s="12" t="n">
        <x:f>IF(ISNUMBER(E57),IF($I$146&gt;$H$146,(E57-$H$146)/($I$146-$H$146),"缺失"),"缺失")</x:f>
        <x:v>0.27314814814814814</x:v>
      </x:c>
      <x:c r="X57" s="12" t="n">
        <x:f>IF(ISNUMBER(F57),IF($I$147&gt;$H$147,(F57-$H$147)/($I$147-$H$147),"缺失"),"缺失")</x:f>
        <x:v>0.01858267716535433</x:v>
      </x:c>
      <x:c r="Y57" s="12" t="n">
        <x:f>IF(ISNUMBER(G57),IF($I$148&gt;$H$148,(G57-$H$148)/($I$148-$H$148),"缺失"),"缺失")</x:f>
        <x:v>0.9436597662390812</x:v>
      </x:c>
      <x:c r="Z57" s="12" t="n">
        <x:f>IF(ISNUMBER(H57),IF($I$149&gt;$H$149,(H57-$H$149)/($I$149-$H$149),"缺失"),"缺失")</x:f>
        <x:v>0.9807883245054091</x:v>
      </x:c>
      <x:c r="AA57" s="12" t="n">
        <x:f>IF(ISNUMBER(I57),IF($I$150&gt;$H$150,(I57-$H$150)/($I$150-$H$150),"缺失"),"缺失")</x:f>
        <x:v>0.9165605416088545</x:v>
      </x:c>
      <x:c r="AB57" s="12" t="n">
        <x:f>IF(ISNUMBER(J57),IF($I$151&gt;$H$151,(J57-$H$151)/($I$151-$H$151),"缺失"),"缺失")</x:f>
        <x:v>0.007648340840759921</x:v>
      </x:c>
      <x:c r="AC57" s="12" t="n">
        <x:f>IF(ISNUMBER(K57),IF($I$152&gt;$H$152,(K57-$H$152)/($I$152-$H$152),"缺失"),"缺失")</x:f>
        <x:v>0.20982379272107363</x:v>
      </x:c>
      <x:c r="AD57" s="12" t="n">
        <x:f>IF(ISNUMBER(L57),IF($I$153&gt;$H$153,(L57-$H$153)/($I$153-$H$153),"缺失"),"缺失")</x:f>
        <x:v>0.39161164481023947</x:v>
      </x:c>
      <x:c r="AE57" s="12" t="n">
        <x:f>IF(ISNUMBER(M57),IF($I$154&gt;$H$154,(M57-$H$154)/($I$154-$H$154),"缺失"),"缺失")</x:f>
        <x:v>0.391583534</x:v>
      </x:c>
      <x:c r="AF57" s="12" t="n">
        <x:f>IF(ISNUMBER(N57),IF($I$155&gt;$H$155,(N57-$H$155)/($I$155-$H$155),"缺失"),"缺失")</x:f>
        <x:v>0.006060690760358144</x:v>
      </x:c>
      <x:c r="AG57" s="12" t="n">
        <x:f>IF(ISNUMBER(O57),IF($I$156&gt;$H$156,(O57-$H$156)/($I$156-$H$156),"缺失"),"缺失")</x:f>
        <x:v>0.51081682167408</x:v>
      </x:c>
      <x:c r="AH57" s="12" t="n">
        <x:f>IF(ISNUMBER(P57),IF($I$157&gt;$H$157,(P57-$H$157)/($I$157-$H$157),"缺失"),"缺失")</x:f>
        <x:v>0.49493015669689766</x:v>
      </x:c>
      <x:c r="AI57" s="12" t="n">
        <x:f>IF(ISNUMBER(Q57),IF($I$158&gt;$H$158,(Q57-$H$158)/($I$158-$H$158),"缺失"),"缺失")</x:f>
        <x:v>0.2886002452290587</x:v>
      </x:c>
      <x:c r="AJ57" s="12" t="n">
        <x:f>IF(ISNUMBER(R57),IF($I$159&gt;$H$159,(R57-$H$159)/($I$159-$H$159),"缺失"),"缺失")</x:f>
        <x:v>0.49004299572245297</x:v>
      </x:c>
      <x:c r="AK57" s="12" t="n">
        <x:f>IF(ISNUMBER(S57),IF($I$160&gt;$H$160,(S57-$H$160)/($I$160-$H$160),"缺失"),"缺失")</x:f>
        <x:v>0.7639739733577172</x:v>
      </x:c>
      <x:c r="AL57" s="12" t="n">
        <x:f>IF(ISNUMBER(T57),IF($I$161&gt;$H$161,(T57-$H$161)/($I$161-$H$161),"缺失"),"缺失")</x:f>
        <x:v>1</x:v>
      </x:c>
      <x:c r="AM57" s="12" t="n">
        <x:f>IF(ISNUMBER(U57),IF($I$162&gt;$H$162,(U57-$H$162)/($I$162-$H$162),"缺失"),"缺失")</x:f>
        <x:v>1</x:v>
      </x:c>
      <x:c r="AN57" s="12" t="n">
        <x:f>IF(ISNUMBER(V57),IF($I$163&gt;$H$163,(V57-$H$163)/($I$163-$H$163),"缺失"),"缺失")</x:f>
        <x:v>0</x:v>
      </x:c>
      <x:c r="AO57" s="23" t="str"/>
      <x:c r="AP57" s="23" t="str">
        <x:v>baseline_water_stress:有效县域面积覆盖&lt;99%（诊断提示，非行业阈值）；water_stress_2050_bau:有效县域面积覆盖&lt;99%（诊断提示，非行业阈值）</x:v>
      </x:c>
      <x:c r="AQ57" s="15" t="n">
        <x:v>0.649427951097343</x:v>
      </x:c>
      <x:c r="AR57" s="15" t="n">
        <x:v>0.6498362599589554</x:v>
      </x:c>
      <x:c r="AS57" s="15" t="n">
        <x:v>1</x:v>
      </x:c>
      <x:c r="AT57" s="15" t="n">
        <x:v>1</x:v>
      </x:c>
    </x:row>
    <x:row r="58" ht="24" customHeight="1">
      <x:c r="A58" s="18" t="str">
        <x:v>51105</x:v>
      </x:c>
      <x:c r="B58" s="3" t="str">
        <x:v>Lee County</x:v>
      </x:c>
      <x:c r="C58" s="3" t="str">
        <x:v>VA</x:v>
      </x:c>
      <x:c r="D58" s="12" t="n">
        <x:v>1127.622847</x:v>
      </x:c>
      <x:c r="E58" s="12" t="n">
        <x:v>0.88</x:v>
      </x:c>
      <x:c r="F58" s="12" t="n">
        <x:v>0.977413366336634</x:v>
      </x:c>
      <x:c r="G58" s="12" t="n">
        <x:v>2.001275857512737</x:v>
      </x:c>
      <x:c r="H58" s="12" t="n">
        <x:v>2.2156132504247847</x:v>
      </x:c>
      <x:c r="I58" s="12" t="n">
        <x:v>0.9556733652708522</x:v>
      </x:c>
      <x:c r="J58" s="12" t="n">
        <x:v>0.022298718380426578</x:v>
      </x:c>
      <x:c r="K58" s="12" t="n">
        <x:v>0.0005211528378164412</x:v>
      </x:c>
      <x:c r="L58" s="24" t="n">
        <x:v>0.98001704</x:v>
      </x:c>
      <x:c r="M58" s="24" t="n">
        <x:v>0.98001704</x:v>
      </x:c>
      <x:c r="N58" s="13" t="n">
        <x:v>7696</x:v>
      </x:c>
      <x:c r="O58" s="12" t="n">
        <x:v>0.8788</x:v>
      </x:c>
      <x:c r="P58" s="12" t="n">
        <x:v>628.5045267740885</x:v>
      </x:c>
      <x:c r="Q58" s="12" t="n">
        <x:v>4.332698305447896</x:v>
      </x:c>
      <x:c r="R58" s="12" t="n">
        <x:v>49.929879370971335</x:v>
      </x:c>
      <x:c r="S58" s="12" t="n">
        <x:v>3.416300055949287</x:v>
      </x:c>
      <x:c r="T58" s="12" t="n">
        <x:v>89.9</x:v>
      </x:c>
      <x:c r="U58" s="12" t="n">
        <x:v>245.07712999476223</x:v>
      </x:c>
      <x:c r="V58" s="12" t="n">
        <x:v>244.75798925963002</x:v>
      </x:c>
      <x:c r="W58" s="12" t="n">
        <x:f>IF(ISNUMBER(E58),IF($I$146&gt;$H$146,(E58-$H$146)/($I$146-$H$146),"缺失"),"缺失")</x:f>
        <x:v>0.9629629629629629</x:v>
      </x:c>
      <x:c r="X58" s="12" t="n">
        <x:f>IF(ISNUMBER(F58),IF($I$147&gt;$H$147,(F58-$H$147)/($I$147-$H$147),"缺失"),"缺失")</x:f>
        <x:v>0.9886614173228347</x:v>
      </x:c>
      <x:c r="Y58" s="12" t="n">
        <x:f>IF(ISNUMBER(G58),IF($I$148&gt;$H$148,(G58-$H$148)/($I$148-$H$148),"缺失"),"缺失")</x:f>
        <x:v>0.5260947027818642</x:v>
      </x:c>
      <x:c r="Z58" s="12" t="n">
        <x:f>IF(ISNUMBER(H58),IF($I$149&gt;$H$149,(H58-$H$149)/($I$149-$H$149),"缺失"),"缺失")</x:f>
        <x:v>0.545783705951421</x:v>
      </x:c>
      <x:c r="AA58" s="12" t="n">
        <x:f>IF(ISNUMBER(I58),IF($I$150&gt;$H$150,(I58-$H$150)/($I$150-$H$150),"缺失"),"缺失")</x:f>
        <x:v>0.9616263628495921</x:v>
      </x:c>
      <x:c r="AB58" s="12" t="n">
        <x:f>IF(ISNUMBER(J58),IF($I$151&gt;$H$151,(J58-$H$151)/($I$151-$H$151),"缺失"),"缺失")</x:f>
        <x:v>0.05469862197285761</x:v>
      </x:c>
      <x:c r="AC58" s="12" t="n">
        <x:f>IF(ISNUMBER(K58),IF($I$152&gt;$H$152,(K58-$H$152)/($I$152-$H$152),"缺失"),"缺失")</x:f>
        <x:v>0.0008959666116999857</x:v>
      </x:c>
      <x:c r="AD58" s="12" t="n">
        <x:f>IF(ISNUMBER(L58),IF($I$153&gt;$H$153,(L58-$H$153)/($I$153-$H$153),"缺失"),"缺失")</x:f>
        <x:v>0.9800104285891829</x:v>
      </x:c>
      <x:c r="AE58" s="12" t="n">
        <x:f>IF(ISNUMBER(M58),IF($I$154&gt;$H$154,(M58-$H$154)/($I$154-$H$154),"缺失"),"缺失")</x:f>
        <x:v>0.98001704</x:v>
      </x:c>
      <x:c r="AF58" s="12" t="n">
        <x:f>IF(ISNUMBER(N58),IF($I$155&gt;$H$155,(N58-$H$155)/($I$155-$H$155),"缺失"),"缺失")</x:f>
        <x:v>0.01088222414772992</x:v>
      </x:c>
      <x:c r="AG58" s="12" t="n">
        <x:f>IF(ISNUMBER(O58),IF($I$156&gt;$H$156,(O58-$H$156)/($I$156-$H$156),"缺失"),"缺失")</x:f>
        <x:v>0.886170642943793</x:v>
      </x:c>
      <x:c r="AH58" s="12" t="n">
        <x:f>IF(ISNUMBER(P58),IF($I$157&gt;$H$157,(P58-$H$157)/($I$157-$H$157),"缺失"),"缺失")</x:f>
        <x:v>0.15867899157739024</x:v>
      </x:c>
      <x:c r="AI58" s="12" t="n">
        <x:f>IF(ISNUMBER(Q58),IF($I$158&gt;$H$158,(Q58-$H$158)/($I$158-$H$158),"缺失"),"缺失")</x:f>
        <x:v>0.047174332057355314</x:v>
      </x:c>
      <x:c r="AJ58" s="12" t="n">
        <x:f>IF(ISNUMBER(R58),IF($I$159&gt;$H$159,(R58-$H$159)/($I$159-$H$159),"缺失"),"缺失")</x:f>
        <x:v>0.5231749680128192</x:v>
      </x:c>
      <x:c r="AK58" s="12" t="n">
        <x:f>IF(ISNUMBER(S58),IF($I$160&gt;$H$160,(S58-$H$160)/($I$160-$H$160),"缺失"),"缺失")</x:f>
        <x:v>0.06653244393317582</x:v>
      </x:c>
      <x:c r="AL58" s="12" t="n">
        <x:f>IF(ISNUMBER(T58),IF($I$161&gt;$H$161,(T58-$H$161)/($I$161-$H$161),"缺失"),"缺失")</x:f>
        <x:v>1</x:v>
      </x:c>
      <x:c r="AM58" s="12" t="n">
        <x:f>IF(ISNUMBER(U58),IF($I$162&gt;$H$162,(U58-$H$162)/($I$162-$H$162),"缺失"),"缺失")</x:f>
        <x:v>1</x:v>
      </x:c>
      <x:c r="AN58" s="12" t="n">
        <x:f>IF(ISNUMBER(V58),IF($I$163&gt;$H$163,(V58-$H$163)/($I$163-$H$163),"缺失"),"缺失")</x:f>
        <x:v>0</x:v>
      </x:c>
      <x:c r="AO58" s="23" t="str"/>
      <x:c r="AP58" s="23" t="str">
        <x:v>见指标口径：州级、产业、代表点代理；气候基期待核实</x:v>
      </x:c>
      <x:c r="AQ58" s="15" t="n">
        <x:v>1.0000000000000018</x:v>
      </x:c>
      <x:c r="AR58" s="15" t="n">
        <x:v>1.0000000000000018</x:v>
      </x:c>
      <x:c r="AS58" s="15" t="n">
        <x:v>1</x:v>
      </x:c>
      <x:c r="AT58" s="15" t="n">
        <x:v>1</x:v>
      </x:c>
    </x:row>
    <x:row r="59" ht="24" customHeight="1">
      <x:c r="A59" s="18" t="str">
        <x:v>51107</x:v>
      </x:c>
      <x:c r="B59" s="3" t="str">
        <x:v>Loudoun County</x:v>
      </x:c>
      <x:c r="C59" s="3" t="str">
        <x:v>VA</x:v>
      </x:c>
      <x:c r="D59" s="12" t="n">
        <x:v>1335.753659</x:v>
      </x:c>
      <x:c r="E59" s="12" t="n">
        <x:v>0.257</x:v>
      </x:c>
      <x:c r="F59" s="12" t="n">
        <x:v>0.18193069306930698</x:v>
      </x:c>
      <x:c r="G59" s="12" t="n">
        <x:v>0.30584796169175116</x:v>
      </x:c>
      <x:c r="H59" s="12" t="n">
        <x:v>0.5991993213842712</x:v>
      </x:c>
      <x:c r="I59" s="12" t="n">
        <x:v>0.775497584437608</x:v>
      </x:c>
      <x:c r="J59" s="12" t="n">
        <x:v>0.005182523833923948</x:v>
      </x:c>
      <x:c r="K59" s="12" t="n">
        <x:v>0.014989938223974398</x:v>
      </x:c>
      <x:c r="L59" s="24" t="n">
        <x:v>0.88441203</x:v>
      </x:c>
      <x:c r="M59" s="24" t="n">
        <x:v>0.543732968</x:v>
      </x:c>
      <x:c r="N59" s="13" t="n">
        <x:v>251392</x:v>
      </x:c>
      <x:c r="O59" s="12" t="n">
        <x:v>0.1059</x:v>
      </x:c>
      <x:c r="P59" s="12" t="n">
        <x:v>997.299871826172</x:v>
      </x:c>
      <x:c r="Q59" s="12" t="n">
        <x:v>19.235980987548828</x:v>
      </x:c>
      <x:c r="R59" s="12" t="n">
        <x:v>27.93260053074667</x:v>
      </x:c>
      <x:c r="S59" s="12" t="n">
        <x:v>20.260402329138174</x:v>
      </x:c>
      <x:c r="T59" s="12" t="n">
        <x:v>89.9</x:v>
      </x:c>
      <x:c r="U59" s="12" t="n">
        <x:v>245.07712999476223</x:v>
      </x:c>
      <x:c r="V59" s="12" t="n">
        <x:v>244.75798925963002</x:v>
      </x:c>
      <x:c r="W59" s="12" t="n">
        <x:f>IF(ISNUMBER(E59),IF($I$146&gt;$H$146,(E59-$H$146)/($I$146-$H$146),"缺失"),"缺失")</x:f>
        <x:v>0.24189814814814817</x:v>
      </x:c>
      <x:c r="X59" s="12" t="n">
        <x:f>IF(ISNUMBER(F59),IF($I$147&gt;$H$147,(F59-$H$147)/($I$147-$H$147),"缺失"),"缺失")</x:f>
        <x:v>0.1788976377952756</x:v>
      </x:c>
      <x:c r="Y59" s="12" t="n">
        <x:f>IF(ISNUMBER(G59),IF($I$148&gt;$H$148,(G59-$H$148)/($I$148-$H$148),"缺失"),"缺失")</x:f>
        <x:v>0.08011074530734842</x:v>
      </x:c>
      <x:c r="Z59" s="12" t="n">
        <x:f>IF(ISNUMBER(H59),IF($I$149&gt;$H$149,(H59-$H$149)/($I$149-$H$149),"缺失"),"缺失")</x:f>
        <x:v>0.1472929515730876</x:v>
      </x:c>
      <x:c r="AA59" s="12" t="n">
        <x:f>IF(ISNUMBER(I59),IF($I$150&gt;$H$150,(I59-$H$150)/($I$150-$H$150),"缺失"),"缺失")</x:f>
        <x:v>0.7682029136796502</x:v>
      </x:c>
      <x:c r="AB59" s="12" t="n">
        <x:f>IF(ISNUMBER(J59),IF($I$151&gt;$H$151,(J59-$H$151)/($I$151-$H$151),"缺失"),"缺失")</x:f>
        <x:v>0.01271269977138963</x:v>
      </x:c>
      <x:c r="AC59" s="12" t="n">
        <x:f>IF(ISNUMBER(K59),IF($I$152&gt;$H$152,(K59-$H$152)/($I$152-$H$152),"缺失"),"缺失")</x:f>
        <x:v>0.025770720574790164</x:v>
      </x:c>
      <x:c r="AD59" s="12" t="n">
        <x:f>IF(ISNUMBER(L59),IF($I$153&gt;$H$153,(L59-$H$153)/($I$153-$H$153),"缺失"),"缺失")</x:f>
        <x:v>0.8843737874395792</x:v>
      </x:c>
      <x:c r="AE59" s="12" t="n">
        <x:f>IF(ISNUMBER(M59),IF($I$154&gt;$H$154,(M59-$H$154)/($I$154-$H$154),"缺失"),"缺失")</x:f>
        <x:v>0.543732968</x:v>
      </x:c>
      <x:c r="AF59" s="12" t="n">
        <x:f>IF(ISNUMBER(N59),IF($I$155&gt;$H$155,(N59-$H$155)/($I$155-$H$155),"缺失"),"缺失")</x:f>
        <x:v>0.38930038851776283</x:v>
      </x:c>
      <x:c r="AG59" s="12" t="n">
        <x:f>IF(ISNUMBER(O59),IF($I$156&gt;$H$156,(O59-$H$156)/($I$156-$H$156),"缺失"),"缺失")</x:f>
        <x:v>0.10483218762636475</x:v>
      </x:c>
      <x:c r="AH59" s="12" t="n">
        <x:f>IF(ISNUMBER(P59),IF($I$157&gt;$H$157,(P59-$H$157)/($I$157-$H$157),"缺失"),"缺失")</x:f>
        <x:v>0.3245838075755166</x:v>
      </x:c>
      <x:c r="AI59" s="12" t="n">
        <x:f>IF(ISNUMBER(Q59),IF($I$158&gt;$H$158,(Q59-$H$158)/($I$158-$H$158),"缺失"),"缺失")</x:f>
        <x:v>0.22231168362538697</x:v>
      </x:c>
      <x:c r="AJ59" s="12" t="n">
        <x:f>IF(ISNUMBER(R59),IF($I$159&gt;$H$159,(R59-$H$159)/($I$159-$H$159),"缺失"),"缺失")</x:f>
        <x:v>0.2920176909910591</x:v>
      </x:c>
      <x:c r="AK59" s="12" t="n">
        <x:f>IF(ISNUMBER(S59),IF($I$160&gt;$H$160,(S59-$H$160)/($I$160-$H$160),"缺失"),"缺失")</x:f>
        <x:v>0.3953572798426129</x:v>
      </x:c>
      <x:c r="AL59" s="12" t="n">
        <x:f>IF(ISNUMBER(T59),IF($I$161&gt;$H$161,(T59-$H$161)/($I$161-$H$161),"缺失"),"缺失")</x:f>
        <x:v>1</x:v>
      </x:c>
      <x:c r="AM59" s="12" t="n">
        <x:f>IF(ISNUMBER(U59),IF($I$162&gt;$H$162,(U59-$H$162)/($I$162-$H$162),"缺失"),"缺失")</x:f>
        <x:v>1</x:v>
      </x:c>
      <x:c r="AN59" s="12" t="n">
        <x:f>IF(ISNUMBER(V59),IF($I$163&gt;$H$163,(V59-$H$163)/($I$163-$H$163),"缺失"),"缺失")</x:f>
        <x:v>0</x:v>
      </x:c>
      <x:c r="AO59" s="23" t="str"/>
      <x:c r="AP59" s="23" t="str">
        <x:v>见指标口径：州级、产业、代表点代理；气候基期待核实</x:v>
      </x:c>
      <x:c r="AQ59" s="15" t="n">
        <x:v>1.0000000000000044</x:v>
      </x:c>
      <x:c r="AR59" s="15" t="n">
        <x:v>1.0000000000000115</x:v>
      </x:c>
      <x:c r="AS59" s="15" t="n">
        <x:v>1</x:v>
      </x:c>
      <x:c r="AT59" s="15" t="n">
        <x:v>1</x:v>
      </x:c>
    </x:row>
    <x:row r="60" ht="24" customHeight="1">
      <x:c r="A60" s="18" t="str">
        <x:v>51109</x:v>
      </x:c>
      <x:c r="B60" s="3" t="str">
        <x:v>Louisa County</x:v>
      </x:c>
      <x:c r="C60" s="3" t="str">
        <x:v>VA</x:v>
      </x:c>
      <x:c r="D60" s="12" t="n">
        <x:v>1282.060817</x:v>
      </x:c>
      <x:c r="E60" s="12" t="n">
        <x:v>0.324</x:v>
      </x:c>
      <x:c r="F60" s="12" t="n">
        <x:v>0.250309405940594</x:v>
      </x:c>
      <x:c r="G60" s="12" t="n">
        <x:v>1.6099517707712563</x:v>
      </x:c>
      <x:c r="H60" s="12" t="n">
        <x:v>2.027948601505541</x:v>
      </x:c>
      <x:c r="I60" s="12" t="n">
        <x:v>0.9506268490982029</x:v>
      </x:c>
      <x:c r="J60" s="12" t="n">
        <x:v>0</x:v>
      </x:c>
      <x:c r="K60" s="12" t="n">
        <x:v>0.044483944705539305</x:v>
      </x:c>
      <x:c r="L60" s="24" t="n">
        <x:v>0.836318139</x:v>
      </x:c>
      <x:c r="M60" s="24" t="n">
        <x:v>0.835729356</x:v>
      </x:c>
      <x:c r="N60" s="13" t="n">
        <x:v>19010</x:v>
      </x:c>
      <x:c r="O60" s="12" t="n">
        <x:v>0.2542</x:v>
      </x:c>
      <x:c r="P60" s="12" t="n">
        <x:v>1092.4930033365886</x:v>
      </x:c>
      <x:c r="Q60" s="12" t="n">
        <x:v>24.22855428059896</x:v>
      </x:c>
      <x:c r="R60" s="12" t="n">
        <x:v>11.21605077648374</x:v>
      </x:c>
      <x:c r="S60" s="12" t="n">
        <x:v>4.9779033183004575</x:v>
      </x:c>
      <x:c r="T60" s="12" t="n">
        <x:v>89.9</x:v>
      </x:c>
      <x:c r="U60" s="12" t="n">
        <x:v>245.07712999476223</x:v>
      </x:c>
      <x:c r="V60" s="12" t="n">
        <x:v>244.75798925963002</x:v>
      </x:c>
      <x:c r="W60" s="12" t="n">
        <x:f>IF(ISNUMBER(E60),IF($I$146&gt;$H$146,(E60-$H$146)/($I$146-$H$146),"缺失"),"缺失")</x:f>
        <x:v>0.3194444444444445</x:v>
      </x:c>
      <x:c r="X60" s="12" t="n">
        <x:f>IF(ISNUMBER(F60),IF($I$147&gt;$H$147,(F60-$H$147)/($I$147-$H$147),"缺失"),"缺失")</x:f>
        <x:v>0.24850393700787388</x:v>
      </x:c>
      <x:c r="Y60" s="12" t="n">
        <x:f>IF(ISNUMBER(G60),IF($I$148&gt;$H$148,(G60-$H$148)/($I$148-$H$148),"缺失"),"缺失")</x:f>
        <x:v>0.4231565210460049</x:v>
      </x:c>
      <x:c r="Z60" s="12" t="n">
        <x:f>IF(ISNUMBER(H60),IF($I$149&gt;$H$149,(H60-$H$149)/($I$149-$H$149),"缺失"),"缺失")</x:f>
        <x:v>0.49951917792773287</x:v>
      </x:c>
      <x:c r="AA60" s="12" t="n">
        <x:f>IF(ISNUMBER(I60),IF($I$150&gt;$H$150,(I60-$H$150)/($I$150-$H$150),"缺失"),"缺失")</x:f>
        <x:v>0.9562087947397632</x:v>
      </x:c>
      <x:c r="AB60" s="12" t="n">
        <x:f>IF(ISNUMBER(J60),IF($I$151&gt;$H$151,(J60-$H$151)/($I$151-$H$151),"缺失"),"缺失")</x:f>
        <x:v>0</x:v>
      </x:c>
      <x:c r="AC60" s="12" t="n">
        <x:f>IF(ISNUMBER(K60),IF($I$152&gt;$H$152,(K60-$H$152)/($I$152-$H$152),"缺失"),"缺失")</x:f>
        <x:v>0.07647685346944147</x:v>
      </x:c>
      <x:c r="AD60" s="12" t="n">
        <x:f>IF(ISNUMBER(L60),IF($I$153&gt;$H$153,(L60-$H$153)/($I$153-$H$153),"缺失"),"缺失")</x:f>
        <x:v>0.8362639844590118</x:v>
      </x:c>
      <x:c r="AE60" s="12" t="n">
        <x:f>IF(ISNUMBER(M60),IF($I$154&gt;$H$154,(M60-$H$154)/($I$154-$H$154),"缺失"),"缺失")</x:f>
        <x:v>0.835729356</x:v>
      </x:c>
      <x:c r="AF60" s="12" t="n">
        <x:f>IF(ISNUMBER(N60),IF($I$155&gt;$H$155,(N60-$H$155)/($I$155-$H$155),"缺失"),"缺失")</x:f>
        <x:v>0.02845092905746398</x:v>
      </x:c>
      <x:c r="AG60" s="12" t="n">
        <x:f>IF(ISNUMBER(O60),IF($I$156&gt;$H$156,(O60-$H$156)/($I$156-$H$156),"缺失"),"缺失")</x:f>
        <x:v>0.2547513141932875</x:v>
      </x:c>
      <x:c r="AH60" s="12" t="n">
        <x:f>IF(ISNUMBER(P60),IF($I$157&gt;$H$157,(P60-$H$157)/($I$157-$H$157),"缺失"),"缺失")</x:f>
        <x:v>0.367407013397951</x:v>
      </x:c>
      <x:c r="AI60" s="12" t="n">
        <x:f>IF(ISNUMBER(Q60),IF($I$158&gt;$H$158,(Q60-$H$158)/($I$158-$H$158),"缺失"),"缺失")</x:f>
        <x:v>0.28098238609446363</x:v>
      </x:c>
      <x:c r="AJ60" s="12" t="n">
        <x:f>IF(ISNUMBER(R60),IF($I$159&gt;$H$159,(R60-$H$159)/($I$159-$H$159),"缺失"),"缺失")</x:f>
        <x:v>0.11635268485729475</x:v>
      </x:c>
      <x:c r="AK60" s="12" t="n">
        <x:f>IF(ISNUMBER(S60),IF($I$160&gt;$H$160,(S60-$H$160)/($I$160-$H$160),"缺失"),"缺失")</x:f>
        <x:v>0.09701753172058519</x:v>
      </x:c>
      <x:c r="AL60" s="12" t="n">
        <x:f>IF(ISNUMBER(T60),IF($I$161&gt;$H$161,(T60-$H$161)/($I$161-$H$161),"缺失"),"缺失")</x:f>
        <x:v>1</x:v>
      </x:c>
      <x:c r="AM60" s="12" t="n">
        <x:f>IF(ISNUMBER(U60),IF($I$162&gt;$H$162,(U60-$H$162)/($I$162-$H$162),"缺失"),"缺失")</x:f>
        <x:v>1</x:v>
      </x:c>
      <x:c r="AN60" s="12" t="n">
        <x:f>IF(ISNUMBER(V60),IF($I$163&gt;$H$163,(V60-$H$163)/($I$163-$H$163),"缺失"),"缺失")</x:f>
        <x:v>0</x:v>
      </x:c>
      <x:c r="AO60" s="23" t="str"/>
      <x:c r="AP60" s="23" t="str">
        <x:v>见指标口径：州级、产业、代表点代理；气候基期待核实</x:v>
      </x:c>
      <x:c r="AQ60" s="15" t="n">
        <x:v>1.0000000000000027</x:v>
      </x:c>
      <x:c r="AR60" s="15" t="n">
        <x:v>1.0000000000000004</x:v>
      </x:c>
      <x:c r="AS60" s="15" t="n">
        <x:v>1</x:v>
      </x:c>
      <x:c r="AT60" s="15" t="n">
        <x:v>1</x:v>
      </x:c>
    </x:row>
    <x:row r="61" ht="24" customHeight="1">
      <x:c r="A61" s="18" t="str">
        <x:v>51111</x:v>
      </x:c>
      <x:c r="B61" s="3" t="str">
        <x:v>Lunenburg County</x:v>
      </x:c>
      <x:c r="C61" s="3" t="str">
        <x:v>VA</x:v>
      </x:c>
      <x:c r="D61" s="12" t="n">
        <x:v>1118.097708</x:v>
      </x:c>
      <x:c r="E61" s="12" t="n">
        <x:v>0.281</x:v>
      </x:c>
      <x:c r="F61" s="12" t="n">
        <x:v>0.07611386138613861</x:v>
      </x:c>
      <x:c r="G61" s="12" t="n">
        <x:v>3.7200344643590295</x:v>
      </x:c>
      <x:c r="H61" s="12" t="n">
        <x:v>4.057469242611486</x:v>
      </x:c>
      <x:c r="I61" s="12" t="n">
        <x:v>0.9658813343716294</x:v>
      </x:c>
      <x:c r="J61" s="12" t="n">
        <x:v>0</x:v>
      </x:c>
      <x:c r="K61" s="12" t="n">
        <x:v>0.024265333004432104</x:v>
      </x:c>
      <x:c r="L61" s="24" t="n">
        <x:v>0.402107112</x:v>
      </x:c>
      <x:c r="M61" s="24" t="n">
        <x:v>0.401814457</x:v>
      </x:c>
      <x:c r="N61" s="13" t="n">
        <x:v>4657</x:v>
      </x:c>
      <x:c r="O61" s="12" t="n">
        <x:v>0.9243</x:v>
      </x:c>
      <x:c r="P61" s="12" t="n">
        <x:v>1203.7986165364584</x:v>
      </x:c>
      <x:c r="Q61" s="12" t="n">
        <x:v>27.000377655029297</x:v>
      </x:c>
      <x:c r="R61" s="12" t="n">
        <x:v>24.82588443343591</x:v>
      </x:c>
      <x:c r="S61" s="12" t="n">
        <x:v>19.65242553168688</x:v>
      </x:c>
      <x:c r="T61" s="12" t="n">
        <x:v>89.9</x:v>
      </x:c>
      <x:c r="U61" s="12" t="n">
        <x:v>245.07712999476223</x:v>
      </x:c>
      <x:c r="V61" s="12" t="n">
        <x:v>244.75798925963002</x:v>
      </x:c>
      <x:c r="W61" s="12" t="n">
        <x:f>IF(ISNUMBER(E61),IF($I$146&gt;$H$146,(E61-$H$146)/($I$146-$H$146),"缺失"),"缺失")</x:f>
        <x:v>0.269675925925926</x:v>
      </x:c>
      <x:c r="X61" s="12" t="n">
        <x:f>IF(ISNUMBER(F61),IF($I$147&gt;$H$147,(F61-$H$147)/($I$147-$H$147),"缺失"),"缺失")</x:f>
        <x:v>0.0711811023622047</x:v>
      </x:c>
      <x:c r="Y61" s="12" t="n">
        <x:f>IF(ISNUMBER(G61),IF($I$148&gt;$H$148,(G61-$H$148)/($I$148-$H$148),"缺失"),"缺失")</x:f>
        <x:v>0.9782158264899945</x:v>
      </x:c>
      <x:c r="Z61" s="12" t="n">
        <x:f>IF(ISNUMBER(H61),IF($I$149&gt;$H$149,(H61-$H$149)/($I$149-$H$149),"缺失"),"缺失")</x:f>
        <x:v>0.9998521661374852</x:v>
      </x:c>
      <x:c r="AA61" s="12" t="n">
        <x:f>IF(ISNUMBER(I61),IF($I$150&gt;$H$150,(I61-$H$150)/($I$150-$H$150),"缺失"),"缺失")</x:f>
        <x:v>0.9725848867053588</x:v>
      </x:c>
      <x:c r="AB61" s="12" t="n">
        <x:f>IF(ISNUMBER(J61),IF($I$151&gt;$H$151,(J61-$H$151)/($I$151-$H$151),"缺失"),"缺失")</x:f>
        <x:v>0</x:v>
      </x:c>
      <x:c r="AC61" s="12" t="n">
        <x:f>IF(ISNUMBER(K61),IF($I$152&gt;$H$152,(K61-$H$152)/($I$152-$H$152),"缺失"),"缺失")</x:f>
        <x:v>0.04171699090202477</x:v>
      </x:c>
      <x:c r="AD61" s="12" t="n">
        <x:f>IF(ISNUMBER(L61),IF($I$153&gt;$H$153,(L61-$H$153)/($I$153-$H$153),"缺失"),"缺失")</x:f>
        <x:v>0.4019092976868448</x:v>
      </x:c>
      <x:c r="AE61" s="12" t="n">
        <x:f>IF(ISNUMBER(M61),IF($I$154&gt;$H$154,(M61-$H$154)/($I$154-$H$154),"缺失"),"缺失")</x:f>
        <x:v>0.401814457</x:v>
      </x:c>
      <x:c r="AF61" s="12" t="n">
        <x:f>IF(ISNUMBER(N61),IF($I$155&gt;$H$155,(N61-$H$155)/($I$155-$H$155),"缺失"),"缺失")</x:f>
        <x:v>0.006163177460379574</x:v>
      </x:c>
      <x:c r="AG61" s="12" t="n">
        <x:f>IF(ISNUMBER(O61),IF($I$156&gt;$H$156,(O61-$H$156)/($I$156-$H$156),"缺失"),"缺失")</x:f>
        <x:v>0.9321674080064699</x:v>
      </x:c>
      <x:c r="AH61" s="12" t="n">
        <x:f>IF(ISNUMBER(P61),IF($I$157&gt;$H$157,(P61-$H$157)/($I$157-$H$157),"缺失"),"缺失")</x:f>
        <x:v>0.41747851653711116</x:v>
      </x:c>
      <x:c r="AI61" s="12" t="n">
        <x:f>IF(ISNUMBER(Q61),IF($I$158&gt;$H$158,(Q61-$H$158)/($I$158-$H$158),"缺失"),"缺失")</x:f>
        <x:v>0.31355573353523425</x:v>
      </x:c>
      <x:c r="AJ61" s="12" t="n">
        <x:f>IF(ISNUMBER(R61),IF($I$159&gt;$H$159,(R61-$H$159)/($I$159-$H$159),"缺失"),"缺失")</x:f>
        <x:v>0.25937092414547913</x:v>
      </x:c>
      <x:c r="AK61" s="12" t="n">
        <x:f>IF(ISNUMBER(S61),IF($I$160&gt;$H$160,(S61-$H$160)/($I$160-$H$160),"缺失"),"缺失")</x:f>
        <x:v>0.38348856357526506</x:v>
      </x:c>
      <x:c r="AL61" s="12" t="n">
        <x:f>IF(ISNUMBER(T61),IF($I$161&gt;$H$161,(T61-$H$161)/($I$161-$H$161),"缺失"),"缺失")</x:f>
        <x:v>1</x:v>
      </x:c>
      <x:c r="AM61" s="12" t="n">
        <x:f>IF(ISNUMBER(U61),IF($I$162&gt;$H$162,(U61-$H$162)/($I$162-$H$162),"缺失"),"缺失")</x:f>
        <x:v>1</x:v>
      </x:c>
      <x:c r="AN61" s="12" t="n">
        <x:f>IF(ISNUMBER(V61),IF($I$163&gt;$H$163,(V61-$H$163)/($I$163-$H$163),"缺失"),"缺失")</x:f>
        <x:v>0</x:v>
      </x:c>
      <x:c r="AO61" s="23" t="str"/>
      <x:c r="AP61" s="23" t="str">
        <x:v>见指标口径：州级、产业、代表点代理；气候基期待核实</x:v>
      </x:c>
      <x:c r="AQ61" s="15" t="n">
        <x:v>1.0000000000000027</x:v>
      </x:c>
      <x:c r="AR61" s="15" t="n">
        <x:v>1.0000000000000027</x:v>
      </x:c>
      <x:c r="AS61" s="15" t="n">
        <x:v>1</x:v>
      </x:c>
      <x:c r="AT61" s="15" t="n">
        <x:v>1</x:v>
      </x:c>
    </x:row>
    <x:row r="62" ht="24" customHeight="1">
      <x:c r="A62" s="18" t="str">
        <x:v>51113</x:v>
      </x:c>
      <x:c r="B62" s="3" t="str">
        <x:v>Madison County</x:v>
      </x:c>
      <x:c r="C62" s="3" t="str">
        <x:v>VA</x:v>
      </x:c>
      <x:c r="D62" s="12" t="n">
        <x:v>830.4505</x:v>
      </x:c>
      <x:c r="E62" s="12" t="n">
        <x:v>0.438</x:v>
      </x:c>
      <x:c r="F62" s="12" t="n">
        <x:v>0.525680693069307</x:v>
      </x:c>
      <x:c r="G62" s="12" t="n">
        <x:v>2.7033073239404533</x:v>
      </x:c>
      <x:c r="H62" s="12" t="n">
        <x:v>3.0524606262862064</x:v>
      </x:c>
      <x:c r="I62" s="12" t="n">
        <x:v>0.9778680602552654</x:v>
      </x:c>
      <x:c r="J62" s="12" t="n">
        <x:v>0.19948959284140338</x:v>
      </x:c>
      <x:c r="K62" s="12" t="n">
        <x:v>0.0023783835208292343</x:v>
      </x:c>
      <x:c r="L62" s="24" t="n">
        <x:v>0.512705135</x:v>
      </x:c>
      <x:c r="M62" s="24" t="n">
        <x:v>0.512175754</x:v>
      </x:c>
      <x:c r="N62" s="13" t="n">
        <x:v>7104</x:v>
      </x:c>
      <x:c r="O62" s="12" t="n">
        <x:v>0.1594</x:v>
      </x:c>
      <x:c r="P62" s="12" t="n">
        <x:v>940.4681803385416</x:v>
      </x:c>
      <x:c r="Q62" s="12" t="n">
        <x:v>14.455788707733154</x:v>
      </x:c>
      <x:c r="R62" s="12" t="n">
        <x:v>43.425068970607114</x:v>
      </x:c>
      <x:c r="S62" s="12" t="n">
        <x:v>21.274940731496475</x:v>
      </x:c>
      <x:c r="T62" s="12" t="n">
        <x:v>89.9</x:v>
      </x:c>
      <x:c r="U62" s="12" t="n">
        <x:v>245.07712999476223</x:v>
      </x:c>
      <x:c r="V62" s="12" t="n">
        <x:v>244.75798925963002</x:v>
      </x:c>
      <x:c r="W62" s="12" t="n">
        <x:f>IF(ISNUMBER(E62),IF($I$146&gt;$H$146,(E62-$H$146)/($I$146-$H$146),"缺失"),"缺失")</x:f>
        <x:v>0.4513888888888889</x:v>
      </x:c>
      <x:c r="X62" s="12" t="n">
        <x:f>IF(ISNUMBER(F62),IF($I$147&gt;$H$147,(F62-$H$147)/($I$147-$H$147),"缺失"),"缺失")</x:f>
        <x:v>0.5288188976377952</x:v>
      </x:c>
      <x:c r="Y62" s="12" t="n">
        <x:f>IF(ISNUMBER(G62),IF($I$148&gt;$H$148,(G62-$H$148)/($I$148-$H$148),"缺失"),"缺失")</x:f>
        <x:v>0.7107647630308488</x:v>
      </x:c>
      <x:c r="Z62" s="12" t="n">
        <x:f>IF(ISNUMBER(H62),IF($I$149&gt;$H$149,(H62-$H$149)/($I$149-$H$149),"缺失"),"缺失")</x:f>
        <x:v>0.7520897369223953</x:v>
      </x:c>
      <x:c r="AA62" s="12" t="n">
        <x:f>IF(ISNUMBER(I62),IF($I$150&gt;$H$150,(I62-$H$150)/($I$150-$H$150),"缺失"),"缺失")</x:f>
        <x:v>0.9854529528457983</x:v>
      </x:c>
      <x:c r="AB62" s="12" t="n">
        <x:f>IF(ISNUMBER(J62),IF($I$151&gt;$H$151,(J62-$H$151)/($I$151-$H$151),"缺失"),"缺失")</x:f>
        <x:v>0.4893467705269284</x:v>
      </x:c>
      <x:c r="AC62" s="12" t="n">
        <x:f>IF(ISNUMBER(K62),IF($I$152&gt;$H$152,(K62-$H$152)/($I$152-$H$152),"缺失"),"缺失")</x:f>
        <x:v>0.004088919928765712</x:v>
      </x:c>
      <x:c r="AD62" s="12" t="n">
        <x:f>IF(ISNUMBER(L62),IF($I$153&gt;$H$153,(L62-$H$153)/($I$153-$H$153),"缺失"),"缺失")</x:f>
        <x:v>0.5125439123111896</x:v>
      </x:c>
      <x:c r="AE62" s="12" t="n">
        <x:f>IF(ISNUMBER(M62),IF($I$154&gt;$H$154,(M62-$H$154)/($I$154-$H$154),"缺失"),"缺失")</x:f>
        <x:v>0.512175754</x:v>
      </x:c>
      <x:c r="AF62" s="12" t="n">
        <x:f>IF(ISNUMBER(N62),IF($I$155&gt;$H$155,(N62-$H$155)/($I$155-$H$155),"缺失"),"缺失")</x:f>
        <x:v>0.009962949505113465</x:v>
      </x:c>
      <x:c r="AG62" s="12" t="n">
        <x:f>IF(ISNUMBER(O62),IF($I$156&gt;$H$156,(O62-$H$156)/($I$156-$H$156),"缺失"),"缺失")</x:f>
        <x:v>0.15891629599676504</x:v>
      </x:c>
      <x:c r="AH62" s="12" t="n">
        <x:f>IF(ISNUMBER(P62),IF($I$157&gt;$H$157,(P62-$H$157)/($I$157-$H$157),"缺失"),"缺失")</x:f>
        <x:v>0.29901772751074235</x:v>
      </x:c>
      <x:c r="AI62" s="12" t="n">
        <x:f>IF(ISNUMBER(Q62),IF($I$158&gt;$H$158,(Q62-$H$158)/($I$158-$H$158),"缺失"),"缺失")</x:f>
        <x:v>0.16613679694231098</x:v>
      </x:c>
      <x:c r="AJ62" s="12" t="n">
        <x:f>IF(ISNUMBER(R62),IF($I$159&gt;$H$159,(R62-$H$159)/($I$159-$H$159),"缺失"),"缺失")</x:f>
        <x:v>0.454819501383854</x:v>
      </x:c>
      <x:c r="AK62" s="12" t="n">
        <x:f>IF(ISNUMBER(S62),IF($I$160&gt;$H$160,(S62-$H$160)/($I$160-$H$160),"缺失"),"缺失")</x:f>
        <x:v>0.4151627534896292</x:v>
      </x:c>
      <x:c r="AL62" s="12" t="n">
        <x:f>IF(ISNUMBER(T62),IF($I$161&gt;$H$161,(T62-$H$161)/($I$161-$H$161),"缺失"),"缺失")</x:f>
        <x:v>1</x:v>
      </x:c>
      <x:c r="AM62" s="12" t="n">
        <x:f>IF(ISNUMBER(U62),IF($I$162&gt;$H$162,(U62-$H$162)/($I$162-$H$162),"缺失"),"缺失")</x:f>
        <x:v>1</x:v>
      </x:c>
      <x:c r="AN62" s="12" t="n">
        <x:f>IF(ISNUMBER(V62),IF($I$163&gt;$H$163,(V62-$H$163)/($I$163-$H$163),"缺失"),"缺失")</x:f>
        <x:v>0</x:v>
      </x:c>
      <x:c r="AO62" s="23" t="str"/>
      <x:c r="AP62" s="23" t="str">
        <x:v>见指标口径：州级、产业、代表点代理；气候基期待核实</x:v>
      </x:c>
      <x:c r="AQ62" s="15" t="n">
        <x:v>1.0000000000000016</x:v>
      </x:c>
      <x:c r="AR62" s="15" t="n">
        <x:v>1.0000000000000018</x:v>
      </x:c>
      <x:c r="AS62" s="15" t="n">
        <x:v>1</x:v>
      </x:c>
      <x:c r="AT62" s="15" t="n">
        <x:v>1</x:v>
      </x:c>
    </x:row>
    <x:row r="63" ht="24" customHeight="1">
      <x:c r="A63" s="18" t="str">
        <x:v>51115</x:v>
      </x:c>
      <x:c r="B63" s="3" t="str">
        <x:v>Mathews County</x:v>
      </x:c>
      <x:c r="C63" s="3" t="str">
        <x:v>VA</x:v>
      </x:c>
      <x:c r="D63" s="12" t="n">
        <x:v>222.508057</x:v>
      </x:c>
      <x:c r="E63" s="12" t="n">
        <x:v>0.393</x:v>
      </x:c>
      <x:c r="F63" s="12" t="n">
        <x:v>0.0402227722772277</x:v>
      </x:c>
      <x:c r="G63" s="12" t="n">
        <x:v>2.8441451824923965</x:v>
      </x:c>
      <x:c r="H63" s="12" t="n">
        <x:v>3.186925486</x:v>
      </x:c>
      <x:c r="I63" s="12" t="n">
        <x:v>0.9196245257296782</x:v>
      </x:c>
      <x:c r="J63" s="12" t="n">
        <x:v>0.00527067192864568</x:v>
      </x:c>
      <x:c r="K63" s="12" t="n">
        <x:v>0.4862892761526206</x:v>
      </x:c>
      <x:c r="L63" s="24" t="n">
        <x:v>0.000330743</x:v>
      </x:c>
      <x:c r="M63" s="24" t="n">
        <x:v>0.000330743</x:v>
      </x:c>
      <x:c r="N63" s="13" t="n">
        <x:v>3633</x:v>
      </x:c>
      <x:c r="O63" s="12" t="n">
        <x:v>0.1002</x:v>
      </x:c>
      <x:c r="P63" s="12" t="n">
        <x:v>1376.9960774739584</x:v>
      </x:c>
      <x:c r="Q63" s="12" t="n">
        <x:v>21.17136262257894</x:v>
      </x:c>
      <x:c r="R63" s="12" t="n">
        <x:v>36.470774751398714</x:v>
      </x:c>
      <x:c r="S63" s="12" t="n">
        <x:v>26.586071720238387</x:v>
      </x:c>
      <x:c r="T63" s="12" t="n">
        <x:v>89.9</x:v>
      </x:c>
      <x:c r="U63" s="12" t="n">
        <x:v>245.07712999476223</x:v>
      </x:c>
      <x:c r="V63" s="12" t="n">
        <x:v>244.75798925963002</x:v>
      </x:c>
      <x:c r="W63" s="12" t="n">
        <x:f>IF(ISNUMBER(E63),IF($I$146&gt;$H$146,(E63-$H$146)/($I$146-$H$146),"缺失"),"缺失")</x:f>
        <x:v>0.3993055555555556</x:v>
      </x:c>
      <x:c r="X63" s="12" t="n">
        <x:f>IF(ISNUMBER(F63),IF($I$147&gt;$H$147,(F63-$H$147)/($I$147-$H$147),"缺失"),"缺失")</x:f>
        <x:v>0.03464566929133855</x:v>
      </x:c>
      <x:c r="Y63" s="12" t="n">
        <x:f>IF(ISNUMBER(G63),IF($I$148&gt;$H$148,(G63-$H$148)/($I$148-$H$148),"缺失"),"缺失")</x:f>
        <x:v>0.7478122987438414</x:v>
      </x:c>
      <x:c r="Z63" s="12" t="n">
        <x:f>IF(ISNUMBER(H63),IF($I$149&gt;$H$149,(H63-$H$149)/($I$149-$H$149),"缺失"),"缺失")</x:f>
        <x:v>0.7852390450433249</x:v>
      </x:c>
      <x:c r="AA63" s="12" t="n">
        <x:f>IF(ISNUMBER(I63),IF($I$150&gt;$H$150,(I63-$H$150)/($I$150-$H$150),"缺失"),"缺失")</x:f>
        <x:v>0.9229269835524323</x:v>
      </x:c>
      <x:c r="AB63" s="12" t="n">
        <x:f>IF(ISNUMBER(J63),IF($I$151&gt;$H$151,(J63-$H$151)/($I$151-$H$151),"缺失"),"缺失")</x:f>
        <x:v>0.012928926517185208</x:v>
      </x:c>
      <x:c r="AC63" s="12" t="n">
        <x:f>IF(ISNUMBER(K63),IF($I$152&gt;$H$152,(K63-$H$152)/($I$152-$H$152),"缺失"),"缺失")</x:f>
        <x:v>0.836029132808757</x:v>
      </x:c>
      <x:c r="AD63" s="12" t="n">
        <x:f>IF(ISNUMBER(L63),IF($I$153&gt;$H$153,(L63-$H$153)/($I$153-$H$153),"缺失"),"缺失")</x:f>
        <x:v>0</x:v>
      </x:c>
      <x:c r="AE63" s="12" t="n">
        <x:f>IF(ISNUMBER(M63),IF($I$154&gt;$H$154,(M63-$H$154)/($I$154-$H$154),"缺失"),"缺失")</x:f>
        <x:v>0.000330743</x:v>
      </x:c>
      <x:c r="AF63" s="12" t="n">
        <x:f>IF(ISNUMBER(N63),IF($I$155&gt;$H$155,(N63-$H$155)/($I$155-$H$155),"缺失"),"缺失")</x:f>
        <x:v>0.00457308078125922</x:v>
      </x:c>
      <x:c r="AG63" s="12" t="n">
        <x:f>IF(ISNUMBER(O63),IF($I$156&gt;$H$156,(O63-$H$156)/($I$156-$H$156),"缺失"),"缺失")</x:f>
        <x:v>0.09906995551961181</x:v>
      </x:c>
      <x:c r="AH63" s="12" t="n">
        <x:f>IF(ISNUMBER(P63),IF($I$157&gt;$H$157,(P63-$H$157)/($I$157-$H$157),"缺失"),"缺失")</x:f>
        <x:v>0.4953924416277887</x:v>
      </x:c>
      <x:c r="AI63" s="12" t="n">
        <x:f>IF(ISNUMBER(Q63),IF($I$158&gt;$H$158,(Q63-$H$158)/($I$158-$H$158),"缺失"),"缺失")</x:f>
        <x:v>0.24505550598069087</x:v>
      </x:c>
      <x:c r="AJ63" s="12" t="n">
        <x:f>IF(ISNUMBER(R63),IF($I$159&gt;$H$159,(R63-$H$159)/($I$159-$H$159),"缺失"),"缺失")</x:f>
        <x:v>0.38174065708694904</x:v>
      </x:c>
      <x:c r="AK63" s="12" t="n">
        <x:f>IF(ISNUMBER(S63),IF($I$160&gt;$H$160,(S63-$H$160)/($I$160-$H$160),"缺失"),"缺失")</x:f>
        <x:v>0.5188448463398025</x:v>
      </x:c>
      <x:c r="AL63" s="12" t="n">
        <x:f>IF(ISNUMBER(T63),IF($I$161&gt;$H$161,(T63-$H$161)/($I$161-$H$161),"缺失"),"缺失")</x:f>
        <x:v>1</x:v>
      </x:c>
      <x:c r="AM63" s="12" t="n">
        <x:f>IF(ISNUMBER(U63),IF($I$162&gt;$H$162,(U63-$H$162)/($I$162-$H$162),"缺失"),"缺失")</x:f>
        <x:v>1</x:v>
      </x:c>
      <x:c r="AN63" s="12" t="n">
        <x:f>IF(ISNUMBER(V63),IF($I$163&gt;$H$163,(V63-$H$163)/($I$163-$H$163),"缺失"),"缺失")</x:f>
        <x:v>0</x:v>
      </x:c>
      <x:c r="AO63" s="23" t="str"/>
      <x:c r="AP63" s="23" t="str">
        <x:v>baseline_water_stress:有效县域面积覆盖&lt;99%（诊断提示，非行业阈值）；water_stress_2050_bau:有效县域面积覆盖&lt;99%（诊断提示，非行业阈值）</x:v>
      </x:c>
      <x:c r="AQ63" s="15" t="n">
        <x:v>0.40859975482682376</x:v>
      </x:c>
      <x:c r="AR63" s="15" t="n">
        <x:v>0.4084291893593349</x:v>
      </x:c>
      <x:c r="AS63" s="15" t="n">
        <x:v>1</x:v>
      </x:c>
      <x:c r="AT63" s="15" t="n">
        <x:v>1</x:v>
      </x:c>
    </x:row>
    <x:row r="64" ht="24" customHeight="1">
      <x:c r="A64" s="18" t="str">
        <x:v>51117</x:v>
      </x:c>
      <x:c r="B64" s="3" t="str">
        <x:v>Mecklenburg County</x:v>
      </x:c>
      <x:c r="C64" s="3" t="str">
        <x:v>VA</x:v>
      </x:c>
      <x:c r="D64" s="12" t="n">
        <x:v>1619.544369</x:v>
      </x:c>
      <x:c r="E64" s="12" t="n">
        <x:v>0.272</x:v>
      </x:c>
      <x:c r="F64" s="12" t="n">
        <x:v>0.244740099009901</x:v>
      </x:c>
      <x:c r="G64" s="12" t="n">
        <x:v>2.9155926156362466</x:v>
      </x:c>
      <x:c r="H64" s="12" t="n">
        <x:v>3.2937689596338533</x:v>
      </x:c>
      <x:c r="I64" s="12" t="n">
        <x:v>0.9340191626702506</x:v>
      </x:c>
      <x:c r="J64" s="12" t="n">
        <x:v>0.0000022357632336752278</x:v>
      </x:c>
      <x:c r="K64" s="12" t="n">
        <x:v>0.03416865788629195</x:v>
      </x:c>
      <x:c r="L64" s="24" t="n">
        <x:v>0.628632082</x:v>
      </x:c>
      <x:c r="M64" s="24" t="n">
        <x:v>0.615894918</x:v>
      </x:c>
      <x:c r="N64" s="13" t="n">
        <x:v>14034</x:v>
      </x:c>
      <x:c r="O64" s="12" t="n">
        <x:v>0.7308</x:v>
      </x:c>
      <x:c r="P64" s="12" t="n">
        <x:v>1328.502530924479</x:v>
      </x:c>
      <x:c r="Q64" s="12" t="n">
        <x:v>34.30938320159912</x:v>
      </x:c>
      <x:c r="R64" s="12" t="n">
        <x:v>21.230614380244045</x:v>
      </x:c>
      <x:c r="S64" s="12" t="n">
        <x:v>10.262045936736506</x:v>
      </x:c>
      <x:c r="T64" s="12" t="n">
        <x:v>89.9</x:v>
      </x:c>
      <x:c r="U64" s="12" t="n">
        <x:v>245.07712999476223</x:v>
      </x:c>
      <x:c r="V64" s="12" t="n">
        <x:v>244.75798925963002</x:v>
      </x:c>
      <x:c r="W64" s="12" t="n">
        <x:f>IF(ISNUMBER(E64),IF($I$146&gt;$H$146,(E64-$H$146)/($I$146-$H$146),"缺失"),"缺失")</x:f>
        <x:v>0.2592592592592593</x:v>
      </x:c>
      <x:c r="X64" s="12" t="n">
        <x:f>IF(ISNUMBER(F64),IF($I$147&gt;$H$147,(F64-$H$147)/($I$147-$H$147),"缺失"),"缺失")</x:f>
        <x:v>0.2428346456692913</x:v>
      </x:c>
      <x:c r="Y64" s="12" t="n">
        <x:f>IF(ISNUMBER(G64),IF($I$148&gt;$H$148,(G64-$H$148)/($I$148-$H$148),"缺失"),"缺失")</x:f>
        <x:v>0.7666066155434126</x:v>
      </x:c>
      <x:c r="Z64" s="12" t="n">
        <x:f>IF(ISNUMBER(H64),IF($I$149&gt;$H$149,(H64-$H$149)/($I$149-$H$149),"缺失"),"缺失")</x:f>
        <x:v>0.8115789173024242</x:v>
      </x:c>
      <x:c r="AA64" s="12" t="n">
        <x:f>IF(ISNUMBER(I64),IF($I$150&gt;$H$150,(I64-$H$150)/($I$150-$H$150),"缺失"),"缺失")</x:f>
        <x:v>0.9383800056718228</x:v>
      </x:c>
      <x:c r="AB64" s="12" t="n">
        <x:f>IF(ISNUMBER(J64),IF($I$151&gt;$H$151,(J64-$H$151)/($I$151-$H$151),"缺失"),"缺失")</x:f>
        <x:v>0.0000054843137553125824</x:v>
      </x:c>
      <x:c r="AC64" s="12" t="n">
        <x:f>IF(ISNUMBER(K64),IF($I$152&gt;$H$152,(K64-$H$152)/($I$152-$H$152),"缺失"),"缺失")</x:f>
        <x:v>0.0587427994462917</x:v>
      </x:c>
      <x:c r="AD64" s="12" t="n">
        <x:f>IF(ISNUMBER(L64),IF($I$153&gt;$H$153,(L64-$H$153)/($I$153-$H$153),"缺失"),"缺失")</x:f>
        <x:v>0.6285092140229736</x:v>
      </x:c>
      <x:c r="AE64" s="12" t="n">
        <x:f>IF(ISNUMBER(M64),IF($I$154&gt;$H$154,(M64-$H$154)/($I$154-$H$154),"缺失"),"缺失")</x:f>
        <x:v>0.615894918</x:v>
      </x:c>
      <x:c r="AF64" s="12" t="n">
        <x:f>IF(ISNUMBER(N64),IF($I$155&gt;$H$155,(N64-$H$155)/($I$155-$H$155),"缺失"),"缺失")</x:f>
        <x:v>0.020724053007363515</x:v>
      </x:c>
      <x:c r="AG64" s="12" t="n">
        <x:f>IF(ISNUMBER(O64),IF($I$156&gt;$H$156,(O64-$H$156)/($I$156-$H$156),"缺失"),"缺失")</x:f>
        <x:v>0.7365547917509099</x:v>
      </x:c>
      <x:c r="AH64" s="12" t="n">
        <x:f>IF(ISNUMBER(P64),IF($I$157&gt;$H$157,(P64-$H$157)/($I$157-$H$157),"缺失"),"缺失")</x:f>
        <x:v>0.47357732648241785</x:v>
      </x:c>
      <x:c r="AI64" s="12" t="n">
        <x:f>IF(ISNUMBER(Q64),IF($I$158&gt;$H$158,(Q64-$H$158)/($I$158-$H$158),"缺失"),"缺失")</x:f>
        <x:v>0.399448211140835</x:v>
      </x:c>
      <x:c r="AJ64" s="12" t="n">
        <x:f>IF(ISNUMBER(R64),IF($I$159&gt;$H$159,(R64-$H$159)/($I$159-$H$159),"缺失"),"缺失")</x:f>
        <x:v>0.22159021309980229</x:v>
      </x:c>
      <x:c r="AK64" s="12" t="n">
        <x:f>IF(ISNUMBER(S64),IF($I$160&gt;$H$160,(S64-$H$160)/($I$160-$H$160),"缺失"),"缺失")</x:f>
        <x:v>0.20017276678437387</x:v>
      </x:c>
      <x:c r="AL64" s="12" t="n">
        <x:f>IF(ISNUMBER(T64),IF($I$161&gt;$H$161,(T64-$H$161)/($I$161-$H$161),"缺失"),"缺失")</x:f>
        <x:v>1</x:v>
      </x:c>
      <x:c r="AM64" s="12" t="n">
        <x:f>IF(ISNUMBER(U64),IF($I$162&gt;$H$162,(U64-$H$162)/($I$162-$H$162),"缺失"),"缺失")</x:f>
        <x:v>1</x:v>
      </x:c>
      <x:c r="AN64" s="12" t="n">
        <x:f>IF(ISNUMBER(V64),IF($I$163&gt;$H$163,(V64-$H$163)/($I$163-$H$163),"缺失"),"缺失")</x:f>
        <x:v>0</x:v>
      </x:c>
      <x:c r="AO64" s="23" t="str"/>
      <x:c r="AP64" s="23" t="str">
        <x:v>见指标口径：州级、产业、代表点代理；气候基期待核实</x:v>
      </x:c>
      <x:c r="AQ64" s="15" t="n">
        <x:v>1.0000000000000029</x:v>
      </x:c>
      <x:c r="AR64" s="15" t="n">
        <x:v>1.000000000000001</x:v>
      </x:c>
      <x:c r="AS64" s="15" t="n">
        <x:v>1</x:v>
      </x:c>
      <x:c r="AT64" s="15" t="n">
        <x:v>1</x:v>
      </x:c>
    </x:row>
    <x:row r="65" ht="24" customHeight="1">
      <x:c r="A65" s="18" t="str">
        <x:v>51119</x:v>
      </x:c>
      <x:c r="B65" s="3" t="str">
        <x:v>Middlesex County</x:v>
      </x:c>
      <x:c r="C65" s="3" t="str">
        <x:v>VA</x:v>
      </x:c>
      <x:c r="D65" s="12" t="n">
        <x:v>337.554146</x:v>
      </x:c>
      <x:c r="E65" s="12" t="n">
        <x:v>0.325</x:v>
      </x:c>
      <x:c r="F65" s="12" t="n">
        <x:v>0.0136138613861386</x:v>
      </x:c>
      <x:c r="G65" s="12" t="n">
        <x:v>2.8441451824923965</x:v>
      </x:c>
      <x:c r="H65" s="12" t="n">
        <x:v>3.186925486</x:v>
      </x:c>
      <x:c r="I65" s="12" t="n">
        <x:v>0.9082033129792217</x:v>
      </x:c>
      <x:c r="J65" s="12" t="n">
        <x:v>0.030917001729425814</x:v>
      </x:c>
      <x:c r="K65" s="12" t="n">
        <x:v>0.10947107826886676</x:v>
      </x:c>
      <x:c r="L65" s="24" t="n">
        <x:v>0.096233322</x:v>
      </x:c>
      <x:c r="M65" s="24" t="n">
        <x:v>0.096233322</x:v>
      </x:c>
      <x:c r="N65" s="13" t="n">
        <x:v>4689</x:v>
      </x:c>
      <x:c r="O65" s="12" t="n">
        <x:v>0.3042</x:v>
      </x:c>
      <x:c r="P65" s="12" t="n">
        <x:v>1372.0758463541667</x:v>
      </x:c>
      <x:c r="Q65" s="12" t="n">
        <x:v>27.102623875935873</x:v>
      </x:c>
      <x:c r="R65" s="12" t="n">
        <x:v>31.89481055624999</x:v>
      </x:c>
      <x:c r="S65" s="12" t="n">
        <x:v>25.395622142656524</x:v>
      </x:c>
      <x:c r="T65" s="12" t="n">
        <x:v>89.9</x:v>
      </x:c>
      <x:c r="U65" s="12" t="n">
        <x:v>245.07712999476223</x:v>
      </x:c>
      <x:c r="V65" s="12" t="n">
        <x:v>244.75798925963002</x:v>
      </x:c>
      <x:c r="W65" s="12" t="n">
        <x:f>IF(ISNUMBER(E65),IF($I$146&gt;$H$146,(E65-$H$146)/($I$146-$H$146),"缺失"),"缺失")</x:f>
        <x:v>0.32060185185185186</x:v>
      </x:c>
      <x:c r="X65" s="12" t="n">
        <x:f>IF(ISNUMBER(F65),IF($I$147&gt;$H$147,(F65-$H$147)/($I$147-$H$147),"缺失"),"缺失")</x:f>
        <x:v>0.007559055118110218</x:v>
      </x:c>
      <x:c r="Y65" s="12" t="n">
        <x:f>IF(ISNUMBER(G65),IF($I$148&gt;$H$148,(G65-$H$148)/($I$148-$H$148),"缺失"),"缺失")</x:f>
        <x:v>0.7478122987438414</x:v>
      </x:c>
      <x:c r="Z65" s="12" t="n">
        <x:f>IF(ISNUMBER(H65),IF($I$149&gt;$H$149,(H65-$H$149)/($I$149-$H$149),"缺失"),"缺失")</x:f>
        <x:v>0.7852390450433249</x:v>
      </x:c>
      <x:c r="AA65" s="12" t="n">
        <x:f>IF(ISNUMBER(I65),IF($I$150&gt;$H$150,(I65-$H$150)/($I$150-$H$150),"缺失"),"缺失")</x:f>
        <x:v>0.9106660106642859</x:v>
      </x:c>
      <x:c r="AB65" s="12" t="n">
        <x:f>IF(ISNUMBER(J65),IF($I$151&gt;$H$151,(J65-$H$151)/($I$151-$H$151),"缺失"),"缺失")</x:f>
        <x:v>0.07583921915514573</x:v>
      </x:c>
      <x:c r="AC65" s="12" t="n">
        <x:f>IF(ISNUMBER(K65),IF($I$152&gt;$H$152,(K65-$H$152)/($I$152-$H$152),"缺失"),"缺失")</x:f>
        <x:v>0.18820281491059782</x:v>
      </x:c>
      <x:c r="AD65" s="12" t="n">
        <x:f>IF(ISNUMBER(L65),IF($I$153&gt;$H$153,(L65-$H$153)/($I$153-$H$153),"缺失"),"缺失")</x:f>
        <x:v>0.09593430860102964</x:v>
      </x:c>
      <x:c r="AE65" s="12" t="n">
        <x:f>IF(ISNUMBER(M65),IF($I$154&gt;$H$154,(M65-$H$154)/($I$154-$H$154),"缺失"),"缺失")</x:f>
        <x:v>0.096233322</x:v>
      </x:c>
      <x:c r="AF65" s="12" t="n">
        <x:f>IF(ISNUMBER(N65),IF($I$155&gt;$H$155,(N65-$H$155)/($I$155-$H$155),"缺失"),"缺失")</x:f>
        <x:v>0.006212867981602085</x:v>
      </x:c>
      <x:c r="AG65" s="12" t="n">
        <x:f>IF(ISNUMBER(O65),IF($I$156&gt;$H$156,(O65-$H$156)/($I$156-$H$156),"缺失"),"缺失")</x:f>
        <x:v>0.3052972098665589</x:v>
      </x:c>
      <x:c r="AH65" s="12" t="n">
        <x:f>IF(ISNUMBER(P65),IF($I$157&gt;$H$157,(P65-$H$157)/($I$157-$H$157),"缺失"),"缺失")</x:f>
        <x:v>0.4931790459069668</x:v>
      </x:c>
      <x:c r="AI65" s="12" t="n">
        <x:f>IF(ISNUMBER(Q65),IF($I$158&gt;$H$158,(Q65-$H$158)/($I$158-$H$158),"缺失"),"缺失")</x:f>
        <x:v>0.31475728977753276</x:v>
      </x:c>
      <x:c r="AJ65" s="12" t="n">
        <x:f>IF(ISNUMBER(R65),IF($I$159&gt;$H$159,(R65-$H$159)/($I$159-$H$159),"缺失"),"缺失")</x:f>
        <x:v>0.3336543719249228</x:v>
      </x:c>
      <x:c r="AK65" s="12" t="n">
        <x:f>IF(ISNUMBER(S65),IF($I$160&gt;$H$160,(S65-$H$160)/($I$160-$H$160),"缺失"),"缺失")</x:f>
        <x:v>0.49560529455734315</x:v>
      </x:c>
      <x:c r="AL65" s="12" t="n">
        <x:f>IF(ISNUMBER(T65),IF($I$161&gt;$H$161,(T65-$H$161)/($I$161-$H$161),"缺失"),"缺失")</x:f>
        <x:v>1</x:v>
      </x:c>
      <x:c r="AM65" s="12" t="n">
        <x:f>IF(ISNUMBER(U65),IF($I$162&gt;$H$162,(U65-$H$162)/($I$162-$H$162),"缺失"),"缺失")</x:f>
        <x:v>1</x:v>
      </x:c>
      <x:c r="AN65" s="12" t="n">
        <x:f>IF(ISNUMBER(V65),IF($I$163&gt;$H$163,(V65-$H$163)/($I$163-$H$163),"缺失"),"缺失")</x:f>
        <x:v>0</x:v>
      </x:c>
      <x:c r="AO65" s="23" t="str"/>
      <x:c r="AP65" s="23" t="str">
        <x:v>baseline_water_stress:有效县域面积覆盖&lt;99%（诊断提示，非行业阈值）；water_stress_2050_bau:有效县域面积覆盖&lt;99%（诊断提示，非行业阈值）</x:v>
      </x:c>
      <x:c r="AQ65" s="15" t="n">
        <x:v>0.6908903277941036</x:v>
      </x:c>
      <x:c r="AR65" s="15" t="n">
        <x:v>0.6891644987015683</x:v>
      </x:c>
      <x:c r="AS65" s="15" t="n">
        <x:v>1</x:v>
      </x:c>
      <x:c r="AT65" s="15" t="n">
        <x:v>1</x:v>
      </x:c>
    </x:row>
    <x:row r="66" ht="24" customHeight="1">
      <x:c r="A66" s="18" t="str">
        <x:v>51121</x:v>
      </x:c>
      <x:c r="B66" s="3" t="str">
        <x:v>Montgomery County</x:v>
      </x:c>
      <x:c r="C66" s="3" t="str">
        <x:v>VA</x:v>
      </x:c>
      <x:c r="D66" s="12" t="n">
        <x:v>1001.932837</x:v>
      </x:c>
      <x:c r="E66" s="12" t="n">
        <x:v>0.609</x:v>
      </x:c>
      <x:c r="F66" s="12" t="n">
        <x:v>0.0949876237623762</x:v>
      </x:c>
      <x:c r="G66" s="12" t="n">
        <x:v>2.3507141756198107</x:v>
      </x:c>
      <x:c r="H66" s="12" t="n">
        <x:v>2.7357481181823413</x:v>
      </x:c>
      <x:c r="I66" s="12" t="n">
        <x:v>0.8861537138125943</x:v>
      </x:c>
      <x:c r="J66" s="12" t="n">
        <x:v>0.049047183879881724</x:v>
      </x:c>
      <x:c r="K66" s="12" t="n">
        <x:v>0.00009587847985118226</x:v>
      </x:c>
      <x:c r="L66" s="24" t="n">
        <x:v>0.100022884</x:v>
      </x:c>
      <x:c r="M66" s="24" t="n">
        <x:v>0.092637667</x:v>
      </x:c>
      <x:c r="N66" s="13" t="n">
        <x:v>49724</x:v>
      </x:c>
      <x:c r="O66" s="12" t="n">
        <x:v>0.2873</x:v>
      </x:c>
      <x:c r="P66" s="12" t="n">
        <x:v>572.5667765299479</x:v>
      </x:c>
      <x:c r="Q66" s="12" t="n">
        <x:v>3.36243360042572</x:v>
      </x:c>
      <x:c r="R66" s="12" t="n">
        <x:v>4.869711669965158</x:v>
      </x:c>
      <x:c r="S66" s="12" t="n">
        <x:v>0.5912830902187589</x:v>
      </x:c>
      <x:c r="T66" s="12" t="n">
        <x:v>89.9</x:v>
      </x:c>
      <x:c r="U66" s="12" t="n">
        <x:v>245.07712999476223</x:v>
      </x:c>
      <x:c r="V66" s="12" t="n">
        <x:v>244.75798925963002</x:v>
      </x:c>
      <x:c r="W66" s="12" t="n">
        <x:f>IF(ISNUMBER(E66),IF($I$146&gt;$H$146,(E66-$H$146)/($I$146-$H$146),"缺失"),"缺失")</x:f>
        <x:v>0.6493055555555555</x:v>
      </x:c>
      <x:c r="X66" s="12" t="n">
        <x:f>IF(ISNUMBER(F66),IF($I$147&gt;$H$147,(F66-$H$147)/($I$147-$H$147),"缺失"),"缺失")</x:f>
        <x:v>0.09039370078740151</x:v>
      </x:c>
      <x:c r="Y66" s="12" t="n">
        <x:f>IF(ISNUMBER(G66),IF($I$148&gt;$H$148,(G66-$H$148)/($I$148-$H$148),"缺失"),"缺失")</x:f>
        <x:v>0.6180147923278525</x:v>
      </x:c>
      <x:c r="Z66" s="12" t="n">
        <x:f>IF(ISNUMBER(H66),IF($I$149&gt;$H$149,(H66-$H$149)/($I$149-$H$149),"缺失"),"缺失")</x:f>
        <x:v>0.6740113412788498</x:v>
      </x:c>
      <x:c r="AA66" s="12" t="n">
        <x:f>IF(ISNUMBER(I66),IF($I$150&gt;$H$150,(I66-$H$150)/($I$150-$H$150),"缺失"),"缺失")</x:f>
        <x:v>0.8869951848524028</x:v>
      </x:c>
      <x:c r="AB66" s="12" t="n">
        <x:f>IF(ISNUMBER(J66),IF($I$151&gt;$H$151,(J66-$H$151)/($I$151-$H$151),"缺失"),"缺失")</x:f>
        <x:v>0.12031244684599507</x:v>
      </x:c>
      <x:c r="AC66" s="12" t="n">
        <x:f>IF(ISNUMBER(K66),IF($I$152&gt;$H$152,(K66-$H$152)/($I$152-$H$152),"缺失"),"缺失")</x:f>
        <x:v>0.00016483440268143742</x:v>
      </x:c>
      <x:c r="AD66" s="12" t="n">
        <x:f>IF(ISNUMBER(L66),IF($I$153&gt;$H$153,(L66-$H$153)/($I$153-$H$153),"缺失"),"缺失")</x:f>
        <x:v>0.09972512438681508</x:v>
      </x:c>
      <x:c r="AE66" s="12" t="n">
        <x:f>IF(ISNUMBER(M66),IF($I$154&gt;$H$154,(M66-$H$154)/($I$154-$H$154),"缺失"),"缺失")</x:f>
        <x:v>0.092637667</x:v>
      </x:c>
      <x:c r="AF66" s="12" t="n">
        <x:f>IF(ISNUMBER(N66),IF($I$155&gt;$H$155,(N66-$H$155)/($I$155-$H$155),"缺失"),"缺失")</x:f>
        <x:v>0.07614451245834537</x:v>
      </x:c>
      <x:c r="AG66" s="12" t="n">
        <x:f>IF(ISNUMBER(O66),IF($I$156&gt;$H$156,(O66-$H$156)/($I$156-$H$156),"缺失"),"缺失")</x:f>
        <x:v>0.28821269712899317</x:v>
      </x:c>
      <x:c r="AH66" s="12" t="n">
        <x:f>IF(ISNUMBER(P66),IF($I$157&gt;$H$157,(P66-$H$157)/($I$157-$H$157),"缺失"),"缺失")</x:f>
        <x:v>0.1335150563864711</x:v>
      </x:c>
      <x:c r="AI66" s="12" t="n">
        <x:f>IF(ISNUMBER(Q66),IF($I$158&gt;$H$158,(Q66-$H$158)/($I$158-$H$158),"缺失"),"缺失")</x:f>
        <x:v>0.035772173594534946</x:v>
      </x:c>
      <x:c r="AJ66" s="12" t="n">
        <x:f>IF(ISNUMBER(R66),IF($I$159&gt;$H$159,(R66-$H$159)/($I$159-$H$159),"缺失"),"缺失")</x:f>
        <x:v>0.04966250569581797</x:v>
      </x:c>
      <x:c r="AK66" s="12" t="n">
        <x:f>IF(ISNUMBER(S66),IF($I$160&gt;$H$160,(S66-$H$160)/($I$160-$H$160),"缺失"),"缺失")</x:f>
        <x:v>0.011383423514538063</x:v>
      </x:c>
      <x:c r="AL66" s="12" t="n">
        <x:f>IF(ISNUMBER(T66),IF($I$161&gt;$H$161,(T66-$H$161)/($I$161-$H$161),"缺失"),"缺失")</x:f>
        <x:v>1</x:v>
      </x:c>
      <x:c r="AM66" s="12" t="n">
        <x:f>IF(ISNUMBER(U66),IF($I$162&gt;$H$162,(U66-$H$162)/($I$162-$H$162),"缺失"),"缺失")</x:f>
        <x:v>1</x:v>
      </x:c>
      <x:c r="AN66" s="12" t="n">
        <x:f>IF(ISNUMBER(V66),IF($I$163&gt;$H$163,(V66-$H$163)/($I$163-$H$163),"缺失"),"缺失")</x:f>
        <x:v>0</x:v>
      </x:c>
      <x:c r="AO66" s="23" t="str"/>
      <x:c r="AP66" s="23" t="str">
        <x:v>见指标口径：州级、产业、代表点代理；气候基期待核实</x:v>
      </x:c>
      <x:c r="AQ66" s="15" t="n">
        <x:v>1.0000000000000007</x:v>
      </x:c>
      <x:c r="AR66" s="15" t="n">
        <x:v>1.0000000000000024</x:v>
      </x:c>
      <x:c r="AS66" s="15" t="n">
        <x:v>1</x:v>
      </x:c>
      <x:c r="AT66" s="15" t="n">
        <x:v>1</x:v>
      </x:c>
    </x:row>
    <x:row r="67" ht="24" customHeight="1">
      <x:c r="A67" s="18" t="str">
        <x:v>51125</x:v>
      </x:c>
      <x:c r="B67" s="3" t="str">
        <x:v>Nelson County</x:v>
      </x:c>
      <x:c r="C67" s="3" t="str">
        <x:v>VA</x:v>
      </x:c>
      <x:c r="D67" s="12" t="n">
        <x:v>1219.22454</x:v>
      </x:c>
      <x:c r="E67" s="12" t="n">
        <x:v>0.532</x:v>
      </x:c>
      <x:c r="F67" s="12" t="n">
        <x:v>0.9195544554455449</x:v>
      </x:c>
      <x:c r="G67" s="12" t="n">
        <x:v>2.3493850835675807</x:v>
      </x:c>
      <x:c r="H67" s="12" t="n">
        <x:v>2.6472650235338993</x:v>
      </x:c>
      <x:c r="I67" s="12" t="n">
        <x:v>0.9762440448091062</x:v>
      </x:c>
      <x:c r="J67" s="12" t="n">
        <x:v>0.0537533931421182</x:v>
      </x:c>
      <x:c r="K67" s="12" t="n">
        <x:v>0.0010767029323584581</x:v>
      </x:c>
      <x:c r="L67" s="24" t="n">
        <x:v>0.987657784</x:v>
      </x:c>
      <x:c r="M67" s="24" t="n">
        <x:v>0.987657784</x:v>
      </x:c>
      <x:c r="N67" s="13" t="n">
        <x:v>7017</x:v>
      </x:c>
      <x:c r="O67" s="12" t="n">
        <x:v>0.2536</x:v>
      </x:c>
      <x:c r="P67" s="12" t="n">
        <x:v>956.4606852213542</x:v>
      </x:c>
      <x:c r="Q67" s="12" t="n">
        <x:v>17.61748676300049</x:v>
      </x:c>
      <x:c r="R67" s="12" t="n">
        <x:v>27.106885099045147</x:v>
      </x:c>
      <x:c r="S67" s="12" t="n">
        <x:v>7.967431530656453</x:v>
      </x:c>
      <x:c r="T67" s="12" t="n">
        <x:v>89.9</x:v>
      </x:c>
      <x:c r="U67" s="12" t="n">
        <x:v>245.07712999476223</x:v>
      </x:c>
      <x:c r="V67" s="12" t="n">
        <x:v>244.75798925963002</x:v>
      </x:c>
      <x:c r="W67" s="12" t="n">
        <x:f>IF(ISNUMBER(E67),IF($I$146&gt;$H$146,(E67-$H$146)/($I$146-$H$146),"缺失"),"缺失")</x:f>
        <x:v>0.5601851851851852</x:v>
      </x:c>
      <x:c r="X67" s="12" t="n">
        <x:f>IF(ISNUMBER(F67),IF($I$147&gt;$H$147,(F67-$H$147)/($I$147-$H$147),"缺失"),"缺失")</x:f>
        <x:v>0.9297637795275592</x:v>
      </x:c>
      <x:c r="Y67" s="12" t="n">
        <x:f>IF(ISNUMBER(G67),IF($I$148&gt;$H$148,(G67-$H$148)/($I$148-$H$148),"缺失"),"缺失")</x:f>
        <x:v>0.6176651733704421</x:v>
      </x:c>
      <x:c r="Z67" s="12" t="n">
        <x:f>IF(ISNUMBER(H67),IF($I$149&gt;$H$149,(H67-$H$149)/($I$149-$H$149),"缺失"),"缺失")</x:f>
        <x:v>0.6521978104110993</x:v>
      </x:c>
      <x:c r="AA67" s="12" t="n">
        <x:f>IF(ISNUMBER(I67),IF($I$150&gt;$H$150,(I67-$H$150)/($I$150-$H$150),"缺失"),"缺失")</x:f>
        <x:v>0.9837095294642056</x:v>
      </x:c>
      <x:c r="AB67" s="12" t="n">
        <x:f>IF(ISNUMBER(J67),IF($I$151&gt;$H$151,(J67-$H$151)/($I$151-$H$151),"缺失"),"缺失")</x:f>
        <x:v>0.13185674983993734</x:v>
      </x:c>
      <x:c r="AC67" s="12" t="n">
        <x:f>IF(ISNUMBER(K67),IF($I$152&gt;$H$152,(K67-$H$152)/($I$152-$H$152),"缺失"),"缺失")</x:f>
        <x:v>0.0018510690302571597</x:v>
      </x:c>
      <x:c r="AD67" s="12" t="n">
        <x:f>IF(ISNUMBER(L67),IF($I$153&gt;$H$153,(L67-$H$153)/($I$153-$H$153),"缺失"),"缺失")</x:f>
        <x:v>0.9876537005478804</x:v>
      </x:c>
      <x:c r="AE67" s="12" t="n">
        <x:f>IF(ISNUMBER(M67),IF($I$154&gt;$H$154,(M67-$H$154)/($I$154-$H$154),"缺失"),"缺失")</x:f>
        <x:v>0.987657784</x:v>
      </x:c>
      <x:c r="AF67" s="12" t="n">
        <x:f>IF(ISNUMBER(N67),IF($I$155&gt;$H$155,(N67-$H$155)/($I$155-$H$155),"缺失"),"缺失")</x:f>
        <x:v>0.009827853400539764</x:v>
      </x:c>
      <x:c r="AG67" s="12" t="n">
        <x:f>IF(ISNUMBER(O67),IF($I$156&gt;$H$156,(O67-$H$156)/($I$156-$H$156),"缺失"),"缺失")</x:f>
        <x:v>0.25414476344520825</x:v>
      </x:c>
      <x:c r="AH67" s="12" t="n">
        <x:f>IF(ISNUMBER(P67),IF($I$157&gt;$H$157,(P67-$H$157)/($I$157-$H$157),"缺失"),"缺失")</x:f>
        <x:v>0.30621205253552664</x:v>
      </x:c>
      <x:c r="AI67" s="12" t="n">
        <x:f>IF(ISNUMBER(Q67),IF($I$158&gt;$H$158,(Q67-$H$158)/($I$158-$H$158),"缺失"),"缺失")</x:f>
        <x:v>0.20329179397678027</x:v>
      </x:c>
      <x:c r="AJ67" s="12" t="n">
        <x:f>IF(ISNUMBER(R67),IF($I$159&gt;$H$159,(R67-$H$159)/($I$159-$H$159),"缺失"),"缺失")</x:f>
        <x:v>0.28334070270658357</x:v>
      </x:c>
      <x:c r="AK67" s="12" t="n">
        <x:f>IF(ISNUMBER(S67),IF($I$160&gt;$H$160,(S67-$H$160)/($I$160-$H$160),"缺失"),"缺失")</x:f>
        <x:v>0.15537808474568196</x:v>
      </x:c>
      <x:c r="AL67" s="12" t="n">
        <x:f>IF(ISNUMBER(T67),IF($I$161&gt;$H$161,(T67-$H$161)/($I$161-$H$161),"缺失"),"缺失")</x:f>
        <x:v>1</x:v>
      </x:c>
      <x:c r="AM67" s="12" t="n">
        <x:f>IF(ISNUMBER(U67),IF($I$162&gt;$H$162,(U67-$H$162)/($I$162-$H$162),"缺失"),"缺失")</x:f>
        <x:v>1</x:v>
      </x:c>
      <x:c r="AN67" s="12" t="n">
        <x:f>IF(ISNUMBER(V67),IF($I$163&gt;$H$163,(V67-$H$163)/($I$163-$H$163),"缺失"),"缺失")</x:f>
        <x:v>0</x:v>
      </x:c>
      <x:c r="AO67" s="23" t="str"/>
      <x:c r="AP67" s="23" t="str">
        <x:v>见指标口径：州级、产业、代表点代理；气候基期待核实</x:v>
      </x:c>
      <x:c r="AQ67" s="15" t="n">
        <x:v>0.9999999999999963</x:v>
      </x:c>
      <x:c r="AR67" s="15" t="n">
        <x:v>0.9999999999999963</x:v>
      </x:c>
      <x:c r="AS67" s="15" t="n">
        <x:v>1</x:v>
      </x:c>
      <x:c r="AT67" s="15" t="n">
        <x:v>1</x:v>
      </x:c>
    </x:row>
    <x:row r="68" ht="24" customHeight="1">
      <x:c r="A68" s="18" t="str">
        <x:v>51127</x:v>
      </x:c>
      <x:c r="B68" s="3" t="str">
        <x:v>New Kent County</x:v>
      </x:c>
      <x:c r="C68" s="3" t="str">
        <x:v>VA</x:v>
      </x:c>
      <x:c r="D68" s="12" t="n">
        <x:v>543.97894</x:v>
      </x:c>
      <x:c r="E68" s="12" t="n">
        <x:v>0.332</x:v>
      </x:c>
      <x:c r="F68" s="12" t="n">
        <x:v>0.40563118811881205</x:v>
      </x:c>
      <x:c r="G68" s="12" t="n">
        <x:v>2.9530492228458978</x:v>
      </x:c>
      <x:c r="H68" s="12" t="n">
        <x:v>3.270264643078893</x:v>
      </x:c>
      <x:c r="I68" s="12" t="n">
        <x:v>0.9255863359245406</x:v>
      </x:c>
      <x:c r="J68" s="12" t="n">
        <x:v>0.033581925325041485</x:v>
      </x:c>
      <x:c r="K68" s="12" t="n">
        <x:v>0.1790998772062686</x:v>
      </x:c>
      <x:c r="L68" s="24" t="n">
        <x:v>0.049174539</x:v>
      </x:c>
      <x:c r="M68" s="24" t="n">
        <x:v>0.000353139</x:v>
      </x:c>
      <x:c r="N68" s="13" t="n">
        <x:v>14458</x:v>
      </x:c>
      <x:c r="O68" s="12" t="n">
        <x:v>0.0025</x:v>
      </x:c>
      <x:c r="P68" s="12" t="n">
        <x:v>1379.6517822265623</x:v>
      </x:c>
      <x:c r="Q68" s="12" t="n">
        <x:v>32.908193270365395</x:v>
      </x:c>
      <x:c r="R68" s="12" t="n">
        <x:v>1.9336080052791533</x:v>
      </x:c>
      <x:c r="S68" s="12" t="n">
        <x:v>7.7406246273511785</x:v>
      </x:c>
      <x:c r="T68" s="12" t="n">
        <x:v>89.9</x:v>
      </x:c>
      <x:c r="U68" s="12" t="n">
        <x:v>245.07712999476223</x:v>
      </x:c>
      <x:c r="V68" s="12" t="n">
        <x:v>244.75798925963002</x:v>
      </x:c>
      <x:c r="W68" s="12" t="n">
        <x:f>IF(ISNUMBER(E68),IF($I$146&gt;$H$146,(E68-$H$146)/($I$146-$H$146),"缺失"),"缺失")</x:f>
        <x:v>0.3287037037037037</x:v>
      </x:c>
      <x:c r="X68" s="12" t="n">
        <x:f>IF(ISNUMBER(F68),IF($I$147&gt;$H$147,(F68-$H$147)/($I$147-$H$147),"缺失"),"缺失")</x:f>
        <x:v>0.40661417322834653</x:v>
      </x:c>
      <x:c r="Y68" s="12" t="n">
        <x:f>IF(ISNUMBER(G68),IF($I$148&gt;$H$148,(G68-$H$148)/($I$148-$H$148),"缺失"),"缺失")</x:f>
        <x:v>0.7764596125113784</x:v>
      </x:c>
      <x:c r="Z68" s="12" t="n">
        <x:f>IF(ISNUMBER(H68),IF($I$149&gt;$H$149,(H68-$H$149)/($I$149-$H$149),"缺失"),"缺失")</x:f>
        <x:v>0.8057844529843067</x:v>
      </x:c>
      <x:c r="AA68" s="12" t="n">
        <x:f>IF(ISNUMBER(I68),IF($I$150&gt;$H$150,(I68-$H$150)/($I$150-$H$150),"缺失"),"缺失")</x:f>
        <x:v>0.9293271439172378</x:v>
      </x:c>
      <x:c r="AB68" s="12" t="n">
        <x:f>IF(ISNUMBER(J68),IF($I$151&gt;$H$151,(J68-$H$151)/($I$151-$H$151),"缺失"),"缺失")</x:f>
        <x:v>0.0823762606952139</x:v>
      </x:c>
      <x:c r="AC68" s="12" t="n">
        <x:f>IF(ISNUMBER(K68),IF($I$152&gt;$H$152,(K68-$H$152)/($I$152-$H$152),"缺失"),"缺失")</x:f>
        <x:v>0.30790873327817003</x:v>
      </x:c>
      <x:c r="AD68" s="12" t="n">
        <x:f>IF(ISNUMBER(L68),IF($I$153&gt;$H$153,(L68-$H$153)/($I$153-$H$153),"缺失"),"缺失")</x:f>
        <x:v>0.048859956088456565</x:v>
      </x:c>
      <x:c r="AE68" s="12" t="n">
        <x:f>IF(ISNUMBER(M68),IF($I$154&gt;$H$154,(M68-$H$154)/($I$154-$H$154),"缺失"),"缺失")</x:f>
        <x:v>0.000353139</x:v>
      </x:c>
      <x:c r="AF68" s="12" t="n">
        <x:f>IF(ISNUMBER(N68),IF($I$155&gt;$H$155,(N68-$H$155)/($I$155-$H$155),"缺失"),"缺失")</x:f>
        <x:v>0.021382452413561785</x:v>
      </x:c>
      <x:c r="AG68" s="12" t="n">
        <x:f>IF(ISNUMBER(O68),IF($I$156&gt;$H$156,(O68-$H$156)/($I$156-$H$156),"缺失"),"缺失")</x:f>
        <x:v>0.0003032753740396279</x:v>
      </x:c>
      <x:c r="AH68" s="12" t="n">
        <x:f>IF(ISNUMBER(P68),IF($I$157&gt;$H$157,(P68-$H$157)/($I$157-$H$157),"缺失"),"缺失")</x:f>
        <x:v>0.4965871264692253</x:v>
      </x:c>
      <x:c r="AI68" s="12" t="n">
        <x:f>IF(ISNUMBER(Q68),IF($I$158&gt;$H$158,(Q68-$H$158)/($I$158-$H$158),"缺失"),"缺失")</x:f>
        <x:v>0.38298199367488056</x:v>
      </x:c>
      <x:c r="AJ68" s="12" t="n">
        <x:f>IF(ISNUMBER(R68),IF($I$159&gt;$H$159,(R68-$H$159)/($I$159-$H$159),"缺失"),"缺失")</x:f>
        <x:v>0.018808610852182127</x:v>
      </x:c>
      <x:c r="AK68" s="12" t="n">
        <x:f>IF(ISNUMBER(S68),IF($I$160&gt;$H$160,(S68-$H$160)/($I$160-$H$160),"缺失"),"缺失")</x:f>
        <x:v>0.15095043751623033</x:v>
      </x:c>
      <x:c r="AL68" s="12" t="n">
        <x:f>IF(ISNUMBER(T68),IF($I$161&gt;$H$161,(T68-$H$161)/($I$161-$H$161),"缺失"),"缺失")</x:f>
        <x:v>1</x:v>
      </x:c>
      <x:c r="AM68" s="12" t="n">
        <x:f>IF(ISNUMBER(U68),IF($I$162&gt;$H$162,(U68-$H$162)/($I$162-$H$162),"缺失"),"缺失")</x:f>
        <x:v>1</x:v>
      </x:c>
      <x:c r="AN68" s="12" t="n">
        <x:f>IF(ISNUMBER(V68),IF($I$163&gt;$H$163,(V68-$H$163)/($I$163-$H$163),"缺失"),"缺失")</x:f>
        <x:v>0</x:v>
      </x:c>
      <x:c r="AO68" s="23" t="str"/>
      <x:c r="AP68" s="23" t="str">
        <x:v>baseline_water_stress:有效县域面积覆盖&lt;99%（诊断提示，非行业阈值）；water_stress_2050_bau:有效县域面积覆盖&lt;99%（诊断提示，非行业阈值）</x:v>
      </x:c>
      <x:c r="AQ68" s="15" t="n">
        <x:v>0.9867197027621679</x:v>
      </x:c>
      <x:c r="AR68" s="15" t="n">
        <x:v>0.9866509389052498</x:v>
      </x:c>
      <x:c r="AS68" s="15" t="n">
        <x:v>1</x:v>
      </x:c>
      <x:c r="AT68" s="15" t="n">
        <x:v>1</x:v>
      </x:c>
    </x:row>
    <x:row r="69" ht="24" customHeight="1">
      <x:c r="A69" s="18" t="str">
        <x:v>51131</x:v>
      </x:c>
      <x:c r="B69" s="3" t="str">
        <x:v>Northampton County</x:v>
      </x:c>
      <x:c r="C69" s="3" t="str">
        <x:v>VA</x:v>
      </x:c>
      <x:c r="D69" s="12" t="n">
        <x:v>548.331037</x:v>
      </x:c>
      <x:c r="E69" s="12" t="n">
        <x:v>0.358</x:v>
      </x:c>
      <x:c r="F69" s="12" t="n">
        <x:v>0.0278465346534653</x:v>
      </x:c>
      <x:c r="G69" s="12" t="n">
        <x:v>3.203402549976487</x:v>
      </x:c>
      <x:c r="H69" s="12" t="n">
        <x:v>3.5106851859999995</x:v>
      </x:c>
      <x:c r="I69" s="12" t="n">
        <x:v>0.9175166836916812</x:v>
      </x:c>
      <x:c r="J69" s="12" t="n">
        <x:v>0.29781651628444183</x:v>
      </x:c>
      <x:c r="K69" s="12" t="n">
        <x:v>0.41477705455735786</x:v>
      </x:c>
      <x:c r="L69" s="24" t="n">
        <x:v>0.814241141</x:v>
      </x:c>
      <x:c r="M69" s="24" t="n">
        <x:v>0.814241141</x:v>
      </x:c>
      <x:c r="N69" s="13" t="n">
        <x:v>5222</x:v>
      </x:c>
      <x:c r="O69" s="12" t="n">
        <x:v>0.79</x:v>
      </x:c>
      <x:c r="P69" s="12" t="n">
        <x:v>1405.170292154948</x:v>
      </x:c>
      <x:c r="Q69" s="12" t="n">
        <x:v>18.17881593704224</x:v>
      </x:c>
      <x:c r="R69" s="12" t="n">
        <x:v>47.37043878240174</x:v>
      </x:c>
      <x:c r="S69" s="12" t="n">
        <x:v>2.518666366600313</x:v>
      </x:c>
      <x:c r="T69" s="12" t="n">
        <x:v>89.9</x:v>
      </x:c>
      <x:c r="U69" s="12" t="n">
        <x:v>245.07712999476223</x:v>
      </x:c>
      <x:c r="V69" s="12" t="n">
        <x:v>244.75798925963002</x:v>
      </x:c>
      <x:c r="W69" s="12" t="n">
        <x:f>IF(ISNUMBER(E69),IF($I$146&gt;$H$146,(E69-$H$146)/($I$146-$H$146),"缺失"),"缺失")</x:f>
        <x:v>0.3587962962962963</x:v>
      </x:c>
      <x:c r="X69" s="12" t="n">
        <x:f>IF(ISNUMBER(F69),IF($I$147&gt;$H$147,(F69-$H$147)/($I$147-$H$147),"缺失"),"缺失")</x:f>
        <x:v>0.022047244094488133</x:v>
      </x:c>
      <x:c r="Y69" s="12" t="n">
        <x:f>IF(ISNUMBER(G69),IF($I$148&gt;$H$148,(G69-$H$148)/($I$148-$H$148),"缺失"),"缺失")</x:f>
        <x:v>0.8423152987813897</x:v>
      </x:c>
      <x:c r="Z69" s="12" t="n">
        <x:f>IF(ISNUMBER(H69),IF($I$149&gt;$H$149,(H69-$H$149)/($I$149-$H$149),"缺失"),"缺失")</x:f>
        <x:v>0.8650547684619451</x:v>
      </x:c>
      <x:c r="AA69" s="12" t="n">
        <x:f>IF(ISNUMBER(I69),IF($I$150&gt;$H$150,(I69-$H$150)/($I$150-$H$150),"缺失"),"缺失")</x:f>
        <x:v>0.9206641595734862</x:v>
      </x:c>
      <x:c r="AB69" s="12" t="n">
        <x:f>IF(ISNUMBER(J69),IF($I$151&gt;$H$151,(J69-$H$151)/($I$151-$H$151),"缺失"),"缺失")</x:f>
        <x:v>0.7305421219102567</x:v>
      </x:c>
      <x:c r="AC69" s="12" t="n">
        <x:f>IF(ISNUMBER(K69),IF($I$152&gt;$H$152,(K69-$H$152)/($I$152-$H$152),"缺失"),"缺失")</x:f>
        <x:v>0.7130852318481457</x:v>
      </x:c>
      <x:c r="AD69" s="12" t="n">
        <x:f>IF(ISNUMBER(L69),IF($I$153&gt;$H$153,(L69-$H$153)/($I$153-$H$153),"缺失"),"缺失")</x:f>
        <x:v>0.81417968223064</x:v>
      </x:c>
      <x:c r="AE69" s="12" t="n">
        <x:f>IF(ISNUMBER(M69),IF($I$154&gt;$H$154,(M69-$H$154)/($I$154-$H$154),"缺失"),"缺失")</x:f>
        <x:v>0.814241141</x:v>
      </x:c>
      <x:c r="AF69" s="12" t="n">
        <x:f>IF(ISNUMBER(N69),IF($I$155&gt;$H$155,(N69-$H$155)/($I$155-$H$155),"缺失"),"缺失")</x:f>
        <x:v>0.007040525725714534</x:v>
      </x:c>
      <x:c r="AG69" s="12" t="n">
        <x:f>IF(ISNUMBER(O69),IF($I$156&gt;$H$156,(O69-$H$156)/($I$156-$H$156),"缺失"),"缺失")</x:f>
        <x:v>0.7964011322280632</x:v>
      </x:c>
      <x:c r="AH69" s="12" t="n">
        <x:f>IF(ISNUMBER(P69),IF($I$157&gt;$H$157,(P69-$H$157)/($I$157-$H$157),"缺失"),"缺失")</x:f>
        <x:v>0.5080667824654723</x:v>
      </x:c>
      <x:c r="AI69" s="12" t="n">
        <x:f>IF(ISNUMBER(Q69),IF($I$158&gt;$H$158,(Q69-$H$158)/($I$158-$H$158),"缺失"),"缺失")</x:f>
        <x:v>0.209888307442744</x:v>
      </x:c>
      <x:c r="AJ69" s="12" t="n">
        <x:f>IF(ISNUMBER(R69),IF($I$159&gt;$H$159,(R69-$H$159)/($I$159-$H$159),"缺失"),"缺失")</x:f>
        <x:v>0.49627921779525835</x:v>
      </x:c>
      <x:c r="AK69" s="12" t="n">
        <x:f>IF(ISNUMBER(S69),IF($I$160&gt;$H$160,(S69-$H$160)/($I$160-$H$160),"缺失"),"缺失")</x:f>
        <x:v>0.049009144334313956</x:v>
      </x:c>
      <x:c r="AL69" s="12" t="n">
        <x:f>IF(ISNUMBER(T69),IF($I$161&gt;$H$161,(T69-$H$161)/($I$161-$H$161),"缺失"),"缺失")</x:f>
        <x:v>1</x:v>
      </x:c>
      <x:c r="AM69" s="12" t="n">
        <x:f>IF(ISNUMBER(U69),IF($I$162&gt;$H$162,(U69-$H$162)/($I$162-$H$162),"缺失"),"缺失")</x:f>
        <x:v>1</x:v>
      </x:c>
      <x:c r="AN69" s="12" t="n">
        <x:f>IF(ISNUMBER(V69),IF($I$163&gt;$H$163,(V69-$H$163)/($I$163-$H$163),"缺失"),"缺失")</x:f>
        <x:v>0</x:v>
      </x:c>
      <x:c r="AO69" s="23" t="str"/>
      <x:c r="AP69" s="23" t="str">
        <x:v>baseline_water_stress:有效县域面积覆盖&lt;99%（诊断提示，非行业阈值）；water_stress_2050_bau:有效县域面积覆盖&lt;99%（诊断提示，非行业阈值）</x:v>
      </x:c>
      <x:c r="AQ69" s="15" t="n">
        <x:v>0.34223766258566485</x:v>
      </x:c>
      <x:c r="AR69" s="15" t="n">
        <x:v>0.34270904580514755</x:v>
      </x:c>
      <x:c r="AS69" s="15" t="n">
        <x:v>0.9991221481284364</x:v>
      </x:c>
      <x:c r="AT69" s="15" t="n">
        <x:v>1</x:v>
      </x:c>
    </x:row>
    <x:row r="70" ht="24" customHeight="1">
      <x:c r="A70" s="18" t="str">
        <x:v>51133</x:v>
      </x:c>
      <x:c r="B70" s="3" t="str">
        <x:v>Northumberland County</x:v>
      </x:c>
      <x:c r="C70" s="3" t="str">
        <x:v>VA</x:v>
      </x:c>
      <x:c r="D70" s="12" t="n">
        <x:v>495.808169</x:v>
      </x:c>
      <x:c r="E70" s="12" t="n">
        <x:v>0.304</x:v>
      </x:c>
      <x:c r="F70" s="12" t="n">
        <x:v>0.0358910891089109</x:v>
      </x:c>
      <x:c r="G70" s="12" t="n">
        <x:v>3.588668060843457</x:v>
      </x:c>
      <x:c r="H70" s="12" t="n">
        <x:v>3.980139822</x:v>
      </x:c>
      <x:c r="I70" s="12" t="n">
        <x:v>0.9184981150786417</x:v>
      </x:c>
      <x:c r="J70" s="12" t="n">
        <x:v>0.017789939746268253</x:v>
      </x:c>
      <x:c r="K70" s="12" t="n">
        <x:v>0.11961229683318628</x:v>
      </x:c>
      <x:c r="L70" s="24" t="n">
        <x:v>0.225112108</x:v>
      </x:c>
      <x:c r="M70" s="24" t="n">
        <x:v>0.224912805</x:v>
      </x:c>
      <x:c r="N70" s="13" t="n">
        <x:v>4405</x:v>
      </x:c>
      <x:c r="O70" s="12" t="n">
        <x:v>0.1922</x:v>
      </x:c>
      <x:c r="P70" s="12" t="n">
        <x:v>1370.6687784830729</x:v>
      </x:c>
      <x:c r="Q70" s="12" t="n">
        <x:v>22.711178016662597</x:v>
      </x:c>
      <x:c r="R70" s="12" t="n">
        <x:v>61.54771163936984</x:v>
      </x:c>
      <x:c r="S70" s="12" t="n">
        <x:v>51.23331770793625</x:v>
      </x:c>
      <x:c r="T70" s="12" t="n">
        <x:v>89.9</x:v>
      </x:c>
      <x:c r="U70" s="12" t="n">
        <x:v>245.07712999476223</x:v>
      </x:c>
      <x:c r="V70" s="12" t="n">
        <x:v>244.75798925963002</x:v>
      </x:c>
      <x:c r="W70" s="12" t="n">
        <x:f>IF(ISNUMBER(E70),IF($I$146&gt;$H$146,(E70-$H$146)/($I$146-$H$146),"缺失"),"缺失")</x:f>
        <x:v>0.2962962962962963</x:v>
      </x:c>
      <x:c r="X70" s="12" t="n">
        <x:f>IF(ISNUMBER(F70),IF($I$147&gt;$H$147,(F70-$H$147)/($I$147-$H$147),"缺失"),"缺失")</x:f>
        <x:v>0.030236220472440945</x:v>
      </x:c>
      <x:c r="Y70" s="12" t="n">
        <x:f>IF(ISNUMBER(G70),IF($I$148&gt;$H$148,(G70-$H$148)/($I$148-$H$148),"缺失"),"缺失")</x:f>
        <x:v>0.9436597662390812</x:v>
      </x:c>
      <x:c r="Z70" s="12" t="n">
        <x:f>IF(ISNUMBER(H70),IF($I$149&gt;$H$149,(H70-$H$149)/($I$149-$H$149),"缺失"),"缺失")</x:f>
        <x:v>0.9807883245054091</x:v>
      </x:c>
      <x:c r="AA70" s="12" t="n">
        <x:f>IF(ISNUMBER(I70),IF($I$150&gt;$H$150,(I70-$H$150)/($I$150-$H$150),"缺失"),"缺失")</x:f>
        <x:v>0.9217177520325373</x:v>
      </x:c>
      <x:c r="AB70" s="12" t="n">
        <x:f>IF(ISNUMBER(J70),IF($I$151&gt;$H$151,(J70-$H$151)/($I$151-$H$151),"缺失"),"缺失")</x:f>
        <x:v>0.04363861512127076</x:v>
      </x:c>
      <x:c r="AC70" s="12" t="n">
        <x:f>IF(ISNUMBER(K70),IF($I$152&gt;$H$152,(K70-$H$152)/($I$152-$H$152),"缺失"),"缺失")</x:f>
        <x:v>0.20563761057179436</x:v>
      </x:c>
      <x:c r="AD70" s="12" t="n">
        <x:f>IF(ISNUMBER(L70),IF($I$153&gt;$H$153,(L70-$H$153)/($I$153-$H$153),"缺失"),"缺失")</x:f>
        <x:v>0.2248557344601826</x:v>
      </x:c>
      <x:c r="AE70" s="12" t="n">
        <x:f>IF(ISNUMBER(M70),IF($I$154&gt;$H$154,(M70-$H$154)/($I$154-$H$154),"缺失"),"缺失")</x:f>
        <x:v>0.224912805</x:v>
      </x:c>
      <x:c r="AF70" s="12" t="n">
        <x:f>IF(ISNUMBER(N70),IF($I$155&gt;$H$155,(N70-$H$155)/($I$155-$H$155),"缺失"),"缺失")</x:f>
        <x:v>0.005771864605752299</x:v>
      </x:c>
      <x:c r="AG70" s="12" t="n">
        <x:f>IF(ISNUMBER(O70),IF($I$156&gt;$H$156,(O70-$H$156)/($I$156-$H$156),"缺失"),"缺失")</x:f>
        <x:v>0.19207440355843106</x:v>
      </x:c>
      <x:c r="AH70" s="12" t="n">
        <x:f>IF(ISNUMBER(P70),IF($I$157&gt;$H$157,(P70-$H$157)/($I$157-$H$157),"缺失"),"缺失")</x:f>
        <x:v>0.49254606791691735</x:v>
      </x:c>
      <x:c r="AI70" s="12" t="n">
        <x:f>IF(ISNUMBER(Q70),IF($I$158&gt;$H$158,(Q70-$H$158)/($I$158-$H$158),"缺失"),"缺失")</x:f>
        <x:v>0.2631507938294133</x:v>
      </x:c>
      <x:c r="AJ70" s="12" t="n">
        <x:f>IF(ISNUMBER(R70),IF($I$159&gt;$H$159,(R70-$H$159)/($I$159-$H$159),"缺失"),"缺失")</x:f>
        <x:v>0.6452603628275492</x:v>
      </x:c>
      <x:c r="AK70" s="12" t="n">
        <x:f>IF(ISNUMBER(S70),IF($I$160&gt;$H$160,(S70-$H$160)/($I$160-$H$160),"缺失"),"缺失")</x:f>
        <x:v>1</x:v>
      </x:c>
      <x:c r="AL70" s="12" t="n">
        <x:f>IF(ISNUMBER(T70),IF($I$161&gt;$H$161,(T70-$H$161)/($I$161-$H$161),"缺失"),"缺失")</x:f>
        <x:v>1</x:v>
      </x:c>
      <x:c r="AM70" s="12" t="n">
        <x:f>IF(ISNUMBER(U70),IF($I$162&gt;$H$162,(U70-$H$162)/($I$162-$H$162),"缺失"),"缺失")</x:f>
        <x:v>1</x:v>
      </x:c>
      <x:c r="AN70" s="12" t="n">
        <x:f>IF(ISNUMBER(V70),IF($I$163&gt;$H$163,(V70-$H$163)/($I$163-$H$163),"缺失"),"缺失")</x:f>
        <x:v>0</x:v>
      </x:c>
      <x:c r="AO70" s="23" t="str"/>
      <x:c r="AP70" s="23" t="str">
        <x:v>baseline_water_stress:有效县域面积覆盖&lt;99%（诊断提示，非行业阈值）；water_stress_2050_bau:有效县域面积覆盖&lt;99%（诊断提示，非行业阈值）</x:v>
      </x:c>
      <x:c r="AQ70" s="15" t="n">
        <x:v>0.7620344823160556</x:v>
      </x:c>
      <x:c r="AR70" s="15" t="n">
        <x:v>0.7608433663537264</x:v>
      </x:c>
      <x:c r="AS70" s="15" t="n">
        <x:v>1</x:v>
      </x:c>
      <x:c r="AT70" s="15" t="n">
        <x:v>1</x:v>
      </x:c>
    </x:row>
    <x:row r="71" ht="24" customHeight="1">
      <x:c r="A71" s="18" t="str">
        <x:v>51135</x:v>
      </x:c>
      <x:c r="B71" s="3" t="str">
        <x:v>Nottoway County</x:v>
      </x:c>
      <x:c r="C71" s="3" t="str">
        <x:v>VA</x:v>
      </x:c>
      <x:c r="D71" s="12" t="n">
        <x:v>814.265583</x:v>
      </x:c>
      <x:c r="E71" s="12" t="n">
        <x:v>0.293</x:v>
      </x:c>
      <x:c r="F71" s="12" t="n">
        <x:v>0.028774752475247502</x:v>
      </x:c>
      <x:c r="G71" s="12" t="n">
        <x:v>3.4140878748716856</x:v>
      </x:c>
      <x:c r="H71" s="12" t="n">
        <x:v>3.7294773672401074</x:v>
      </x:c>
      <x:c r="I71" s="12" t="n">
        <x:v>0.9375116061085713</x:v>
      </x:c>
      <x:c r="J71" s="12" t="n">
        <x:v>0</x:v>
      </x:c>
      <x:c r="K71" s="12" t="n">
        <x:v>0.052569039765844</x:v>
      </x:c>
      <x:c r="L71" s="24" t="n">
        <x:v>0.516129032</x:v>
      </x:c>
      <x:c r="M71" s="24" t="n">
        <x:v>0.516129032</x:v>
      </x:c>
      <x:c r="N71" s="13" t="n">
        <x:v>5752</x:v>
      </x:c>
      <x:c r="O71" s="12" t="n">
        <x:v>0.8425</x:v>
      </x:c>
      <x:c r="P71" s="12" t="n">
        <x:v>1176.6220540364584</x:v>
      </x:c>
      <x:c r="Q71" s="12" t="n">
        <x:v>25.9905091603597</x:v>
      </x:c>
      <x:c r="R71" s="12" t="n">
        <x:v>34.93910523128092</x:v>
      </x:c>
      <x:c r="S71" s="12" t="n">
        <x:v>1.9472320139347172</x:v>
      </x:c>
      <x:c r="T71" s="12" t="n">
        <x:v>89.9</x:v>
      </x:c>
      <x:c r="U71" s="12" t="n">
        <x:v>245.07712999476223</x:v>
      </x:c>
      <x:c r="V71" s="12" t="n">
        <x:v>244.75798925963002</x:v>
      </x:c>
      <x:c r="W71" s="12" t="n">
        <x:f>IF(ISNUMBER(E71),IF($I$146&gt;$H$146,(E71-$H$146)/($I$146-$H$146),"缺失"),"缺失")</x:f>
        <x:v>0.2835648148148148</x:v>
      </x:c>
      <x:c r="X71" s="12" t="n">
        <x:f>IF(ISNUMBER(F71),IF($I$147&gt;$H$147,(F71-$H$147)/($I$147-$H$147),"缺失"),"缺失")</x:f>
        <x:v>0.02299212598425194</x:v>
      </x:c>
      <x:c r="Y71" s="12" t="n">
        <x:f>IF(ISNUMBER(G71),IF($I$148&gt;$H$148,(G71-$H$148)/($I$148-$H$148),"缺失"),"缺失")</x:f>
        <x:v>0.8977362784704521</x:v>
      </x:c>
      <x:c r="Z71" s="12" t="n">
        <x:f>IF(ISNUMBER(H71),IF($I$149&gt;$H$149,(H71-$H$149)/($I$149-$H$149),"缺失"),"缺失")</x:f>
        <x:v>0.9189930943994138</x:v>
      </x:c>
      <x:c r="AA71" s="12" t="n">
        <x:f>IF(ISNUMBER(I71),IF($I$150&gt;$H$150,(I71-$H$150)/($I$150-$H$150),"缺失"),"缺失")</x:f>
        <x:v>0.9421292357445156</x:v>
      </x:c>
      <x:c r="AB71" s="12" t="n">
        <x:f>IF(ISNUMBER(J71),IF($I$151&gt;$H$151,(J71-$H$151)/($I$151-$H$151),"缺失"),"缺失")</x:f>
        <x:v>0</x:v>
      </x:c>
      <x:c r="AC71" s="12" t="n">
        <x:f>IF(ISNUMBER(K71),IF($I$152&gt;$H$152,(K71-$H$152)/($I$152-$H$152),"缺失"),"缺失")</x:f>
        <x:v>0.09037675902652287</x:v>
      </x:c>
      <x:c r="AD71" s="12" t="n">
        <x:f>IF(ISNUMBER(L71),IF($I$153&gt;$H$153,(L71-$H$153)/($I$153-$H$153),"缺失"),"缺失")</x:f>
        <x:v>0.5159689421158222</x:v>
      </x:c>
      <x:c r="AE71" s="12" t="n">
        <x:f>IF(ISNUMBER(M71),IF($I$154&gt;$H$154,(M71-$H$154)/($I$154-$H$154),"缺失"),"缺失")</x:f>
        <x:v>0.516129032</x:v>
      </x:c>
      <x:c r="AF71" s="12" t="n">
        <x:f>IF(ISNUMBER(N71),IF($I$155&gt;$H$155,(N71-$H$155)/($I$155-$H$155),"缺失"),"缺失")</x:f>
        <x:v>0.007863524983462374</x:v>
      </x:c>
      <x:c r="AG71" s="12" t="n">
        <x:f>IF(ISNUMBER(O71),IF($I$156&gt;$H$156,(O71-$H$156)/($I$156-$H$156),"缺失"),"缺失")</x:f>
        <x:v>0.849474322684998</x:v>
      </x:c>
      <x:c r="AH71" s="12" t="n">
        <x:f>IF(ISNUMBER(P71),IF($I$157&gt;$H$157,(P71-$H$157)/($I$157-$H$157),"缺失"),"缺失")</x:f>
        <x:v>0.40525297556563455</x:v>
      </x:c>
      <x:c r="AI71" s="12" t="n">
        <x:f>IF(ISNUMBER(Q71),IF($I$158&gt;$H$158,(Q71-$H$158)/($I$158-$H$158),"缺失"),"缺失")</x:f>
        <x:v>0.3016881673512521</x:v>
      </x:c>
      <x:c r="AJ71" s="12" t="n">
        <x:f>IF(ISNUMBER(R71),IF($I$159&gt;$H$159,(R71-$H$159)/($I$159-$H$159),"缺失"),"缺失")</x:f>
        <x:v>0.3656451864544533</x:v>
      </x:c>
      <x:c r="AK71" s="12" t="n">
        <x:f>IF(ISNUMBER(S71),IF($I$160&gt;$H$160,(S71-$H$160)/($I$160-$H$160),"缺失"),"缺失")</x:f>
        <x:v>0.03785379724601189</x:v>
      </x:c>
      <x:c r="AL71" s="12" t="n">
        <x:f>IF(ISNUMBER(T71),IF($I$161&gt;$H$161,(T71-$H$161)/($I$161-$H$161),"缺失"),"缺失")</x:f>
        <x:v>1</x:v>
      </x:c>
      <x:c r="AM71" s="12" t="n">
        <x:f>IF(ISNUMBER(U71),IF($I$162&gt;$H$162,(U71-$H$162)/($I$162-$H$162),"缺失"),"缺失")</x:f>
        <x:v>1</x:v>
      </x:c>
      <x:c r="AN71" s="12" t="n">
        <x:f>IF(ISNUMBER(V71),IF($I$163&gt;$H$163,(V71-$H$163)/($I$163-$H$163),"缺失"),"缺失")</x:f>
        <x:v>0</x:v>
      </x:c>
      <x:c r="AO71" s="23" t="str"/>
      <x:c r="AP71" s="23" t="str">
        <x:v>见指标口径：州级、产业、代表点代理；气候基期待核实</x:v>
      </x:c>
      <x:c r="AQ71" s="15" t="n">
        <x:v>1.000000000000001</x:v>
      </x:c>
      <x:c r="AR71" s="15" t="n">
        <x:v>1.0000000000000009</x:v>
      </x:c>
      <x:c r="AS71" s="15" t="n">
        <x:v>1</x:v>
      </x:c>
      <x:c r="AT71" s="15" t="n">
        <x:v>1</x:v>
      </x:c>
    </x:row>
    <x:row r="72" ht="24" customHeight="1">
      <x:c r="A72" s="18" t="str">
        <x:v>51137</x:v>
      </x:c>
      <x:c r="B72" s="3" t="str">
        <x:v>Orange County</x:v>
      </x:c>
      <x:c r="C72" s="3" t="str">
        <x:v>VA</x:v>
      </x:c>
      <x:c r="D72" s="12" t="n">
        <x:v>881.929772</x:v>
      </x:c>
      <x:c r="E72" s="12" t="n">
        <x:v>0.312</x:v>
      </x:c>
      <x:c r="F72" s="12" t="n">
        <x:v>0.196782178217822</x:v>
      </x:c>
      <x:c r="G72" s="12" t="n">
        <x:v>2.24274839097103</x:v>
      </x:c>
      <x:c r="H72" s="12" t="n">
        <x:v>2.6206509142329435</x:v>
      </x:c>
      <x:c r="I72" s="12" t="n">
        <x:v>0.9552967854188653</x:v>
      </x:c>
      <x:c r="J72" s="12" t="n">
        <x:v>0.0026128150868409594</x:v>
      </x:c>
      <x:c r="K72" s="12" t="n">
        <x:v>0.01663624176388374</x:v>
      </x:c>
      <x:c r="L72" s="24" t="n">
        <x:v>0.646849593</x:v>
      </x:c>
      <x:c r="M72" s="24" t="n">
        <x:v>0.646341463</x:v>
      </x:c>
      <x:c r="N72" s="13" t="n">
        <x:v>18100</x:v>
      </x:c>
      <x:c r="O72" s="12" t="n">
        <x:v>0.2593</x:v>
      </x:c>
      <x:c r="P72" s="12" t="n">
        <x:v>1075.698183186849</x:v>
      </x:c>
      <x:c r="Q72" s="12" t="n">
        <x:v>21.63264344533285</x:v>
      </x:c>
      <x:c r="R72" s="12" t="n">
        <x:v>34.80513657336051</x:v>
      </x:c>
      <x:c r="S72" s="12" t="n">
        <x:v>7.970829159312416</x:v>
      </x:c>
      <x:c r="T72" s="12" t="n">
        <x:v>89.9</x:v>
      </x:c>
      <x:c r="U72" s="12" t="n">
        <x:v>245.07712999476223</x:v>
      </x:c>
      <x:c r="V72" s="12" t="n">
        <x:v>244.75798925963002</x:v>
      </x:c>
      <x:c r="W72" s="12" t="n">
        <x:f>IF(ISNUMBER(E72),IF($I$146&gt;$H$146,(E72-$H$146)/($I$146-$H$146),"缺失"),"缺失")</x:f>
        <x:v>0.3055555555555556</x:v>
      </x:c>
      <x:c r="X72" s="12" t="n">
        <x:f>IF(ISNUMBER(F72),IF($I$147&gt;$H$147,(F72-$H$147)/($I$147-$H$147),"缺失"),"缺失")</x:f>
        <x:v>0.19401574803149624</x:v>
      </x:c>
      <x:c r="Y72" s="12" t="n">
        <x:f>IF(ISNUMBER(G72),IF($I$148&gt;$H$148,(G72-$H$148)/($I$148-$H$148),"缺失"),"缺失")</x:f>
        <x:v>0.5896142876362696</x:v>
      </x:c>
      <x:c r="Z72" s="12" t="n">
        <x:f>IF(ISNUMBER(H72),IF($I$149&gt;$H$149,(H72-$H$149)/($I$149-$H$149),"缺失"),"缺失")</x:f>
        <x:v>0.6456366961433321</x:v>
      </x:c>
      <x:c r="AA72" s="12" t="n">
        <x:f>IF(ISNUMBER(I72),IF($I$150&gt;$H$150,(I72-$H$150)/($I$150-$H$150),"缺失"),"缺失")</x:f>
        <x:v>0.9612220944539045</x:v>
      </x:c>
      <x:c r="AB72" s="12" t="n">
        <x:f>IF(ISNUMBER(J72),IF($I$151&gt;$H$151,(J72-$H$151)/($I$151-$H$151),"缺失"),"缺失")</x:f>
        <x:v>0.006409219681681039</x:v>
      </x:c>
      <x:c r="AC72" s="12" t="n">
        <x:f>IF(ISNUMBER(K72),IF($I$152&gt;$H$152,(K72-$H$152)/($I$152-$H$152),"缺失"),"缺失")</x:f>
        <x:v>0.02860104768317252</x:v>
      </x:c>
      <x:c r="AD72" s="12" t="n">
        <x:f>IF(ISNUMBER(L72),IF($I$153&gt;$H$153,(L72-$H$153)/($I$153-$H$153),"缺失"),"缺失")</x:f>
        <x:v>0.6467327523307042</x:v>
      </x:c>
      <x:c r="AE72" s="12" t="n">
        <x:f>IF(ISNUMBER(M72),IF($I$154&gt;$H$154,(M72-$H$154)/($I$154-$H$154),"缺失"),"缺失")</x:f>
        <x:v>0.646341463</x:v>
      </x:c>
      <x:c r="AF72" s="12" t="n">
        <x:f>IF(ISNUMBER(N72),IF($I$155&gt;$H$155,(N72-$H$155)/($I$155-$H$155),"缺失"),"缺失")</x:f>
        <x:v>0.027037854860198825</x:v>
      </x:c>
      <x:c r="AG72" s="12" t="n">
        <x:f>IF(ISNUMBER(O72),IF($I$156&gt;$H$156,(O72-$H$156)/($I$156-$H$156),"缺失"),"缺失")</x:f>
        <x:v>0.2599069955519612</x:v>
      </x:c>
      <x:c r="AH72" s="12" t="n">
        <x:f>IF(ISNUMBER(P72),IF($I$157&gt;$H$157,(P72-$H$157)/($I$157-$H$157),"缺失"),"缺失")</x:f>
        <x:v>0.3598517619989111</x:v>
      </x:c>
      <x:c r="AI72" s="12" t="n">
        <x:f>IF(ISNUMBER(Q72),IF($I$158&gt;$H$158,(Q72-$H$158)/($I$158-$H$158),"缺失"),"缺失")</x:f>
        <x:v>0.25047629167935237</x:v>
      </x:c>
      <x:c r="AJ72" s="12" t="n">
        <x:f>IF(ISNUMBER(R72),IF($I$159&gt;$H$159,(R72-$H$159)/($I$159-$H$159),"缺失"),"缺失")</x:f>
        <x:v>0.3642373836804796</x:v>
      </x:c>
      <x:c r="AK72" s="12" t="n">
        <x:f>IF(ISNUMBER(S72),IF($I$160&gt;$H$160,(S72-$H$160)/($I$160-$H$160),"缺失"),"缺失")</x:f>
        <x:v>0.15544441209677246</x:v>
      </x:c>
      <x:c r="AL72" s="12" t="n">
        <x:f>IF(ISNUMBER(T72),IF($I$161&gt;$H$161,(T72-$H$161)/($I$161-$H$161),"缺失"),"缺失")</x:f>
        <x:v>1</x:v>
      </x:c>
      <x:c r="AM72" s="12" t="n">
        <x:f>IF(ISNUMBER(U72),IF($I$162&gt;$H$162,(U72-$H$162)/($I$162-$H$162),"缺失"),"缺失")</x:f>
        <x:v>1</x:v>
      </x:c>
      <x:c r="AN72" s="12" t="n">
        <x:f>IF(ISNUMBER(V72),IF($I$163&gt;$H$163,(V72-$H$163)/($I$163-$H$163),"缺失"),"缺失")</x:f>
        <x:v>0</x:v>
      </x:c>
      <x:c r="AO72" s="23" t="str"/>
      <x:c r="AP72" s="23" t="str">
        <x:v>见指标口径：州级、产业、代表点代理；气候基期待核实</x:v>
      </x:c>
      <x:c r="AQ72" s="15" t="n">
        <x:v>1.0000000000000013</x:v>
      </x:c>
      <x:c r="AR72" s="15" t="n">
        <x:v>1.000000000000001</x:v>
      </x:c>
      <x:c r="AS72" s="15" t="n">
        <x:v>1</x:v>
      </x:c>
      <x:c r="AT72" s="15" t="n">
        <x:v>1</x:v>
      </x:c>
    </x:row>
    <x:row r="73" ht="24" customHeight="1">
      <x:c r="A73" s="18" t="str">
        <x:v>51139</x:v>
      </x:c>
      <x:c r="B73" s="3" t="str">
        <x:v>Page County</x:v>
      </x:c>
      <x:c r="C73" s="3" t="str">
        <x:v>VA</x:v>
      </x:c>
      <x:c r="D73" s="12" t="n">
        <x:v>802.941043</x:v>
      </x:c>
      <x:c r="E73" s="12" t="n">
        <x:v>0.607</x:v>
      </x:c>
      <x:c r="F73" s="12" t="n">
        <x:v>0.922648514851485</x:v>
      </x:c>
      <x:c r="G73" s="12" t="n">
        <x:v>2.819469390349793</x:v>
      </x:c>
      <x:c r="H73" s="12" t="n">
        <x:v>3.0679087455473804</x:v>
      </x:c>
      <x:c r="I73" s="12" t="n">
        <x:v>0.9383878041443813</x:v>
      </x:c>
      <x:c r="J73" s="12" t="n">
        <x:v>0.19924049364990212</x:v>
      </x:c>
      <x:c r="K73" s="12" t="n">
        <x:v>0.00007603958978877768</x:v>
      </x:c>
      <x:c r="L73" s="24" t="n">
        <x:v>0.034893739</x:v>
      </x:c>
      <x:c r="M73" s="24" t="n">
        <x:v>0.034821941</x:v>
      </x:c>
      <x:c r="N73" s="13" t="n">
        <x:v>11778</x:v>
      </x:c>
      <x:c r="O73" s="12" t="n">
        <x:v>0.363</x:v>
      </x:c>
      <x:c r="P73" s="12" t="n">
        <x:v>736.0596374511719</x:v>
      </x:c>
      <x:c r="Q73" s="12" t="n">
        <x:v>10.950007820129397</x:v>
      </x:c>
      <x:c r="R73" s="12" t="n">
        <x:v>15.825585051423815</x:v>
      </x:c>
      <x:c r="S73" s="12" t="n">
        <x:v>0.8011800805664615</x:v>
      </x:c>
      <x:c r="T73" s="12" t="n">
        <x:v>89.9</x:v>
      </x:c>
      <x:c r="U73" s="12" t="n">
        <x:v>245.07712999476223</x:v>
      </x:c>
      <x:c r="V73" s="12" t="n">
        <x:v>244.75798925963002</x:v>
      </x:c>
      <x:c r="W73" s="12" t="n">
        <x:f>IF(ISNUMBER(E73),IF($I$146&gt;$H$146,(E73-$H$146)/($I$146-$H$146),"缺失"),"缺失")</x:f>
        <x:v>0.6469907407407407</x:v>
      </x:c>
      <x:c r="X73" s="12" t="n">
        <x:f>IF(ISNUMBER(F73),IF($I$147&gt;$H$147,(F73-$H$147)/($I$147-$H$147),"缺失"),"缺失")</x:f>
        <x:v>0.9329133858267713</x:v>
      </x:c>
      <x:c r="Y73" s="12" t="n">
        <x:f>IF(ISNUMBER(G73),IF($I$148&gt;$H$148,(G73-$H$148)/($I$148-$H$148),"缺失"),"缺失")</x:f>
        <x:v>0.741321307613695</x:v>
      </x:c>
      <x:c r="Z73" s="12" t="n">
        <x:f>IF(ISNUMBER(H73),IF($I$149&gt;$H$149,(H73-$H$149)/($I$149-$H$149),"缺失"),"缺失")</x:f>
        <x:v>0.7558981257190484</x:v>
      </x:c>
      <x:c r="AA73" s="12" t="n">
        <x:f>IF(ISNUMBER(I73),IF($I$150&gt;$H$150,(I73-$H$150)/($I$150-$H$150),"缺失"),"缺失")</x:f>
        <x:v>0.9430698574277325</x:v>
      </x:c>
      <x:c r="AB73" s="12" t="n">
        <x:f>IF(ISNUMBER(J73),IF($I$151&gt;$H$151,(J73-$H$151)/($I$151-$H$151),"缺失"),"缺失")</x:f>
        <x:v>0.4887357317094853</x:v>
      </x:c>
      <x:c r="AC73" s="12" t="n">
        <x:f>IF(ISNUMBER(K73),IF($I$152&gt;$H$152,(K73-$H$152)/($I$152-$H$152),"缺失"),"缺失")</x:f>
        <x:v>0.00013072735803101225</x:v>
      </x:c>
      <x:c r="AD73" s="12" t="n">
        <x:f>IF(ISNUMBER(L73),IF($I$153&gt;$H$153,(L73-$H$153)/($I$153-$H$153),"缺失"),"缺失")</x:f>
        <x:v>0.034574431251115284</x:v>
      </x:c>
      <x:c r="AE73" s="12" t="n">
        <x:f>IF(ISNUMBER(M73),IF($I$154&gt;$H$154,(M73-$H$154)/($I$154-$H$154),"缺失"),"缺失")</x:f>
        <x:v>0.034821941</x:v>
      </x:c>
      <x:c r="AF73" s="12" t="n">
        <x:f>IF(ISNUMBER(N73),IF($I$155&gt;$H$155,(N73-$H$155)/($I$155-$H$155),"缺失"),"缺失")</x:f>
        <x:v>0.017220871261176485</x:v>
      </x:c>
      <x:c r="AG73" s="12" t="n">
        <x:f>IF(ISNUMBER(O73),IF($I$156&gt;$H$156,(O73-$H$156)/($I$156-$H$156),"缺失"),"缺失")</x:f>
        <x:v>0.36473918317832593</x:v>
      </x:c>
      <x:c r="AH73" s="12" t="n">
        <x:f>IF(ISNUMBER(P73),IF($I$157&gt;$H$157,(P73-$H$157)/($I$157-$H$157),"缺失"),"缺失")</x:f>
        <x:v>0.20706330847818952</x:v>
      </x:c>
      <x:c r="AI73" s="12" t="n">
        <x:f>IF(ISNUMBER(Q73),IF($I$158&gt;$H$158,(Q73-$H$158)/($I$158-$H$158),"缺失"),"缺失")</x:f>
        <x:v>0.12493827760065208</x:v>
      </x:c>
      <x:c r="AJ73" s="12" t="n">
        <x:f>IF(ISNUMBER(R73),IF($I$159&gt;$H$159,(R73-$H$159)/($I$159-$H$159),"缺失"),"缺失")</x:f>
        <x:v>0.1647917394818684</x:v>
      </x:c>
      <x:c r="AK73" s="12" t="n">
        <x:f>IF(ISNUMBER(S73),IF($I$160&gt;$H$160,(S73-$H$160)/($I$160-$H$160),"缺失"),"缺失")</x:f>
        <x:v>0.015480961174281885</x:v>
      </x:c>
      <x:c r="AL73" s="12" t="n">
        <x:f>IF(ISNUMBER(T73),IF($I$161&gt;$H$161,(T73-$H$161)/($I$161-$H$161),"缺失"),"缺失")</x:f>
        <x:v>1</x:v>
      </x:c>
      <x:c r="AM73" s="12" t="n">
        <x:f>IF(ISNUMBER(U73),IF($I$162&gt;$H$162,(U73-$H$162)/($I$162-$H$162),"缺失"),"缺失")</x:f>
        <x:v>1</x:v>
      </x:c>
      <x:c r="AN73" s="12" t="n">
        <x:f>IF(ISNUMBER(V73),IF($I$163&gt;$H$163,(V73-$H$163)/($I$163-$H$163),"缺失"),"缺失")</x:f>
        <x:v>0</x:v>
      </x:c>
      <x:c r="AO73" s="23" t="str"/>
      <x:c r="AP73" s="23" t="str">
        <x:v>见指标口径：州级、产业、代表点代理；气候基期待核实</x:v>
      </x:c>
      <x:c r="AQ73" s="15" t="n">
        <x:v>1.0000000000000007</x:v>
      </x:c>
      <x:c r="AR73" s="15" t="n">
        <x:v>1.0000000000000002</x:v>
      </x:c>
      <x:c r="AS73" s="15" t="n">
        <x:v>1</x:v>
      </x:c>
      <x:c r="AT73" s="15" t="n">
        <x:v>1</x:v>
      </x:c>
    </x:row>
    <x:row r="74" ht="24" customHeight="1">
      <x:c r="A74" s="18" t="str">
        <x:v>51141</x:v>
      </x:c>
      <x:c r="B74" s="3" t="str">
        <x:v>Patrick County</x:v>
      </x:c>
      <x:c r="C74" s="3" t="str">
        <x:v>VA</x:v>
      </x:c>
      <x:c r="D74" s="12" t="n">
        <x:v>1250.852626</x:v>
      </x:c>
      <x:c r="E74" s="12" t="n">
        <x:v>0.398</x:v>
      </x:c>
      <x:c r="F74" s="12" t="n">
        <x:v>0.737314356435644</x:v>
      </x:c>
      <x:c r="G74" s="12" t="n">
        <x:v>2.8465430734769983</x:v>
      </x:c>
      <x:c r="H74" s="12" t="n">
        <x:v>3.217329046099332</x:v>
      </x:c>
      <x:c r="I74" s="12" t="n">
        <x:v>0.9710209377178989</x:v>
      </x:c>
      <x:c r="J74" s="12" t="n">
        <x:v>0.02685110075142647</x:v>
      </x:c>
      <x:c r="K74" s="12" t="n">
        <x:v>0.00018421334784013448</x:v>
      </x:c>
      <x:c r="L74" s="24" t="n">
        <x:v>0.16095834</x:v>
      </x:c>
      <x:c r="M74" s="24" t="n">
        <x:v>0.160382019</x:v>
      </x:c>
      <x:c r="N74" s="13" t="n">
        <x:v>7427</x:v>
      </x:c>
      <x:c r="O74" s="12" t="n">
        <x:v>0.2558</x:v>
      </x:c>
      <x:c r="P74" s="12" t="n">
        <x:v>846.7262756347657</x:v>
      </x:c>
      <x:c r="Q74" s="12" t="n">
        <x:v>10.169632895787556</x:v>
      </x:c>
      <x:c r="R74" s="12" t="n">
        <x:v>33.81090994017785</x:v>
      </x:c>
      <x:c r="S74" s="12" t="n">
        <x:v>27.697918913941123</x:v>
      </x:c>
      <x:c r="T74" s="12" t="n">
        <x:v>89.9</x:v>
      </x:c>
      <x:c r="U74" s="12" t="n">
        <x:v>245.07712999476223</x:v>
      </x:c>
      <x:c r="V74" s="12" t="n">
        <x:v>244.75798925963002</x:v>
      </x:c>
      <x:c r="W74" s="12" t="n">
        <x:f>IF(ISNUMBER(E74),IF($I$146&gt;$H$146,(E74-$H$146)/($I$146-$H$146),"缺失"),"缺失")</x:f>
        <x:v>0.4050925925925926</x:v>
      </x:c>
      <x:c r="X74" s="12" t="n">
        <x:f>IF(ISNUMBER(F74),IF($I$147&gt;$H$147,(F74-$H$147)/($I$147-$H$147),"缺失"),"缺失")</x:f>
        <x:v>0.7442519685039373</x:v>
      </x:c>
      <x:c r="Y74" s="12" t="n">
        <x:f>IF(ISNUMBER(G74),IF($I$148&gt;$H$148,(G74-$H$148)/($I$148-$H$148),"缺失"),"缺失")</x:f>
        <x:v>0.7484430663002447</x:v>
      </x:c>
      <x:c r="Z74" s="12" t="n">
        <x:f>IF(ISNUMBER(H74),IF($I$149&gt;$H$149,(H74-$H$149)/($I$149-$H$149),"缺失"),"缺失")</x:f>
        <x:v>0.792734363774562</x:v>
      </x:c>
      <x:c r="AA74" s="12" t="n">
        <x:f>IF(ISNUMBER(I74),IF($I$150&gt;$H$150,(I74-$H$150)/($I$150-$H$150),"缺失"),"缺失")</x:f>
        <x:v>0.9781023863493365</x:v>
      </x:c>
      <x:c r="AB74" s="12" t="n">
        <x:f>IF(ISNUMBER(J74),IF($I$151&gt;$H$151,(J74-$H$151)/($I$151-$H$151),"缺失"),"缺失")</x:f>
        <x:v>0.06586558852846916</x:v>
      </x:c>
      <x:c r="AC74" s="12" t="n">
        <x:f>IF(ISNUMBER(K74),IF($I$152&gt;$H$152,(K74-$H$152)/($I$152-$H$152),"缺失"),"缺失")</x:f>
        <x:v>0.00031669981839832023</x:v>
      </x:c>
      <x:c r="AD74" s="12" t="n">
        <x:f>IF(ISNUMBER(L74),IF($I$153&gt;$H$153,(L74-$H$153)/($I$153-$H$153),"缺失"),"缺失")</x:f>
        <x:v>0.16068074103033061</x:v>
      </x:c>
      <x:c r="AE74" s="12" t="n">
        <x:f>IF(ISNUMBER(M74),IF($I$154&gt;$H$154,(M74-$H$154)/($I$154-$H$154),"缺失"),"缺失")</x:f>
        <x:v>0.160382019</x:v>
      </x:c>
      <x:c r="AF74" s="12" t="n">
        <x:f>IF(ISNUMBER(N74),IF($I$155&gt;$H$155,(N74-$H$155)/($I$155-$H$155),"缺失"),"缺失")</x:f>
        <x:v>0.010464513203703186</x:v>
      </x:c>
      <x:c r="AG74" s="12" t="n">
        <x:f>IF(ISNUMBER(O74),IF($I$156&gt;$H$156,(O74-$H$156)/($I$156-$H$156),"缺失"),"缺失")</x:f>
        <x:v>0.2563687828548322</x:v>
      </x:c>
      <x:c r="AH74" s="12" t="n">
        <x:f>IF(ISNUMBER(P74),IF($I$157&gt;$H$157,(P74-$H$157)/($I$157-$H$157),"缺失"),"缺失")</x:f>
        <x:v>0.2568473648425328</x:v>
      </x:c>
      <x:c r="AI74" s="12" t="n">
        <x:f>IF(ISNUMBER(Q74),IF($I$158&gt;$H$158,(Q74-$H$158)/($I$158-$H$158),"缺失"),"缺失")</x:f>
        <x:v>0.11576762705374412</x:v>
      </x:c>
      <x:c r="AJ74" s="12" t="n">
        <x:f>IF(ISNUMBER(R74),IF($I$159&gt;$H$159,(R74-$H$159)/($I$159-$H$159),"缺失"),"缺失")</x:f>
        <x:v>0.35378960407381493</x:v>
      </x:c>
      <x:c r="AK74" s="12" t="n">
        <x:f>IF(ISNUMBER(S74),IF($I$160&gt;$H$160,(S74-$H$160)/($I$160-$H$160),"缺失"),"缺失")</x:f>
        <x:v>0.540549949116791</x:v>
      </x:c>
      <x:c r="AL74" s="12" t="n">
        <x:f>IF(ISNUMBER(T74),IF($I$161&gt;$H$161,(T74-$H$161)/($I$161-$H$161),"缺失"),"缺失")</x:f>
        <x:v>1</x:v>
      </x:c>
      <x:c r="AM74" s="12" t="n">
        <x:f>IF(ISNUMBER(U74),IF($I$162&gt;$H$162,(U74-$H$162)/($I$162-$H$162),"缺失"),"缺失")</x:f>
        <x:v>1</x:v>
      </x:c>
      <x:c r="AN74" s="12" t="n">
        <x:f>IF(ISNUMBER(V74),IF($I$163&gt;$H$163,(V74-$H$163)/($I$163-$H$163),"缺失"),"缺失")</x:f>
        <x:v>0</x:v>
      </x:c>
      <x:c r="AO74" s="23" t="str"/>
      <x:c r="AP74" s="23" t="str">
        <x:v>见指标口径：州级、产业、代表点代理；气候基期待核实</x:v>
      </x:c>
      <x:c r="AQ74" s="15" t="n">
        <x:v>0.9999999999999968</x:v>
      </x:c>
      <x:c r="AR74" s="15" t="n">
        <x:v>1.0000000000000013</x:v>
      </x:c>
      <x:c r="AS74" s="15" t="n">
        <x:v>1</x:v>
      </x:c>
      <x:c r="AT74" s="15" t="n">
        <x:v>1</x:v>
      </x:c>
    </x:row>
    <x:row r="75" ht="24" customHeight="1">
      <x:c r="A75" s="18" t="str">
        <x:v>51143</x:v>
      </x:c>
      <x:c r="B75" s="3" t="str">
        <x:v>Pittsylvania County</x:v>
      </x:c>
      <x:c r="C75" s="3" t="str">
        <x:v>VA</x:v>
      </x:c>
      <x:c r="D75" s="12" t="n">
        <x:v>2509.705674</x:v>
      </x:c>
      <x:c r="E75" s="12" t="n">
        <x:v>0.322</x:v>
      </x:c>
      <x:c r="F75" s="12" t="n">
        <x:v>0.372215346534653</x:v>
      </x:c>
      <x:c r="G75" s="12" t="n">
        <x:v>2.769729931985377</x:v>
      </x:c>
      <x:c r="H75" s="12" t="n">
        <x:v>3.155046543</x:v>
      </x:c>
      <x:c r="I75" s="12" t="n">
        <x:v>0.9343145738599443</x:v>
      </x:c>
      <x:c r="J75" s="12" t="n">
        <x:v>0</x:v>
      </x:c>
      <x:c r="K75" s="12" t="n">
        <x:v>0.005025901040803313</x:v>
      </x:c>
      <x:c r="L75" s="24" t="n">
        <x:v>0.314159556</x:v>
      </x:c>
      <x:c r="M75" s="24" t="n">
        <x:v>0.263738887</x:v>
      </x:c>
      <x:c r="N75" s="13" t="n">
        <x:v>27924</x:v>
      </x:c>
      <x:c r="O75" s="12" t="n">
        <x:v>0.7054</x:v>
      </x:c>
      <x:c r="P75" s="12" t="n">
        <x:v>1024.5817647298177</x:v>
      </x:c>
      <x:c r="Q75" s="12" t="n">
        <x:v>22.19630781809489</x:v>
      </x:c>
      <x:c r="R75" s="12" t="n">
        <x:v>68.28876296445752</x:v>
      </x:c>
      <x:c r="S75" s="12" t="n">
        <x:v>0.38019723810656064</x:v>
      </x:c>
      <x:c r="T75" s="12" t="n">
        <x:v>89.9</x:v>
      </x:c>
      <x:c r="U75" s="12" t="n">
        <x:v>245.07712999476223</x:v>
      </x:c>
      <x:c r="V75" s="12" t="n">
        <x:v>244.75798925963002</x:v>
      </x:c>
      <x:c r="W75" s="12" t="n">
        <x:f>IF(ISNUMBER(E75),IF($I$146&gt;$H$146,(E75-$H$146)/($I$146-$H$146),"缺失"),"缺失")</x:f>
        <x:v>0.31712962962962965</x:v>
      </x:c>
      <x:c r="X75" s="12" t="n">
        <x:f>IF(ISNUMBER(F75),IF($I$147&gt;$H$147,(F75-$H$147)/($I$147-$H$147),"缺失"),"缺失")</x:f>
        <x:v>0.3725984251968498</x:v>
      </x:c>
      <x:c r="Y75" s="12" t="n">
        <x:f>IF(ISNUMBER(G75),IF($I$148&gt;$H$148,(G75-$H$148)/($I$148-$H$148),"缺失"),"缺失")</x:f>
        <x:v>0.7282372946995042</x:v>
      </x:c>
      <x:c r="Z75" s="12" t="n">
        <x:f>IF(ISNUMBER(H75),IF($I$149&gt;$H$149,(H75-$H$149)/($I$149-$H$149),"缺失"),"缺失")</x:f>
        <x:v>0.7773800036080692</x:v>
      </x:c>
      <x:c r="AA75" s="12" t="n">
        <x:f>IF(ISNUMBER(I75),IF($I$150&gt;$H$150,(I75-$H$150)/($I$150-$H$150),"缺失"),"缺失")</x:f>
        <x:v>0.9386971373693778</x:v>
      </x:c>
      <x:c r="AB75" s="12" t="n">
        <x:f>IF(ISNUMBER(J75),IF($I$151&gt;$H$151,(J75-$H$151)/($I$151-$H$151),"缺失"),"缺失")</x:f>
        <x:v>0</x:v>
      </x:c>
      <x:c r="AC75" s="12" t="n">
        <x:f>IF(ISNUMBER(K75),IF($I$152&gt;$H$152,(K75-$H$152)/($I$152-$H$152),"缺失"),"缺失")</x:f>
        <x:v>0.008640535366045579</x:v>
      </x:c>
      <x:c r="AD75" s="12" t="n">
        <x:f>IF(ISNUMBER(L75),IF($I$153&gt;$H$153,(L75-$H$153)/($I$153-$H$153),"缺失"),"缺失")</x:f>
        <x:v>0.31393264402448257</x:v>
      </x:c>
      <x:c r="AE75" s="12" t="n">
        <x:f>IF(ISNUMBER(M75),IF($I$154&gt;$H$154,(M75-$H$154)/($I$154-$H$154),"缺失"),"缺失")</x:f>
        <x:v>0.263738887</x:v>
      </x:c>
      <x:c r="AF75" s="12" t="n">
        <x:f>IF(ISNUMBER(N75),IF($I$155&gt;$H$155,(N75-$H$155)/($I$155-$H$155),"缺失"),"缺失")</x:f>
        <x:v>0.042292844875509716</x:v>
      </x:c>
      <x:c r="AG75" s="12" t="n">
        <x:f>IF(ISNUMBER(O75),IF($I$156&gt;$H$156,(O75-$H$156)/($I$156-$H$156),"缺失"),"缺失")</x:f>
        <x:v>0.710877476748888</x:v>
      </x:c>
      <x:c r="AH75" s="12" t="n">
        <x:f>IF(ISNUMBER(P75),IF($I$157&gt;$H$157,(P75-$H$157)/($I$157-$H$157),"缺失"),"缺失")</x:f>
        <x:v>0.33685673206598354</x:v>
      </x:c>
      <x:c r="AI75" s="12" t="n">
        <x:f>IF(ISNUMBER(Q75),IF($I$158&gt;$H$158,(Q75-$H$158)/($I$158-$H$158),"缺失"),"缺失")</x:f>
        <x:v>0.25710024745638144</x:v>
      </x:c>
      <x:c r="AJ75" s="12" t="n">
        <x:f>IF(ISNUMBER(R75),IF($I$159&gt;$H$159,(R75-$H$159)/($I$159-$H$159),"缺失"),"缺失")</x:f>
        <x:v>0.716098355103292</x:v>
      </x:c>
      <x:c r="AK75" s="12" t="n">
        <x:f>IF(ISNUMBER(S75),IF($I$160&gt;$H$160,(S75-$H$160)/($I$160-$H$160),"缺失"),"缺失")</x:f>
        <x:v>0.007262677299758835</x:v>
      </x:c>
      <x:c r="AL75" s="12" t="n">
        <x:f>IF(ISNUMBER(T75),IF($I$161&gt;$H$161,(T75-$H$161)/($I$161-$H$161),"缺失"),"缺失")</x:f>
        <x:v>1</x:v>
      </x:c>
      <x:c r="AM75" s="12" t="n">
        <x:f>IF(ISNUMBER(U75),IF($I$162&gt;$H$162,(U75-$H$162)/($I$162-$H$162),"缺失"),"缺失")</x:f>
        <x:v>1</x:v>
      </x:c>
      <x:c r="AN75" s="12" t="n">
        <x:f>IF(ISNUMBER(V75),IF($I$163&gt;$H$163,(V75-$H$163)/($I$163-$H$163),"缺失"),"缺失")</x:f>
        <x:v>0</x:v>
      </x:c>
      <x:c r="AO75" s="23" t="str"/>
      <x:c r="AP75" s="23" t="str">
        <x:v>见指标口径：州级、产业、代表点代理；气候基期待核实</x:v>
      </x:c>
      <x:c r="AQ75" s="15" t="n">
        <x:v>1.0000000000000036</x:v>
      </x:c>
      <x:c r="AR75" s="15" t="n">
        <x:v>1.0000000000000024</x:v>
      </x:c>
      <x:c r="AS75" s="15" t="n">
        <x:v>1</x:v>
      </x:c>
      <x:c r="AT75" s="15" t="n">
        <x:v>1</x:v>
      </x:c>
    </x:row>
    <x:row r="76" ht="24" customHeight="1">
      <x:c r="A76" s="18" t="str">
        <x:v>51145</x:v>
      </x:c>
      <x:c r="B76" s="3" t="str">
        <x:v>Powhatan County</x:v>
      </x:c>
      <x:c r="C76" s="3" t="str">
        <x:v>VA</x:v>
      </x:c>
      <x:c r="D76" s="12" t="n">
        <x:v>673.9213</x:v>
      </x:c>
      <x:c r="E76" s="12" t="n">
        <x:v>0.241</x:v>
      </x:c>
      <x:c r="F76" s="12" t="n">
        <x:v>0.305074257425743</x:v>
      </x:c>
      <x:c r="G76" s="12" t="n">
        <x:v>2.5865129092702666</x:v>
      </x:c>
      <x:c r="H76" s="12" t="n">
        <x:v>2.8840678875786567</x:v>
      </x:c>
      <x:c r="I76" s="12" t="n">
        <x:v>0.9520410341239561</x:v>
      </x:c>
      <x:c r="J76" s="12" t="n">
        <x:v>0.009451865062141629</x:v>
      </x:c>
      <x:c r="K76" s="12" t="n">
        <x:v>0.059875670339638754</x:v>
      </x:c>
      <x:c r="L76" s="24" t="n">
        <x:v>0.234273979</x:v>
      </x:c>
      <x:c r="M76" s="24" t="n">
        <x:v>0.17433635</x:v>
      </x:c>
      <x:c r="N76" s="13" t="n">
        <x:v>17199</x:v>
      </x:c>
      <x:c r="O76" s="12" t="n">
        <x:v>0.0022</x:v>
      </x:c>
      <x:c r="P76" s="12" t="n">
        <x:v>1130.6152425130208</x:v>
      </x:c>
      <x:c r="Q76" s="12" t="n">
        <x:v>27.51483771006266</x:v>
      </x:c>
      <x:c r="R76" s="12" t="n">
        <x:v>20.847070159244403</x:v>
      </x:c>
      <x:c r="S76" s="12" t="n">
        <x:v>9.886063226030721</x:v>
      </x:c>
      <x:c r="T76" s="12" t="n">
        <x:v>89.9</x:v>
      </x:c>
      <x:c r="U76" s="12" t="n">
        <x:v>245.07712999476223</x:v>
      </x:c>
      <x:c r="V76" s="12" t="n">
        <x:v>244.75798925963002</x:v>
      </x:c>
      <x:c r="W76" s="12" t="n">
        <x:f>IF(ISNUMBER(E76),IF($I$146&gt;$H$146,(E76-$H$146)/($I$146-$H$146),"缺失"),"缺失")</x:f>
        <x:v>0.22337962962962965</x:v>
      </x:c>
      <x:c r="X76" s="12" t="n">
        <x:f>IF(ISNUMBER(F76),IF($I$147&gt;$H$147,(F76-$H$147)/($I$147-$H$147),"缺失"),"缺失")</x:f>
        <x:v>0.3042519685039374</x:v>
      </x:c>
      <x:c r="Y76" s="12" t="n">
        <x:f>IF(ISNUMBER(G76),IF($I$148&gt;$H$148,(G76-$H$148)/($I$148-$H$148),"缺失"),"缺失")</x:f>
        <x:v>0.6800418786227764</x:v>
      </x:c>
      <x:c r="Z76" s="12" t="n">
        <x:f>IF(ISNUMBER(H76),IF($I$149&gt;$H$149,(H76-$H$149)/($I$149-$H$149),"缺失"),"缺失")</x:f>
        <x:v>0.7105762679564129</x:v>
      </x:c>
      <x:c r="AA76" s="12" t="n">
        <x:f>IF(ISNUMBER(I76),IF($I$150&gt;$H$150,(I76-$H$150)/($I$150-$H$150),"缺失"),"缺失")</x:f>
        <x:v>0.9577269596350707</x:v>
      </x:c>
      <x:c r="AB76" s="12" t="n">
        <x:f>IF(ISNUMBER(J76),IF($I$151&gt;$H$151,(J76-$H$151)/($I$151-$H$151),"缺失"),"缺失")</x:f>
        <x:v>0.02318536810736003</x:v>
      </x:c>
      <x:c r="AC76" s="12" t="n">
        <x:f>IF(ISNUMBER(K76),IF($I$152&gt;$H$152,(K76-$H$152)/($I$152-$H$152),"缺失"),"缺失")</x:f>
        <x:v>0.1029383274630977</x:v>
      </x:c>
      <x:c r="AD76" s="12" t="n">
        <x:f>IF(ISNUMBER(L76),IF($I$153&gt;$H$153,(L76-$H$153)/($I$153-$H$153),"缺失"),"缺失")</x:f>
        <x:v>0.23402063668743991</x:v>
      </x:c>
      <x:c r="AE76" s="12" t="n">
        <x:f>IF(ISNUMBER(M76),IF($I$154&gt;$H$154,(M76-$H$154)/($I$154-$H$154),"缺失"),"缺失")</x:f>
        <x:v>0.17433635</x:v>
      </x:c>
      <x:c r="AF76" s="12" t="n">
        <x:f>IF(ISNUMBER(N76),IF($I$155&gt;$H$155,(N76-$H$155)/($I$155-$H$155),"缺失"),"缺失")</x:f>
        <x:v>0.025638756122027498</x:v>
      </x:c>
      <x:c r="AG76" s="12" t="n">
        <x:f>IF(ISNUMBER(O76),IF($I$156&gt;$H$156,(O76-$H$156)/($I$156-$H$156),"缺失"),"缺失")</x:f>
        <x:v>0</x:v>
      </x:c>
      <x:c r="AH76" s="12" t="n">
        <x:f>IF(ISNUMBER(P76),IF($I$157&gt;$H$157,(P76-$H$157)/($I$157-$H$157),"缺失"),"缺失")</x:f>
        <x:v>0.38455653320848265</x:v>
      </x:c>
      <x:c r="AI76" s="12" t="n">
        <x:f>IF(ISNUMBER(Q76),IF($I$158&gt;$H$158,(Q76-$H$158)/($I$158-$H$158),"缺失"),"缺失")</x:f>
        <x:v>0.3196014600673023</x:v>
      </x:c>
      <x:c r="AJ76" s="12" t="n">
        <x:f>IF(ISNUMBER(R76),IF($I$159&gt;$H$159,(R76-$H$159)/($I$159-$H$159),"缺失"),"缺失")</x:f>
        <x:v>0.2175597583154775</x:v>
      </x:c>
      <x:c r="AK76" s="12" t="n">
        <x:f>IF(ISNUMBER(S76),IF($I$160&gt;$H$160,(S76-$H$160)/($I$160-$H$160),"缺失"),"缺失")</x:f>
        <x:v>0.1928329601774404</x:v>
      </x:c>
      <x:c r="AL76" s="12" t="n">
        <x:f>IF(ISNUMBER(T76),IF($I$161&gt;$H$161,(T76-$H$161)/($I$161-$H$161),"缺失"),"缺失")</x:f>
        <x:v>1</x:v>
      </x:c>
      <x:c r="AM76" s="12" t="n">
        <x:f>IF(ISNUMBER(U76),IF($I$162&gt;$H$162,(U76-$H$162)/($I$162-$H$162),"缺失"),"缺失")</x:f>
        <x:v>1</x:v>
      </x:c>
      <x:c r="AN76" s="12" t="n">
        <x:f>IF(ISNUMBER(V76),IF($I$163&gt;$H$163,(V76-$H$163)/($I$163-$H$163),"缺失"),"缺失")</x:f>
        <x:v>0</x:v>
      </x:c>
      <x:c r="AO76" s="23" t="str"/>
      <x:c r="AP76" s="23" t="str">
        <x:v>见指标口径：州级、产业、代表点代理；气候基期待核实</x:v>
      </x:c>
      <x:c r="AQ76" s="15" t="n">
        <x:v>0.9999999999999936</x:v>
      </x:c>
      <x:c r="AR76" s="15" t="n">
        <x:v>0.9999999999999936</x:v>
      </x:c>
      <x:c r="AS76" s="15" t="n">
        <x:v>1</x:v>
      </x:c>
      <x:c r="AT76" s="15" t="n">
        <x:v>1</x:v>
      </x:c>
    </x:row>
    <x:row r="77" ht="24" customHeight="1">
      <x:c r="A77" s="18" t="str">
        <x:v>51147</x:v>
      </x:c>
      <x:c r="B77" s="3" t="str">
        <x:v>Prince Edward County</x:v>
      </x:c>
      <x:c r="C77" s="3" t="str">
        <x:v>VA</x:v>
      </x:c>
      <x:c r="D77" s="12" t="n">
        <x:v>906.356801</x:v>
      </x:c>
      <x:c r="E77" s="12" t="n">
        <x:v>0.305</x:v>
      </x:c>
      <x:c r="F77" s="12" t="n">
        <x:v>0.112623762376238</x:v>
      </x:c>
      <x:c r="G77" s="12" t="n">
        <x:v>3.159958692689882</x:v>
      </x:c>
      <x:c r="H77" s="12" t="n">
        <x:v>3.457887333526956</x:v>
      </x:c>
      <x:c r="I77" s="12" t="n">
        <x:v>0.9495299690615059</x:v>
      </x:c>
      <x:c r="J77" s="12" t="n">
        <x:v>0.0021357632183513294</x:v>
      </x:c>
      <x:c r="K77" s="12" t="n">
        <x:v>0.047303746951298166</x:v>
      </x:c>
      <x:c r="L77" s="24" t="n">
        <x:v>0.698771994</x:v>
      </x:c>
      <x:c r="M77" s="24" t="n">
        <x:v>0.671645894</x:v>
      </x:c>
      <x:c r="N77" s="13" t="n">
        <x:v>8550</x:v>
      </x:c>
      <x:c r="O77" s="12" t="n">
        <x:v>0.6106</x:v>
      </x:c>
      <x:c r="P77" s="12" t="n">
        <x:v>1156.7551879882812</x:v>
      </x:c>
      <x:c r="Q77" s="12" t="n">
        <x:v>27.54825496673584</x:v>
      </x:c>
      <x:c r="R77" s="12" t="n">
        <x:v>60.18409862470955</x:v>
      </x:c>
      <x:c r="S77" s="12" t="n">
        <x:v>9.014145170915077</x:v>
      </x:c>
      <x:c r="T77" s="12" t="n">
        <x:v>89.9</x:v>
      </x:c>
      <x:c r="U77" s="12" t="n">
        <x:v>245.07712999476223</x:v>
      </x:c>
      <x:c r="V77" s="12" t="n">
        <x:v>244.75798925963002</x:v>
      </x:c>
      <x:c r="W77" s="12" t="n">
        <x:f>IF(ISNUMBER(E77),IF($I$146&gt;$H$146,(E77-$H$146)/($I$146-$H$146),"缺失"),"缺失")</x:f>
        <x:v>0.2974537037037037</x:v>
      </x:c>
      <x:c r="X77" s="12" t="n">
        <x:f>IF(ISNUMBER(F77),IF($I$147&gt;$H$147,(F77-$H$147)/($I$147-$H$147),"缺失"),"缺失")</x:f>
        <x:v>0.10834645669291373</x:v>
      </x:c>
      <x:c r="Y77" s="12" t="n">
        <x:f>IF(ISNUMBER(G77),IF($I$148&gt;$H$148,(G77-$H$148)/($I$148-$H$148),"缺失"),"缺失")</x:f>
        <x:v>0.8308873498556962</x:v>
      </x:c>
      <x:c r="Z77" s="12" t="n">
        <x:f>IF(ISNUMBER(H77),IF($I$149&gt;$H$149,(H77-$H$149)/($I$149-$H$149),"缺失"),"缺失")</x:f>
        <x:v>0.8520386370839955</x:v>
      </x:c>
      <x:c r="AA77" s="12" t="n">
        <x:f>IF(ISNUMBER(I77),IF($I$150&gt;$H$150,(I77-$H$150)/($I$150-$H$150),"缺失"),"缺失")</x:f>
        <x:v>0.9550312651126266</x:v>
      </x:c>
      <x:c r="AB77" s="12" t="n">
        <x:f>IF(ISNUMBER(J77),IF($I$151&gt;$H$151,(J77-$H$151)/($I$151-$H$151),"缺失"),"缺失")</x:f>
        <x:v>0.00523901431961572</x:v>
      </x:c>
      <x:c r="AC77" s="12" t="n">
        <x:f>IF(ISNUMBER(K77),IF($I$152&gt;$H$152,(K77-$H$152)/($I$152-$H$152),"缺失"),"缺失")</x:f>
        <x:v>0.08132466102313733</x:v>
      </x:c>
      <x:c r="AD77" s="12" t="n">
        <x:f>IF(ISNUMBER(L77),IF($I$153&gt;$H$153,(L77-$H$153)/($I$153-$H$153),"缺失"),"缺失")</x:f>
        <x:v>0.6986723319830971</x:v>
      </x:c>
      <x:c r="AE77" s="12" t="n">
        <x:f>IF(ISNUMBER(M77),IF($I$154&gt;$H$154,(M77-$H$154)/($I$154-$H$154),"缺失"),"缺失")</x:f>
        <x:v>0.671645894</x:v>
      </x:c>
      <x:c r="AF77" s="12" t="n">
        <x:f>IF(ISNUMBER(N77),IF($I$155&gt;$H$155,(N77-$H$155)/($I$155-$H$155),"缺失"),"缺失")</x:f>
        <x:v>0.012208339932855684</x:v>
      </x:c>
      <x:c r="AG77" s="12" t="n">
        <x:f>IF(ISNUMBER(O77),IF($I$156&gt;$H$156,(O77-$H$156)/($I$156-$H$156),"缺失"),"缺失")</x:f>
        <x:v>0.6150424585523656</x:v>
      </x:c>
      <x:c r="AH77" s="12" t="n">
        <x:f>IF(ISNUMBER(P77),IF($I$157&gt;$H$157,(P77-$H$157)/($I$157-$H$157),"缺失"),"缺失")</x:f>
        <x:v>0.39631574574317907</x:v>
      </x:c>
      <x:c r="AI77" s="12" t="n">
        <x:f>IF(ISNUMBER(Q77),IF($I$158&gt;$H$158,(Q77-$H$158)/($I$158-$H$158),"缺失"),"缺失")</x:f>
        <x:v>0.31999416615462883</x:v>
      </x:c>
      <x:c r="AJ77" s="12" t="n">
        <x:f>IF(ISNUMBER(R77),IF($I$159&gt;$H$159,(R77-$H$159)/($I$159-$H$159),"缺失"),"缺失")</x:f>
        <x:v>0.6309309053673879</x:v>
      </x:c>
      <x:c r="AK77" s="12" t="n">
        <x:f>IF(ISNUMBER(S77),IF($I$160&gt;$H$160,(S77-$H$160)/($I$160-$H$160),"缺失"),"缺失")</x:f>
        <x:v>0.17581167244421184</x:v>
      </x:c>
      <x:c r="AL77" s="12" t="n">
        <x:f>IF(ISNUMBER(T77),IF($I$161&gt;$H$161,(T77-$H$161)/($I$161-$H$161),"缺失"),"缺失")</x:f>
        <x:v>1</x:v>
      </x:c>
      <x:c r="AM77" s="12" t="n">
        <x:f>IF(ISNUMBER(U77),IF($I$162&gt;$H$162,(U77-$H$162)/($I$162-$H$162),"缺失"),"缺失")</x:f>
        <x:v>1</x:v>
      </x:c>
      <x:c r="AN77" s="12" t="n">
        <x:f>IF(ISNUMBER(V77),IF($I$163&gt;$H$163,(V77-$H$163)/($I$163-$H$163),"缺失"),"缺失")</x:f>
        <x:v>0</x:v>
      </x:c>
      <x:c r="AO77" s="23" t="str"/>
      <x:c r="AP77" s="23" t="str">
        <x:v>见指标口径：州级、产业、代表点代理；气候基期待核实</x:v>
      </x:c>
      <x:c r="AQ77" s="15" t="n">
        <x:v>1.000000000000001</x:v>
      </x:c>
      <x:c r="AR77" s="15" t="n">
        <x:v>1.0000000000000016</x:v>
      </x:c>
      <x:c r="AS77" s="15" t="n">
        <x:v>1</x:v>
      </x:c>
      <x:c r="AT77" s="15" t="n">
        <x:v>1</x:v>
      </x:c>
    </x:row>
    <x:row r="78" ht="24" customHeight="1">
      <x:c r="A78" s="18" t="str">
        <x:v>51149</x:v>
      </x:c>
      <x:c r="B78" s="3" t="str">
        <x:v>Prince George County</x:v>
      </x:c>
      <x:c r="C78" s="3" t="str">
        <x:v>VA</x:v>
      </x:c>
      <x:c r="D78" s="12" t="n">
        <x:v>687.232241</x:v>
      </x:c>
      <x:c r="E78" s="12" t="n">
        <x:v>0.345</x:v>
      </x:c>
      <x:c r="F78" s="12" t="n">
        <x:v>0.08972772277227721</x:v>
      </x:c>
      <x:c r="G78" s="12" t="n">
        <x:v>2.574327427728232</x:v>
      </x:c>
      <x:c r="H78" s="12" t="n">
        <x:v>2.905858552699214</x:v>
      </x:c>
      <x:c r="I78" s="12" t="n">
        <x:v>0.8945728603662696</x:v>
      </x:c>
      <x:c r="J78" s="12" t="n">
        <x:v>0.04099136219525512</x:v>
      </x:c>
      <x:c r="K78" s="12" t="n">
        <x:v>0.14950936663693132</x:v>
      </x:c>
      <x:c r="L78" s="24" t="n">
        <x:v>0.338340192</x:v>
      </x:c>
      <x:c r="M78" s="24" t="n">
        <x:v>0.330658436</x:v>
      </x:c>
      <x:c r="N78" s="13" t="n">
        <x:v>17049</x:v>
      </x:c>
      <x:c r="O78" s="12" t="n">
        <x:v>0.3805</x:v>
      </x:c>
      <x:c r="P78" s="12" t="n">
        <x:v>1464.2783935546877</x:v>
      </x:c>
      <x:c r="Q78" s="12" t="n">
        <x:v>37.66997350056966</x:v>
      </x:c>
      <x:c r="R78" s="12" t="n">
        <x:v>7.265176152703968</x:v>
      </x:c>
      <x:c r="S78" s="12" t="n">
        <x:v>5.913263516417761</x:v>
      </x:c>
      <x:c r="T78" s="12" t="n">
        <x:v>89.9</x:v>
      </x:c>
      <x:c r="U78" s="12" t="n">
        <x:v>245.07712999476223</x:v>
      </x:c>
      <x:c r="V78" s="12" t="n">
        <x:v>244.75798925963002</x:v>
      </x:c>
      <x:c r="W78" s="12" t="n">
        <x:f>IF(ISNUMBER(E78),IF($I$146&gt;$H$146,(E78-$H$146)/($I$146-$H$146),"缺失"),"缺失")</x:f>
        <x:v>0.34375</x:v>
      </x:c>
      <x:c r="X78" s="12" t="n">
        <x:f>IF(ISNUMBER(F78),IF($I$147&gt;$H$147,(F78-$H$147)/($I$147-$H$147),"缺失"),"缺失")</x:f>
        <x:v>0.08503937007874011</x:v>
      </x:c>
      <x:c r="Y78" s="12" t="n">
        <x:f>IF(ISNUMBER(G78),IF($I$148&gt;$H$148,(G78-$H$148)/($I$148-$H$148),"缺失"),"缺失")</x:f>
        <x:v>0.6768364758479108</x:v>
      </x:c>
      <x:c r="Z78" s="12" t="n">
        <x:f>IF(ISNUMBER(H78),IF($I$149&gt;$H$149,(H78-$H$149)/($I$149-$H$149),"缺失"),"缺失")</x:f>
        <x:v>0.7159482697848374</x:v>
      </x:c>
      <x:c r="AA78" s="12" t="n">
        <x:f>IF(ISNUMBER(I78),IF($I$150&gt;$H$150,(I78-$H$150)/($I$150-$H$150),"缺失"),"缺失")</x:f>
        <x:v>0.8960333605603037</x:v>
      </x:c>
      <x:c r="AB78" s="12" t="n">
        <x:f>IF(ISNUMBER(J78),IF($I$151&gt;$H$151,(J78-$H$151)/($I$151-$H$151),"缺失"),"缺失")</x:f>
        <x:v>0.10055156474099806</x:v>
      </x:c>
      <x:c r="AC78" s="12" t="n">
        <x:f>IF(ISNUMBER(K78),IF($I$152&gt;$H$152,(K78-$H$152)/($I$152-$H$152),"缺失"),"缺失")</x:f>
        <x:v>0.25703669043491534</x:v>
      </x:c>
      <x:c r="AD78" s="12" t="n">
        <x:f>IF(ISNUMBER(L78),IF($I$153&gt;$H$153,(L78-$H$153)/($I$153-$H$153),"缺失"),"缺失")</x:f>
        <x:v>0.33812128024659255</x:v>
      </x:c>
      <x:c r="AE78" s="12" t="n">
        <x:f>IF(ISNUMBER(M78),IF($I$154&gt;$H$154,(M78-$H$154)/($I$154-$H$154),"缺失"),"缺失")</x:f>
        <x:v>0.330658436</x:v>
      </x:c>
      <x:c r="AF78" s="12" t="n">
        <x:f>IF(ISNUMBER(N78),IF($I$155&gt;$H$155,(N78-$H$155)/($I$155-$H$155),"缺失"),"缺失")</x:f>
        <x:v>0.025405831803796977</x:v>
      </x:c>
      <x:c r="AG78" s="12" t="n">
        <x:f>IF(ISNUMBER(O78),IF($I$156&gt;$H$156,(O78-$H$156)/($I$156-$H$156),"缺失"),"缺失")</x:f>
        <x:v>0.3824302466639709</x:v>
      </x:c>
      <x:c r="AH78" s="12" t="n">
        <x:f>IF(ISNUMBER(P78),IF($I$157&gt;$H$157,(P78-$H$157)/($I$157-$H$157),"缺失"),"缺失")</x:f>
        <x:v>0.5346569192941721</x:v>
      </x:c>
      <x:c r="AI78" s="12" t="n">
        <x:f>IF(ISNUMBER(Q78),IF($I$158&gt;$H$158,(Q78-$H$158)/($I$158-$H$158),"缺失"),"缺失")</x:f>
        <x:v>0.4389405093962922</x:v>
      </x:c>
      <x:c r="AJ78" s="12" t="n">
        <x:f>IF(ISNUMBER(R78),IF($I$159&gt;$H$159,(R78-$H$159)/($I$159-$H$159),"缺失"),"缺失")</x:f>
        <x:v>0.07483512141134376</x:v>
      </x:c>
      <x:c r="AK78" s="12" t="n">
        <x:f>IF(ISNUMBER(S78),IF($I$160&gt;$H$160,(S78-$H$160)/($I$160-$H$160),"缺失"),"缺失")</x:f>
        <x:v>0.11527731539286235</x:v>
      </x:c>
      <x:c r="AL78" s="12" t="n">
        <x:f>IF(ISNUMBER(T78),IF($I$161&gt;$H$161,(T78-$H$161)/($I$161-$H$161),"缺失"),"缺失")</x:f>
        <x:v>1</x:v>
      </x:c>
      <x:c r="AM78" s="12" t="n">
        <x:f>IF(ISNUMBER(U78),IF($I$162&gt;$H$162,(U78-$H$162)/($I$162-$H$162),"缺失"),"缺失")</x:f>
        <x:v>1</x:v>
      </x:c>
      <x:c r="AN78" s="12" t="n">
        <x:f>IF(ISNUMBER(V78),IF($I$163&gt;$H$163,(V78-$H$163)/($I$163-$H$163),"缺失"),"缺失")</x:f>
        <x:v>0</x:v>
      </x:c>
      <x:c r="AO78" s="23" t="str"/>
      <x:c r="AP78" s="23" t="str">
        <x:v>baseline_water_stress:有效县域面积覆盖&lt;99%（诊断提示，非行业阈值）；water_stress_2050_bau:有效县域面积覆盖&lt;99%（诊断提示，非行业阈值）</x:v>
      </x:c>
      <x:c r="AQ78" s="15" t="n">
        <x:v>0.9685958263236009</x:v>
      </x:c>
      <x:c r="AR78" s="15" t="n">
        <x:v>0.9695103552690642</x:v>
      </x:c>
      <x:c r="AS78" s="15" t="n">
        <x:v>1</x:v>
      </x:c>
      <x:c r="AT78" s="15" t="n">
        <x:v>1</x:v>
      </x:c>
    </x:row>
    <x:row r="79" ht="24" customHeight="1">
      <x:c r="A79" s="18" t="str">
        <x:v>51153</x:v>
      </x:c>
      <x:c r="B79" s="3" t="str">
        <x:v>Prince William County</x:v>
      </x:c>
      <x:c r="C79" s="3" t="str">
        <x:v>VA</x:v>
      </x:c>
      <x:c r="D79" s="12" t="n">
        <x:v>868.307139</x:v>
      </x:c>
      <x:c r="E79" s="12" t="n">
        <x:v>0.191</x:v>
      </x:c>
      <x:c r="F79" s="12" t="n">
        <x:v>0.367883663366337</x:v>
      </x:c>
      <x:c r="G79" s="12" t="n">
        <x:v>3.587506860846005</x:v>
      </x:c>
      <x:c r="H79" s="12" t="n">
        <x:v>3.978985416096768</x:v>
      </x:c>
      <x:c r="I79" s="12" t="n">
        <x:v>0.678752100978809</x:v>
      </x:c>
      <x:c r="J79" s="12" t="n">
        <x:v>0.07075908513617792</x:v>
      </x:c>
      <x:c r="K79" s="12" t="n">
        <x:v>0.0752510875655011</x:v>
      </x:c>
      <x:c r="L79" s="24" t="n">
        <x:v>0.829174196</x:v>
      </x:c>
      <x:c r="M79" s="24" t="n">
        <x:v>0.341332047</x:v>
      </x:c>
      <x:c r="N79" s="13" t="n">
        <x:v>266734</x:v>
      </x:c>
      <x:c r="O79" s="12" t="n">
        <x:v>0.4117</x:v>
      </x:c>
      <x:c r="P79" s="12" t="n">
        <x:v>1082.4550821940104</x:v>
      </x:c>
      <x:c r="Q79" s="12" t="n">
        <x:v>21.502473704020183</x:v>
      </x:c>
      <x:c r="R79" s="12" t="n">
        <x:v>11.537808712190182</x:v>
      </x:c>
      <x:c r="S79" s="12" t="n">
        <x:v>4.94420421517464</x:v>
      </x:c>
      <x:c r="T79" s="12" t="n">
        <x:v>89.9</x:v>
      </x:c>
      <x:c r="U79" s="12" t="n">
        <x:v>245.07712999476223</x:v>
      </x:c>
      <x:c r="V79" s="12" t="n">
        <x:v>244.75798925963002</x:v>
      </x:c>
      <x:c r="W79" s="12" t="n">
        <x:f>IF(ISNUMBER(E79),IF($I$146&gt;$H$146,(E79-$H$146)/($I$146-$H$146),"缺失"),"缺失")</x:f>
        <x:v>0.16550925925925927</x:v>
      </x:c>
      <x:c r="X79" s="12" t="n">
        <x:f>IF(ISNUMBER(F79),IF($I$147&gt;$H$147,(F79-$H$147)/($I$147-$H$147),"缺失"),"缺失")</x:f>
        <x:v>0.368188976377953</x:v>
      </x:c>
      <x:c r="Y79" s="12" t="n">
        <x:f>IF(ISNUMBER(G79),IF($I$148&gt;$H$148,(G79-$H$148)/($I$148-$H$148),"缺失"),"缺失")</x:f>
        <x:v>0.943354311450022</x:v>
      </x:c>
      <x:c r="Z79" s="12" t="n">
        <x:f>IF(ISNUMBER(H79),IF($I$149&gt;$H$149,(H79-$H$149)/($I$149-$H$149),"缺失"),"缺失")</x:f>
        <x:v>0.9805037315116387</x:v>
      </x:c>
      <x:c r="AA79" s="12" t="n">
        <x:f>IF(ISNUMBER(I79),IF($I$150&gt;$H$150,(I79-$H$150)/($I$150-$H$150),"缺失"),"缺失")</x:f>
        <x:v>0.6643440875062616</x:v>
      </x:c>
      <x:c r="AB79" s="12" t="n">
        <x:f>IF(ISNUMBER(J79),IF($I$151&gt;$H$151,(J79-$H$151)/($I$151-$H$151),"缺失"),"缺失")</x:f>
        <x:v>0.1735716099453695</x:v>
      </x:c>
      <x:c r="AC79" s="12" t="n">
        <x:f>IF(ISNUMBER(K79),IF($I$152&gt;$H$152,(K79-$H$152)/($I$152-$H$152),"缺失"),"缺失")</x:f>
        <x:v>0.12937176402088071</x:v>
      </x:c>
      <x:c r="AD79" s="12" t="n">
        <x:f>IF(ISNUMBER(L79),IF($I$153&gt;$H$153,(L79-$H$153)/($I$153-$H$153),"缺失"),"缺失")</x:f>
        <x:v>0.8291176778681311</x:v>
      </x:c>
      <x:c r="AE79" s="12" t="n">
        <x:f>IF(ISNUMBER(M79),IF($I$154&gt;$H$154,(M79-$H$154)/($I$154-$H$154),"缺失"),"缺失")</x:f>
        <x:v>0.341332047</x:v>
      </x:c>
      <x:c r="AF79" s="12" t="n">
        <x:f>IF(ISNUMBER(N79),IF($I$155&gt;$H$155,(N79-$H$155)/($I$155-$H$155),"缺失"),"缺失")</x:f>
        <x:v>0.41312388778638043</x:v>
      </x:c>
      <x:c r="AG79" s="12" t="n">
        <x:f>IF(ISNUMBER(O79),IF($I$156&gt;$H$156,(O79-$H$156)/($I$156-$H$156),"缺失"),"缺失")</x:f>
        <x:v>0.41397088556409223</x:v>
      </x:c>
      <x:c r="AH79" s="12" t="n">
        <x:f>IF(ISNUMBER(P79),IF($I$157&gt;$H$157,(P79-$H$157)/($I$157-$H$157),"缺失"),"缺失")</x:f>
        <x:v>0.36289139387480346</x:v>
      </x:c>
      <x:c r="AI79" s="12" t="n">
        <x:f>IF(ISNUMBER(Q79),IF($I$158&gt;$H$158,(Q79-$H$158)/($I$158-$H$158),"缺失"),"缺失")</x:f>
        <x:v>0.2489465895168096</x:v>
      </x:c>
      <x:c r="AJ79" s="12" t="n">
        <x:f>IF(ISNUMBER(R79),IF($I$159&gt;$H$159,(R79-$H$159)/($I$159-$H$159),"缺失"),"缺失")</x:f>
        <x:v>0.11973386163003434</x:v>
      </x:c>
      <x:c r="AK79" s="12" t="n">
        <x:f>IF(ISNUMBER(S79),IF($I$160&gt;$H$160,(S79-$H$160)/($I$160-$H$160),"缺失"),"缺失")</x:f>
        <x:v>0.0963596692904051</x:v>
      </x:c>
      <x:c r="AL79" s="12" t="n">
        <x:f>IF(ISNUMBER(T79),IF($I$161&gt;$H$161,(T79-$H$161)/($I$161-$H$161),"缺失"),"缺失")</x:f>
        <x:v>1</x:v>
      </x:c>
      <x:c r="AM79" s="12" t="n">
        <x:f>IF(ISNUMBER(U79),IF($I$162&gt;$H$162,(U79-$H$162)/($I$162-$H$162),"缺失"),"缺失")</x:f>
        <x:v>1</x:v>
      </x:c>
      <x:c r="AN79" s="12" t="n">
        <x:f>IF(ISNUMBER(V79),IF($I$163&gt;$H$163,(V79-$H$163)/($I$163-$H$163),"缺失"),"缺失")</x:f>
        <x:v>0</x:v>
      </x:c>
      <x:c r="AO79" s="23" t="str"/>
      <x:c r="AP79" s="23" t="str">
        <x:v>见指标口径：州级、产业、代表点代理；气候基期待核实</x:v>
      </x:c>
      <x:c r="AQ79" s="15" t="n">
        <x:v>0.9907418267136141</x:v>
      </x:c>
      <x:c r="AR79" s="15" t="n">
        <x:v>0.9902474314166684</x:v>
      </x:c>
      <x:c r="AS79" s="15" t="n">
        <x:v>1</x:v>
      </x:c>
      <x:c r="AT79" s="15" t="n">
        <x:v>1</x:v>
      </x:c>
    </x:row>
    <x:row r="80" ht="24" customHeight="1">
      <x:c r="A80" s="18" t="str">
        <x:v>51155</x:v>
      </x:c>
      <x:c r="B80" s="3" t="str">
        <x:v>Pulaski County</x:v>
      </x:c>
      <x:c r="C80" s="3" t="str">
        <x:v>VA</x:v>
      </x:c>
      <x:c r="D80" s="12" t="n">
        <x:v>828.380598</x:v>
      </x:c>
      <x:c r="E80" s="12" t="n">
        <x:v>0.537</x:v>
      </x:c>
      <x:c r="F80" s="12" t="n">
        <x:v>0.761757425742574</x:v>
      </x:c>
      <x:c r="G80" s="12" t="n">
        <x:v>1.885636830596275</x:v>
      </x:c>
      <x:c r="H80" s="12" t="n">
        <x:v>2.282656327</x:v>
      </x:c>
      <x:c r="I80" s="12" t="n">
        <x:v>0.9167944021546163</x:v>
      </x:c>
      <x:c r="J80" s="12" t="n">
        <x:v>0.002320352983493752</x:v>
      </x:c>
      <x:c r="K80" s="12" t="n">
        <x:v>0.0002294908766551488</x:v>
      </x:c>
      <x:c r="L80" s="24" t="n">
        <x:v>0.110795604</x:v>
      </x:c>
      <x:c r="M80" s="24" t="n">
        <x:v>0.110480097</x:v>
      </x:c>
      <x:c r="N80" s="13" t="n">
        <x:v>15892</x:v>
      </x:c>
      <x:c r="O80" s="12" t="n">
        <x:v>0.2011</x:v>
      </x:c>
      <x:c r="P80" s="12" t="n">
        <x:v>513.5880564371745</x:v>
      </x:c>
      <x:c r="Q80" s="12" t="n">
        <x:v>2.560109543800354</x:v>
      </x:c>
      <x:c r="R80" s="12" t="n">
        <x:v>0.47908620332113505</x:v>
      </x:c>
      <x:c r="S80" s="12" t="n">
        <x:v>1.2072222536190256</x:v>
      </x:c>
      <x:c r="T80" s="12" t="n">
        <x:v>89.9</x:v>
      </x:c>
      <x:c r="U80" s="12" t="n">
        <x:v>245.07712999476223</x:v>
      </x:c>
      <x:c r="V80" s="12" t="n">
        <x:v>244.75798925963002</x:v>
      </x:c>
      <x:c r="W80" s="12" t="n">
        <x:f>IF(ISNUMBER(E80),IF($I$146&gt;$H$146,(E80-$H$146)/($I$146-$H$146),"缺失"),"缺失")</x:f>
        <x:v>0.5659722222222223</x:v>
      </x:c>
      <x:c r="X80" s="12" t="n">
        <x:f>IF(ISNUMBER(F80),IF($I$147&gt;$H$147,(F80-$H$147)/($I$147-$H$147),"缺失"),"缺失")</x:f>
        <x:v>0.7691338582677161</x:v>
      </x:c>
      <x:c r="Y80" s="12" t="n">
        <x:f>IF(ISNUMBER(G80),IF($I$148&gt;$H$148,(G80-$H$148)/($I$148-$H$148),"缺失"),"缺失")</x:f>
        <x:v>0.49567574424648386</x:v>
      </x:c>
      <x:c r="Z80" s="12" t="n">
        <x:f>IF(ISNUMBER(H80),IF($I$149&gt;$H$149,(H80-$H$149)/($I$149-$H$149),"缺失"),"缺失")</x:f>
        <x:v>0.5623116791891672</x:v>
      </x:c>
      <x:c r="AA80" s="12" t="n">
        <x:f>IF(ISNUMBER(I80),IF($I$150&gt;$H$150,(I80-$H$150)/($I$150-$H$150),"缺失"),"缺失")</x:f>
        <x:v>0.9198887713080669</x:v>
      </x:c>
      <x:c r="AB80" s="12" t="n">
        <x:f>IF(ISNUMBER(J80),IF($I$151&gt;$H$151,(J80-$H$151)/($I$151-$H$151),"缺失"),"缺失")</x:f>
        <x:v>0.005691811902478004</x:v>
      </x:c>
      <x:c r="AC80" s="12" t="n">
        <x:f>IF(ISNUMBER(K80),IF($I$152&gt;$H$152,(K80-$H$152)/($I$152-$H$152),"缺失"),"缺失")</x:f>
        <x:v>0.0003945410026630125</x:v>
      </x:c>
      <x:c r="AD80" s="12" t="n">
        <x:f>IF(ISNUMBER(L80),IF($I$153&gt;$H$153,(L80-$H$153)/($I$153-$H$153),"缺失"),"缺失")</x:f>
        <x:v>0.11050140856737381</x:v>
      </x:c>
      <x:c r="AE80" s="12" t="n">
        <x:f>IF(ISNUMBER(M80),IF($I$154&gt;$H$154,(M80-$H$154)/($I$154-$H$154),"缺失"),"缺失")</x:f>
        <x:v>0.110480097</x:v>
      </x:c>
      <x:c r="AF80" s="12" t="n">
        <x:f>IF(ISNUMBER(N80),IF($I$155&gt;$H$155,(N80-$H$155)/($I$155-$H$155),"缺失"),"缺失")</x:f>
        <x:v>0.02360920889584556</x:v>
      </x:c>
      <x:c r="AG80" s="12" t="n">
        <x:f>IF(ISNUMBER(O80),IF($I$156&gt;$H$156,(O80-$H$156)/($I$156-$H$156),"缺失"),"缺失")</x:f>
        <x:v>0.20107157298827336</x:v>
      </x:c>
      <x:c r="AH80" s="12" t="n">
        <x:f>IF(ISNUMBER(P80),IF($I$157&gt;$H$157,(P80-$H$157)/($I$157-$H$157),"缺失"),"缺失")</x:f>
        <x:v>0.10698312252105126</x:v>
      </x:c>
      <x:c r="AI80" s="12" t="n">
        <x:f>IF(ISNUMBER(Q80),IF($I$158&gt;$H$158,(Q80-$H$158)/($I$158-$H$158),"缺失"),"缺失")</x:f>
        <x:v>0.026343585720707056</x:v>
      </x:c>
      <x:c r="AJ80" s="12" t="n">
        <x:f>IF(ISNUMBER(R80),IF($I$159&gt;$H$159,(R80-$H$159)/($I$159-$H$159),"缺失"),"缺失")</x:f>
        <x:v>0.0035238430610599575</x:v>
      </x:c>
      <x:c r="AK80" s="12" t="n">
        <x:f>IF(ISNUMBER(S80),IF($I$160&gt;$H$160,(S80-$H$160)/($I$160-$H$160),"缺失"),"缺失")</x:f>
        <x:v>0.023407578381946438</x:v>
      </x:c>
      <x:c r="AL80" s="12" t="n">
        <x:f>IF(ISNUMBER(T80),IF($I$161&gt;$H$161,(T80-$H$161)/($I$161-$H$161),"缺失"),"缺失")</x:f>
        <x:v>1</x:v>
      </x:c>
      <x:c r="AM80" s="12" t="n">
        <x:f>IF(ISNUMBER(U80),IF($I$162&gt;$H$162,(U80-$H$162)/($I$162-$H$162),"缺失"),"缺失")</x:f>
        <x:v>1</x:v>
      </x:c>
      <x:c r="AN80" s="12" t="n">
        <x:f>IF(ISNUMBER(V80),IF($I$163&gt;$H$163,(V80-$H$163)/($I$163-$H$163),"缺失"),"缺失")</x:f>
        <x:v>0</x:v>
      </x:c>
      <x:c r="AO80" s="23" t="str"/>
      <x:c r="AP80" s="23" t="str">
        <x:v>见指标口径：州级、产业、代表点代理；气候基期待核实</x:v>
      </x:c>
      <x:c r="AQ80" s="15" t="n">
        <x:v>0.999999999999999</x:v>
      </x:c>
      <x:c r="AR80" s="15" t="n">
        <x:v>0.999999999999999</x:v>
      </x:c>
      <x:c r="AS80" s="15" t="n">
        <x:v>1</x:v>
      </x:c>
      <x:c r="AT80" s="15" t="n">
        <x:v>1</x:v>
      </x:c>
    </x:row>
    <x:row r="81" ht="24" customHeight="1">
      <x:c r="A81" s="18" t="str">
        <x:v>51157</x:v>
      </x:c>
      <x:c r="B81" s="3" t="str">
        <x:v>Rappahannock County</x:v>
      </x:c>
      <x:c r="C81" s="3" t="str">
        <x:v>VA</x:v>
      </x:c>
      <x:c r="D81" s="12" t="n">
        <x:v>689.900923</x:v>
      </x:c>
      <x:c r="E81" s="12" t="n">
        <x:v>0.442</x:v>
      </x:c>
      <x:c r="F81" s="12" t="n">
        <x:v>0.824566831683168</x:v>
      </x:c>
      <x:c r="G81" s="12" t="n">
        <x:v>2.7034237431412116</x:v>
      </x:c>
      <x:c r="H81" s="12" t="n">
        <x:v>3.0524762372922627</x:v>
      </x:c>
      <x:c r="I81" s="12" t="n">
        <x:v>0.9878389471626816</x:v>
      </x:c>
      <x:c r="J81" s="12" t="n">
        <x:v>0.18340823052032523</x:v>
      </x:c>
      <x:c r="K81" s="12" t="n">
        <x:v>0.000977262362368884</x:v>
      </x:c>
      <x:c r="L81" s="24" t="n">
        <x:v>0.001139471</x:v>
      </x:c>
      <x:c r="M81" s="24" t="n">
        <x:v>0.000227894</x:v>
      </x:c>
      <x:c r="N81" s="13" t="n">
        <x:v>3657</x:v>
      </x:c>
      <x:c r="O81" s="12" t="n">
        <x:v>0.0573</x:v>
      </x:c>
      <x:c r="P81" s="12" t="n">
        <x:v>845.5532897949219</x:v>
      </x:c>
      <x:c r="Q81" s="12" t="n">
        <x:v>15.693673801422118</x:v>
      </x:c>
      <x:c r="R81" s="12" t="n">
        <x:v>26.193626214991394</x:v>
      </x:c>
      <x:c r="S81" s="12" t="n">
        <x:v>20.07818751055222</x:v>
      </x:c>
      <x:c r="T81" s="12" t="n">
        <x:v>89.9</x:v>
      </x:c>
      <x:c r="U81" s="12" t="n">
        <x:v>245.07712999476223</x:v>
      </x:c>
      <x:c r="V81" s="12" t="n">
        <x:v>244.75798925963002</x:v>
      </x:c>
      <x:c r="W81" s="12" t="n">
        <x:f>IF(ISNUMBER(E81),IF($I$146&gt;$H$146,(E81-$H$146)/($I$146-$H$146),"缺失"),"缺失")</x:f>
        <x:v>0.45601851851851855</x:v>
      </x:c>
      <x:c r="X81" s="12" t="n">
        <x:f>IF(ISNUMBER(F81),IF($I$147&gt;$H$147,(F81-$H$147)/($I$147-$H$147),"缺失"),"缺失")</x:f>
        <x:v>0.8330708661417318</x:v>
      </x:c>
      <x:c r="Y81" s="12" t="n">
        <x:f>IF(ISNUMBER(G81),IF($I$148&gt;$H$148,(G81-$H$148)/($I$148-$H$148),"缺失"),"缺失")</x:f>
        <x:v>0.7107953872148723</x:v>
      </x:c>
      <x:c r="Z81" s="12" t="n">
        <x:f>IF(ISNUMBER(H81),IF($I$149&gt;$H$149,(H81-$H$149)/($I$149-$H$149),"缺失"),"缺失")</x:f>
        <x:v>0.7520935854672935</x:v>
      </x:c>
      <x:c r="AA81" s="12" t="n">
        <x:f>IF(ISNUMBER(I81),IF($I$150&gt;$H$150,(I81-$H$150)/($I$150-$H$150),"缺失"),"缺失")</x:f>
        <x:v>0.9961569627188056</x:v>
      </x:c>
      <x:c r="AB81" s="12" t="n">
        <x:f>IF(ISNUMBER(J81),IF($I$151&gt;$H$151,(J81-$H$151)/($I$151-$H$151),"缺失"),"缺失")</x:f>
        <x:v>0.4498992855458484</x:v>
      </x:c>
      <x:c r="AC81" s="12" t="n">
        <x:f>IF(ISNUMBER(K81),IF($I$152&gt;$H$152,(K81-$H$152)/($I$152-$H$152),"缺失"),"缺失")</x:f>
        <x:v>0.001680110677747037</x:v>
      </x:c>
      <x:c r="AD81" s="12" t="n">
        <x:f>IF(ISNUMBER(L81),IF($I$153&gt;$H$153,(L81-$H$153)/($I$153-$H$153),"缺失"),"缺失")</x:f>
        <x:v>0.0008089955696216834</x:v>
      </x:c>
      <x:c r="AE81" s="12" t="n">
        <x:f>IF(ISNUMBER(M81),IF($I$154&gt;$H$154,(M81-$H$154)/($I$154-$H$154),"缺失"),"缺失")</x:f>
        <x:v>0.000227894</x:v>
      </x:c>
      <x:c r="AF81" s="12" t="n">
        <x:f>IF(ISNUMBER(N81),IF($I$155&gt;$H$155,(N81-$H$155)/($I$155-$H$155),"缺失"),"缺失")</x:f>
        <x:v>0.004610348672176103</x:v>
      </x:c>
      <x:c r="AG81" s="12" t="n">
        <x:f>IF(ISNUMBER(O81),IF($I$156&gt;$H$156,(O81-$H$156)/($I$156-$H$156),"缺失"),"缺失")</x:f>
        <x:v>0.055701577031945004</x:v>
      </x:c>
      <x:c r="AH81" s="12" t="n">
        <x:f>IF(ISNUMBER(P81),IF($I$157&gt;$H$157,(P81-$H$157)/($I$157-$H$157),"缺失"),"缺失")</x:f>
        <x:v>0.25631969006968497</x:v>
      </x:c>
      <x:c r="AI81" s="12" t="n">
        <x:f>IF(ISNUMBER(Q81),IF($I$158&gt;$H$158,(Q81-$H$158)/($I$158-$H$158),"缺失"),"缺失")</x:f>
        <x:v>0.18068392199380115</x:v>
      </x:c>
      <x:c r="AJ81" s="12" t="n">
        <x:f>IF(ISNUMBER(R81),IF($I$159&gt;$H$159,(R81-$H$159)/($I$159-$H$159),"缺失"),"缺失")</x:f>
        <x:v>0.27374376854090104</x:v>
      </x:c>
      <x:c r="AK81" s="12" t="n">
        <x:f>IF(ISNUMBER(S81),IF($I$160&gt;$H$160,(S81-$H$160)/($I$160-$H$160),"缺失"),"缺失")</x:f>
        <x:v>0.39180014412531405</x:v>
      </x:c>
      <x:c r="AL81" s="12" t="n">
        <x:f>IF(ISNUMBER(T81),IF($I$161&gt;$H$161,(T81-$H$161)/($I$161-$H$161),"缺失"),"缺失")</x:f>
        <x:v>1</x:v>
      </x:c>
      <x:c r="AM81" s="12" t="n">
        <x:f>IF(ISNUMBER(U81),IF($I$162&gt;$H$162,(U81-$H$162)/($I$162-$H$162),"缺失"),"缺失")</x:f>
        <x:v>1</x:v>
      </x:c>
      <x:c r="AN81" s="12" t="n">
        <x:f>IF(ISNUMBER(V81),IF($I$163&gt;$H$163,(V81-$H$163)/($I$163-$H$163),"缺失"),"缺失")</x:f>
        <x:v>0</x:v>
      </x:c>
      <x:c r="AO81" s="23" t="str"/>
      <x:c r="AP81" s="23" t="str">
        <x:v>见指标口径：州级、产业、代表点代理；气候基期待核实</x:v>
      </x:c>
      <x:c r="AQ81" s="15" t="n">
        <x:v>1.0000000000000016</x:v>
      </x:c>
      <x:c r="AR81" s="15" t="n">
        <x:v>1.0000000000000018</x:v>
      </x:c>
      <x:c r="AS81" s="15" t="n">
        <x:v>1</x:v>
      </x:c>
      <x:c r="AT81" s="15" t="n">
        <x:v>1</x:v>
      </x:c>
    </x:row>
    <x:row r="82" ht="24" customHeight="1">
      <x:c r="A82" s="18" t="str">
        <x:v>51159</x:v>
      </x:c>
      <x:c r="B82" s="3" t="str">
        <x:v>Richmond County</x:v>
      </x:c>
      <x:c r="C82" s="3" t="str">
        <x:v>VA</x:v>
      </x:c>
      <x:c r="D82" s="12" t="n">
        <x:v>495.925427</x:v>
      </x:c>
      <x:c r="E82" s="12" t="n">
        <x:v>0.249</x:v>
      </x:c>
      <x:c r="F82" s="12" t="n">
        <x:v>0.034653465346534705</x:v>
      </x:c>
      <x:c r="G82" s="12" t="n">
        <x:v>3.5884563322783234</x:v>
      </x:c>
      <x:c r="H82" s="12" t="n">
        <x:v>3.9799828868269995</x:v>
      </x:c>
      <x:c r="I82" s="12" t="n">
        <x:v>0.9462425632453806</x:v>
      </x:c>
      <x:c r="J82" s="12" t="n">
        <x:v>0.06751085508450053</x:v>
      </x:c>
      <x:c r="K82" s="12" t="n">
        <x:v>0.14035208974850993</x:v>
      </x:c>
      <x:c r="L82" s="24" t="n">
        <x:v>0.393684689</x:v>
      </x:c>
      <x:c r="M82" s="24" t="n">
        <x:v>0.391640164</x:v>
      </x:c>
      <x:c r="N82" s="13" t="n">
        <x:v>3447</x:v>
      </x:c>
      <x:c r="O82" s="12" t="n">
        <x:v>0.5485</x:v>
      </x:c>
      <x:c r="P82" s="12" t="n">
        <x:v>1359.0317545572916</x:v>
      </x:c>
      <x:c r="Q82" s="12" t="n">
        <x:v>31.27382348378499</x:v>
      </x:c>
      <x:c r="R82" s="12" t="n">
        <x:v>54.0110503705885</x:v>
      </x:c>
      <x:c r="S82" s="12" t="n">
        <x:v>41.54780520958742</x:v>
      </x:c>
      <x:c r="T82" s="12" t="n">
        <x:v>89.9</x:v>
      </x:c>
      <x:c r="U82" s="12" t="n">
        <x:v>245.07712999476223</x:v>
      </x:c>
      <x:c r="V82" s="12" t="n">
        <x:v>244.75798925963002</x:v>
      </x:c>
      <x:c r="W82" s="12" t="n">
        <x:f>IF(ISNUMBER(E82),IF($I$146&gt;$H$146,(E82-$H$146)/($I$146-$H$146),"缺失"),"缺失")</x:f>
        <x:v>0.2326388888888889</x:v>
      </x:c>
      <x:c r="X82" s="12" t="n">
        <x:f>IF(ISNUMBER(F82),IF($I$147&gt;$H$147,(F82-$H$147)/($I$147-$H$147),"缺失"),"缺失")</x:f>
        <x:v>0.028976377952755948</x:v>
      </x:c>
      <x:c r="Y82" s="12" t="n">
        <x:f>IF(ISNUMBER(G82),IF($I$148&gt;$H$148,(G82-$H$148)/($I$148-$H$148),"缺失"),"缺失")</x:f>
        <x:v>0.9436040708340325</x:v>
      </x:c>
      <x:c r="Z82" s="12" t="n">
        <x:f>IF(ISNUMBER(H82),IF($I$149&gt;$H$149,(H82-$H$149)/($I$149-$H$149),"缺失"),"缺失")</x:f>
        <x:v>0.9807496356433831</x:v>
      </x:c>
      <x:c r="AA82" s="12" t="n">
        <x:f>IF(ISNUMBER(I82),IF($I$150&gt;$H$150,(I82-$H$150)/($I$150-$H$150),"缺失"),"缺失")</x:f>
        <x:v>0.9515021483310278</x:v>
      </x:c>
      <x:c r="AB82" s="12" t="n">
        <x:f>IF(ISNUMBER(J82),IF($I$151&gt;$H$151,(J82-$H$151)/($I$151-$H$151),"缺失"),"缺失")</x:f>
        <x:v>0.16560372117946015</x:v>
      </x:c>
      <x:c r="AC82" s="12" t="n">
        <x:f>IF(ISNUMBER(K82),IF($I$152&gt;$H$152,(K82-$H$152)/($I$152-$H$152),"缺失"),"缺失")</x:f>
        <x:v>0.2412934885356535</x:v>
      </x:c>
      <x:c r="AD82" s="12" t="n">
        <x:f>IF(ISNUMBER(L82),IF($I$153&gt;$H$153,(L82-$H$153)/($I$153-$H$153),"缺失"),"缺失")</x:f>
        <x:v>0.393484088107753</x:v>
      </x:c>
      <x:c r="AE82" s="12" t="n">
        <x:f>IF(ISNUMBER(M82),IF($I$154&gt;$H$154,(M82-$H$154)/($I$154-$H$154),"缺失"),"缺失")</x:f>
        <x:v>0.391640164</x:v>
      </x:c>
      <x:c r="AF82" s="12" t="n">
        <x:f>IF(ISNUMBER(N82),IF($I$155&gt;$H$155,(N82-$H$155)/($I$155-$H$155),"缺失"),"缺失")</x:f>
        <x:v>0.0042842546266533745</x:v>
      </x:c>
      <x:c r="AG82" s="12" t="n">
        <x:f>IF(ISNUMBER(O82),IF($I$156&gt;$H$156,(O82-$H$156)/($I$156-$H$156),"缺失"),"缺失")</x:f>
        <x:v>0.5522644561261626</x:v>
      </x:c>
      <x:c r="AH82" s="12" t="n">
        <x:f>IF(ISNUMBER(P82),IF($I$157&gt;$H$157,(P82-$H$157)/($I$157-$H$157),"缺失"),"缺失")</x:f>
        <x:v>0.4873110823373139</x:v>
      </x:c>
      <x:c r="AI82" s="12" t="n">
        <x:f>IF(ISNUMBER(Q82),IF($I$158&gt;$H$158,(Q82-$H$158)/($I$158-$H$158),"缺失"),"缺失")</x:f>
        <x:v>0.3637755408409503</x:v>
      </x:c>
      <x:c r="AJ82" s="12" t="n">
        <x:f>IF(ISNUMBER(R82),IF($I$159&gt;$H$159,(R82-$H$159)/($I$159-$H$159),"缺失"),"缺失")</x:f>
        <x:v>0.5660617442447307</x:v>
      </x:c>
      <x:c r="AK82" s="12" t="n">
        <x:f>IF(ISNUMBER(S82),IF($I$160&gt;$H$160,(S82-$H$160)/($I$160-$H$160),"缺失"),"缺失")</x:f>
        <x:v>0.8109227190434644</x:v>
      </x:c>
      <x:c r="AL82" s="12" t="n">
        <x:f>IF(ISNUMBER(T82),IF($I$161&gt;$H$161,(T82-$H$161)/($I$161-$H$161),"缺失"),"缺失")</x:f>
        <x:v>1</x:v>
      </x:c>
      <x:c r="AM82" s="12" t="n">
        <x:f>IF(ISNUMBER(U82),IF($I$162&gt;$H$162,(U82-$H$162)/($I$162-$H$162),"缺失"),"缺失")</x:f>
        <x:v>1</x:v>
      </x:c>
      <x:c r="AN82" s="12" t="n">
        <x:f>IF(ISNUMBER(V82),IF($I$163&gt;$H$163,(V82-$H$163)/($I$163-$H$163),"缺失"),"缺失")</x:f>
        <x:v>0</x:v>
      </x:c>
      <x:c r="AO82" s="23" t="str"/>
      <x:c r="AP82" s="23" t="str">
        <x:v>baseline_water_stress:有效县域面积覆盖&lt;99%（诊断提示，非行业阈值）；water_stress_2050_bau:有效县域面积覆盖&lt;99%（诊断提示，非行业阈值）</x:v>
      </x:c>
      <x:c r="AQ82" s="15" t="n">
        <x:v>0.9229042424195727</x:v>
      </x:c>
      <x:c r="AR82" s="15" t="n">
        <x:v>0.9227995580112616</x:v>
      </x:c>
      <x:c r="AS82" s="15" t="n">
        <x:v>1</x:v>
      </x:c>
      <x:c r="AT82" s="15" t="n">
        <x:v>1</x:v>
      </x:c>
    </x:row>
    <x:row r="83" ht="24" customHeight="1">
      <x:c r="A83" s="18" t="str">
        <x:v>51161</x:v>
      </x:c>
      <x:c r="B83" s="3" t="str">
        <x:v>Roanoke County</x:v>
      </x:c>
      <x:c r="C83" s="3" t="str">
        <x:v>VA</x:v>
      </x:c>
      <x:c r="D83" s="12" t="n">
        <x:v>648.917442</x:v>
      </x:c>
      <x:c r="E83" s="12" t="n">
        <x:v>0.616</x:v>
      </x:c>
      <x:c r="F83" s="12" t="n">
        <x:v>0.43409653465346504</x:v>
      </x:c>
      <x:c r="G83" s="12" t="n">
        <x:v>2.7252407952724322</x:v>
      </x:c>
      <x:c r="H83" s="12" t="n">
        <x:v>3.1012350139280445</x:v>
      </x:c>
      <x:c r="I83" s="12" t="n">
        <x:v>0.8487770278507386</x:v>
      </x:c>
      <x:c r="J83" s="12" t="n">
        <x:v>0.09610888831993934</x:v>
      </x:c>
      <x:c r="K83" s="12" t="n">
        <x:v>0.000536123948532101</x:v>
      </x:c>
      <x:c r="L83" s="24" t="n">
        <x:v>0.579369628</x:v>
      </x:c>
      <x:c r="M83" s="24" t="n">
        <x:v>0.575402248</x:v>
      </x:c>
      <x:c r="N83" s="13" t="n">
        <x:v>49599</x:v>
      </x:c>
      <x:c r="O83" s="12" t="n">
        <x:v>0.1333</x:v>
      </x:c>
      <x:c r="P83" s="12" t="n">
        <x:v>809.7884155273438</x:v>
      </x:c>
      <x:c r="Q83" s="12" t="n">
        <x:v>9.888103596369426</x:v>
      </x:c>
      <x:c r="R83" s="12" t="n">
        <x:v>7.647115816563457</x:v>
      </x:c>
      <x:c r="S83" s="12" t="n">
        <x:v>5.889526638658583</x:v>
      </x:c>
      <x:c r="T83" s="12" t="n">
        <x:v>89.9</x:v>
      </x:c>
      <x:c r="U83" s="12" t="n">
        <x:v>245.07712999476223</x:v>
      </x:c>
      <x:c r="V83" s="12" t="n">
        <x:v>244.75798925963002</x:v>
      </x:c>
      <x:c r="W83" s="12" t="n">
        <x:f>IF(ISNUMBER(E83),IF($I$146&gt;$H$146,(E83-$H$146)/($I$146-$H$146),"缺失"),"缺失")</x:f>
        <x:v>0.6574074074074073</x:v>
      </x:c>
      <x:c r="X83" s="12" t="n">
        <x:f>IF(ISNUMBER(F83),IF($I$147&gt;$H$147,(F83-$H$147)/($I$147-$H$147),"缺失"),"缺失")</x:f>
        <x:v>0.43559055118110196</x:v>
      </x:c>
      <x:c r="Y83" s="12" t="n">
        <x:f>IF(ISNUMBER(G83),IF($I$148&gt;$H$148,(G83-$H$148)/($I$148-$H$148),"缺失"),"缺失")</x:f>
        <x:v>0.7165343840037615</x:v>
      </x:c>
      <x:c r="Z83" s="12" t="n">
        <x:f>IF(ISNUMBER(H83),IF($I$149&gt;$H$149,(H83-$H$149)/($I$149-$H$149),"缺失"),"缺失")</x:f>
        <x:v>0.7641139729033822</x:v>
      </x:c>
      <x:c r="AA83" s="12" t="n">
        <x:f>IF(ISNUMBER(I83),IF($I$150&gt;$H$150,(I83-$H$150)/($I$150-$H$150),"缺失"),"缺失")</x:f>
        <x:v>0.8468703274278917</x:v>
      </x:c>
      <x:c r="AB83" s="12" t="n">
        <x:f>IF(ISNUMBER(J83),IF($I$151&gt;$H$151,(J83-$H$151)/($I$151-$H$151),"缺失"),"缺失")</x:f>
        <x:v>0.2357545245765548</x:v>
      </x:c>
      <x:c r="AC83" s="12" t="n">
        <x:f>IF(ISNUMBER(K83),IF($I$152&gt;$H$152,(K83-$H$152)/($I$152-$H$152),"缺失"),"缺失")</x:f>
        <x:v>0.0009217049639988934</x:v>
      </x:c>
      <x:c r="AD83" s="12" t="n">
        <x:f>IF(ISNUMBER(L83),IF($I$153&gt;$H$153,(L83-$H$153)/($I$153-$H$153),"缺失"),"缺失")</x:f>
        <x:v>0.5792304614205016</x:v>
      </x:c>
      <x:c r="AE83" s="12" t="n">
        <x:f>IF(ISNUMBER(M83),IF($I$154&gt;$H$154,(M83-$H$154)/($I$154-$H$154),"缺失"),"缺失")</x:f>
        <x:v>0.575402248</x:v>
      </x:c>
      <x:c r="AF83" s="12" t="n">
        <x:f>IF(ISNUMBER(N83),IF($I$155&gt;$H$155,(N83-$H$155)/($I$155-$H$155),"缺失"),"缺失")</x:f>
        <x:v>0.07595040885981993</x:v>
      </x:c>
      <x:c r="AG83" s="12" t="n">
        <x:f>IF(ISNUMBER(O83),IF($I$156&gt;$H$156,(O83-$H$156)/($I$156-$H$156),"缺失"),"缺失")</x:f>
        <x:v>0.13253133845531742</x:v>
      </x:c>
      <x:c r="AH83" s="12" t="n">
        <x:f>IF(ISNUMBER(P83),IF($I$157&gt;$H$157,(P83-$H$157)/($I$157-$H$157),"缺失"),"缺失")</x:f>
        <x:v>0.240230645117882</x:v>
      </x:c>
      <x:c r="AI83" s="12" t="n">
        <x:f>IF(ISNUMBER(Q83),IF($I$158&gt;$H$158,(Q83-$H$158)/($I$158-$H$158),"缺失"),"缺失")</x:f>
        <x:v>0.11245920857033762</x:v>
      </x:c>
      <x:c r="AJ83" s="12" t="n">
        <x:f>IF(ISNUMBER(R83),IF($I$159&gt;$H$159,(R83-$H$159)/($I$159-$H$159),"缺失"),"缺失")</x:f>
        <x:v>0.0788487147892174</x:v>
      </x:c>
      <x:c r="AK83" s="12" t="n">
        <x:f>IF(ISNUMBER(S83),IF($I$160&gt;$H$160,(S83-$H$160)/($I$160-$H$160),"缺失"),"缺失")</x:f>
        <x:v>0.1148139321381437</x:v>
      </x:c>
      <x:c r="AL83" s="12" t="n">
        <x:f>IF(ISNUMBER(T83),IF($I$161&gt;$H$161,(T83-$H$161)/($I$161-$H$161),"缺失"),"缺失")</x:f>
        <x:v>1</x:v>
      </x:c>
      <x:c r="AM83" s="12" t="n">
        <x:f>IF(ISNUMBER(U83),IF($I$162&gt;$H$162,(U83-$H$162)/($I$162-$H$162),"缺失"),"缺失")</x:f>
        <x:v>1</x:v>
      </x:c>
      <x:c r="AN83" s="12" t="n">
        <x:f>IF(ISNUMBER(V83),IF($I$163&gt;$H$163,(V83-$H$163)/($I$163-$H$163),"缺失"),"缺失")</x:f>
        <x:v>0</x:v>
      </x:c>
      <x:c r="AO83" s="23" t="str"/>
      <x:c r="AP83" s="23" t="str">
        <x:v>见指标口径：州级、产业、代表点代理；气候基期待核实</x:v>
      </x:c>
      <x:c r="AQ83" s="15" t="n">
        <x:v>1.0000000000000004</x:v>
      </x:c>
      <x:c r="AR83" s="15" t="n">
        <x:v>1.0000000000000024</x:v>
      </x:c>
      <x:c r="AS83" s="15" t="n">
        <x:v>1</x:v>
      </x:c>
      <x:c r="AT83" s="15" t="n">
        <x:v>1</x:v>
      </x:c>
    </x:row>
    <x:row r="84" ht="24" customHeight="1">
      <x:c r="A84" s="18" t="str">
        <x:v>51163</x:v>
      </x:c>
      <x:c r="B84" s="3" t="str">
        <x:v>Rockbridge County</x:v>
      </x:c>
      <x:c r="C84" s="3" t="str">
        <x:v>VA</x:v>
      </x:c>
      <x:c r="D84" s="12" t="n">
        <x:v>1545.053251</x:v>
      </x:c>
      <x:c r="E84" s="12" t="n">
        <x:v>0.635</x:v>
      </x:c>
      <x:c r="F84" s="12" t="n">
        <x:v>0.923886138613861</x:v>
      </x:c>
      <x:c r="G84" s="12" t="n">
        <x:v>2.347786261981338</x:v>
      </x:c>
      <x:c r="H84" s="12" t="n">
        <x:v>2.645844728</x:v>
      </x:c>
      <x:c r="I84" s="12" t="n">
        <x:v>0.9634310901373614</x:v>
      </x:c>
      <x:c r="J84" s="12" t="n">
        <x:v>0.1008676935805577</x:v>
      </x:c>
      <x:c r="K84" s="12" t="n">
        <x:v>0.0002747576701246633</x:v>
      </x:c>
      <x:c r="L84" s="24" t="n">
        <x:v>0.713813979</x:v>
      </x:c>
      <x:c r="M84" s="24" t="n">
        <x:v>0.713263621</x:v>
      </x:c>
      <x:c r="N84" s="13" t="n">
        <x:v>11122</x:v>
      </x:c>
      <x:c r="O84" s="12" t="n">
        <x:v>0.125</x:v>
      </x:c>
      <x:c r="P84" s="12" t="n">
        <x:v>716.0297200520833</x:v>
      </x:c>
      <x:c r="Q84" s="12" t="n">
        <x:v>10.302694543202715</x:v>
      </x:c>
      <x:c r="R84" s="12" t="n">
        <x:v>0.5890875526418101</x:v>
      </x:c>
      <x:c r="S84" s="12" t="n">
        <x:v>2.4656775694908974</x:v>
      </x:c>
      <x:c r="T84" s="12" t="n">
        <x:v>89.9</x:v>
      </x:c>
      <x:c r="U84" s="12" t="n">
        <x:v>245.07712999476223</x:v>
      </x:c>
      <x:c r="V84" s="12" t="n">
        <x:v>244.75798925963002</x:v>
      </x:c>
      <x:c r="W84" s="12" t="n">
        <x:f>IF(ISNUMBER(E84),IF($I$146&gt;$H$146,(E84-$H$146)/($I$146-$H$146),"缺失"),"缺失")</x:f>
        <x:v>0.6793981481481481</x:v>
      </x:c>
      <x:c r="X84" s="12" t="n">
        <x:f>IF(ISNUMBER(F84),IF($I$147&gt;$H$147,(F84-$H$147)/($I$147-$H$147),"缺失"),"缺失")</x:f>
        <x:v>0.9341732283464561</x:v>
      </x:c>
      <x:c r="Y84" s="12" t="n">
        <x:f>IF(ISNUMBER(G84),IF($I$148&gt;$H$148,(G84-$H$148)/($I$148-$H$148),"缺失"),"缺失")</x:f>
        <x:v>0.6172446017966903</x:v>
      </x:c>
      <x:c r="Z84" s="12" t="n">
        <x:f>IF(ISNUMBER(H84),IF($I$149&gt;$H$149,(H84-$H$149)/($I$149-$H$149),"缺失"),"缺失")</x:f>
        <x:v>0.6518476682670759</x:v>
      </x:c>
      <x:c r="AA84" s="12" t="n">
        <x:f>IF(ISNUMBER(I84),IF($I$150&gt;$H$150,(I84-$H$150)/($I$150-$H$150),"缺失"),"缺失")</x:f>
        <x:v>0.9699544849448719</x:v>
      </x:c>
      <x:c r="AB84" s="12" t="n">
        <x:f>IF(ISNUMBER(J84),IF($I$151&gt;$H$151,(J84-$H$151)/($I$151-$H$151),"缺失"),"缺失")</x:f>
        <x:v>0.2474278452379564</x:v>
      </x:c>
      <x:c r="AC84" s="12" t="n">
        <x:f>IF(ISNUMBER(K84),IF($I$152&gt;$H$152,(K84-$H$152)/($I$152-$H$152),"缺失"),"缺失")</x:f>
        <x:v>0.0004723637307082716</x:v>
      </x:c>
      <x:c r="AD84" s="12" t="n">
        <x:f>IF(ISNUMBER(L84),IF($I$153&gt;$H$153,(L84-$H$153)/($I$153-$H$153),"缺失"),"缺失")</x:f>
        <x:v>0.713719293660343</x:v>
      </x:c>
      <x:c r="AE84" s="12" t="n">
        <x:f>IF(ISNUMBER(M84),IF($I$154&gt;$H$154,(M84-$H$154)/($I$154-$H$154),"缺失"),"缺失")</x:f>
        <x:v>0.713263621</x:v>
      </x:c>
      <x:c r="AF84" s="12" t="n">
        <x:f>IF(ISNUMBER(N84),IF($I$155&gt;$H$155,(N84-$H$155)/($I$155-$H$155),"缺失"),"缺失")</x:f>
        <x:v>0.01620221557611501</x:v>
      </x:c>
      <x:c r="AG84" s="12" t="n">
        <x:f>IF(ISNUMBER(O84),IF($I$156&gt;$H$156,(O84-$H$156)/($I$156-$H$156),"缺失"),"缺失")</x:f>
        <x:v>0.1241407197735544</x:v>
      </x:c>
      <x:c r="AH84" s="12" t="n">
        <x:f>IF(ISNUMBER(P84),IF($I$157&gt;$H$157,(P84-$H$157)/($I$157-$H$157),"缺失"),"缺失")</x:f>
        <x:v>0.19805272901958995</x:v>
      </x:c>
      <x:c r="AI84" s="12" t="n">
        <x:f>IF(ISNUMBER(Q84),IF($I$158&gt;$H$158,(Q84-$H$158)/($I$158-$H$158),"缺失"),"缺失")</x:f>
        <x:v>0.11733131372738943</x:v>
      </x:c>
      <x:c r="AJ84" s="12" t="n">
        <x:f>IF(ISNUMBER(R84),IF($I$159&gt;$H$159,(R84-$H$159)/($I$159-$H$159),"缺失"),"缺失")</x:f>
        <x:v>0.004679786601275907</x:v>
      </x:c>
      <x:c r="AK84" s="12" t="n">
        <x:f>IF(ISNUMBER(S84),IF($I$160&gt;$H$160,(S84-$H$160)/($I$160-$H$160),"缺失"),"缺失")</x:f>
        <x:v>0.0479747150585979</x:v>
      </x:c>
      <x:c r="AL84" s="12" t="n">
        <x:f>IF(ISNUMBER(T84),IF($I$161&gt;$H$161,(T84-$H$161)/($I$161-$H$161),"缺失"),"缺失")</x:f>
        <x:v>1</x:v>
      </x:c>
      <x:c r="AM84" s="12" t="n">
        <x:f>IF(ISNUMBER(U84),IF($I$162&gt;$H$162,(U84-$H$162)/($I$162-$H$162),"缺失"),"缺失")</x:f>
        <x:v>1</x:v>
      </x:c>
      <x:c r="AN84" s="12" t="n">
        <x:f>IF(ISNUMBER(V84),IF($I$163&gt;$H$163,(V84-$H$163)/($I$163-$H$163),"缺失"),"缺失")</x:f>
        <x:v>0</x:v>
      </x:c>
      <x:c r="AO84" s="23" t="str"/>
      <x:c r="AP84" s="23" t="str">
        <x:v>见指标口径：州级、产业、代表点代理；气候基期待核实</x:v>
      </x:c>
      <x:c r="AQ84" s="15" t="n">
        <x:v>1.000000000000002</x:v>
      </x:c>
      <x:c r="AR84" s="15" t="n">
        <x:v>0.9999999999999983</x:v>
      </x:c>
      <x:c r="AS84" s="15" t="n">
        <x:v>1</x:v>
      </x:c>
      <x:c r="AT84" s="15" t="n">
        <x:v>1</x:v>
      </x:c>
    </x:row>
    <x:row r="85" ht="24" customHeight="1">
      <x:c r="A85" s="18" t="str">
        <x:v>51165</x:v>
      </x:c>
      <x:c r="B85" s="3" t="str">
        <x:v>Rockingham County</x:v>
      </x:c>
      <x:c r="C85" s="3" t="str">
        <x:v>VA</x:v>
      </x:c>
      <x:c r="D85" s="12" t="n">
        <x:v>2200.961635</x:v>
      </x:c>
      <x:c r="E85" s="12" t="n">
        <x:v>0.557</x:v>
      </x:c>
      <x:c r="F85" s="12" t="n">
        <x:v>0.884282178217822</x:v>
      </x:c>
      <x:c r="G85" s="12" t="n">
        <x:v>2.813227999858458</x:v>
      </x:c>
      <x:c r="H85" s="12" t="n">
        <x:v>3.0616520844988897</x:v>
      </x:c>
      <x:c r="I85" s="12" t="n">
        <x:v>0.9277874758352582</x:v>
      </x:c>
      <x:c r="J85" s="12" t="n">
        <x:v>0.07644205453065224</x:v>
      </x:c>
      <x:c r="K85" s="12" t="n">
        <x:v>0.0002221810926743836</x:v>
      </x:c>
      <x:c r="L85" s="24" t="n">
        <x:v>0.284243277</x:v>
      </x:c>
      <x:c r="M85" s="24" t="n">
        <x:v>0.283625948</x:v>
      </x:c>
      <x:c r="N85" s="13" t="n">
        <x:v>45352</x:v>
      </x:c>
      <x:c r="O85" s="12" t="n">
        <x:v>0.2526</x:v>
      </x:c>
      <x:c r="P85" s="12" t="n">
        <x:v>638.0420430501302</x:v>
      </x:c>
      <x:c r="Q85" s="12" t="n">
        <x:v>8.918772331873576</x:v>
      </x:c>
      <x:c r="R85" s="12" t="n">
        <x:v>7.1097935048961745</x:v>
      </x:c>
      <x:c r="S85" s="12" t="n">
        <x:v>2.7766269468174465</x:v>
      </x:c>
      <x:c r="T85" s="12" t="n">
        <x:v>89.9</x:v>
      </x:c>
      <x:c r="U85" s="12" t="n">
        <x:v>245.07712999476223</x:v>
      </x:c>
      <x:c r="V85" s="12" t="n">
        <x:v>244.75798925963002</x:v>
      </x:c>
      <x:c r="W85" s="12" t="n">
        <x:f>IF(ISNUMBER(E85),IF($I$146&gt;$H$146,(E85-$H$146)/($I$146-$H$146),"缺失"),"缺失")</x:f>
        <x:v>0.5891203703703703</x:v>
      </x:c>
      <x:c r="X85" s="12" t="n">
        <x:f>IF(ISNUMBER(F85),IF($I$147&gt;$H$147,(F85-$H$147)/($I$147-$H$147),"缺失"),"缺失")</x:f>
        <x:v>0.8938582677165354</x:v>
      </x:c>
      <x:c r="Y85" s="12" t="n">
        <x:f>IF(ISNUMBER(G85),IF($I$148&gt;$H$148,(G85-$H$148)/($I$148-$H$148),"缺失"),"缺失")</x:f>
        <x:v>0.7396795037727115</x:v>
      </x:c>
      <x:c r="Z85" s="12" t="n">
        <x:f>IF(ISNUMBER(H85),IF($I$149&gt;$H$149,(H85-$H$149)/($I$149-$H$149),"缺失"),"缺失")</x:f>
        <x:v>0.7543556856693127</x:v>
      </x:c>
      <x:c r="AA85" s="12" t="n">
        <x:f>IF(ISNUMBER(I85),IF($I$150&gt;$H$150,(I85-$H$150)/($I$150-$H$150),"缺失"),"缺失")</x:f>
        <x:v>0.9316901256213695</x:v>
      </x:c>
      <x:c r="AB85" s="12" t="n">
        <x:f>IF(ISNUMBER(J85),IF($I$151&gt;$H$151,(J85-$H$151)/($I$151-$H$151),"缺失"),"缺失")</x:f>
        <x:v>0.18751189966464457</x:v>
      </x:c>
      <x:c r="AC85" s="12" t="n">
        <x:f>IF(ISNUMBER(K85),IF($I$152&gt;$H$152,(K85-$H$152)/($I$152-$H$152),"缺失"),"缺失")</x:f>
        <x:v>0.0003819740128852233</x:v>
      </x:c>
      <x:c r="AD85" s="12" t="n">
        <x:f>IF(ISNUMBER(L85),IF($I$153&gt;$H$153,(L85-$H$153)/($I$153-$H$153),"缺失"),"缺失")</x:f>
        <x:v>0.2840064671509649</x:v>
      </x:c>
      <x:c r="AE85" s="12" t="n">
        <x:f>IF(ISNUMBER(M85),IF($I$154&gt;$H$154,(M85-$H$154)/($I$154-$H$154),"缺失"),"缺失")</x:f>
        <x:v>0.283625948</x:v>
      </x:c>
      <x:c r="AF85" s="12" t="n">
        <x:f>IF(ISNUMBER(N85),IF($I$155&gt;$H$155,(N85-$H$155)/($I$155-$H$155),"缺失"),"缺失")</x:f>
        <x:v>0.0693555449963198</x:v>
      </x:c>
      <x:c r="AG85" s="12" t="n">
        <x:f>IF(ISNUMBER(O85),IF($I$156&gt;$H$156,(O85-$H$156)/($I$156-$H$156),"缺失"),"缺失")</x:f>
        <x:v>0.25313384553174284</x:v>
      </x:c>
      <x:c r="AH85" s="12" t="n">
        <x:f>IF(ISNUMBER(P85),IF($I$157&gt;$H$157,(P85-$H$157)/($I$157-$H$157),"缺失"),"缺失")</x:f>
        <x:v>0.16296950094548537</x:v>
      </x:c>
      <x:c r="AI85" s="12" t="n">
        <x:f>IF(ISNUMBER(Q85),IF($I$158&gt;$H$158,(Q85-$H$158)/($I$158-$H$158),"缺失"),"缺失")</x:f>
        <x:v>0.1010680195231228</x:v>
      </x:c>
      <x:c r="AJ85" s="12" t="n">
        <x:f>IF(ISNUMBER(R85),IF($I$159&gt;$H$159,(R85-$H$159)/($I$159-$H$159),"缺失"),"缺失")</x:f>
        <x:v>0.07320229082240742</x:v>
      </x:c>
      <x:c r="AK85" s="12" t="n">
        <x:f>IF(ISNUMBER(S85),IF($I$160&gt;$H$160,(S85-$H$160)/($I$160-$H$160),"缺失"),"缺失")</x:f>
        <x:v>0.05404496304909451</x:v>
      </x:c>
      <x:c r="AL85" s="12" t="n">
        <x:f>IF(ISNUMBER(T85),IF($I$161&gt;$H$161,(T85-$H$161)/($I$161-$H$161),"缺失"),"缺失")</x:f>
        <x:v>1</x:v>
      </x:c>
      <x:c r="AM85" s="12" t="n">
        <x:f>IF(ISNUMBER(U85),IF($I$162&gt;$H$162,(U85-$H$162)/($I$162-$H$162),"缺失"),"缺失")</x:f>
        <x:v>1</x:v>
      </x:c>
      <x:c r="AN85" s="12" t="n">
        <x:f>IF(ISNUMBER(V85),IF($I$163&gt;$H$163,(V85-$H$163)/($I$163-$H$163),"缺失"),"缺失")</x:f>
        <x:v>0</x:v>
      </x:c>
      <x:c r="AO85" s="23" t="str"/>
      <x:c r="AP85" s="23" t="str">
        <x:v>见指标口径：州级、产业、代表点代理；气候基期待核实</x:v>
      </x:c>
      <x:c r="AQ85" s="15" t="n">
        <x:v>0.9999999999999968</x:v>
      </x:c>
      <x:c r="AR85" s="15" t="n">
        <x:v>0.9999999999999963</x:v>
      </x:c>
      <x:c r="AS85" s="15" t="n">
        <x:v>1</x:v>
      </x:c>
      <x:c r="AT85" s="15" t="n">
        <x:v>1</x:v>
      </x:c>
    </x:row>
    <x:row r="86" ht="24" customHeight="1">
      <x:c r="A86" s="18" t="str">
        <x:v>51167</x:v>
      </x:c>
      <x:c r="B86" s="3" t="str">
        <x:v>Russell County</x:v>
      </x:c>
      <x:c r="C86" s="3" t="str">
        <x:v>VA</x:v>
      </x:c>
      <x:c r="D86" s="12" t="n">
        <x:v>1226.421372</x:v>
      </x:c>
      <x:c r="E86" s="12" t="n">
        <x:v>0.826</x:v>
      </x:c>
      <x:c r="F86" s="12" t="n">
        <x:v>0.828898514851485</x:v>
      </x:c>
      <x:c r="G86" s="12" t="n">
        <x:v>1.9265855253245525</x:v>
      </x:c>
      <x:c r="H86" s="12" t="n">
        <x:v>2.143800530844805</x:v>
      </x:c>
      <x:c r="I86" s="12" t="n">
        <x:v>0.9584926493439069</x:v>
      </x:c>
      <x:c r="J86" s="12" t="n">
        <x:v>0.063004116372735</x:v>
      </x:c>
      <x:c r="K86" s="12" t="n">
        <x:v>0.00017183826728528443</x:v>
      </x:c>
      <x:c r="L86" s="24" t="n">
        <x:v>0.887105161</x:v>
      </x:c>
      <x:c r="M86" s="24" t="n">
        <x:v>0.887105161</x:v>
      </x:c>
      <x:c r="N86" s="13" t="n">
        <x:v>9191</x:v>
      </x:c>
      <x:c r="O86" s="12" t="n">
        <x:v>0.3468</x:v>
      </x:c>
      <x:c r="P86" s="12" t="n">
        <x:v>547.808696492513</x:v>
      </x:c>
      <x:c r="Q86" s="12" t="n">
        <x:v>2.242249135176341</x:v>
      </x:c>
      <x:c r="R86" s="12" t="n">
        <x:v>27.741454499745355</x:v>
      </x:c>
      <x:c r="S86" s="12" t="n">
        <x:v>3.5913815570390897</x:v>
      </x:c>
      <x:c r="T86" s="12" t="n">
        <x:v>89.9</x:v>
      </x:c>
      <x:c r="U86" s="12" t="n">
        <x:v>245.07712999476223</x:v>
      </x:c>
      <x:c r="V86" s="12" t="n">
        <x:v>244.75798925963002</x:v>
      </x:c>
      <x:c r="W86" s="12" t="n">
        <x:f>IF(ISNUMBER(E86),IF($I$146&gt;$H$146,(E86-$H$146)/($I$146-$H$146),"缺失"),"缺失")</x:f>
        <x:v>0.9004629629629629</x:v>
      </x:c>
      <x:c r="X86" s="12" t="n">
        <x:f>IF(ISNUMBER(F86),IF($I$147&gt;$H$147,(F86-$H$147)/($I$147-$H$147),"缺失"),"缺失")</x:f>
        <x:v>0.8374803149606296</x:v>
      </x:c>
      <x:c r="Y86" s="12" t="n">
        <x:f>IF(ISNUMBER(G86),IF($I$148&gt;$H$148,(G86-$H$148)/($I$148-$H$148),"缺失"),"缺失")</x:f>
        <x:v>0.50644733823367</x:v>
      </x:c>
      <x:c r="Z86" s="12" t="n">
        <x:f>IF(ISNUMBER(H86),IF($I$149&gt;$H$149,(H86-$H$149)/($I$149-$H$149),"缺失"),"缺失")</x:f>
        <x:v>0.5280798837526279</x:v>
      </x:c>
      <x:c r="AA86" s="12" t="n">
        <x:f>IF(ISNUMBER(I86),IF($I$150&gt;$H$150,(I86-$H$150)/($I$150-$H$150),"缺失"),"缺失")</x:f>
        <x:v>0.9646529386028828</x:v>
      </x:c>
      <x:c r="AB86" s="12" t="n">
        <x:f>IF(ISNUMBER(J86),IF($I$151&gt;$H$151,(J86-$H$151)/($I$151-$H$151),"缺失"),"缺失")</x:f>
        <x:v>0.15454871824522468</x:v>
      </x:c>
      <x:c r="AC86" s="12" t="n">
        <x:f>IF(ISNUMBER(K86),IF($I$152&gt;$H$152,(K86-$H$152)/($I$152-$H$152),"缺失"),"缺失")</x:f>
        <x:v>0.00029542456440431123</x:v>
      </x:c>
      <x:c r="AD86" s="12" t="n">
        <x:f>IF(ISNUMBER(L86),IF($I$153&gt;$H$153,(L86-$H$153)/($I$153-$H$153),"缺失"),"缺失")</x:f>
        <x:v>0.887067809468507</x:v>
      </x:c>
      <x:c r="AE86" s="12" t="n">
        <x:f>IF(ISNUMBER(M86),IF($I$154&gt;$H$154,(M86-$H$154)/($I$154-$H$154),"缺失"),"缺失")</x:f>
        <x:v>0.887105161</x:v>
      </x:c>
      <x:c r="AF86" s="12" t="n">
        <x:f>IF(ISNUMBER(N86),IF($I$155&gt;$H$155,(N86-$H$155)/($I$155-$H$155),"缺失"),"缺失")</x:f>
        <x:v>0.013203703186094108</x:v>
      </x:c>
      <x:c r="AG86" s="12" t="n">
        <x:f>IF(ISNUMBER(O86),IF($I$156&gt;$H$156,(O86-$H$156)/($I$156-$H$156),"缺失"),"缺失")</x:f>
        <x:v>0.34836231298018605</x:v>
      </x:c>
      <x:c r="AH86" s="12" t="n">
        <x:f>IF(ISNUMBER(P86),IF($I$157&gt;$H$157,(P86-$H$157)/($I$157-$H$157),"缺失"),"缺失")</x:f>
        <x:v>0.12237748437482482</x:v>
      </x:c>
      <x:c r="AI86" s="12" t="n">
        <x:f>IF(ISNUMBER(Q86),IF($I$158&gt;$H$158,(Q86-$H$158)/($I$158-$H$158),"缺失"),"缺失")</x:f>
        <x:v>0.022608218733298196</x:v>
      </x:c>
      <x:c r="AJ86" s="12" t="n">
        <x:f>IF(ISNUMBER(R86),IF($I$159&gt;$H$159,(R86-$H$159)/($I$159-$H$159),"缺失"),"缺失")</x:f>
        <x:v>0.2900090427232114</x:v>
      </x:c>
      <x:c r="AK86" s="12" t="n">
        <x:f>IF(ISNUMBER(S86),IF($I$160&gt;$H$160,(S86-$H$160)/($I$160-$H$160),"缺失"),"缺失")</x:f>
        <x:v>0.0699503254523512</x:v>
      </x:c>
      <x:c r="AL86" s="12" t="n">
        <x:f>IF(ISNUMBER(T86),IF($I$161&gt;$H$161,(T86-$H$161)/($I$161-$H$161),"缺失"),"缺失")</x:f>
        <x:v>1</x:v>
      </x:c>
      <x:c r="AM86" s="12" t="n">
        <x:f>IF(ISNUMBER(U86),IF($I$162&gt;$H$162,(U86-$H$162)/($I$162-$H$162),"缺失"),"缺失")</x:f>
        <x:v>1</x:v>
      </x:c>
      <x:c r="AN86" s="12" t="n">
        <x:f>IF(ISNUMBER(V86),IF($I$163&gt;$H$163,(V86-$H$163)/($I$163-$H$163),"缺失"),"缺失")</x:f>
        <x:v>0</x:v>
      </x:c>
      <x:c r="AO86" s="23" t="str"/>
      <x:c r="AP86" s="23" t="str">
        <x:v>见指标口径：州级、产业、代表点代理；气候基期待核实</x:v>
      </x:c>
      <x:c r="AQ86" s="15" t="n">
        <x:v>0.9999999999999934</x:v>
      </x:c>
      <x:c r="AR86" s="15" t="n">
        <x:v>0.999999999999993</x:v>
      </x:c>
      <x:c r="AS86" s="15" t="n">
        <x:v>1</x:v>
      </x:c>
      <x:c r="AT86" s="15" t="n">
        <x:v>1</x:v>
      </x:c>
    </x:row>
    <x:row r="87" ht="24" customHeight="1">
      <x:c r="A87" s="18" t="str">
        <x:v>51169</x:v>
      </x:c>
      <x:c r="B87" s="3" t="str">
        <x:v>Scott County</x:v>
      </x:c>
      <x:c r="C87" s="3" t="str">
        <x:v>VA</x:v>
      </x:c>
      <x:c r="D87" s="12" t="n">
        <x:v>1387.786258</x:v>
      </x:c>
      <x:c r="E87" s="12" t="n">
        <x:v>0.778</x:v>
      </x:c>
      <x:c r="F87" s="12" t="n">
        <x:v>0.838799504950495</x:v>
      </x:c>
      <x:c r="G87" s="12" t="n">
        <x:v>1.7889074359445885</x:v>
      </x:c>
      <x:c r="H87" s="12" t="n">
        <x:v>2.014395463318848</x:v>
      </x:c>
      <x:c r="I87" s="12" t="n">
        <x:v>0.9661516434311257</x:v>
      </x:c>
      <x:c r="J87" s="12" t="n">
        <x:v>0.00480502891173193</x:v>
      </x:c>
      <x:c r="K87" s="12" t="n">
        <x:v>0.0012474633618264571</x:v>
      </x:c>
      <x:c r="L87" s="24" t="n">
        <x:v>0.976692564</x:v>
      </x:c>
      <x:c r="M87" s="24" t="n">
        <x:v>0.976692564</x:v>
      </x:c>
      <x:c r="N87" s="13" t="n">
        <x:v>8218</x:v>
      </x:c>
      <x:c r="O87" s="12" t="n">
        <x:v>0.4712</x:v>
      </x:c>
      <x:c r="P87" s="12" t="n">
        <x:v>753.4522969563802</x:v>
      </x:c>
      <x:c r="Q87" s="12" t="n">
        <x:v>4.681923667589824</x:v>
      </x:c>
      <x:c r="R87" s="12" t="n">
        <x:v>13.698411283861237</x:v>
      </x:c>
      <x:c r="S87" s="12" t="n">
        <x:v>1.6856190316782937</x:v>
      </x:c>
      <x:c r="T87" s="12" t="n">
        <x:v>89.9</x:v>
      </x:c>
      <x:c r="U87" s="12" t="n">
        <x:v>245.07712999476223</x:v>
      </x:c>
      <x:c r="V87" s="12" t="n">
        <x:v>244.75798925963002</x:v>
      </x:c>
      <x:c r="W87" s="12" t="n">
        <x:f>IF(ISNUMBER(E87),IF($I$146&gt;$H$146,(E87-$H$146)/($I$146-$H$146),"缺失"),"缺失")</x:f>
        <x:v>0.8449074074074074</x:v>
      </x:c>
      <x:c r="X87" s="12" t="n">
        <x:f>IF(ISNUMBER(F87),IF($I$147&gt;$H$147,(F87-$H$147)/($I$147-$H$147),"缺失"),"缺失")</x:f>
        <x:v>0.84755905511811</x:v>
      </x:c>
      <x:c r="Y87" s="12" t="n">
        <x:f>IF(ISNUMBER(G87),IF($I$148&gt;$H$148,(G87-$H$148)/($I$148-$H$148),"缺失"),"缺失")</x:f>
        <x:v>0.4702309828755005</x:v>
      </x:c>
      <x:c r="Z87" s="12" t="n">
        <x:f>IF(ISNUMBER(H87),IF($I$149&gt;$H$149,(H87-$H$149)/($I$149-$H$149),"缺失"),"缺失")</x:f>
        <x:v>0.4961779543938483</x:v>
      </x:c>
      <x:c r="AA87" s="12" t="n">
        <x:f>IF(ISNUMBER(I87),IF($I$150&gt;$H$150,(I87-$H$150)/($I$150-$H$150),"缺失"),"缺失")</x:f>
        <x:v>0.9728750706045926</x:v>
      </x:c>
      <x:c r="AB87" s="12" t="n">
        <x:f>IF(ISNUMBER(J87),IF($I$151&gt;$H$151,(J87-$H$151)/($I$151-$H$151),"缺失"),"缺失")</x:f>
        <x:v>0.011786706999366493</x:v>
      </x:c>
      <x:c r="AC87" s="12" t="n">
        <x:f>IF(ISNUMBER(K87),IF($I$152&gt;$H$152,(K87-$H$152)/($I$152-$H$152),"缺失"),"缺失")</x:f>
        <x:v>0.0021446405745356254</x:v>
      </x:c>
      <x:c r="AD87" s="12" t="n">
        <x:f>IF(ISNUMBER(L87),IF($I$153&gt;$H$153,(L87-$H$153)/($I$153-$H$153),"缺失"),"缺失")</x:f>
        <x:v>0.9766848526782294</x:v>
      </x:c>
      <x:c r="AE87" s="12" t="n">
        <x:f>IF(ISNUMBER(M87),IF($I$154&gt;$H$154,(M87-$H$154)/($I$154-$H$154),"缺失"),"缺失")</x:f>
        <x:v>0.976692564</x:v>
      </x:c>
      <x:c r="AF87" s="12" t="n">
        <x:f>IF(ISNUMBER(N87),IF($I$155&gt;$H$155,(N87-$H$155)/($I$155-$H$155),"缺失"),"缺失")</x:f>
        <x:v>0.011692800775172131</x:v>
      </x:c>
      <x:c r="AG87" s="12" t="n">
        <x:f>IF(ISNUMBER(O87),IF($I$156&gt;$H$156,(O87-$H$156)/($I$156-$H$156),"缺失"),"缺失")</x:f>
        <x:v>0.4741205014152851</x:v>
      </x:c>
      <x:c r="AH87" s="12" t="n">
        <x:f>IF(ISNUMBER(P87),IF($I$157&gt;$H$157,(P87-$H$157)/($I$157-$H$157),"缺失"),"缺失")</x:f>
        <x:v>0.2148875015262936</x:v>
      </x:c>
      <x:c r="AI87" s="12" t="n">
        <x:f>IF(ISNUMBER(Q87),IF($I$158&gt;$H$158,(Q87-$H$158)/($I$158-$H$158),"缺失"),"缺失")</x:f>
        <x:v>0.05127828729530976</x:v>
      </x:c>
      <x:c r="AJ87" s="12" t="n">
        <x:f>IF(ISNUMBER(R87),IF($I$159&gt;$H$159,(R87-$H$159)/($I$159-$H$159),"缺失"),"缺失")</x:f>
        <x:v>0.14243844299308953</x:v>
      </x:c>
      <x:c r="AK87" s="12" t="n">
        <x:f>IF(ISNUMBER(S87),IF($I$160&gt;$H$160,(S87-$H$160)/($I$160-$H$160),"缺失"),"缺失")</x:f>
        <x:v>0.032746677580799785</x:v>
      </x:c>
      <x:c r="AL87" s="12" t="n">
        <x:f>IF(ISNUMBER(T87),IF($I$161&gt;$H$161,(T87-$H$161)/($I$161-$H$161),"缺失"),"缺失")</x:f>
        <x:v>1</x:v>
      </x:c>
      <x:c r="AM87" s="12" t="n">
        <x:f>IF(ISNUMBER(U87),IF($I$162&gt;$H$162,(U87-$H$162)/($I$162-$H$162),"缺失"),"缺失")</x:f>
        <x:v>1</x:v>
      </x:c>
      <x:c r="AN87" s="12" t="n">
        <x:f>IF(ISNUMBER(V87),IF($I$163&gt;$H$163,(V87-$H$163)/($I$163-$H$163),"缺失"),"缺失")</x:f>
        <x:v>0</x:v>
      </x:c>
      <x:c r="AO87" s="23" t="str"/>
      <x:c r="AP87" s="23" t="str">
        <x:v>见指标口径：州级、产业、代表点代理；气候基期待核实</x:v>
      </x:c>
      <x:c r="AQ87" s="15" t="n">
        <x:v>0.999999999999998</x:v>
      </x:c>
      <x:c r="AR87" s="15" t="n">
        <x:v>0.9999999999999972</x:v>
      </x:c>
      <x:c r="AS87" s="15" t="n">
        <x:v>1</x:v>
      </x:c>
      <x:c r="AT87" s="15" t="n">
        <x:v>1</x:v>
      </x:c>
    </x:row>
    <x:row r="88" ht="24" customHeight="1">
      <x:c r="A88" s="18" t="str">
        <x:v>51171</x:v>
      </x:c>
      <x:c r="B88" s="3" t="str">
        <x:v>Shenandoah County</x:v>
      </x:c>
      <x:c r="C88" s="3" t="str">
        <x:v>VA</x:v>
      </x:c>
      <x:c r="D88" s="12" t="n">
        <x:v>1315.922187</x:v>
      </x:c>
      <x:c r="E88" s="12" t="n">
        <x:v>0.588</x:v>
      </x:c>
      <x:c r="F88" s="12" t="n">
        <x:v>0.857982673267327</x:v>
      </x:c>
      <x:c r="G88" s="12" t="n">
        <x:v>2.8187743215512304</x:v>
      </x:c>
      <x:c r="H88" s="12" t="n">
        <x:v>3.0673722522769404</x:v>
      </x:c>
      <x:c r="I88" s="12" t="n">
        <x:v>0.932219977076357</x:v>
      </x:c>
      <x:c r="J88" s="12" t="n">
        <x:v>0.003367546990867598</x:v>
      </x:c>
      <x:c r="K88" s="12" t="n">
        <x:v>0.00011168976397364939</x:v>
      </x:c>
      <x:c r="L88" s="24" t="n">
        <x:v>0.337167536</x:v>
      </x:c>
      <x:c r="M88" s="24" t="n">
        <x:v>0.298169845</x:v>
      </x:c>
      <x:c r="N88" s="13" t="n">
        <x:v>21180</x:v>
      </x:c>
      <x:c r="O88" s="12" t="n">
        <x:v>0.4298</x:v>
      </x:c>
      <x:c r="P88" s="12" t="n">
        <x:v>666.2670857747396</x:v>
      </x:c>
      <x:c r="Q88" s="12" t="n">
        <x:v>12.647935422261556</x:v>
      </x:c>
      <x:c r="R88" s="12" t="n">
        <x:v>2.0374590863838886</x:v>
      </x:c>
      <x:c r="S88" s="12" t="n">
        <x:v>2.981170393841634</x:v>
      </x:c>
      <x:c r="T88" s="12" t="n">
        <x:v>89.9</x:v>
      </x:c>
      <x:c r="U88" s="12" t="n">
        <x:v>245.07712999476223</x:v>
      </x:c>
      <x:c r="V88" s="12" t="n">
        <x:v>244.75798925963002</x:v>
      </x:c>
      <x:c r="W88" s="12" t="n">
        <x:f>IF(ISNUMBER(E88),IF($I$146&gt;$H$146,(E88-$H$146)/($I$146-$H$146),"缺失"),"缺失")</x:f>
        <x:v>0.6249999999999999</x:v>
      </x:c>
      <x:c r="X88" s="12" t="n">
        <x:f>IF(ISNUMBER(F88),IF($I$147&gt;$H$147,(F88-$H$147)/($I$147-$H$147),"缺失"),"缺失")</x:f>
        <x:v>0.8670866141732284</x:v>
      </x:c>
      <x:c r="Y88" s="12" t="n">
        <x:f>IF(ISNUMBER(G88),IF($I$148&gt;$H$148,(G88-$H$148)/($I$148-$H$148),"缺失"),"缺失")</x:f>
        <x:v>0.7411384690900018</x:v>
      </x:c>
      <x:c r="Z88" s="12" t="n">
        <x:f>IF(ISNUMBER(H88),IF($I$149&gt;$H$149,(H88-$H$149)/($I$149-$H$149),"缺失"),"缺失")</x:f>
        <x:v>0.7557658652848763</x:v>
      </x:c>
      <x:c r="AA88" s="12" t="n">
        <x:f>IF(ISNUMBER(I88),IF($I$150&gt;$H$150,(I88-$H$150)/($I$150-$H$150),"缺失"),"缺失")</x:f>
        <x:v>0.9364485325201128</x:v>
      </x:c>
      <x:c r="AB88" s="12" t="n">
        <x:f>IF(ISNUMBER(J88),IF($I$151&gt;$H$151,(J88-$H$151)/($I$151-$H$151),"缺失"),"缺失")</x:f>
        <x:v>0.008260572499583141</x:v>
      </x:c>
      <x:c r="AC88" s="12" t="n">
        <x:f>IF(ISNUMBER(K88),IF($I$152&gt;$H$152,(K88-$H$152)/($I$152-$H$152),"缺失"),"缺失")</x:f>
        <x:v>0.00019201718215393893</x:v>
      </x:c>
      <x:c r="AD88" s="12" t="n">
        <x:f>IF(ISNUMBER(L88),IF($I$153&gt;$H$153,(L88-$H$153)/($I$153-$H$153),"缺失"),"缺失")</x:f>
        <x:v>0.3369482362705088</x:v>
      </x:c>
      <x:c r="AE88" s="12" t="n">
        <x:f>IF(ISNUMBER(M88),IF($I$154&gt;$H$154,(M88-$H$154)/($I$154-$H$154),"缺失"),"缺失")</x:f>
        <x:v>0.298169845</x:v>
      </x:c>
      <x:c r="AF88" s="12" t="n">
        <x:f>IF(ISNUMBER(N88),IF($I$155&gt;$H$155,(N88-$H$155)/($I$155-$H$155),"缺失"),"缺失")</x:f>
        <x:v>0.03182056752786551</x:v>
      </x:c>
      <x:c r="AG88" s="12" t="n">
        <x:f>IF(ISNUMBER(O88),IF($I$156&gt;$H$156,(O88-$H$156)/($I$156-$H$156),"缺失"),"缺失")</x:f>
        <x:v>0.43226849979781645</x:v>
      </x:c>
      <x:c r="AH88" s="12" t="n">
        <x:f>IF(ISNUMBER(P88),IF($I$157&gt;$H$157,(P88-$H$157)/($I$157-$H$157),"缺失"),"缺失")</x:f>
        <x:v>0.17566670708593776</x:v>
      </x:c>
      <x:c r="AI88" s="12" t="n">
        <x:f>IF(ISNUMBER(Q88),IF($I$158&gt;$H$158,(Q88-$H$158)/($I$158-$H$158),"缺失"),"缺失")</x:f>
        <x:v>0.14489163618176734</x:v>
      </x:c>
      <x:c r="AJ88" s="12" t="n">
        <x:f>IF(ISNUMBER(R88),IF($I$159&gt;$H$159,(R88-$H$159)/($I$159-$H$159),"缺失"),"缺失")</x:f>
        <x:v>0.01989992461413885</x:v>
      </x:c>
      <x:c r="AK88" s="12" t="n">
        <x:f>IF(ISNUMBER(S88),IF($I$160&gt;$H$160,(S88-$H$160)/($I$160-$H$160),"缺失"),"缺失")</x:f>
        <x:v>0.05803799065681312</x:v>
      </x:c>
      <x:c r="AL88" s="12" t="n">
        <x:f>IF(ISNUMBER(T88),IF($I$161&gt;$H$161,(T88-$H$161)/($I$161-$H$161),"缺失"),"缺失")</x:f>
        <x:v>1</x:v>
      </x:c>
      <x:c r="AM88" s="12" t="n">
        <x:f>IF(ISNUMBER(U88),IF($I$162&gt;$H$162,(U88-$H$162)/($I$162-$H$162),"缺失"),"缺失")</x:f>
        <x:v>1</x:v>
      </x:c>
      <x:c r="AN88" s="12" t="n">
        <x:f>IF(ISNUMBER(V88),IF($I$163&gt;$H$163,(V88-$H$163)/($I$163-$H$163),"缺失"),"缺失")</x:f>
        <x:v>0</x:v>
      </x:c>
      <x:c r="AO88" s="23" t="str"/>
      <x:c r="AP88" s="23" t="str">
        <x:v>见指标口径：州级、产业、代表点代理；气候基期待核实</x:v>
      </x:c>
      <x:c r="AQ88" s="15" t="n">
        <x:v>0.9999999999999951</x:v>
      </x:c>
      <x:c r="AR88" s="15" t="n">
        <x:v>0.9999999999999974</x:v>
      </x:c>
      <x:c r="AS88" s="15" t="n">
        <x:v>1</x:v>
      </x:c>
      <x:c r="AT88" s="15" t="n">
        <x:v>1</x:v>
      </x:c>
    </x:row>
    <x:row r="89" ht="24" customHeight="1">
      <x:c r="A89" s="18" t="str">
        <x:v>51173</x:v>
      </x:c>
      <x:c r="B89" s="3" t="str">
        <x:v>Smyth County</x:v>
      </x:c>
      <x:c r="C89" s="3" t="str">
        <x:v>VA</x:v>
      </x:c>
      <x:c r="D89" s="12" t="n">
        <x:v>1169.221995</x:v>
      </x:c>
      <x:c r="E89" s="12" t="n">
        <x:v>0.661</x:v>
      </x:c>
      <x:c r="F89" s="12" t="n">
        <x:v>0.765470297029703</x:v>
      </x:c>
      <x:c r="G89" s="12" t="n">
        <x:v>1.3152730179650496</x:v>
      </x:c>
      <x:c r="H89" s="12" t="n">
        <x:v>1.5792602877822206</x:v>
      </x:c>
      <x:c r="I89" s="12" t="n">
        <x:v>0.9611191838139066</x:v>
      </x:c>
      <x:c r="J89" s="12" t="n">
        <x:v>0.07533539278874819</x:v>
      </x:c>
      <x:c r="K89" s="12" t="n">
        <x:v>0.0010775266194387953</x:v>
      </x:c>
      <x:c r="L89" s="24" t="n">
        <x:v>0.984772452</x:v>
      </x:c>
      <x:c r="M89" s="24" t="n">
        <x:v>0.984772452</x:v>
      </x:c>
      <x:c r="N89" s="13" t="n">
        <x:v>11902</x:v>
      </x:c>
      <x:c r="O89" s="12" t="n">
        <x:v>0.6841</x:v>
      </x:c>
      <x:c r="P89" s="12" t="n">
        <x:v>344.62285970052085</x:v>
      </x:c>
      <x:c r="Q89" s="12" t="n">
        <x:v>1.0789788703123728</x:v>
      </x:c>
      <x:c r="R89" s="12" t="n">
        <x:v>2.2460858803418002</x:v>
      </x:c>
      <x:c r="S89" s="12" t="n">
        <x:v>1.606260521830938</x:v>
      </x:c>
      <x:c r="T89" s="12" t="n">
        <x:v>89.9</x:v>
      </x:c>
      <x:c r="U89" s="12" t="n">
        <x:v>245.07712999476223</x:v>
      </x:c>
      <x:c r="V89" s="12" t="n">
        <x:v>244.75798925963002</x:v>
      </x:c>
      <x:c r="W89" s="12" t="n">
        <x:f>IF(ISNUMBER(E89),IF($I$146&gt;$H$146,(E89-$H$146)/($I$146-$H$146),"缺失"),"缺失")</x:f>
        <x:v>0.7094907407407407</x:v>
      </x:c>
      <x:c r="X89" s="12" t="n">
        <x:f>IF(ISNUMBER(F89),IF($I$147&gt;$H$147,(F89-$H$147)/($I$147-$H$147),"缺失"),"缺失")</x:f>
        <x:v>0.7729133858267715</x:v>
      </x:c>
      <x:c r="Y89" s="12" t="n">
        <x:f>IF(ISNUMBER(G89),IF($I$148&gt;$H$148,(G89-$H$148)/($I$148-$H$148),"缺失"),"缺失")</x:f>
        <x:v>0.3456409884278941</x:v>
      </x:c>
      <x:c r="Z89" s="12" t="n">
        <x:f>IF(ISNUMBER(H89),IF($I$149&gt;$H$149,(H89-$H$149)/($I$149-$H$149),"缺失"),"缺失")</x:f>
        <x:v>0.3889050948614722</x:v>
      </x:c>
      <x:c r="AA89" s="12" t="n">
        <x:f>IF(ISNUMBER(I89),IF($I$150&gt;$H$150,(I89-$H$150)/($I$150-$H$150),"缺失"),"缺失")</x:f>
        <x:v>0.9674725925774715</x:v>
      </x:c>
      <x:c r="AB89" s="12" t="n">
        <x:f>IF(ISNUMBER(J89),IF($I$151&gt;$H$151,(J89-$H$151)/($I$151-$H$151),"缺失"),"缺失")</x:f>
        <x:v>0.18479726507266872</x:v>
      </x:c>
      <x:c r="AC89" s="12" t="n">
        <x:f>IF(ISNUMBER(K89),IF($I$152&gt;$H$152,(K89-$H$152)/($I$152-$H$152),"缺失"),"缺失")</x:f>
        <x:v>0.001852485114117631</x:v>
      </x:c>
      <x:c r="AD89" s="12" t="n">
        <x:f>IF(ISNUMBER(L89),IF($I$153&gt;$H$153,(L89-$H$153)/($I$153-$H$153),"缺失"),"缺失")</x:f>
        <x:v>0.984767413928785</x:v>
      </x:c>
      <x:c r="AE89" s="12" t="n">
        <x:f>IF(ISNUMBER(M89),IF($I$154&gt;$H$154,(M89-$H$154)/($I$154-$H$154),"缺失"),"缺失")</x:f>
        <x:v>0.984772452</x:v>
      </x:c>
      <x:c r="AF89" s="12" t="n">
        <x:f>IF(ISNUMBER(N89),IF($I$155&gt;$H$155,(N89-$H$155)/($I$155-$H$155),"缺失"),"缺失")</x:f>
        <x:v>0.017413422030913714</x:v>
      </x:c>
      <x:c r="AG89" s="12" t="n">
        <x:f>IF(ISNUMBER(O89),IF($I$156&gt;$H$156,(O89-$H$156)/($I$156-$H$156),"缺失"),"缺失")</x:f>
        <x:v>0.6893449251920745</x:v>
      </x:c>
      <x:c r="AH89" s="12" t="n">
        <x:f>IF(ISNUMBER(P89),IF($I$157&gt;$H$157,(P89-$H$157)/($I$157-$H$157),"缺失"),"缺失")</x:f>
        <x:v>0.030973107072719407</x:v>
      </x:c>
      <x:c r="AI89" s="12" t="n">
        <x:f>IF(ISNUMBER(Q89),IF($I$158&gt;$H$158,(Q89-$H$158)/($I$158-$H$158),"缺失"),"缺失")</x:f>
        <x:v>0.008937936977802584</x:v>
      </x:c>
      <x:c r="AJ89" s="12" t="n">
        <x:f>IF(ISNUMBER(R89),IF($I$159&gt;$H$159,(R89-$H$159)/($I$159-$H$159),"缺失"),"缺失")</x:f>
        <x:v>0.022092268583380367</x:v>
      </x:c>
      <x:c r="AK89" s="12" t="n">
        <x:f>IF(ISNUMBER(S89),IF($I$160&gt;$H$160,(S89-$H$160)/($I$160-$H$160),"缺失"),"缺失")</x:f>
        <x:v>0.031197467741335073</x:v>
      </x:c>
      <x:c r="AL89" s="12" t="n">
        <x:f>IF(ISNUMBER(T89),IF($I$161&gt;$H$161,(T89-$H$161)/($I$161-$H$161),"缺失"),"缺失")</x:f>
        <x:v>1</x:v>
      </x:c>
      <x:c r="AM89" s="12" t="n">
        <x:f>IF(ISNUMBER(U89),IF($I$162&gt;$H$162,(U89-$H$162)/($I$162-$H$162),"缺失"),"缺失")</x:f>
        <x:v>1</x:v>
      </x:c>
      <x:c r="AN89" s="12" t="n">
        <x:f>IF(ISNUMBER(V89),IF($I$163&gt;$H$163,(V89-$H$163)/($I$163-$H$163),"缺失"),"缺失")</x:f>
        <x:v>0</x:v>
      </x:c>
      <x:c r="AO89" s="23" t="str"/>
      <x:c r="AP89" s="23" t="str">
        <x:v>见指标口径：州级、产业、代表点代理；气候基期待核实</x:v>
      </x:c>
      <x:c r="AQ89" s="15" t="n">
        <x:v>0.9999999999999986</x:v>
      </x:c>
      <x:c r="AR89" s="15" t="n">
        <x:v>0.9999999999999986</x:v>
      </x:c>
      <x:c r="AS89" s="15" t="n">
        <x:v>1</x:v>
      </x:c>
      <x:c r="AT89" s="15" t="n">
        <x:v>1</x:v>
      </x:c>
    </x:row>
    <x:row r="90" ht="24" customHeight="1">
      <x:c r="A90" s="18" t="str">
        <x:v>51175</x:v>
      </x:c>
      <x:c r="B90" s="3" t="str">
        <x:v>Southampton County</x:v>
      </x:c>
      <x:c r="C90" s="3" t="str">
        <x:v>VA</x:v>
      </x:c>
      <x:c r="D90" s="12" t="n">
        <x:v>1552.048348</x:v>
      </x:c>
      <x:c r="E90" s="12" t="n">
        <x:v>0.344</x:v>
      </x:c>
      <x:c r="F90" s="12" t="n">
        <x:v>0.49009900990099</x:v>
      </x:c>
      <x:c r="G90" s="12" t="n">
        <x:v>3.7205495379841897</x:v>
      </x:c>
      <x:c r="H90" s="12" t="n">
        <x:v>4.058068907</x:v>
      </x:c>
      <x:c r="I90" s="12" t="n">
        <x:v>0.956386460918672</x:v>
      </x:c>
      <x:c r="J90" s="12" t="n">
        <x:v>0.005832010856242285</x:v>
      </x:c>
      <x:c r="K90" s="12" t="n">
        <x:v>0.22124697301443091</x:v>
      </x:c>
      <x:c r="L90" s="24" t="n">
        <x:v>0.512346339</x:v>
      </x:c>
      <x:c r="M90" s="24" t="n">
        <x:v>0.512346339</x:v>
      </x:c>
      <x:c r="N90" s="13" t="n">
        <x:v>7901</x:v>
      </x:c>
      <x:c r="O90" s="12" t="n">
        <x:v>0.4279</x:v>
      </x:c>
      <x:c r="P90" s="12" t="n">
        <x:v>1373.9895629882812</x:v>
      </x:c>
      <x:c r="Q90" s="12" t="n">
        <x:v>32.37005469004313</x:v>
      </x:c>
      <x:c r="R90" s="12" t="n">
        <x:v>31.815078215243535</x:v>
      </x:c>
      <x:c r="S90" s="12" t="n">
        <x:v>0.4632256865721155</x:v>
      </x:c>
      <x:c r="T90" s="12" t="n">
        <x:v>89.9</x:v>
      </x:c>
      <x:c r="U90" s="12" t="n">
        <x:v>245.07712999476223</x:v>
      </x:c>
      <x:c r="V90" s="12" t="n">
        <x:v>244.75798925963002</x:v>
      </x:c>
      <x:c r="W90" s="12" t="n">
        <x:f>IF(ISNUMBER(E90),IF($I$146&gt;$H$146,(E90-$H$146)/($I$146-$H$146),"缺失"),"缺失")</x:f>
        <x:v>0.34259259259259256</x:v>
      </x:c>
      <x:c r="X90" s="12" t="n">
        <x:f>IF(ISNUMBER(F90),IF($I$147&gt;$H$147,(F90-$H$147)/($I$147-$H$147),"缺失"),"缺失")</x:f>
        <x:v>0.49259842519685015</x:v>
      </x:c>
      <x:c r="Y90" s="12" t="n">
        <x:f>IF(ISNUMBER(G90),IF($I$148&gt;$H$148,(G90-$H$148)/($I$148-$H$148),"缺失"),"缺失")</x:f>
        <x:v>0.9783513171082071</x:v>
      </x:c>
      <x:c r="Z90" s="12" t="n">
        <x:f>IF(ISNUMBER(H90),IF($I$149&gt;$H$149,(H90-$H$149)/($I$149-$H$149),"缺失"),"缺失")</x:f>
        <x:v>1</x:v>
      </x:c>
      <x:c r="AA90" s="12" t="n">
        <x:f>IF(ISNUMBER(I90),IF($I$150&gt;$H$150,(I90-$H$150)/($I$150-$H$150),"缺失"),"缺失")</x:f>
        <x:v>0.9623918898208171</x:v>
      </x:c>
      <x:c r="AB90" s="12" t="n">
        <x:f>IF(ISNUMBER(J90),IF($I$151&gt;$H$151,(J90-$H$151)/($I$151-$H$151),"缺失"),"缺失")</x:f>
        <x:v>0.014305887527922391</x:v>
      </x:c>
      <x:c r="AC90" s="12" t="n">
        <x:f>IF(ISNUMBER(K90),IF($I$152&gt;$H$152,(K90-$H$152)/($I$152-$H$152),"缺失"),"缺失")</x:f>
        <x:v>0.38036807319552146</x:v>
      </x:c>
      <x:c r="AD90" s="12" t="n">
        <x:f>IF(ISNUMBER(L90),IF($I$153&gt;$H$153,(L90-$H$153)/($I$153-$H$153),"缺失"),"缺失")</x:f>
        <x:v>0.5121849976026621</x:v>
      </x:c>
      <x:c r="AE90" s="12" t="n">
        <x:f>IF(ISNUMBER(M90),IF($I$154&gt;$H$154,(M90-$H$154)/($I$154-$H$154),"缺失"),"缺失")</x:f>
        <x:v>0.512346339</x:v>
      </x:c>
      <x:c r="AF90" s="12" t="n">
        <x:f>IF(ISNUMBER(N90),IF($I$155&gt;$H$155,(N90-$H$155)/($I$155-$H$155),"缺失"),"缺失")</x:f>
        <x:v>0.011200554049311631</x:v>
      </x:c>
      <x:c r="AG90" s="12" t="n">
        <x:f>IF(ISNUMBER(O90),IF($I$156&gt;$H$156,(O90-$H$156)/($I$156-$H$156),"缺失"),"缺失")</x:f>
        <x:v>0.43034775576223216</x:v>
      </x:c>
      <x:c r="AH90" s="12" t="n">
        <x:f>IF(ISNUMBER(P90),IF($I$157&gt;$H$157,(P90-$H$157)/($I$157-$H$157),"缺失"),"缺失")</x:f>
        <x:v>0.4940399429066578</x:v>
      </x:c>
      <x:c r="AI90" s="12" t="n">
        <x:f>IF(ISNUMBER(Q90),IF($I$158&gt;$H$158,(Q90-$H$158)/($I$158-$H$158),"缺失"),"缺失")</x:f>
        <x:v>0.37665800668861643</x:v>
      </x:c>
      <x:c r="AJ90" s="12" t="n">
        <x:f>IF(ISNUMBER(R90),IF($I$159&gt;$H$159,(R90-$H$159)/($I$159-$H$159),"缺失"),"缺失")</x:f>
        <x:v>0.3328165087068633</x:v>
      </x:c>
      <x:c r="AK90" s="12" t="n">
        <x:f>IF(ISNUMBER(S90),IF($I$160&gt;$H$160,(S90-$H$160)/($I$160-$H$160),"缺失"),"缺失")</x:f>
        <x:v>0.0088835304327844</x:v>
      </x:c>
      <x:c r="AL90" s="12" t="n">
        <x:f>IF(ISNUMBER(T90),IF($I$161&gt;$H$161,(T90-$H$161)/($I$161-$H$161),"缺失"),"缺失")</x:f>
        <x:v>1</x:v>
      </x:c>
      <x:c r="AM90" s="12" t="n">
        <x:f>IF(ISNUMBER(U90),IF($I$162&gt;$H$162,(U90-$H$162)/($I$162-$H$162),"缺失"),"缺失")</x:f>
        <x:v>1</x:v>
      </x:c>
      <x:c r="AN90" s="12" t="n">
        <x:f>IF(ISNUMBER(V90),IF($I$163&gt;$H$163,(V90-$H$163)/($I$163-$H$163),"缺失"),"缺失")</x:f>
        <x:v>0</x:v>
      </x:c>
      <x:c r="AO90" s="23" t="str"/>
      <x:c r="AP90" s="23" t="str">
        <x:v>见指标口径：州级、产业、代表点代理；气候基期待核实</x:v>
      </x:c>
      <x:c r="AQ90" s="15" t="n">
        <x:v>1.0000000000000009</x:v>
      </x:c>
      <x:c r="AR90" s="15" t="n">
        <x:v>1.0000000000000033</x:v>
      </x:c>
      <x:c r="AS90" s="15" t="n">
        <x:v>1</x:v>
      </x:c>
      <x:c r="AT90" s="15" t="n">
        <x:v>1</x:v>
      </x:c>
    </x:row>
    <x:row r="91" ht="24" customHeight="1">
      <x:c r="A91" s="18" t="str">
        <x:v>51177</x:v>
      </x:c>
      <x:c r="B91" s="3" t="str">
        <x:v>Spotsylvania County</x:v>
      </x:c>
      <x:c r="C91" s="3" t="str">
        <x:v>VA</x:v>
      </x:c>
      <x:c r="D91" s="12" t="n">
        <x:v>1041.093159</x:v>
      </x:c>
      <x:c r="E91" s="12" t="n">
        <x:v>0.259</x:v>
      </x:c>
      <x:c r="F91" s="12" t="n">
        <x:v>0.256497524752475</x:v>
      </x:c>
      <x:c r="G91" s="12" t="n">
        <x:v>2.4774254593178755</x:v>
      </x:c>
      <x:c r="H91" s="12" t="n">
        <x:v>2.843341417300714</x:v>
      </x:c>
      <x:c r="I91" s="12" t="n">
        <x:v>0.8759501449315276</x:v>
      </x:c>
      <x:c r="J91" s="12" t="n">
        <x:v>0.036939940108825</x:v>
      </x:c>
      <x:c r="K91" s="12" t="n">
        <x:v>0.07313275865630228</x:v>
      </x:c>
      <x:c r="L91" s="24" t="n">
        <x:v>0.60308145</x:v>
      </x:c>
      <x:c r="M91" s="24" t="n">
        <x:v>0.256927604</x:v>
      </x:c>
      <x:c r="N91" s="13" t="n">
        <x:v>78647</x:v>
      </x:c>
      <x:c r="O91" s="12" t="n">
        <x:v>0.2654</x:v>
      </x:c>
      <x:c r="P91" s="12" t="n">
        <x:v>1074.8024088541667</x:v>
      </x:c>
      <x:c r="Q91" s="12" t="n">
        <x:v>24.56630605061849</x:v>
      </x:c>
      <x:c r="R91" s="12" t="n">
        <x:v>13.31974952817028</x:v>
      </x:c>
      <x:c r="S91" s="12" t="n">
        <x:v>17.420839009151766</x:v>
      </x:c>
      <x:c r="T91" s="12" t="n">
        <x:v>89.9</x:v>
      </x:c>
      <x:c r="U91" s="12" t="n">
        <x:v>245.07712999476223</x:v>
      </x:c>
      <x:c r="V91" s="12" t="n">
        <x:v>244.75798925963002</x:v>
      </x:c>
      <x:c r="W91" s="12" t="n">
        <x:f>IF(ISNUMBER(E91),IF($I$146&gt;$H$146,(E91-$H$146)/($I$146-$H$146),"缺失"),"缺失")</x:f>
        <x:v>0.244212962962963</x:v>
      </x:c>
      <x:c r="X91" s="12" t="n">
        <x:f>IF(ISNUMBER(F91),IF($I$147&gt;$H$147,(F91-$H$147)/($I$147-$H$147),"缺失"),"缺失")</x:f>
        <x:v>0.2548031496062989</x:v>
      </x:c>
      <x:c r="Y91" s="12" t="n">
        <x:f>IF(ISNUMBER(G91),IF($I$148&gt;$H$148,(G91-$H$148)/($I$148-$H$148),"缺失"),"缺失")</x:f>
        <x:v>0.6513463187818126</x:v>
      </x:c>
      <x:c r="Z91" s="12" t="n">
        <x:f>IF(ISNUMBER(H91),IF($I$149&gt;$H$149,(H91-$H$149)/($I$149-$H$149),"缺失"),"缺失")</x:f>
        <x:v>0.700536066265094</x:v>
      </x:c>
      <x:c r="AA91" s="12" t="n">
        <x:f>IF(ISNUMBER(I91),IF($I$150&gt;$H$150,(I91-$H$150)/($I$150-$H$150),"缺失"),"缺失")</x:f>
        <x:v>0.8760413847484608</x:v>
      </x:c>
      <x:c r="AB91" s="12" t="n">
        <x:f>IF(ISNUMBER(J91),IF($I$151&gt;$H$151,(J91-$H$151)/($I$151-$H$151),"缺失"),"缺失")</x:f>
        <x:v>0.09061345074819344</x:v>
      </x:c>
      <x:c r="AC91" s="12" t="n">
        <x:f>IF(ISNUMBER(K91),IF($I$152&gt;$H$152,(K91-$H$152)/($I$152-$H$152),"缺失"),"缺失")</x:f>
        <x:v>0.12572993030623925</x:v>
      </x:c>
      <x:c r="AD91" s="12" t="n">
        <x:f>IF(ISNUMBER(L91),IF($I$153&gt;$H$153,(L91-$H$153)/($I$153-$H$153),"缺失"),"缺失")</x:f>
        <x:v>0.6029501285343618</x:v>
      </x:c>
      <x:c r="AE91" s="12" t="n">
        <x:f>IF(ISNUMBER(M91),IF($I$154&gt;$H$154,(M91-$H$154)/($I$154-$H$154),"缺失"),"缺失")</x:f>
        <x:v>0.256927604</x:v>
      </x:c>
      <x:c r="AF91" s="12" t="n">
        <x:f>IF(ISNUMBER(N91),IF($I$155&gt;$H$155,(N91-$H$155)/($I$155-$H$155),"缺失"),"缺失")</x:f>
        <x:v>0.12105697949955434</x:v>
      </x:c>
      <x:c r="AG91" s="12" t="n">
        <x:f>IF(ISNUMBER(O91),IF($I$156&gt;$H$156,(O91-$H$156)/($I$156-$H$156),"缺失"),"缺失")</x:f>
        <x:v>0.2660735948241003</x:v>
      </x:c>
      <x:c r="AH91" s="12" t="n">
        <x:f>IF(ISNUMBER(P91),IF($I$157&gt;$H$157,(P91-$H$157)/($I$157-$H$157),"缺失"),"缺失")</x:f>
        <x:v>0.3594487924987985</x:v>
      </x:c>
      <x:c r="AI91" s="12" t="n">
        <x:f>IF(ISNUMBER(Q91),IF($I$158&gt;$H$158,(Q91-$H$158)/($I$158-$H$158),"缺失"),"缺失")</x:f>
        <x:v>0.2849515083174272</x:v>
      </x:c>
      <x:c r="AJ91" s="12" t="n">
        <x:f>IF(ISNUMBER(R91),IF($I$159&gt;$H$159,(R91-$H$159)/($I$159-$H$159),"缺失"),"缺失")</x:f>
        <x:v>0.13845929534516588</x:v>
      </x:c>
      <x:c r="AK91" s="12" t="n">
        <x:f>IF(ISNUMBER(S91),IF($I$160&gt;$H$160,(S91-$H$160)/($I$160-$H$160),"缺失"),"缺失")</x:f>
        <x:v>0.33992429044339706</x:v>
      </x:c>
      <x:c r="AL91" s="12" t="n">
        <x:f>IF(ISNUMBER(T91),IF($I$161&gt;$H$161,(T91-$H$161)/($I$161-$H$161),"缺失"),"缺失")</x:f>
        <x:v>1</x:v>
      </x:c>
      <x:c r="AM91" s="12" t="n">
        <x:f>IF(ISNUMBER(U91),IF($I$162&gt;$H$162,(U91-$H$162)/($I$162-$H$162),"缺失"),"缺失")</x:f>
        <x:v>1</x:v>
      </x:c>
      <x:c r="AN91" s="12" t="n">
        <x:f>IF(ISNUMBER(V91),IF($I$163&gt;$H$163,(V91-$H$163)/($I$163-$H$163),"缺失"),"缺失")</x:f>
        <x:v>0</x:v>
      </x:c>
      <x:c r="AO91" s="23" t="str"/>
      <x:c r="AP91" s="23" t="str">
        <x:v>见指标口径：州级、产业、代表点代理；气候基期待核实</x:v>
      </x:c>
      <x:c r="AQ91" s="15" t="n">
        <x:v>1.0000000000000007</x:v>
      </x:c>
      <x:c r="AR91" s="15" t="n">
        <x:v>1.0000000000000007</x:v>
      </x:c>
      <x:c r="AS91" s="15" t="n">
        <x:v>1</x:v>
      </x:c>
      <x:c r="AT91" s="15" t="n">
        <x:v>1</x:v>
      </x:c>
    </x:row>
    <x:row r="92" ht="24" customHeight="1">
      <x:c r="A92" s="18" t="str">
        <x:v>51179</x:v>
      </x:c>
      <x:c r="B92" s="3" t="str">
        <x:v>Stafford County</x:v>
      </x:c>
      <x:c r="C92" s="3" t="str">
        <x:v>VA</x:v>
      </x:c>
      <x:c r="D92" s="12" t="n">
        <x:v>695.402835</x:v>
      </x:c>
      <x:c r="E92" s="12" t="n">
        <x:v>0.247</x:v>
      </x:c>
      <x:c r="F92" s="12" t="n">
        <x:v>0.45575495049505</x:v>
      </x:c>
      <x:c r="G92" s="12" t="n">
        <x:v>3.3357176339776005</x:v>
      </x:c>
      <x:c r="H92" s="12" t="n">
        <x:v>3.71527262700629</x:v>
      </x:c>
      <x:c r="I92" s="12" t="n">
        <x:v>0.8104804450546971</x:v>
      </x:c>
      <x:c r="J92" s="12" t="n">
        <x:v>0.03580870403888112</x:v>
      </x:c>
      <x:c r="K92" s="12" t="n">
        <x:v>0.08186582606509506</x:v>
      </x:c>
      <x:c r="L92" s="24" t="n">
        <x:v>0.722125273</x:v>
      </x:c>
      <x:c r="M92" s="24" t="n">
        <x:v>0.450519289</x:v>
      </x:c>
      <x:c r="N92" s="13" t="n">
        <x:v>85363</x:v>
      </x:c>
      <x:c r="O92" s="12" t="n">
        <x:v>0.2428</x:v>
      </x:c>
      <x:c r="P92" s="12" t="n">
        <x:v>1105.4203369140623</x:v>
      </x:c>
      <x:c r="Q92" s="12" t="n">
        <x:v>23.818035507202147</x:v>
      </x:c>
      <x:c r="R92" s="12" t="n">
        <x:v>2.7931727592677253</x:v>
      </x:c>
      <x:c r="S92" s="12" t="n">
        <x:v>7.297810237549134</x:v>
      </x:c>
      <x:c r="T92" s="12" t="n">
        <x:v>89.9</x:v>
      </x:c>
      <x:c r="U92" s="12" t="n">
        <x:v>245.07712999476223</x:v>
      </x:c>
      <x:c r="V92" s="12" t="n">
        <x:v>244.75798925963002</x:v>
      </x:c>
      <x:c r="W92" s="12" t="n">
        <x:f>IF(ISNUMBER(E92),IF($I$146&gt;$H$146,(E92-$H$146)/($I$146-$H$146),"缺失"),"缺失")</x:f>
        <x:v>0.2303240740740741</x:v>
      </x:c>
      <x:c r="X92" s="12" t="n">
        <x:f>IF(ISNUMBER(F92),IF($I$147&gt;$H$147,(F92-$H$147)/($I$147-$H$147),"缺失"),"缺失")</x:f>
        <x:v>0.45763779527559095</x:v>
      </x:c>
      <x:c r="Y92" s="12" t="n">
        <x:f>IF(ISNUMBER(G92),IF($I$148&gt;$H$148,(G92-$H$148)/($I$148-$H$148),"缺失"),"缺失")</x:f>
        <x:v>0.8771209103569941</x:v>
      </x:c>
      <x:c r="Z92" s="12" t="n">
        <x:f>IF(ISNUMBER(H92),IF($I$149&gt;$H$149,(H92-$H$149)/($I$149-$H$149),"缺失"),"缺失")</x:f>
        <x:v>0.9154912329332223</x:v>
      </x:c>
      <x:c r="AA92" s="12" t="n">
        <x:f>IF(ISNUMBER(I92),IF($I$150&gt;$H$150,(I92-$H$150)/($I$150-$H$150),"缺失"),"缺失")</x:f>
        <x:v>0.8057579365084465</x:v>
      </x:c>
      <x:c r="AB92" s="12" t="n">
        <x:f>IF(ISNUMBER(J92),IF($I$151&gt;$H$151,(J92-$H$151)/($I$151-$H$151),"缺失"),"缺失")</x:f>
        <x:v>0.08783853547744692</x:v>
      </x:c>
      <x:c r="AC92" s="12" t="n">
        <x:f>IF(ISNUMBER(K92),IF($I$152&gt;$H$152,(K92-$H$152)/($I$152-$H$152),"缺失"),"缺失")</x:f>
        <x:v>0.14074383073665303</x:v>
      </x:c>
      <x:c r="AD92" s="12" t="n">
        <x:f>IF(ISNUMBER(L92),IF($I$153&gt;$H$153,(L92-$H$153)/($I$153-$H$153),"缺失"),"缺失")</x:f>
        <x:v>0.7220333374721355</x:v>
      </x:c>
      <x:c r="AE92" s="12" t="n">
        <x:f>IF(ISNUMBER(M92),IF($I$154&gt;$H$154,(M92-$H$154)/($I$154-$H$154),"缺失"),"缺失")</x:f>
        <x:v>0.450519289</x:v>
      </x:c>
      <x:c r="AF92" s="12" t="n">
        <x:f>IF(ISNUMBER(N92),IF($I$155&gt;$H$155,(N92-$H$155)/($I$155-$H$155),"缺失"),"缺失")</x:f>
        <x:v>0.13148577764112884</x:v>
      </x:c>
      <x:c r="AG92" s="12" t="n">
        <x:f>IF(ISNUMBER(O92),IF($I$156&gt;$H$156,(O92-$H$156)/($I$156-$H$156),"缺失"),"缺失")</x:f>
        <x:v>0.24322684997978164</x:v>
      </x:c>
      <x:c r="AH92" s="12" t="n">
        <x:f>IF(ISNUMBER(P92),IF($I$157&gt;$H$157,(P92-$H$157)/($I$157-$H$157),"缺失"),"缺失")</x:f>
        <x:v>0.3732224525765944</x:v>
      </x:c>
      <x:c r="AI92" s="12" t="n">
        <x:f>IF(ISNUMBER(Q92),IF($I$158&gt;$H$158,(Q92-$H$158)/($I$158-$H$158),"缺失"),"缺失")</x:f>
        <x:v>0.2761581354729529</x:v>
      </x:c>
      <x:c r="AJ92" s="12" t="n">
        <x:f>IF(ISNUMBER(R92),IF($I$159&gt;$H$159,(R92-$H$159)/($I$159-$H$159),"缺失"),"缺失")</x:f>
        <x:v>0.02784130300465602</x:v>
      </x:c>
      <x:c r="AK92" s="12" t="n">
        <x:f>IF(ISNUMBER(S92),IF($I$160&gt;$H$160,(S92-$H$160)/($I$160-$H$160),"缺失"),"缺失")</x:f>
        <x:v>0.1423059655993884</x:v>
      </x:c>
      <x:c r="AL92" s="12" t="n">
        <x:f>IF(ISNUMBER(T92),IF($I$161&gt;$H$161,(T92-$H$161)/($I$161-$H$161),"缺失"),"缺失")</x:f>
        <x:v>1</x:v>
      </x:c>
      <x:c r="AM92" s="12" t="n">
        <x:f>IF(ISNUMBER(U92),IF($I$162&gt;$H$162,(U92-$H$162)/($I$162-$H$162),"缺失"),"缺失")</x:f>
        <x:v>1</x:v>
      </x:c>
      <x:c r="AN92" s="12" t="n">
        <x:f>IF(ISNUMBER(V92),IF($I$163&gt;$H$163,(V92-$H$163)/($I$163-$H$163),"缺失"),"缺失")</x:f>
        <x:v>0</x:v>
      </x:c>
      <x:c r="AO92" s="23" t="str"/>
      <x:c r="AP92" s="23" t="str">
        <x:v>见指标口径：州级、产业、代表点代理；气候基期待核实</x:v>
      </x:c>
      <x:c r="AQ92" s="15" t="n">
        <x:v>0.9930673522053753</x:v>
      </x:c>
      <x:c r="AR92" s="15" t="n">
        <x:v>0.992210958054453</x:v>
      </x:c>
      <x:c r="AS92" s="15" t="n">
        <x:v>1</x:v>
      </x:c>
      <x:c r="AT92" s="15" t="n">
        <x:v>1</x:v>
      </x:c>
    </x:row>
    <x:row r="93" ht="24" customHeight="1">
      <x:c r="A93" s="18" t="str">
        <x:v>51181</x:v>
      </x:c>
      <x:c r="B93" s="3" t="str">
        <x:v>Surry County</x:v>
      </x:c>
      <x:c r="C93" s="3" t="str">
        <x:v>VA</x:v>
      </x:c>
      <x:c r="D93" s="12" t="n">
        <x:v>722.475751</x:v>
      </x:c>
      <x:c r="E93" s="12" t="n">
        <x:v>0.354</x:v>
      </x:c>
      <x:c r="F93" s="12" t="n">
        <x:v>0.10891089108910901</x:v>
      </x:c>
      <x:c r="G93" s="12" t="n">
        <x:v>2.632381780741022</x:v>
      </x:c>
      <x:c r="H93" s="12" t="n">
        <x:v>2.962917810516236</x:v>
      </x:c>
      <x:c r="I93" s="12" t="n">
        <x:v>0.9598857508716292</x:v>
      </x:c>
      <x:c r="J93" s="12" t="n">
        <x:v>0.015859127043461187</x:v>
      </x:c>
      <x:c r="K93" s="12" t="n">
        <x:v>0.18884115360229795</x:v>
      </x:c>
      <x:c r="L93" s="24" t="n">
        <x:v>0.942802211</x:v>
      </x:c>
      <x:c r="M93" s="24" t="n">
        <x:v>0.942802211</x:v>
      </x:c>
      <x:c r="N93" s="13" t="n">
        <x:v>3339</x:v>
      </x:c>
      <x:c r="O93" s="12" t="n">
        <x:v>0.448</x:v>
      </x:c>
      <x:c r="P93" s="12" t="n">
        <x:v>1406.3053792317708</x:v>
      </x:c>
      <x:c r="Q93" s="12" t="n">
        <x:v>30.18382390340169</x:v>
      </x:c>
      <x:c r="R93" s="12" t="n">
        <x:v>25.657707731672495</x:v>
      </x:c>
      <x:c r="S93" s="12" t="n">
        <x:v>19.202101100992564</x:v>
      </x:c>
      <x:c r="T93" s="12" t="n">
        <x:v>89.9</x:v>
      </x:c>
      <x:c r="U93" s="12" t="n">
        <x:v>245.07712999476223</x:v>
      </x:c>
      <x:c r="V93" s="12" t="n">
        <x:v>244.75798925963002</x:v>
      </x:c>
      <x:c r="W93" s="12" t="n">
        <x:f>IF(ISNUMBER(E93),IF($I$146&gt;$H$146,(E93-$H$146)/($I$146-$H$146),"缺失"),"缺失")</x:f>
        <x:v>0.3541666666666667</x:v>
      </x:c>
      <x:c r="X93" s="12" t="n">
        <x:f>IF(ISNUMBER(F93),IF($I$147&gt;$H$147,(F93-$H$147)/($I$147-$H$147),"缺失"),"缺失")</x:f>
        <x:v>0.10456692913385833</x:v>
      </x:c>
      <x:c r="Y93" s="12" t="n">
        <x:f>IF(ISNUMBER(G93),IF($I$148&gt;$H$148,(G93-$H$148)/($I$148-$H$148),"缺失"),"缺失")</x:f>
        <x:v>0.6921077298889028</x:v>
      </x:c>
      <x:c r="Z93" s="12" t="n">
        <x:f>IF(ISNUMBER(H93),IF($I$149&gt;$H$149,(H93-$H$149)/($I$149-$H$149),"缺失"),"缺失")</x:f>
        <x:v>0.7300149554791817</x:v>
      </x:c>
      <x:c r="AA93" s="12" t="n">
        <x:f>IF(ISNUMBER(I93),IF($I$150&gt;$H$150,(I93-$H$150)/($I$150-$H$150),"缺失"),"缺失")</x:f>
        <x:v>0.9661484698074089</x:v>
      </x:c>
      <x:c r="AB93" s="12" t="n">
        <x:f>IF(ISNUMBER(J93),IF($I$151&gt;$H$151,(J93-$H$151)/($I$151-$H$151),"缺失"),"缺失")</x:f>
        <x:v>0.0389023431827032</x:v>
      </x:c>
      <x:c r="AC93" s="12" t="n">
        <x:f>IF(ISNUMBER(K93),IF($I$152&gt;$H$152,(K93-$H$152)/($I$152-$H$152),"缺失"),"缺失")</x:f>
        <x:v>0.3246559478625748</x:v>
      </x:c>
      <x:c r="AD93" s="12" t="n">
        <x:f>IF(ISNUMBER(L93),IF($I$153&gt;$H$153,(L93-$H$153)/($I$153-$H$153),"缺失"),"缺失")</x:f>
        <x:v>0.9427832869726831</x:v>
      </x:c>
      <x:c r="AE93" s="12" t="n">
        <x:f>IF(ISNUMBER(M93),IF($I$154&gt;$H$154,(M93-$H$154)/($I$154-$H$154),"缺失"),"缺失")</x:f>
        <x:v>0.942802211</x:v>
      </x:c>
      <x:c r="AF93" s="12" t="n">
        <x:f>IF(ISNUMBER(N93),IF($I$155&gt;$H$155,(N93-$H$155)/($I$155-$H$155),"缺失"),"缺失")</x:f>
        <x:v>0.0041165491175274</x:v>
      </x:c>
      <x:c r="AG93" s="12" t="n">
        <x:f>IF(ISNUMBER(O93),IF($I$156&gt;$H$156,(O93-$H$156)/($I$156-$H$156),"缺失"),"缺失")</x:f>
        <x:v>0.4506672058228872</x:v>
      </x:c>
      <x:c r="AH93" s="12" t="n">
        <x:f>IF(ISNUMBER(P93),IF($I$157&gt;$H$157,(P93-$H$157)/($I$157-$H$157),"缺失"),"缺失")</x:f>
        <x:v>0.5085774082506095</x:v>
      </x:c>
      <x:c r="AI93" s="12" t="n">
        <x:f>IF(ISNUMBER(Q93),IF($I$158&gt;$H$158,(Q93-$H$158)/($I$158-$H$158),"缺失"),"缺失")</x:f>
        <x:v>0.35096630654065286</x:v>
      </x:c>
      <x:c r="AJ93" s="12" t="n">
        <x:f>IF(ISNUMBER(R93),IF($I$159&gt;$H$159,(R93-$H$159)/($I$159-$H$159),"缺失"),"缺失")</x:f>
        <x:v>0.2681120966323241</x:v>
      </x:c>
      <x:c r="AK93" s="12" t="n">
        <x:f>IF(ISNUMBER(S93),IF($I$160&gt;$H$160,(S93-$H$160)/($I$160-$H$160),"缺失"),"缺失")</x:f>
        <x:v>0.37469748319428403</x:v>
      </x:c>
      <x:c r="AL93" s="12" t="n">
        <x:f>IF(ISNUMBER(T93),IF($I$161&gt;$H$161,(T93-$H$161)/($I$161-$H$161),"缺失"),"缺失")</x:f>
        <x:v>1</x:v>
      </x:c>
      <x:c r="AM93" s="12" t="n">
        <x:f>IF(ISNUMBER(U93),IF($I$162&gt;$H$162,(U93-$H$162)/($I$162-$H$162),"缺失"),"缺失")</x:f>
        <x:v>1</x:v>
      </x:c>
      <x:c r="AN93" s="12" t="n">
        <x:f>IF(ISNUMBER(V93),IF($I$163&gt;$H$163,(V93-$H$163)/($I$163-$H$163),"缺失"),"缺失")</x:f>
        <x:v>0</x:v>
      </x:c>
      <x:c r="AO93" s="23" t="str"/>
      <x:c r="AP93" s="23" t="str">
        <x:v>baseline_water_stress:有效县域面积覆盖&lt;99%（诊断提示，非行业阈值）；water_stress_2050_bau:有效县域面积覆盖&lt;99%（诊断提示，非行业阈值）</x:v>
      </x:c>
      <x:c r="AQ93" s="15" t="n">
        <x:v>0.9239424938297994</x:v>
      </x:c>
      <x:c r="AR93" s="15" t="n">
        <x:v>0.9245372708819962</x:v>
      </x:c>
      <x:c r="AS93" s="15" t="n">
        <x:v>1</x:v>
      </x:c>
      <x:c r="AT93" s="15" t="n">
        <x:v>1</x:v>
      </x:c>
    </x:row>
    <x:row r="94" ht="24" customHeight="1">
      <x:c r="A94" s="18" t="str">
        <x:v>51183</x:v>
      </x:c>
      <x:c r="B94" s="3" t="str">
        <x:v>Sussex County</x:v>
      </x:c>
      <x:c r="C94" s="3" t="str">
        <x:v>VA</x:v>
      </x:c>
      <x:c r="D94" s="12" t="n">
        <x:v>1269.725163</x:v>
      </x:c>
      <x:c r="E94" s="12" t="n">
        <x:v>0.364</x:v>
      </x:c>
      <x:c r="F94" s="12" t="n">
        <x:v>0.274443069306931</x:v>
      </x:c>
      <x:c r="G94" s="12" t="n">
        <x:v>3.7205495379841897</x:v>
      </x:c>
      <x:c r="H94" s="12" t="n">
        <x:v>4.058068907</x:v>
      </x:c>
      <x:c r="I94" s="12" t="n">
        <x:v>0.9610552300685696</x:v>
      </x:c>
      <x:c r="J94" s="12" t="n">
        <x:v>0.05436010606632029</x:v>
      </x:c>
      <x:c r="K94" s="12" t="n">
        <x:v>0.17726665607967468</x:v>
      </x:c>
      <x:c r="L94" s="24" t="n">
        <x:v>0.691725352</x:v>
      </x:c>
      <x:c r="M94" s="24" t="n">
        <x:v>0.691725352</x:v>
      </x:c>
      <x:c r="N94" s="13" t="n">
        <x:v>4551</x:v>
      </x:c>
      <x:c r="O94" s="12" t="n">
        <x:v>0.7385</x:v>
      </x:c>
      <x:c r="P94" s="12" t="n">
        <x:v>1373.221105957031</x:v>
      </x:c>
      <x:c r="Q94" s="12" t="n">
        <x:v>35.69814491271973</x:v>
      </x:c>
      <x:c r="R94" s="12" t="n">
        <x:v>11.939307539796488</x:v>
      </x:c>
      <x:c r="S94" s="12" t="n">
        <x:v>12.678011771479687</x:v>
      </x:c>
      <x:c r="T94" s="12" t="n">
        <x:v>89.9</x:v>
      </x:c>
      <x:c r="U94" s="12" t="n">
        <x:v>245.07712999476223</x:v>
      </x:c>
      <x:c r="V94" s="12" t="n">
        <x:v>244.75798925963002</x:v>
      </x:c>
      <x:c r="W94" s="12" t="n">
        <x:f>IF(ISNUMBER(E94),IF($I$146&gt;$H$146,(E94-$H$146)/($I$146-$H$146),"缺失"),"缺失")</x:f>
        <x:v>0.36574074074074076</x:v>
      </x:c>
      <x:c r="X94" s="12" t="n">
        <x:f>IF(ISNUMBER(F94),IF($I$147&gt;$H$147,(F94-$H$147)/($I$147-$H$147),"缺失"),"缺失")</x:f>
        <x:v>0.27307086614173254</x:v>
      </x:c>
      <x:c r="Y94" s="12" t="n">
        <x:f>IF(ISNUMBER(G94),IF($I$148&gt;$H$148,(G94-$H$148)/($I$148-$H$148),"缺失"),"缺失")</x:f>
        <x:v>0.9783513171082071</x:v>
      </x:c>
      <x:c r="Z94" s="12" t="n">
        <x:f>IF(ISNUMBER(H94),IF($I$149&gt;$H$149,(H94-$H$149)/($I$149-$H$149),"缺失"),"缺失")</x:f>
        <x:v>1</x:v>
      </x:c>
      <x:c r="AA94" s="12" t="n">
        <x:f>IF(ISNUMBER(I94),IF($I$150&gt;$H$150,(I94-$H$150)/($I$150-$H$150),"缺失"),"缺失")</x:f>
        <x:v>0.9674039365463823</x:v>
      </x:c>
      <x:c r="AB94" s="12" t="n">
        <x:f>IF(ISNUMBER(J94),IF($I$151&gt;$H$151,(J94-$H$151)/($I$151-$H$151),"缺失"),"缺失")</x:f>
        <x:v>0.13334501299124507</x:v>
      </x:c>
      <x:c r="AC94" s="12" t="n">
        <x:f>IF(ISNUMBER(K94),IF($I$152&gt;$H$152,(K94-$H$152)/($I$152-$H$152),"缺失"),"缺失")</x:f>
        <x:v>0.30475705722057994</x:v>
      </x:c>
      <x:c r="AD94" s="12" t="n">
        <x:f>IF(ISNUMBER(L94),IF($I$153&gt;$H$153,(L94-$H$153)/($I$153-$H$153),"缺失"),"缺失")</x:f>
        <x:v>0.6916233585844883</x:v>
      </x:c>
      <x:c r="AE94" s="12" t="n">
        <x:f>IF(ISNUMBER(M94),IF($I$154&gt;$H$154,(M94-$H$154)/($I$154-$H$154),"缺失"),"缺失")</x:f>
        <x:v>0.691725352</x:v>
      </x:c>
      <x:c r="AF94" s="12" t="n">
        <x:f>IF(ISNUMBER(N94),IF($I$155&gt;$H$155,(N94-$H$155)/($I$155-$H$155),"缺失"),"缺失")</x:f>
        <x:v>0.005998577608830005</x:v>
      </x:c>
      <x:c r="AG94" s="12" t="n">
        <x:f>IF(ISNUMBER(O94),IF($I$156&gt;$H$156,(O94-$H$156)/($I$156-$H$156),"缺失"),"缺失")</x:f>
        <x:v>0.7443388596845937</x:v>
      </x:c>
      <x:c r="AH94" s="12" t="n">
        <x:f>IF(ISNUMBER(P94),IF($I$157&gt;$H$157,(P94-$H$157)/($I$157-$H$157),"缺失"),"缺失")</x:f>
        <x:v>0.4936942478644548</x:v>
      </x:c>
      <x:c r="AI94" s="12" t="n">
        <x:f>IF(ISNUMBER(Q94),IF($I$158&gt;$H$158,(Q94-$H$158)/($I$158-$H$158),"缺失"),"缺失")</x:f>
        <x:v>0.4157683771896792</x:v>
      </x:c>
      <x:c r="AJ94" s="12" t="n">
        <x:f>IF(ISNUMBER(R94),IF($I$159&gt;$H$159,(R94-$H$159)/($I$159-$H$159),"缺失"),"缺失")</x:f>
        <x:v>0.12395299147745845</x:v>
      </x:c>
      <x:c r="AK94" s="12" t="n">
        <x:f>IF(ISNUMBER(S94),IF($I$160&gt;$H$160,(S94-$H$160)/($I$160-$H$160),"缺失"),"缺失")</x:f>
        <x:v>0.2473364301418888</x:v>
      </x:c>
      <x:c r="AL94" s="12" t="n">
        <x:f>IF(ISNUMBER(T94),IF($I$161&gt;$H$161,(T94-$H$161)/($I$161-$H$161),"缺失"),"缺失")</x:f>
        <x:v>1</x:v>
      </x:c>
      <x:c r="AM94" s="12" t="n">
        <x:f>IF(ISNUMBER(U94),IF($I$162&gt;$H$162,(U94-$H$162)/($I$162-$H$162),"缺失"),"缺失")</x:f>
        <x:v>1</x:v>
      </x:c>
      <x:c r="AN94" s="12" t="n">
        <x:f>IF(ISNUMBER(V94),IF($I$163&gt;$H$163,(V94-$H$163)/($I$163-$H$163),"缺失"),"缺失")</x:f>
        <x:v>0</x:v>
      </x:c>
      <x:c r="AO94" s="23" t="str"/>
      <x:c r="AP94" s="23" t="str">
        <x:v>见指标口径：州级、产业、代表点代理；气候基期待核实</x:v>
      </x:c>
      <x:c r="AQ94" s="15" t="n">
        <x:v>0.9999999999999992</x:v>
      </x:c>
      <x:c r="AR94" s="15" t="n">
        <x:v>0.9999999999999992</x:v>
      </x:c>
      <x:c r="AS94" s="15" t="n">
        <x:v>1</x:v>
      </x:c>
      <x:c r="AT94" s="15" t="n">
        <x:v>1</x:v>
      </x:c>
    </x:row>
    <x:row r="95" ht="24" customHeight="1">
      <x:c r="A95" s="18" t="str">
        <x:v>51185</x:v>
      </x:c>
      <x:c r="B95" s="3" t="str">
        <x:v>Tazewell County</x:v>
      </x:c>
      <x:c r="C95" s="3" t="str">
        <x:v>VA</x:v>
      </x:c>
      <x:c r="D95" s="12" t="n">
        <x:v>1343.663016</x:v>
      </x:c>
      <x:c r="E95" s="12" t="n">
        <x:v>0.81</x:v>
      </x:c>
      <x:c r="F95" s="12" t="n">
        <x:v>0.89325495049505</x:v>
      </x:c>
      <x:c r="G95" s="12" t="n">
        <x:v>1.9945151124785931</x:v>
      </x:c>
      <x:c r="H95" s="12" t="n">
        <x:v>2.2491774216054576</x:v>
      </x:c>
      <x:c r="I95" s="12" t="n">
        <x:v>0.9540289380552278</x:v>
      </x:c>
      <x:c r="J95" s="12" t="n">
        <x:v>0.062078930536553195</x:v>
      </x:c>
      <x:c r="K95" s="12" t="n">
        <x:v>0.001056621539564458</x:v>
      </x:c>
      <x:c r="L95" s="24" t="n">
        <x:v>0.477721883</x:v>
      </x:c>
      <x:c r="M95" s="24" t="n">
        <x:v>0.464876033</x:v>
      </x:c>
      <x:c r="N95" s="13" t="n">
        <x:v>14302</x:v>
      </x:c>
      <x:c r="O95" s="12" t="n">
        <x:v>0.5883</x:v>
      </x:c>
      <x:c r="P95" s="12" t="n">
        <x:v>327.52550048828124</x:v>
      </x:c>
      <x:c r="Q95" s="12" t="n">
        <x:v>0.5449943860371907</x:v>
      </x:c>
      <x:c r="R95" s="12" t="n">
        <x:v>31.110400532930363</x:v>
      </x:c>
      <x:c r="S95" s="12" t="n">
        <x:v>0.20533638922286612</x:v>
      </x:c>
      <x:c r="T95" s="12" t="n">
        <x:v>89.9</x:v>
      </x:c>
      <x:c r="U95" s="12" t="n">
        <x:v>245.07712999476223</x:v>
      </x:c>
      <x:c r="V95" s="12" t="n">
        <x:v>244.75798925963002</x:v>
      </x:c>
      <x:c r="W95" s="12" t="n">
        <x:f>IF(ISNUMBER(E95),IF($I$146&gt;$H$146,(E95-$H$146)/($I$146-$H$146),"缺失"),"缺失")</x:f>
        <x:v>0.8819444444444444</x:v>
      </x:c>
      <x:c r="X95" s="12" t="n">
        <x:f>IF(ISNUMBER(F95),IF($I$147&gt;$H$147,(F95-$H$147)/($I$147-$H$147),"缺失"),"缺失")</x:f>
        <x:v>0.9029921259842523</x:v>
      </x:c>
      <x:c r="Y95" s="12" t="n">
        <x:f>IF(ISNUMBER(G95),IF($I$148&gt;$H$148,(G95-$H$148)/($I$148-$H$148),"缺失"),"缺失")</x:f>
        <x:v>0.5243162822231158</x:v>
      </x:c>
      <x:c r="Z95" s="12" t="n">
        <x:f>IF(ISNUMBER(H95),IF($I$149&gt;$H$149,(H95-$H$149)/($I$149-$H$149),"缺失"),"缺失")</x:f>
        <x:v>0.5540582027579469</x:v>
      </x:c>
      <x:c r="AA95" s="12" t="n">
        <x:f>IF(ISNUMBER(I95),IF($I$150&gt;$H$150,(I95-$H$150)/($I$150-$H$150),"缺失"),"缺失")</x:f>
        <x:v>0.9598610268955363</x:v>
      </x:c>
      <x:c r="AB95" s="12" t="n">
        <x:f>IF(ISNUMBER(J95),IF($I$151&gt;$H$151,(J95-$H$151)/($I$151-$H$151),"缺失"),"缺失")</x:f>
        <x:v>0.15227924295769552</x:v>
      </x:c>
      <x:c r="AC95" s="12" t="n">
        <x:f>IF(ISNUMBER(K95),IF($I$152&gt;$H$152,(K95-$H$152)/($I$152-$H$152),"缺失"),"缺失")</x:f>
        <x:v>0.001816545074606756</x:v>
      </x:c>
      <x:c r="AD95" s="12" t="n">
        <x:f>IF(ISNUMBER(L95),IF($I$153&gt;$H$153,(L95-$H$153)/($I$153-$H$153),"缺失"),"缺失")</x:f>
        <x:v>0.4775490860173566</x:v>
      </x:c>
      <x:c r="AE95" s="12" t="n">
        <x:f>IF(ISNUMBER(M95),IF($I$154&gt;$H$154,(M95-$H$154)/($I$154-$H$154),"缺失"),"缺失")</x:f>
        <x:v>0.464876033</x:v>
      </x:c>
      <x:c r="AF95" s="12" t="n">
        <x:f>IF(ISNUMBER(N95),IF($I$155&gt;$H$155,(N95-$H$155)/($I$155-$H$155),"缺失"),"缺失")</x:f>
        <x:v>0.021140211122602046</x:v>
      </x:c>
      <x:c r="AG95" s="12" t="n">
        <x:f>IF(ISNUMBER(O95),IF($I$156&gt;$H$156,(O95-$H$156)/($I$156-$H$156),"缺失"),"缺失")</x:f>
        <x:v>0.5924989890820866</x:v>
      </x:c>
      <x:c r="AH95" s="12" t="n">
        <x:f>IF(ISNUMBER(P95),IF($I$157&gt;$H$157,(P95-$H$157)/($I$157-$H$157),"缺失"),"缺失")</x:f>
        <x:v>0.02328175664702493</x:v>
      </x:c>
      <x:c r="AI95" s="12" t="n">
        <x:f>IF(ISNUMBER(Q95),IF($I$158&gt;$H$158,(Q95-$H$158)/($I$158-$H$158),"缺失"),"缺失")</x:f>
        <x:v>0.0026627672484719903</x:v>
      </x:c>
      <x:c r="AJ95" s="12" t="n">
        <x:f>IF(ISNUMBER(R95),IF($I$159&gt;$H$159,(R95-$H$159)/($I$159-$H$159),"缺失"),"缺失")</x:f>
        <x:v>0.3254114394069438</x:v>
      </x:c>
      <x:c r="AK95" s="12" t="n">
        <x:f>IF(ISNUMBER(S95),IF($I$160&gt;$H$160,(S95-$H$160)/($I$160-$H$160),"缺失"),"缺失")</x:f>
        <x:v>0.003849103277907434</x:v>
      </x:c>
      <x:c r="AL95" s="12" t="n">
        <x:f>IF(ISNUMBER(T95),IF($I$161&gt;$H$161,(T95-$H$161)/($I$161-$H$161),"缺失"),"缺失")</x:f>
        <x:v>1</x:v>
      </x:c>
      <x:c r="AM95" s="12" t="n">
        <x:f>IF(ISNUMBER(U95),IF($I$162&gt;$H$162,(U95-$H$162)/($I$162-$H$162),"缺失"),"缺失")</x:f>
        <x:v>1</x:v>
      </x:c>
      <x:c r="AN95" s="12" t="n">
        <x:f>IF(ISNUMBER(V95),IF($I$163&gt;$H$163,(V95-$H$163)/($I$163-$H$163),"缺失"),"缺失")</x:f>
        <x:v>0</x:v>
      </x:c>
      <x:c r="AO95" s="23" t="str"/>
      <x:c r="AP95" s="23" t="str">
        <x:v>见指标口径：州级、产业、代表点代理；气候基期待核实</x:v>
      </x:c>
      <x:c r="AQ95" s="15" t="n">
        <x:v>1.0000000000000018</x:v>
      </x:c>
      <x:c r="AR95" s="15" t="n">
        <x:v>1.0000000000000033</x:v>
      </x:c>
      <x:c r="AS95" s="15" t="n">
        <x:v>1</x:v>
      </x:c>
      <x:c r="AT95" s="15" t="n">
        <x:v>1</x:v>
      </x:c>
    </x:row>
    <x:row r="96" ht="24" customHeight="1">
      <x:c r="A96" s="18" t="str">
        <x:v>51187</x:v>
      </x:c>
      <x:c r="B96" s="3" t="str">
        <x:v>Warren County</x:v>
      </x:c>
      <x:c r="C96" s="3" t="str">
        <x:v>VA</x:v>
      </x:c>
      <x:c r="D96" s="12" t="n">
        <x:v>555.738446</x:v>
      </x:c>
      <x:c r="E96" s="12" t="n">
        <x:v>0.492</x:v>
      </x:c>
      <x:c r="F96" s="12" t="n">
        <x:v>0.7800123762376241</x:v>
      </x:c>
      <x:c r="G96" s="12" t="n">
        <x:v>2.8164460897765258</x:v>
      </x:c>
      <x:c r="H96" s="12" t="n">
        <x:v>3.0655209624689435</x:v>
      </x:c>
      <x:c r="I96" s="12" t="n">
        <x:v>0.9041378575373079</x:v>
      </x:c>
      <x:c r="J96" s="12" t="n">
        <x:v>0.11566254957648577</x:v>
      </x:c>
      <x:c r="K96" s="12" t="n">
        <x:v>0.0012578596041375345</x:v>
      </x:c>
      <x:c r="L96" s="24" t="n">
        <x:v>0.420593829</x:v>
      </x:c>
      <x:c r="M96" s="24" t="n">
        <x:v>0.400517751</x:v>
      </x:c>
      <x:c r="N96" s="13" t="n">
        <x:v>21532</x:v>
      </x:c>
      <x:c r="O96" s="12" t="n">
        <x:v>0.496</x:v>
      </x:c>
      <x:c r="P96" s="12" t="n">
        <x:v>771.3235270182291</x:v>
      </x:c>
      <x:c r="Q96" s="12" t="n">
        <x:v>13.58764435450236</x:v>
      </x:c>
      <x:c r="R96" s="12" t="n">
        <x:v>5.472136990876614</x:v>
      </x:c>
      <x:c r="S96" s="12" t="n">
        <x:v>0.1846056468630296</x:v>
      </x:c>
      <x:c r="T96" s="12" t="n">
        <x:v>89.9</x:v>
      </x:c>
      <x:c r="U96" s="12" t="n">
        <x:v>245.07712999476223</x:v>
      </x:c>
      <x:c r="V96" s="12" t="n">
        <x:v>244.75798925963002</x:v>
      </x:c>
      <x:c r="W96" s="12" t="n">
        <x:f>IF(ISNUMBER(E96),IF($I$146&gt;$H$146,(E96-$H$146)/($I$146-$H$146),"缺失"),"缺失")</x:f>
        <x:v>0.513888888888889</x:v>
      </x:c>
      <x:c r="X96" s="12" t="n">
        <x:f>IF(ISNUMBER(F96),IF($I$147&gt;$H$147,(F96-$H$147)/($I$147-$H$147),"缺失"),"缺失")</x:f>
        <x:v>0.787716535433071</x:v>
      </x:c>
      <x:c r="Y96" s="12" t="n">
        <x:f>IF(ISNUMBER(G96),IF($I$148&gt;$H$148,(G96-$H$148)/($I$148-$H$148),"缺失"),"缺失")</x:f>
        <x:v>0.7405260254565331</x:v>
      </x:c>
      <x:c r="Z96" s="12" t="n">
        <x:f>IF(ISNUMBER(H96),IF($I$149&gt;$H$149,(H96-$H$149)/($I$149-$H$149),"缺失"),"缺失")</x:f>
        <x:v>0.7553094711280903</x:v>
      </x:c>
      <x:c r="AA96" s="12" t="n">
        <x:f>IF(ISNUMBER(I96),IF($I$150&gt;$H$150,(I96-$H$150)/($I$150-$H$150),"缺失"),"缺失")</x:f>
        <x:v>0.9063016371042819</x:v>
      </x:c>
      <x:c r="AB96" s="12" t="n">
        <x:f>IF(ISNUMBER(J96),IF($I$151&gt;$H$151,(J96-$H$151)/($I$151-$H$151),"缺失"),"缺失")</x:f>
        <x:v>0.28371953794682925</x:v>
      </x:c>
      <x:c r="AC96" s="12" t="n">
        <x:f>IF(ISNUMBER(K96),IF($I$152&gt;$H$152,(K96-$H$152)/($I$152-$H$152),"缺失"),"缺失")</x:f>
        <x:v>0.0021625138073417547</x:v>
      </x:c>
      <x:c r="AD96" s="12" t="n">
        <x:f>IF(ISNUMBER(L96),IF($I$153&gt;$H$153,(L96-$H$153)/($I$153-$H$153),"缺失"),"缺失")</x:f>
        <x:v>0.42040213106203383</x:v>
      </x:c>
      <x:c r="AE96" s="12" t="n">
        <x:f>IF(ISNUMBER(M96),IF($I$154&gt;$H$154,(M96-$H$154)/($I$154-$H$154),"缺失"),"缺失")</x:f>
        <x:v>0.400517751</x:v>
      </x:c>
      <x:c r="AF96" s="12" t="n">
        <x:f>IF(ISNUMBER(N96),IF($I$155&gt;$H$155,(N96-$H$155)/($I$155-$H$155),"缺失"),"缺失")</x:f>
        <x:v>0.032367163261313135</x:v>
      </x:c>
      <x:c r="AG96" s="12" t="n">
        <x:f>IF(ISNUMBER(O96),IF($I$156&gt;$H$156,(O96-$H$156)/($I$156-$H$156),"缺失"),"缺失")</x:f>
        <x:v>0.49919126566922767</x:v>
      </x:c>
      <x:c r="AH96" s="12" t="n">
        <x:f>IF(ISNUMBER(P96),IF($I$157&gt;$H$157,(P96-$H$157)/($I$157-$H$157),"缺失"),"缺失")</x:f>
        <x:v>0.22292698243311607</x:v>
      </x:c>
      <x:c r="AI96" s="12" t="n">
        <x:f>IF(ISNUMBER(Q96),IF($I$158&gt;$H$158,(Q96-$H$158)/($I$158-$H$158),"缺失"),"缺失")</x:f>
        <x:v>0.15593471555884567</x:v>
      </x:c>
      <x:c r="AJ96" s="12" t="n">
        <x:f>IF(ISNUMBER(R96),IF($I$159&gt;$H$159,(R96-$H$159)/($I$159-$H$159),"缺失"),"缺失")</x:f>
        <x:v>0.05599306129782306</x:v>
      </x:c>
      <x:c r="AK96" s="12" t="n">
        <x:f>IF(ISNUMBER(S96),IF($I$160&gt;$H$160,(S96-$H$160)/($I$160-$H$160),"缺失"),"缺失")</x:f>
        <x:v>0.0034444047760701186</x:v>
      </x:c>
      <x:c r="AL96" s="12" t="n">
        <x:f>IF(ISNUMBER(T96),IF($I$161&gt;$H$161,(T96-$H$161)/($I$161-$H$161),"缺失"),"缺失")</x:f>
        <x:v>1</x:v>
      </x:c>
      <x:c r="AM96" s="12" t="n">
        <x:f>IF(ISNUMBER(U96),IF($I$162&gt;$H$162,(U96-$H$162)/($I$162-$H$162),"缺失"),"缺失")</x:f>
        <x:v>1</x:v>
      </x:c>
      <x:c r="AN96" s="12" t="n">
        <x:f>IF(ISNUMBER(V96),IF($I$163&gt;$H$163,(V96-$H$163)/($I$163-$H$163),"缺失"),"缺失")</x:f>
        <x:v>0</x:v>
      </x:c>
      <x:c r="AO96" s="23" t="str"/>
      <x:c r="AP96" s="23" t="str">
        <x:v>见指标口径：州级、产业、代表点代理；气候基期待核实</x:v>
      </x:c>
      <x:c r="AQ96" s="15" t="n">
        <x:v>1.0000000000000033</x:v>
      </x:c>
      <x:c r="AR96" s="15" t="n">
        <x:v>1.0000000000000018</x:v>
      </x:c>
      <x:c r="AS96" s="15" t="n">
        <x:v>1</x:v>
      </x:c>
      <x:c r="AT96" s="15" t="n">
        <x:v>1</x:v>
      </x:c>
    </x:row>
    <x:row r="97" ht="24" customHeight="1">
      <x:c r="A97" s="18" t="str">
        <x:v>51191</x:v>
      </x:c>
      <x:c r="B97" s="3" t="str">
        <x:v>Washington County</x:v>
      </x:c>
      <x:c r="C97" s="3" t="str">
        <x:v>VA</x:v>
      </x:c>
      <x:c r="D97" s="12" t="n">
        <x:v>1453.483675</x:v>
      </x:c>
      <x:c r="E97" s="12" t="n">
        <x:v>0.634</x:v>
      </x:c>
      <x:c r="F97" s="12" t="n">
        <x:v>0.49443069306930704</x:v>
      </x:c>
      <x:c r="G97" s="12" t="n">
        <x:v>1.2704328864684595</x:v>
      </x:c>
      <x:c r="H97" s="12" t="n">
        <x:v>1.5234178332938337</x:v>
      </x:c>
      <x:c r="I97" s="12" t="n">
        <x:v>0.939163162565212</x:v>
      </x:c>
      <x:c r="J97" s="12" t="n">
        <x:v>0.03740478783975602</x:v>
      </x:c>
      <x:c r="K97" s="12" t="n">
        <x:v>0.000856535277775378</x:v>
      </x:c>
      <x:c r="L97" s="24" t="n">
        <x:v>0.914181185</x:v>
      </x:c>
      <x:c r="M97" s="24" t="n">
        <x:v>0.913937282</x:v>
      </x:c>
      <x:c r="N97" s="13" t="n">
        <x:v>24783</x:v>
      </x:c>
      <x:c r="O97" s="12" t="n">
        <x:v>0.2549</x:v>
      </x:c>
      <x:c r="P97" s="12" t="n">
        <x:v>574.6161356608073</x:v>
      </x:c>
      <x:c r="Q97" s="12" t="n">
        <x:v>3.481581513086955</x:v>
      </x:c>
      <x:c r="R97" s="12" t="n">
        <x:v>4.060807988060125</x:v>
      </x:c>
      <x:c r="S97" s="12" t="n">
        <x:v>2.9172764318029056</x:v>
      </x:c>
      <x:c r="T97" s="12" t="n">
        <x:v>89.9</x:v>
      </x:c>
      <x:c r="U97" s="12" t="n">
        <x:v>245.07712999476223</x:v>
      </x:c>
      <x:c r="V97" s="12" t="n">
        <x:v>244.75798925963002</x:v>
      </x:c>
      <x:c r="W97" s="12" t="n">
        <x:f>IF(ISNUMBER(E97),IF($I$146&gt;$H$146,(E97-$H$146)/($I$146-$H$146),"缺失"),"缺失")</x:f>
        <x:v>0.6782407407407407</x:v>
      </x:c>
      <x:c r="X97" s="12" t="n">
        <x:f>IF(ISNUMBER(F97),IF($I$147&gt;$H$147,(F97-$H$147)/($I$147-$H$147),"缺失"),"缺失")</x:f>
        <x:v>0.49700787401574803</x:v>
      </x:c>
      <x:c r="Y97" s="12" t="n">
        <x:f>IF(ISNUMBER(G97),IF($I$148&gt;$H$148,(G97-$H$148)/($I$148-$H$148),"缺失"),"缺失")</x:f>
        <x:v>0.3338457482128313</x:v>
      </x:c>
      <x:c r="Z97" s="12" t="n">
        <x:f>IF(ISNUMBER(H97),IF($I$149&gt;$H$149,(H97-$H$149)/($I$149-$H$149),"缺失"),"缺失")</x:f>
        <x:v>0.3751383848525922</x:v>
      </x:c>
      <x:c r="AA97" s="12" t="n">
        <x:f>IF(ISNUMBER(I97),IF($I$150&gt;$H$150,(I97-$H$150)/($I$150-$H$150),"缺失"),"缺失")</x:f>
        <x:v>0.9439022251266901</x:v>
      </x:c>
      <x:c r="AB97" s="12" t="n">
        <x:f>IF(ISNUMBER(J97),IF($I$151&gt;$H$151,(J97-$H$151)/($I$151-$H$151),"缺失"),"缺失")</x:f>
        <x:v>0.09175371943428326</x:v>
      </x:c>
      <x:c r="AC97" s="12" t="n">
        <x:f>IF(ISNUMBER(K97),IF($I$152&gt;$H$152,(K97-$H$152)/($I$152-$H$152),"缺失"),"缺失")</x:f>
        <x:v>0.0014725565226610397</x:v>
      </x:c>
      <x:c r="AD97" s="12" t="n">
        <x:f>IF(ISNUMBER(L97),IF($I$153&gt;$H$153,(L97-$H$153)/($I$153-$H$153),"缺失"),"缺失")</x:f>
        <x:v>0.9141527916367643</x:v>
      </x:c>
      <x:c r="AE97" s="12" t="n">
        <x:f>IF(ISNUMBER(M97),IF($I$154&gt;$H$154,(M97-$H$154)/($I$154-$H$154),"缺失"),"缺失")</x:f>
        <x:v>0.913937282</x:v>
      </x:c>
      <x:c r="AF97" s="12" t="n">
        <x:f>IF(ISNUMBER(N97),IF($I$155&gt;$H$155,(N97-$H$155)/($I$155-$H$155),"缺失"),"缺失")</x:f>
        <x:v>0.03741540965176261</x:v>
      </x:c>
      <x:c r="AG97" s="12" t="n">
        <x:f>IF(ISNUMBER(O97),IF($I$156&gt;$H$156,(O97-$H$156)/($I$156-$H$156),"缺失"),"缺失")</x:f>
        <x:v>0.25545895673271335</x:v>
      </x:c>
      <x:c r="AH97" s="12" t="n">
        <x:f>IF(ISNUMBER(P97),IF($I$157&gt;$H$157,(P97-$H$157)/($I$157-$H$157),"缺失"),"缺失")</x:f>
        <x:v>0.13443697298352386</x:v>
      </x:c>
      <x:c r="AI97" s="12" t="n">
        <x:f>IF(ISNUMBER(Q97),IF($I$158&gt;$H$158,(Q97-$H$158)/($I$158-$H$158),"缺失"),"缺失")</x:f>
        <x:v>0.03717235168371591</x:v>
      </x:c>
      <x:c r="AJ97" s="12" t="n">
        <x:f>IF(ISNUMBER(R97),IF($I$159&gt;$H$159,(R97-$H$159)/($I$159-$H$159),"缺失"),"缺失")</x:f>
        <x:v>0.041162182822239594</x:v>
      </x:c>
      <x:c r="AK97" s="12" t="n">
        <x:f>IF(ISNUMBER(S97),IF($I$160&gt;$H$160,(S97-$H$160)/($I$160-$H$160),"缺失"),"缺失")</x:f>
        <x:v>0.05679067446018621</x:v>
      </x:c>
      <x:c r="AL97" s="12" t="n">
        <x:f>IF(ISNUMBER(T97),IF($I$161&gt;$H$161,(T97-$H$161)/($I$161-$H$161),"缺失"),"缺失")</x:f>
        <x:v>1</x:v>
      </x:c>
      <x:c r="AM97" s="12" t="n">
        <x:f>IF(ISNUMBER(U97),IF($I$162&gt;$H$162,(U97-$H$162)/($I$162-$H$162),"缺失"),"缺失")</x:f>
        <x:v>1</x:v>
      </x:c>
      <x:c r="AN97" s="12" t="n">
        <x:f>IF(ISNUMBER(V97),IF($I$163&gt;$H$163,(V97-$H$163)/($I$163-$H$163),"缺失"),"缺失")</x:f>
        <x:v>0</x:v>
      </x:c>
      <x:c r="AO97" s="23" t="str"/>
      <x:c r="AP97" s="23" t="str">
        <x:v>见指标口径：州级、产业、代表点代理；气候基期待核实</x:v>
      </x:c>
      <x:c r="AQ97" s="15" t="n">
        <x:v>1.0000000000000009</x:v>
      </x:c>
      <x:c r="AR97" s="15" t="n">
        <x:v>0.999999999999998</x:v>
      </x:c>
      <x:c r="AS97" s="15" t="n">
        <x:v>1</x:v>
      </x:c>
      <x:c r="AT97" s="15" t="n">
        <x:v>1</x:v>
      </x:c>
    </x:row>
    <x:row r="98" ht="24" customHeight="1">
      <x:c r="A98" s="18" t="str">
        <x:v>51193</x:v>
      </x:c>
      <x:c r="B98" s="3" t="str">
        <x:v>Westmoreland County</x:v>
      </x:c>
      <x:c r="C98" s="3" t="str">
        <x:v>VA</x:v>
      </x:c>
      <x:c r="D98" s="12" t="n">
        <x:v>593.954116</x:v>
      </x:c>
      <x:c r="E98" s="12" t="n">
        <x:v>0.272</x:v>
      </x:c>
      <x:c r="F98" s="12" t="n">
        <x:v>0.100247524752475</x:v>
      </x:c>
      <x:c r="G98" s="12" t="n">
        <x:v>3.52704940404964</x:v>
      </x:c>
      <x:c r="H98" s="12" t="n">
        <x:v>3.915208982048576</x:v>
      </x:c>
      <x:c r="I98" s="12" t="n">
        <x:v>0.9254925396738503</x:v>
      </x:c>
      <x:c r="J98" s="12" t="n">
        <x:v>0.01935223570381714</x:v>
      </x:c>
      <x:c r="K98" s="12" t="n">
        <x:v>0.14546115338527885</x:v>
      </x:c>
      <x:c r="L98" s="24" t="n">
        <x:v>0.218648019</x:v>
      </x:c>
      <x:c r="M98" s="24" t="n">
        <x:v>0.218648019</x:v>
      </x:c>
      <x:c r="N98" s="13" t="n">
        <x:v>7543</x:v>
      </x:c>
      <x:c r="O98" s="12" t="n">
        <x:v>0.8193</x:v>
      </x:c>
      <x:c r="P98" s="12" t="n">
        <x:v>1332.081681315104</x:v>
      </x:c>
      <x:c r="Q98" s="12" t="n">
        <x:v>30.141931597391764</x:v>
      </x:c>
      <x:c r="R98" s="12" t="n">
        <x:v>61.26913971740921</x:v>
      </x:c>
      <x:c r="S98" s="12" t="n">
        <x:v>31.177988678979453</x:v>
      </x:c>
      <x:c r="T98" s="12" t="n">
        <x:v>89.9</x:v>
      </x:c>
      <x:c r="U98" s="12" t="n">
        <x:v>245.07712999476223</x:v>
      </x:c>
      <x:c r="V98" s="12" t="n">
        <x:v>244.75798925963002</x:v>
      </x:c>
      <x:c r="W98" s="12" t="n">
        <x:f>IF(ISNUMBER(E98),IF($I$146&gt;$H$146,(E98-$H$146)/($I$146-$H$146),"缺失"),"缺失")</x:f>
        <x:v>0.2592592592592593</x:v>
      </x:c>
      <x:c r="X98" s="12" t="n">
        <x:f>IF(ISNUMBER(F98),IF($I$147&gt;$H$147,(F98-$H$147)/($I$147-$H$147),"缺失"),"缺失")</x:f>
        <x:v>0.09574803149606272</x:v>
      </x:c>
      <x:c r="Y98" s="12" t="n">
        <x:f>IF(ISNUMBER(G98),IF($I$148&gt;$H$148,(G98-$H$148)/($I$148-$H$148),"缺失"),"缺失")</x:f>
        <x:v>0.9274509186207852</x:v>
      </x:c>
      <x:c r="Z98" s="12" t="n">
        <x:f>IF(ISNUMBER(H98),IF($I$149&gt;$H$149,(H98-$H$149)/($I$149-$H$149),"缺失"),"缺失")</x:f>
        <x:v>0.9647810760340844</x:v>
      </x:c>
      <x:c r="AA98" s="12" t="n">
        <x:f>IF(ISNUMBER(I98),IF($I$150&gt;$H$150,(I98-$H$150)/($I$150-$H$150),"缺失"),"缺失")</x:f>
        <x:v>0.9292264511701669</x:v>
      </x:c>
      <x:c r="AB98" s="12" t="n">
        <x:f>IF(ISNUMBER(J98),IF($I$151&gt;$H$151,(J98-$H$151)/($I$151-$H$151),"缺失"),"缺失")</x:f>
        <x:v>0.047470917701794915</x:v>
      </x:c>
      <x:c r="AC98" s="12" t="n">
        <x:f>IF(ISNUMBER(K98),IF($I$152&gt;$H$152,(K98-$H$152)/($I$152-$H$152),"缺失"),"缺失")</x:f>
        <x:v>0.25007699714087334</x:v>
      </x:c>
      <x:c r="AD98" s="12" t="n">
        <x:f>IF(ISNUMBER(L98),IF($I$153&gt;$H$153,(L98-$H$153)/($I$153-$H$153),"缺失"),"缺失")</x:f>
        <x:v>0.21838950680064778</x:v>
      </x:c>
      <x:c r="AE98" s="12" t="n">
        <x:f>IF(ISNUMBER(M98),IF($I$154&gt;$H$154,(M98-$H$154)/($I$154-$H$154),"缺失"),"缺失")</x:f>
        <x:v>0.218648019</x:v>
      </x:c>
      <x:c r="AF98" s="12" t="n">
        <x:f>IF(ISNUMBER(N98),IF($I$155&gt;$H$155,(N98-$H$155)/($I$155-$H$155),"缺失"),"缺失")</x:f>
        <x:v>0.01064464134313479</x:v>
      </x:c>
      <x:c r="AG98" s="12" t="n">
        <x:f>IF(ISNUMBER(O98),IF($I$156&gt;$H$156,(O98-$H$156)/($I$156-$H$156),"缺失"),"缺失")</x:f>
        <x:v>0.8260210270926002</x:v>
      </x:c>
      <x:c r="AH98" s="12" t="n">
        <x:f>IF(ISNUMBER(P98),IF($I$157&gt;$H$157,(P98-$H$157)/($I$157-$H$157),"缺失"),"缺失")</x:f>
        <x:v>0.4751874289279963</x:v>
      </x:c>
      <x:c r="AI98" s="12" t="n">
        <x:f>IF(ISNUMBER(Q98),IF($I$158&gt;$H$158,(Q98-$H$158)/($I$158-$H$158),"缺失"),"缺失")</x:f>
        <x:v>0.3504740051006172</x:v>
      </x:c>
      <x:c r="AJ98" s="12" t="n">
        <x:f>IF(ISNUMBER(R98),IF($I$159&gt;$H$159,(R98-$H$159)/($I$159-$H$159),"缺失"),"缺失")</x:f>
        <x:v>0.6423330040663653</x:v>
      </x:c>
      <x:c r="AK98" s="12" t="n">
        <x:f>IF(ISNUMBER(S98),IF($I$160&gt;$H$160,(S98-$H$160)/($I$160-$H$160),"缺失"),"缺失")</x:f>
        <x:v>0.608486687500503</x:v>
      </x:c>
      <x:c r="AL98" s="12" t="n">
        <x:f>IF(ISNUMBER(T98),IF($I$161&gt;$H$161,(T98-$H$161)/($I$161-$H$161),"缺失"),"缺失")</x:f>
        <x:v>1</x:v>
      </x:c>
      <x:c r="AM98" s="12" t="n">
        <x:f>IF(ISNUMBER(U98),IF($I$162&gt;$H$162,(U98-$H$162)/($I$162-$H$162),"缺失"),"缺失")</x:f>
        <x:v>1</x:v>
      </x:c>
      <x:c r="AN98" s="12" t="n">
        <x:f>IF(ISNUMBER(V98),IF($I$163&gt;$H$163,(V98-$H$163)/($I$163-$H$163),"缺失"),"缺失")</x:f>
        <x:v>0</x:v>
      </x:c>
      <x:c r="AO98" s="23" t="str"/>
      <x:c r="AP98" s="23" t="str">
        <x:v>baseline_water_stress:有效县域面积覆盖&lt;99%（诊断提示，非行业阈值）；water_stress_2050_bau:有效县域面积覆盖&lt;99%（诊断提示，非行业阈值）</x:v>
      </x:c>
      <x:c r="AQ98" s="15" t="n">
        <x:v>0.9715595175030964</x:v>
      </x:c>
      <x:c r="AR98" s="15" t="n">
        <x:v>0.9693865053278172</x:v>
      </x:c>
      <x:c r="AS98" s="15" t="n">
        <x:v>1</x:v>
      </x:c>
      <x:c r="AT98" s="15" t="n">
        <x:v>1</x:v>
      </x:c>
    </x:row>
    <x:row r="99" ht="24" customHeight="1">
      <x:c r="A99" s="18" t="str">
        <x:v>51195</x:v>
      </x:c>
      <x:c r="B99" s="3" t="str">
        <x:v>Wise County</x:v>
      </x:c>
      <x:c r="C99" s="3" t="str">
        <x:v>VA</x:v>
      </x:c>
      <x:c r="D99" s="12" t="n">
        <x:v>1044.913732</x:v>
      </x:c>
      <x:c r="E99" s="12" t="n">
        <x:v>0.889</x:v>
      </x:c>
      <x:c r="F99" s="12" t="n">
        <x:v>0.8681930693069311</x:v>
      </x:c>
      <x:c r="G99" s="12" t="n">
        <x:v>2.2565989282164933</x:v>
      </x:c>
      <x:c r="H99" s="12" t="n">
        <x:v>2.4397404885662697</x:v>
      </x:c>
      <x:c r="I99" s="12" t="n">
        <x:v>0.9432334054462416</x:v>
      </x:c>
      <x:c r="J99" s="12" t="n">
        <x:v>0.0025194974299200023</x:v>
      </x:c>
      <x:c r="K99" s="12" t="n">
        <x:v>0.0009469111637649806</x:v>
      </x:c>
      <x:c r="L99" s="24" t="n">
        <x:v>0.671839671</x:v>
      </x:c>
      <x:c r="M99" s="24" t="n">
        <x:v>0.671839671</x:v>
      </x:c>
      <x:c r="N99" s="13" t="n">
        <x:v>13012</x:v>
      </x:c>
      <x:c r="O99" s="12" t="n">
        <x:v>0.8046</x:v>
      </x:c>
      <x:c r="P99" s="12" t="n">
        <x:v>527.4104838053386</x:v>
      </x:c>
      <x:c r="Q99" s="12" t="n">
        <x:v>1.1103869169950484</x:v>
      </x:c>
      <x:c r="R99" s="12" t="n">
        <x:v>42.61872921279796</x:v>
      </x:c>
      <x:c r="S99" s="12" t="n">
        <x:v>0.31037749409107274</x:v>
      </x:c>
      <x:c r="T99" s="12" t="n">
        <x:v>89.9</x:v>
      </x:c>
      <x:c r="U99" s="12" t="n">
        <x:v>245.07712999476223</x:v>
      </x:c>
      <x:c r="V99" s="12" t="n">
        <x:v>244.75798925963002</x:v>
      </x:c>
      <x:c r="W99" s="12" t="n">
        <x:f>IF(ISNUMBER(E99),IF($I$146&gt;$H$146,(E99-$H$146)/($I$146-$H$146),"缺失"),"缺失")</x:f>
        <x:v>0.9733796296296297</x:v>
      </x:c>
      <x:c r="X99" s="12" t="n">
        <x:f>IF(ISNUMBER(F99),IF($I$147&gt;$H$147,(F99-$H$147)/($I$147-$H$147),"缺失"),"缺失")</x:f>
        <x:v>0.8774803149606301</x:v>
      </x:c>
      <x:c r="Y99" s="12" t="n">
        <x:f>IF(ISNUMBER(G99),IF($I$148&gt;$H$148,(G99-$H$148)/($I$148-$H$148),"缺失"),"缺失")</x:f>
        <x:v>0.5932576849338519</x:v>
      </x:c>
      <x:c r="Z99" s="12" t="n">
        <x:f>IF(ISNUMBER(H99),IF($I$149&gt;$H$149,(H99-$H$149)/($I$149-$H$149),"缺失"),"缺失")</x:f>
        <x:v>0.6010372710185988</x:v>
      </x:c>
      <x:c r="AA99" s="12" t="n">
        <x:f>IF(ISNUMBER(I99),IF($I$150&gt;$H$150,(I99-$H$150)/($I$150-$H$150),"缺失"),"缺失")</x:f>
        <x:v>0.9482717381287554</x:v>
      </x:c>
      <x:c r="AB99" s="12" t="n">
        <x:f>IF(ISNUMBER(J99),IF($I$151&gt;$H$151,(J99-$H$151)/($I$151-$H$151),"缺失"),"缺失")</x:f>
        <x:v>0.006180312030925973</x:v>
      </x:c>
      <x:c r="AC99" s="12" t="n">
        <x:f>IF(ISNUMBER(K99),IF($I$152&gt;$H$152,(K99-$H$152)/($I$152-$H$152),"缺失"),"缺失")</x:f>
        <x:v>0.0016279308590817286</x:v>
      </x:c>
      <x:c r="AD99" s="12" t="n">
        <x:f>IF(ISNUMBER(L99),IF($I$153&gt;$H$153,(L99-$H$153)/($I$153-$H$153),"缺失"),"缺失")</x:f>
        <x:v>0.6717310983586644</x:v>
      </x:c>
      <x:c r="AE99" s="12" t="n">
        <x:f>IF(ISNUMBER(M99),IF($I$154&gt;$H$154,(M99-$H$154)/($I$154-$H$154),"缺失"),"缺失")</x:f>
        <x:v>0.671839671</x:v>
      </x:c>
      <x:c r="AF99" s="12" t="n">
        <x:f>IF(ISNUMBER(N99),IF($I$155&gt;$H$155,(N99-$H$155)/($I$155-$H$155),"缺失"),"缺失")</x:f>
        <x:v>0.01913706198581957</x:v>
      </x:c>
      <x:c r="AG99" s="12" t="n">
        <x:f>IF(ISNUMBER(O99),IF($I$156&gt;$H$156,(O99-$H$156)/($I$156-$H$156),"缺失"),"缺失")</x:f>
        <x:v>0.8111605337646584</x:v>
      </x:c>
      <x:c r="AH99" s="12" t="n">
        <x:f>IF(ISNUMBER(P99),IF($I$157&gt;$H$157,(P99-$H$157)/($I$157-$H$157),"缺失"),"缺失")</x:f>
        <x:v>0.11320122505387706</x:v>
      </x:c>
      <x:c r="AI99" s="12" t="n">
        <x:f>IF(ISNUMBER(Q99),IF($I$158&gt;$H$158,(Q99-$H$158)/($I$158-$H$158),"缺失"),"缺失")</x:f>
        <x:v>0.009307031641794656</x:v>
      </x:c>
      <x:c r="AJ99" s="12" t="n">
        <x:f>IF(ISNUMBER(R99),IF($I$159&gt;$H$159,(R99-$H$159)/($I$159-$H$159),"缺失"),"缺失")</x:f>
        <x:v>0.4463461213751999</x:v>
      </x:c>
      <x:c r="AK99" s="12" t="n">
        <x:f>IF(ISNUMBER(S99),IF($I$160&gt;$H$160,(S99-$H$160)/($I$160-$H$160),"缺失"),"缺失")</x:f>
        <x:v>0.005899680002736055</x:v>
      </x:c>
      <x:c r="AL99" s="12" t="n">
        <x:f>IF(ISNUMBER(T99),IF($I$161&gt;$H$161,(T99-$H$161)/($I$161-$H$161),"缺失"),"缺失")</x:f>
        <x:v>1</x:v>
      </x:c>
      <x:c r="AM99" s="12" t="n">
        <x:f>IF(ISNUMBER(U99),IF($I$162&gt;$H$162,(U99-$H$162)/($I$162-$H$162),"缺失"),"缺失")</x:f>
        <x:v>1</x:v>
      </x:c>
      <x:c r="AN99" s="12" t="n">
        <x:f>IF(ISNUMBER(V99),IF($I$163&gt;$H$163,(V99-$H$163)/($I$163-$H$163),"缺失"),"缺失")</x:f>
        <x:v>0</x:v>
      </x:c>
      <x:c r="AO99" s="23" t="str"/>
      <x:c r="AP99" s="23" t="str">
        <x:v>见指标口径：州级、产业、代表点代理；气候基期待核实</x:v>
      </x:c>
      <x:c r="AQ99" s="15" t="n">
        <x:v>1.0000000000000022</x:v>
      </x:c>
      <x:c r="AR99" s="15" t="n">
        <x:v>1.000000000000002</x:v>
      </x:c>
      <x:c r="AS99" s="15" t="n">
        <x:v>1</x:v>
      </x:c>
      <x:c r="AT99" s="15" t="n">
        <x:v>1</x:v>
      </x:c>
    </x:row>
    <x:row r="100" ht="24" customHeight="1">
      <x:c r="A100" s="18" t="str">
        <x:v>51197</x:v>
      </x:c>
      <x:c r="B100" s="3" t="str">
        <x:v>Wythe County</x:v>
      </x:c>
      <x:c r="C100" s="3" t="str">
        <x:v>VA</x:v>
      </x:c>
      <x:c r="D100" s="12" t="n">
        <x:v>1196.450505</x:v>
      </x:c>
      <x:c r="E100" s="12" t="n">
        <x:v>0.577</x:v>
      </x:c>
      <x:c r="F100" s="12" t="n">
        <x:v>0.281559405940594</x:v>
      </x:c>
      <x:c r="G100" s="12" t="n">
        <x:v>1.8788529795532358</x:v>
      </x:c>
      <x:c r="H100" s="12" t="n">
        <x:v>2.2743194278019483</x:v>
      </x:c>
      <x:c r="I100" s="12" t="n">
        <x:v>0.9505617472081332</x:v>
      </x:c>
      <x:c r="J100" s="12" t="n">
        <x:v>0.03531438049381104</x:v>
      </x:c>
      <x:c r="K100" s="12" t="n">
        <x:v>0.00019868269623664984</x:v>
      </x:c>
      <x:c r="L100" s="24" t="n">
        <x:v>0.666853898</x:v>
      </x:c>
      <x:c r="M100" s="24" t="n">
        <x:v>0.582225551</x:v>
      </x:c>
      <x:c r="N100" s="13" t="n">
        <x:v>14236</x:v>
      </x:c>
      <x:c r="O100" s="12" t="n">
        <x:v>0.4139</x:v>
      </x:c>
      <x:c r="P100" s="12" t="n">
        <x:v>437.1864054361979</x:v>
      </x:c>
      <x:c r="Q100" s="12" t="n">
        <x:v>1.7643111725648244</x:v>
      </x:c>
      <x:c r="R100" s="12" t="n">
        <x:v>5.963911326063426</x:v>
      </x:c>
      <x:c r="S100" s="12" t="n">
        <x:v>4.2375644321096635</x:v>
      </x:c>
      <x:c r="T100" s="12" t="n">
        <x:v>89.9</x:v>
      </x:c>
      <x:c r="U100" s="12" t="n">
        <x:v>245.07712999476223</x:v>
      </x:c>
      <x:c r="V100" s="12" t="n">
        <x:v>244.75798925963002</x:v>
      </x:c>
      <x:c r="W100" s="12" t="n">
        <x:f>IF(ISNUMBER(E100),IF($I$146&gt;$H$146,(E100-$H$146)/($I$146-$H$146),"缺失"),"缺失")</x:f>
        <x:v>0.6122685185185184</x:v>
      </x:c>
      <x:c r="X100" s="12" t="n">
        <x:f>IF(ISNUMBER(F100),IF($I$147&gt;$H$147,(F100-$H$147)/($I$147-$H$147),"缺失"),"缺失")</x:f>
        <x:v>0.2803149606299211</x:v>
      </x:c>
      <x:c r="Y100" s="12" t="n">
        <x:f>IF(ISNUMBER(G100),IF($I$148&gt;$H$148,(G100-$H$148)/($I$148-$H$148),"缺失"),"缺失")</x:f>
        <x:v>0.4938912456296157</x:v>
      </x:c>
      <x:c r="Z100" s="12" t="n">
        <x:f>IF(ISNUMBER(H100),IF($I$149&gt;$H$149,(H100-$H$149)/($I$149-$H$149),"缺失"),"缺失")</x:f>
        <x:v>0.5602564028822007</x:v>
      </x:c>
      <x:c r="AA100" s="12" t="n">
        <x:f>IF(ISNUMBER(I100),IF($I$150&gt;$H$150,(I100-$H$150)/($I$150-$H$150),"缺失"),"缺失")</x:f>
        <x:v>0.9561389061450445</x:v>
      </x:c>
      <x:c r="AB100" s="12" t="n">
        <x:f>IF(ISNUMBER(J100),IF($I$151&gt;$H$151,(J100-$H$151)/($I$151-$H$151),"缺失"),"缺失")</x:f>
        <x:v>0.0866259627966867</x:v>
      </x:c>
      <x:c r="AC100" s="12" t="n">
        <x:f>IF(ISNUMBER(K100),IF($I$152&gt;$H$152,(K100-$H$152)/($I$152-$H$152),"缺失"),"缺失")</x:f>
        <x:v>0.00034157554028952226</x:v>
      </x:c>
      <x:c r="AD100" s="12" t="n">
        <x:f>IF(ISNUMBER(L100),IF($I$153&gt;$H$153,(L100-$H$153)/($I$153-$H$153),"缺失"),"缺失")</x:f>
        <x:v>0.6667436758035662</x:v>
      </x:c>
      <x:c r="AE100" s="12" t="n">
        <x:f>IF(ISNUMBER(M100),IF($I$154&gt;$H$154,(M100-$H$154)/($I$154-$H$154),"缺失"),"缺失")</x:f>
        <x:v>0.582225551</x:v>
      </x:c>
      <x:c r="AF100" s="12" t="n">
        <x:f>IF(ISNUMBER(N100),IF($I$155&gt;$H$155,(N100-$H$155)/($I$155-$H$155),"缺失"),"缺失")</x:f>
        <x:v>0.021037724422580614</x:v>
      </x:c>
      <x:c r="AG100" s="12" t="n">
        <x:f>IF(ISNUMBER(O100),IF($I$156&gt;$H$156,(O100-$H$156)/($I$156-$H$156),"缺失"),"缺失")</x:f>
        <x:v>0.41619490497371614</x:v>
      </x:c>
      <x:c r="AH100" s="12" t="n">
        <x:f>IF(ISNUMBER(P100),IF($I$157&gt;$H$157,(P100-$H$157)/($I$157-$H$157),"缺失"),"缺失")</x:f>
        <x:v>0.07261337783384543</x:v>
      </x:c>
      <x:c r="AI100" s="12" t="n">
        <x:f>IF(ISNUMBER(Q100),IF($I$158&gt;$H$158,(Q100-$H$158)/($I$158-$H$158),"缺失"),"缺失")</x:f>
        <x:v>0.016991685062757767</x:v>
      </x:c>
      <x:c r="AJ100" s="12" t="n">
        <x:f>IF(ISNUMBER(R100),IF($I$159&gt;$H$159,(R100-$H$159)/($I$159-$H$159),"缺失"),"缺失")</x:f>
        <x:v>0.06116084668876411</x:v>
      </x:c>
      <x:c r="AK100" s="12" t="n">
        <x:f>IF(ISNUMBER(S100),IF($I$160&gt;$H$160,(S100-$H$160)/($I$160-$H$160),"缺失"),"缺失")</x:f>
        <x:v>0.08256488777312147</x:v>
      </x:c>
      <x:c r="AL100" s="12" t="n">
        <x:f>IF(ISNUMBER(T100),IF($I$161&gt;$H$161,(T100-$H$161)/($I$161-$H$161),"缺失"),"缺失")</x:f>
        <x:v>1</x:v>
      </x:c>
      <x:c r="AM100" s="12" t="n">
        <x:f>IF(ISNUMBER(U100),IF($I$162&gt;$H$162,(U100-$H$162)/($I$162-$H$162),"缺失"),"缺失")</x:f>
        <x:v>1</x:v>
      </x:c>
      <x:c r="AN100" s="12" t="n">
        <x:f>IF(ISNUMBER(V100),IF($I$163&gt;$H$163,(V100-$H$163)/($I$163-$H$163),"缺失"),"缺失")</x:f>
        <x:v>0</x:v>
      </x:c>
      <x:c r="AO100" s="23" t="str"/>
      <x:c r="AP100" s="23" t="str">
        <x:v>见指标口径：州级、产业、代表点代理；气候基期待核实</x:v>
      </x:c>
      <x:c r="AQ100" s="15" t="n">
        <x:v>0.9999999999999984</x:v>
      </x:c>
      <x:c r="AR100" s="15" t="n">
        <x:v>0.9999999999999984</x:v>
      </x:c>
      <x:c r="AS100" s="15" t="n">
        <x:v>1</x:v>
      </x:c>
      <x:c r="AT100" s="15" t="n">
        <x:v>1</x:v>
      </x:c>
    </x:row>
    <x:row r="101" ht="24" customHeight="1">
      <x:c r="A101" s="18" t="str">
        <x:v>51199</x:v>
      </x:c>
      <x:c r="B101" s="3" t="str">
        <x:v>York County</x:v>
      </x:c>
      <x:c r="C101" s="3" t="str">
        <x:v>VA</x:v>
      </x:c>
      <x:c r="D101" s="12" t="n">
        <x:v>271.175182</x:v>
      </x:c>
      <x:c r="E101" s="12" t="n">
        <x:v>0.352</x:v>
      </x:c>
      <x:c r="F101" s="12" t="n">
        <x:v>0.26423267326732697</x:v>
      </x:c>
      <x:c r="G101" s="12" t="n">
        <x:v>3.8028479710721674</x:v>
      </x:c>
      <x:c r="H101" s="12" t="n">
        <x:v>4.054554194</x:v>
      </x:c>
      <x:c r="I101" s="12" t="n">
        <x:v>0.7009940542549238</x:v>
      </x:c>
      <x:c r="J101" s="12" t="n">
        <x:v>0.05955935529653725</x:v>
      </x:c>
      <x:c r="K101" s="12" t="n">
        <x:v>0.1668458353240962</x:v>
      </x:c>
      <x:c r="L101" s="24" t="n">
        <x:v>0.691769572</x:v>
      </x:c>
      <x:c r="M101" s="24" t="n">
        <x:v>0.084250867</x:v>
      </x:c>
      <x:c r="N101" s="13" t="n">
        <x:v>33724</x:v>
      </x:c>
      <x:c r="O101" s="12" t="n">
        <x:v>0.1543</x:v>
      </x:c>
      <x:c r="P101" s="12" t="n">
        <x:v>1417.782763671875</x:v>
      </x:c>
      <x:c r="Q101" s="12" t="n">
        <x:v>25.06913369496663</x:v>
      </x:c>
      <x:c r="R101" s="12" t="n">
        <x:v>14.3115584213981</x:v>
      </x:c>
      <x:c r="S101" s="12" t="n">
        <x:v>4.058816745943998</x:v>
      </x:c>
      <x:c r="T101" s="12" t="n">
        <x:v>89.9</x:v>
      </x:c>
      <x:c r="U101" s="12" t="n">
        <x:v>245.07712999476223</x:v>
      </x:c>
      <x:c r="V101" s="12" t="n">
        <x:v>244.75798925963002</x:v>
      </x:c>
      <x:c r="W101" s="12" t="n">
        <x:f>IF(ISNUMBER(E101),IF($I$146&gt;$H$146,(E101-$H$146)/($I$146-$H$146),"缺失"),"缺失")</x:f>
        <x:v>0.35185185185185186</x:v>
      </x:c>
      <x:c r="X101" s="12" t="n">
        <x:f>IF(ISNUMBER(F101),IF($I$147&gt;$H$147,(F101-$H$147)/($I$147-$H$147),"缺失"),"缺失")</x:f>
        <x:v>0.2626771653543309</x:v>
      </x:c>
      <x:c r="Y101" s="12" t="n">
        <x:f>IF(ISNUMBER(G101),IF($I$148&gt;$H$148,(G101-$H$148)/($I$148-$H$148),"缺失"),"缺失")</x:f>
        <x:v>0.9999999999999999</x:v>
      </x:c>
      <x:c r="Z101" s="12" t="n">
        <x:f>IF(ISNUMBER(H101),IF($I$149&gt;$H$149,(H101-$H$149)/($I$149-$H$149),"缺失"),"缺失")</x:f>
        <x:v>0.9991335260049232</x:v>
      </x:c>
      <x:c r="AA101" s="12" t="n">
        <x:f>IF(ISNUMBER(I101),IF($I$150&gt;$H$150,(I101-$H$150)/($I$150-$H$150),"缺失"),"缺失")</x:f>
        <x:v>0.6882214105240788</x:v>
      </x:c>
      <x:c r="AB101" s="12" t="n">
        <x:f>IF(ISNUMBER(J101),IF($I$151&gt;$H$151,(J101-$H$151)/($I$151-$H$151),"缺失"),"缺失")</x:f>
        <x:v>0.14609874005907253</x:v>
      </x:c>
      <x:c r="AC101" s="12" t="n">
        <x:f>IF(ISNUMBER(K101),IF($I$152&gt;$H$152,(K101-$H$152)/($I$152-$H$152),"缺失"),"缺失")</x:f>
        <x:v>0.2868415691218716</x:v>
      </x:c>
      <x:c r="AD101" s="12" t="n">
        <x:f>IF(ISNUMBER(L101),IF($I$153&gt;$H$153,(L101-$H$153)/($I$153-$H$153),"缺失"),"缺失")</x:f>
        <x:v>0.6916675932147827</x:v>
      </x:c>
      <x:c r="AE101" s="12" t="n">
        <x:f>IF(ISNUMBER(M101),IF($I$154&gt;$H$154,(M101-$H$154)/($I$154-$H$154),"缺失"),"缺失")</x:f>
        <x:v>0.084250867</x:v>
      </x:c>
      <x:c r="AF101" s="12" t="n">
        <x:f>IF(ISNUMBER(N101),IF($I$155&gt;$H$155,(N101-$H$155)/($I$155-$H$155),"缺失"),"缺失")</x:f>
        <x:v>0.05129925184708985</x:v>
      </x:c>
      <x:c r="AG101" s="12" t="n">
        <x:f>IF(ISNUMBER(O101),IF($I$156&gt;$H$156,(O101-$H$156)/($I$156-$H$156),"缺失"),"缺失")</x:f>
        <x:v>0.15376061463809138</x:v>
      </x:c>
      <x:c r="AH101" s="12" t="n">
        <x:f>IF(ISNUMBER(P101),IF($I$157&gt;$H$157,(P101-$H$157)/($I$157-$H$157),"缺失"),"缺失")</x:f>
        <x:v>0.5137405790422753</x:v>
      </x:c>
      <x:c r="AI101" s="12" t="n">
        <x:f>IF(ISNUMBER(Q101),IF($I$158&gt;$H$158,(Q101-$H$158)/($I$158-$H$158),"缺失"),"缺失")</x:f>
        <x:v>0.2908605354629763</x:v>
      </x:c>
      <x:c r="AJ101" s="12" t="n">
        <x:f>IF(ISNUMBER(R101),IF($I$159&gt;$H$159,(R101-$H$159)/($I$159-$H$159),"缺失"),"缺失")</x:f>
        <x:v>0.1488816682554584</x:v>
      </x:c>
      <x:c r="AK101" s="12" t="n">
        <x:f>IF(ISNUMBER(S101),IF($I$160&gt;$H$160,(S101-$H$160)/($I$160-$H$160),"缺失"),"缺失")</x:f>
        <x:v>0.07907543623576217</x:v>
      </x:c>
      <x:c r="AL101" s="12" t="n">
        <x:f>IF(ISNUMBER(T101),IF($I$161&gt;$H$161,(T101-$H$161)/($I$161-$H$161),"缺失"),"缺失")</x:f>
        <x:v>1</x:v>
      </x:c>
      <x:c r="AM101" s="12" t="n">
        <x:f>IF(ISNUMBER(U101),IF($I$162&gt;$H$162,(U101-$H$162)/($I$162-$H$162),"缺失"),"缺失")</x:f>
        <x:v>1</x:v>
      </x:c>
      <x:c r="AN101" s="12" t="n">
        <x:f>IF(ISNUMBER(V101),IF($I$163&gt;$H$163,(V101-$H$163)/($I$163-$H$163),"缺失"),"缺失")</x:f>
        <x:v>0</x:v>
      </x:c>
      <x:c r="AO101" s="23" t="str"/>
      <x:c r="AP101" s="23" t="str">
        <x:v>baseline_water_stress:有效县域面积覆盖&lt;99%（诊断提示，非行业阈值）；water_stress_2050_bau:有效县域面积覆盖&lt;99%（诊断提示，非行业阈值）</x:v>
      </x:c>
      <x:c r="AQ101" s="15" t="n">
        <x:v>0.5441254104287927</x:v>
      </x:c>
      <x:c r="AR101" s="15" t="n">
        <x:v>0.543876005008525</x:v>
      </x:c>
      <x:c r="AS101" s="15" t="n">
        <x:v>1</x:v>
      </x:c>
      <x:c r="AT101" s="15" t="n">
        <x:v>1</x:v>
      </x:c>
    </x:row>
    <x:row r="102" ht="24" customHeight="1">
      <x:c r="A102" s="18" t="str">
        <x:v>51510</x:v>
      </x:c>
      <x:c r="B102" s="3" t="str">
        <x:v>Alexandria city</x:v>
      </x:c>
      <x:c r="C102" s="3" t="str">
        <x:v>VA</x:v>
      </x:c>
      <x:c r="D102" s="12" t="n">
        <x:v>38.682331</x:v>
      </x:c>
      <x:c r="E102" s="12" t="n">
        <x:v>0.13</x:v>
      </x:c>
      <x:c r="F102" s="12" t="n">
        <x:v>0.601175742574257</x:v>
      </x:c>
      <x:c r="G102" s="12" t="n">
        <x:v>3.5886680608434567</x:v>
      </x:c>
      <x:c r="H102" s="12" t="n">
        <x:v>3.980139822</x:v>
      </x:c>
      <x:c r="I102" s="12" t="n">
        <x:v>0.08812110909466817</x:v>
      </x:c>
      <x:c r="J102" s="12" t="n">
        <x:v>0.0005303380594322433</x:v>
      </x:c>
      <x:c r="K102" s="12" t="n">
        <x:v>0.00891318830258896</x:v>
      </x:c>
      <x:c r="L102" s="24" t="n">
        <x:v>0.443478953</x:v>
      </x:c>
      <x:c r="M102" s="24" t="n">
        <x:v>0.240187437</x:v>
      </x:c>
      <x:c r="N102" s="13" t="n">
        <x:v>101035</x:v>
      </x:c>
      <x:c r="O102" s="12" t="n">
        <x:v>0.3178</x:v>
      </x:c>
      <x:c r="P102" s="12" t="n">
        <x:v>1289.9500447591147</x:v>
      </x:c>
      <x:c r="Q102" s="12" t="n">
        <x:v>23.291953341166177</x:v>
      </x:c>
      <x:c r="R102" s="12" t="n">
        <x:v>1.9627408278880174</x:v>
      </x:c>
      <x:c r="S102" s="12" t="n">
        <x:v>1.5184158620791457</x:v>
      </x:c>
      <x:c r="T102" s="12" t="n">
        <x:v>89.9</x:v>
      </x:c>
      <x:c r="U102" s="12" t="n">
        <x:v>245.07712999476223</x:v>
      </x:c>
      <x:c r="V102" s="12" t="n">
        <x:v>244.75798925963002</x:v>
      </x:c>
      <x:c r="W102" s="12" t="n">
        <x:f>IF(ISNUMBER(E102),IF($I$146&gt;$H$146,(E102-$H$146)/($I$146-$H$146),"缺失"),"缺失")</x:f>
        <x:v>0.09490740740740741</x:v>
      </x:c>
      <x:c r="X102" s="12" t="n">
        <x:f>IF(ISNUMBER(F102),IF($I$147&gt;$H$147,(F102-$H$147)/($I$147-$H$147),"缺失"),"缺失")</x:f>
        <x:v>0.605669291338582</x:v>
      </x:c>
      <x:c r="Y102" s="12" t="n">
        <x:f>IF(ISNUMBER(G102),IF($I$148&gt;$H$148,(G102-$H$148)/($I$148-$H$148),"缺失"),"缺失")</x:f>
        <x:v>0.9436597662390811</x:v>
      </x:c>
      <x:c r="Z102" s="12" t="n">
        <x:f>IF(ISNUMBER(H102),IF($I$149&gt;$H$149,(H102-$H$149)/($I$149-$H$149),"缺失"),"缺失")</x:f>
        <x:v>0.9807883245054091</x:v>
      </x:c>
      <x:c r="AA102" s="12" t="n">
        <x:f>IF(ISNUMBER(I102),IF($I$150&gt;$H$150,(I102-$H$150)/($I$150-$H$150),"缺失"),"缺失")</x:f>
        <x:v>0.03028615192485675</x:v>
      </x:c>
      <x:c r="AB102" s="12" t="n">
        <x:f>IF(ISNUMBER(J102),IF($I$151&gt;$H$151,(J102-$H$151)/($I$151-$H$151),"缺失"),"缺失")</x:f>
        <x:v>0.0013009160677219256</x:v>
      </x:c>
      <x:c r="AC102" s="12" t="n">
        <x:f>IF(ISNUMBER(K102),IF($I$152&gt;$H$152,(K102-$H$152)/($I$152-$H$152),"缺失"),"缺失")</x:f>
        <x:v>0.015323564496692529</x:v>
      </x:c>
      <x:c r="AD102" s="12" t="n">
        <x:f>IF(ISNUMBER(L102),IF($I$153&gt;$H$153,(L102-$H$153)/($I$153-$H$153),"缺失"),"缺失")</x:f>
        <x:v>0.4432948266608543</x:v>
      </x:c>
      <x:c r="AE102" s="12" t="n">
        <x:f>IF(ISNUMBER(M102),IF($I$154&gt;$H$154,(M102-$H$154)/($I$154-$H$154),"缺失"),"缺失")</x:f>
        <x:v>0.240187437</x:v>
      </x:c>
      <x:c r="AF102" s="12" t="n">
        <x:f>IF(ISNUMBER(N102),IF($I$155&gt;$H$155,(N102-$H$155)/($I$155-$H$155),"缺失"),"缺失")</x:f>
        <x:v>0.15582171040985363</x:v>
      </x:c>
      <x:c r="AG102" s="12" t="n">
        <x:f>IF(ISNUMBER(O102),IF($I$156&gt;$H$156,(O102-$H$156)/($I$156-$H$156),"缺失"),"缺失")</x:f>
        <x:v>0.3190456934896887</x:v>
      </x:c>
      <x:c r="AH102" s="12" t="n">
        <x:f>IF(ISNUMBER(P102),IF($I$157&gt;$H$157,(P102-$H$157)/($I$157-$H$157),"缺失"),"缺失")</x:f>
        <x:v>0.4562342574623038</x:v>
      </x:c>
      <x:c r="AI102" s="12" t="n">
        <x:f>IF(ISNUMBER(Q102),IF($I$158&gt;$H$158,(Q102-$H$158)/($I$158-$H$158),"缺失"),"缺失")</x:f>
        <x:v>0.2699758305920712</x:v>
      </x:c>
      <x:c r="AJ102" s="12" t="n">
        <x:f>IF(ISNUMBER(R102),IF($I$159&gt;$H$159,(R102-$H$159)/($I$159-$H$159),"缺失"),"缺失")</x:f>
        <x:v>0.01911475162509939</x:v>
      </x:c>
      <x:c r="AK102" s="12" t="n">
        <x:f>IF(ISNUMBER(S102),IF($I$160&gt;$H$160,(S102-$H$160)/($I$160-$H$160),"缺失"),"缺失")</x:f>
        <x:v>0.029482594169569772</x:v>
      </x:c>
      <x:c r="AL102" s="12" t="n">
        <x:f>IF(ISNUMBER(T102),IF($I$161&gt;$H$161,(T102-$H$161)/($I$161-$H$161),"缺失"),"缺失")</x:f>
        <x:v>1</x:v>
      </x:c>
      <x:c r="AM102" s="12" t="n">
        <x:f>IF(ISNUMBER(U102),IF($I$162&gt;$H$162,(U102-$H$162)/($I$162-$H$162),"缺失"),"缺失")</x:f>
        <x:v>1</x:v>
      </x:c>
      <x:c r="AN102" s="12" t="n">
        <x:f>IF(ISNUMBER(V102),IF($I$163&gt;$H$163,(V102-$H$163)/($I$163-$H$163),"缺失"),"缺失")</x:f>
        <x:v>0</x:v>
      </x:c>
      <x:c r="AO102" s="23" t="str"/>
      <x:c r="AP102" s="23" t="str">
        <x:v>见指标口径：州级、产业、代表点代理；气候基期待核实</x:v>
      </x:c>
      <x:c r="AQ102" s="15" t="n">
        <x:v>0.9969368513352891</x:v>
      </x:c>
      <x:c r="AR102" s="15" t="n">
        <x:v>0.9973538530641605</x:v>
      </x:c>
      <x:c r="AS102" s="15" t="n">
        <x:v>1</x:v>
      </x:c>
      <x:c r="AT102" s="15" t="n">
        <x:v>1</x:v>
      </x:c>
    </x:row>
    <x:row r="103" ht="24" customHeight="1">
      <x:c r="A103" s="18" t="str">
        <x:v>51520</x:v>
      </x:c>
      <x:c r="B103" s="3" t="str">
        <x:v>Bristol city</x:v>
      </x:c>
      <x:c r="C103" s="3" t="str">
        <x:v>VA</x:v>
      </x:c>
      <x:c r="D103" s="12" t="n">
        <x:v>33.336228</x:v>
      </x:c>
      <x:c r="E103" s="12" t="n">
        <x:v>0.534</x:v>
      </x:c>
      <x:c r="F103" s="12" t="n">
        <x:v>0.165532178217822</x:v>
      </x:c>
      <x:c r="G103" s="12" t="n">
        <x:v>1.267946005310194</x:v>
      </x:c>
      <x:c r="H103" s="12" t="n">
        <x:v>1.521024453</x:v>
      </x:c>
      <x:c r="I103" s="12" t="n">
        <x:v>0.33634360049454387</x:v>
      </x:c>
      <x:c r="J103" s="12" t="n">
        <x:v>0</x:v>
      </x:c>
      <x:c r="K103" s="12" t="n">
        <x:v>0.0020426812879643067</x:v>
      </x:c>
      <x:c r="L103" s="24" t="n">
        <x:v>0.994153846</x:v>
      </x:c>
      <x:c r="M103" s="24" t="n">
        <x:v>0.994153846</x:v>
      </x:c>
      <x:c r="N103" s="13" t="n">
        <x:v>7383</x:v>
      </x:c>
      <x:c r="O103" s="12" t="n">
        <x:v>0.7696</x:v>
      </x:c>
      <x:c r="P103" s="12" t="n">
        <x:v>744.0539876302083</x:v>
      </x:c>
      <x:c r="Q103" s="12" t="n">
        <x:v>4.746685004234314</x:v>
      </x:c>
      <x:c r="R103" s="12" t="n">
        <x:v>1.0368021838334667</x:v>
      </x:c>
      <x:c r="S103" s="12" t="n">
        <x:v>0.4668815490406068</x:v>
      </x:c>
      <x:c r="T103" s="12" t="n">
        <x:v>89.9</x:v>
      </x:c>
      <x:c r="U103" s="12" t="n">
        <x:v>245.07712999476223</x:v>
      </x:c>
      <x:c r="V103" s="12" t="n">
        <x:v>244.75798925963002</x:v>
      </x:c>
      <x:c r="W103" s="12" t="n">
        <x:f>IF(ISNUMBER(E103),IF($I$146&gt;$H$146,(E103-$H$146)/($I$146-$H$146),"缺失"),"缺失")</x:f>
        <x:v>0.5625000000000001</x:v>
      </x:c>
      <x:c r="X103" s="12" t="n">
        <x:f>IF(ISNUMBER(F103),IF($I$147&gt;$H$147,(F103-$H$147)/($I$147-$H$147),"缺失"),"缺失")</x:f>
        <x:v>0.162204724409449</x:v>
      </x:c>
      <x:c r="Y103" s="12" t="n">
        <x:f>IF(ISNUMBER(G103),IF($I$148&gt;$H$148,(G103-$H$148)/($I$148-$H$148),"缺失"),"缺失")</x:f>
        <x:v>0.3331915717046673</x:v>
      </x:c>
      <x:c r="Z103" s="12" t="n">
        <x:f>IF(ISNUMBER(H103),IF($I$149&gt;$H$149,(H103-$H$149)/($I$149-$H$149),"缺失"),"缺失")</x:f>
        <x:v>0.37454835039318235</x:v>
      </x:c>
      <x:c r="AA103" s="12" t="n">
        <x:f>IF(ISNUMBER(I103),IF($I$150&gt;$H$150,(I103-$H$150)/($I$150-$H$150),"缺失"),"缺失")</x:f>
        <x:v>0.2967595382261831</x:v>
      </x:c>
      <x:c r="AB103" s="12" t="n">
        <x:f>IF(ISNUMBER(J103),IF($I$151&gt;$H$151,(J103-$H$151)/($I$151-$H$151),"缺失"),"缺失")</x:f>
        <x:v>0</x:v>
      </x:c>
      <x:c r="AC103" s="12" t="n">
        <x:f>IF(ISNUMBER(K103),IF($I$152&gt;$H$152,(K103-$H$152)/($I$152-$H$152),"缺失"),"缺失")</x:f>
        <x:v>0.0035117802294400264</x:v>
      </x:c>
      <x:c r="AD103" s="12" t="n">
        <x:f>IF(ISNUMBER(L103),IF($I$153&gt;$H$153,(L103-$H$153)/($I$153-$H$153),"缺失"),"缺失")</x:f>
        <x:v>0.9941519117857598</x:v>
      </x:c>
      <x:c r="AE103" s="12" t="n">
        <x:f>IF(ISNUMBER(M103),IF($I$154&gt;$H$154,(M103-$H$154)/($I$154-$H$154),"缺失"),"缺失")</x:f>
        <x:v>0.994153846</x:v>
      </x:c>
      <x:c r="AF103" s="12" t="n">
        <x:f>IF(ISNUMBER(N103),IF($I$155&gt;$H$155,(N103-$H$155)/($I$155-$H$155),"缺失"),"缺失")</x:f>
        <x:v>0.010396188737022234</x:v>
      </x:c>
      <x:c r="AG103" s="12" t="n">
        <x:f>IF(ISNUMBER(O103),IF($I$156&gt;$H$156,(O103-$H$156)/($I$156-$H$156),"缺失"),"缺失")</x:f>
        <x:v>0.7757784067933684</x:v>
      </x:c>
      <x:c r="AH103" s="12" t="n">
        <x:f>IF(ISNUMBER(P103),IF($I$157&gt;$H$157,(P103-$H$157)/($I$157-$H$157),"缺失"),"缺失")</x:f>
        <x:v>0.21065961524635204</x:v>
      </x:c>
      <x:c r="AI103" s="12" t="n">
        <x:f>IF(ISNUMBER(Q103),IF($I$158&gt;$H$158,(Q103-$H$158)/($I$158-$H$158),"缺失"),"缺失")</x:f>
        <x:v>0.05203933633570298</x:v>
      </x:c>
      <x:c r="AJ103" s="12" t="n">
        <x:f>IF(ISNUMBER(R103),IF($I$159&gt;$H$159,(R103-$H$159)/($I$159-$H$159),"缺失"),"缺失")</x:f>
        <x:v>0.009384572851465017</x:v>
      </x:c>
      <x:c r="AK103" s="12" t="n">
        <x:f>IF(ISNUMBER(S103),IF($I$160&gt;$H$160,(S103-$H$160)/($I$160-$H$160),"缺失"),"缺失")</x:f>
        <x:v>0.00895489893653794</x:v>
      </x:c>
      <x:c r="AL103" s="12" t="n">
        <x:f>IF(ISNUMBER(T103),IF($I$161&gt;$H$161,(T103-$H$161)/($I$161-$H$161),"缺失"),"缺失")</x:f>
        <x:v>1</x:v>
      </x:c>
      <x:c r="AM103" s="12" t="n">
        <x:f>IF(ISNUMBER(U103),IF($I$162&gt;$H$162,(U103-$H$162)/($I$162-$H$162),"缺失"),"缺失")</x:f>
        <x:v>1</x:v>
      </x:c>
      <x:c r="AN103" s="12" t="n">
        <x:f>IF(ISNUMBER(V103),IF($I$163&gt;$H$163,(V103-$H$163)/($I$163-$H$163),"缺失"),"缺失")</x:f>
        <x:v>0</x:v>
      </x:c>
      <x:c r="AO103" s="23" t="str"/>
      <x:c r="AP103" s="23" t="str">
        <x:v>见指标口径：州级、产业、代表点代理；气候基期待核实</x:v>
      </x:c>
      <x:c r="AQ103" s="15" t="n">
        <x:v>0.999999999999998</x:v>
      </x:c>
      <x:c r="AR103" s="15" t="n">
        <x:v>0.9999999999999982</x:v>
      </x:c>
      <x:c r="AS103" s="15" t="n">
        <x:v>1</x:v>
      </x:c>
      <x:c r="AT103" s="15" t="n">
        <x:v>1</x:v>
      </x:c>
    </x:row>
    <x:row r="104" ht="24" customHeight="1">
      <x:c r="A104" s="18" t="str">
        <x:v>51530</x:v>
      </x:c>
      <x:c r="B104" s="3" t="str">
        <x:v>Buena Vista city</x:v>
      </x:c>
      <x:c r="C104" s="3" t="str">
        <x:v>VA</x:v>
      </x:c>
      <x:c r="D104" s="12" t="n">
        <x:v>16.674753</x:v>
      </x:c>
      <x:c r="E104" s="12" t="n">
        <x:v>0.658</x:v>
      </x:c>
      <x:c r="F104" s="12" t="n">
        <x:v>0.9600866336633661</x:v>
      </x:c>
      <x:c r="G104" s="12" t="n">
        <x:v>2.347786261981338</x:v>
      </x:c>
      <x:c r="H104" s="12" t="n">
        <x:v>2.645844728</x:v>
      </x:c>
      <x:c r="I104" s="12" t="n">
        <x:v>0.565081923180231</x:v>
      </x:c>
      <x:c r="J104" s="12" t="n">
        <x:v>0</x:v>
      </x:c>
      <x:c r="K104" s="12" t="n">
        <x:v>0.00005372011818426001</x:v>
      </x:c>
      <x:c r="L104" s="24" t="n">
        <x:v>0.86969112</x:v>
      </x:c>
      <x:c r="M104" s="24" t="n">
        <x:v>0.865830116</x:v>
      </x:c>
      <x:c r="N104" s="13" t="n">
        <x:v>3006</x:v>
      </x:c>
      <x:c r="O104" s="12" t="n">
        <x:v>0.4983</x:v>
      </x:c>
      <x:c r="P104" s="12" t="n">
        <x:v>756.1387369791667</x:v>
      </x:c>
      <x:c r="Q104" s="12" t="n">
        <x:v>11.392056719462078</x:v>
      </x:c>
      <x:c r="R104" s="12" t="n">
        <x:v>5.443738046333541</x:v>
      </x:c>
      <x:c r="S104" s="12" t="n">
        <x:v>0.038950087631070524</x:v>
      </x:c>
      <x:c r="T104" s="12" t="n">
        <x:v>89.9</x:v>
      </x:c>
      <x:c r="U104" s="12" t="n">
        <x:v>245.07712999476223</x:v>
      </x:c>
      <x:c r="V104" s="12" t="n">
        <x:v>244.75798925963002</x:v>
      </x:c>
      <x:c r="W104" s="12" t="n">
        <x:f>IF(ISNUMBER(E104),IF($I$146&gt;$H$146,(E104-$H$146)/($I$146-$H$146),"缺失"),"缺失")</x:f>
        <x:v>0.7060185185185185</x:v>
      </x:c>
      <x:c r="X104" s="12" t="n">
        <x:f>IF(ISNUMBER(F104),IF($I$147&gt;$H$147,(F104-$H$147)/($I$147-$H$147),"缺失"),"缺失")</x:f>
        <x:v>0.9710236220472436</x:v>
      </x:c>
      <x:c r="Y104" s="12" t="n">
        <x:f>IF(ISNUMBER(G104),IF($I$148&gt;$H$148,(G104-$H$148)/($I$148-$H$148),"缺失"),"缺失")</x:f>
        <x:v>0.6172446017966903</x:v>
      </x:c>
      <x:c r="Z104" s="12" t="n">
        <x:f>IF(ISNUMBER(H104),IF($I$149&gt;$H$149,(H104-$H$149)/($I$149-$H$149),"缺失"),"缺失")</x:f>
        <x:v>0.6518476682670759</x:v>
      </x:c>
      <x:c r="AA104" s="12" t="n">
        <x:f>IF(ISNUMBER(I104),IF($I$150&gt;$H$150,(I104-$H$150)/($I$150-$H$150),"缺失"),"缺失")</x:f>
        <x:v>0.5423161559169968</x:v>
      </x:c>
      <x:c r="AB104" s="12" t="n">
        <x:f>IF(ISNUMBER(J104),IF($I$151&gt;$H$151,(J104-$H$151)/($I$151-$H$151),"缺失"),"缺失")</x:f>
        <x:v>0</x:v>
      </x:c>
      <x:c r="AC104" s="12" t="n">
        <x:f>IF(ISNUMBER(K104),IF($I$152&gt;$H$152,(K104-$H$152)/($I$152-$H$152),"缺失"),"缺失")</x:f>
        <x:v>0.00009235569448559144</x:v>
      </x:c>
      <x:c r="AD104" s="12" t="n">
        <x:f>IF(ISNUMBER(L104),IF($I$153&gt;$H$153,(L104-$H$153)/($I$153-$H$153),"缺失"),"缺失")</x:f>
        <x:v>0.8696480069907762</x:v>
      </x:c>
      <x:c r="AE104" s="12" t="n">
        <x:f>IF(ISNUMBER(M104),IF($I$154&gt;$H$154,(M104-$H$154)/($I$154-$H$154),"缺失"),"缺失")</x:f>
        <x:v>0.865830116</x:v>
      </x:c>
      <x:c r="AF104" s="12" t="n">
        <x:f>IF(ISNUMBER(N104),IF($I$155&gt;$H$155,(N104-$H$155)/($I$155-$H$155),"缺失"),"缺失")</x:f>
        <x:v>0.003599457131055644</x:v>
      </x:c>
      <x:c r="AG104" s="12" t="n">
        <x:f>IF(ISNUMBER(O104),IF($I$156&gt;$H$156,(O104-$H$156)/($I$156-$H$156),"缺失"),"缺失")</x:f>
        <x:v>0.5015163768701982</x:v>
      </x:c>
      <x:c r="AH104" s="12" t="n">
        <x:f>IF(ISNUMBER(P104),IF($I$157&gt;$H$157,(P104-$H$157)/($I$157-$H$157),"缺失"),"缺失")</x:f>
        <x:v>0.2160960128148714</x:v>
      </x:c>
      <x:c r="AI104" s="12" t="n">
        <x:f>IF(ISNUMBER(Q104),IF($I$158&gt;$H$158,(Q104-$H$158)/($I$158-$H$158),"缺失"),"缺失")</x:f>
        <x:v>0.13013305751217258</x:v>
      </x:c>
      <x:c r="AJ104" s="12" t="n">
        <x:f>IF(ISNUMBER(R104),IF($I$159&gt;$H$159,(R104-$H$159)/($I$159-$H$159),"缺失"),"缺失")</x:f>
        <x:v>0.05569463244493856</x:v>
      </x:c>
      <x:c r="AK104" s="12" t="n">
        <x:f>IF(ISNUMBER(S104),IF($I$160&gt;$H$160,(S104-$H$160)/($I$160-$H$160),"缺失"),"缺失")</x:f>
        <x:v>0.0006009664861006985</x:v>
      </x:c>
      <x:c r="AL104" s="12" t="n">
        <x:f>IF(ISNUMBER(T104),IF($I$161&gt;$H$161,(T104-$H$161)/($I$161-$H$161),"缺失"),"缺失")</x:f>
        <x:v>1</x:v>
      </x:c>
      <x:c r="AM104" s="12" t="n">
        <x:f>IF(ISNUMBER(U104),IF($I$162&gt;$H$162,(U104-$H$162)/($I$162-$H$162),"缺失"),"缺失")</x:f>
        <x:v>1</x:v>
      </x:c>
      <x:c r="AN104" s="12" t="n">
        <x:f>IF(ISNUMBER(V104),IF($I$163&gt;$H$163,(V104-$H$163)/($I$163-$H$163),"缺失"),"缺失")</x:f>
        <x:v>0</x:v>
      </x:c>
      <x:c r="AO104" s="23" t="str"/>
      <x:c r="AP104" s="23" t="str">
        <x:v>见指标口径：州级、产业、代表点代理；气候基期待核实</x:v>
      </x:c>
      <x:c r="AQ104" s="15" t="n">
        <x:v>1.0000000000000016</x:v>
      </x:c>
      <x:c r="AR104" s="15" t="n">
        <x:v>1.0000000000000016</x:v>
      </x:c>
      <x:c r="AS104" s="15" t="n">
        <x:v>1</x:v>
      </x:c>
      <x:c r="AT104" s="15" t="n">
        <x:v>1</x:v>
      </x:c>
    </x:row>
    <x:row r="105" ht="24" customHeight="1">
      <x:c r="A105" s="18" t="str">
        <x:v>51540</x:v>
      </x:c>
      <x:c r="B105" s="3" t="str">
        <x:v>Charlottesville city</x:v>
      </x:c>
      <x:c r="C105" s="3" t="str">
        <x:v>VA</x:v>
      </x:c>
      <x:c r="D105" s="12" t="n">
        <x:v>26.535237</x:v>
      </x:c>
      <x:c r="E105" s="12" t="n">
        <x:v>0.226</x:v>
      </x:c>
      <x:c r="F105" s="12" t="n">
        <x:v>0.169863861386139</x:v>
      </x:c>
      <x:c r="G105" s="12" t="n">
        <x:v>2.347786261981338</x:v>
      </x:c>
      <x:c r="H105" s="12" t="n">
        <x:v>2.645844728</x:v>
      </x:c>
      <x:c r="I105" s="12" t="n">
        <x:v>0.2468575300694562</x:v>
      </x:c>
      <x:c r="J105" s="12" t="n">
        <x:v>0.01098011118508701</x:v>
      </x:c>
      <x:c r="K105" s="12" t="n">
        <x:v>0.004844994070811452</x:v>
      </x:c>
      <x:c r="L105" s="24" t="n">
        <x:v>0.684759748</x:v>
      </x:c>
      <x:c r="M105" s="24" t="n">
        <x:v>0.669147387</x:v>
      </x:c>
      <x:c r="N105" s="13" t="n">
        <x:v>24583</x:v>
      </x:c>
      <x:c r="O105" s="12" t="n">
        <x:v>0.5727</x:v>
      </x:c>
      <x:c r="P105" s="12" t="n">
        <x:v>1302.3140869140625</x:v>
      </x:c>
      <x:c r="Q105" s="12" t="n">
        <x:v>26.29709663391113</x:v>
      </x:c>
      <x:c r="R105" s="12" t="n">
        <x:v>3.02469644759001</x:v>
      </x:c>
      <x:c r="S105" s="12" t="n">
        <x:v>0.08300308859523581</x:v>
      </x:c>
      <x:c r="T105" s="12" t="n">
        <x:v>89.9</x:v>
      </x:c>
      <x:c r="U105" s="12" t="n">
        <x:v>245.07712999476223</x:v>
      </x:c>
      <x:c r="V105" s="12" t="n">
        <x:v>244.75798925963002</x:v>
      </x:c>
      <x:c r="W105" s="12" t="n">
        <x:f>IF(ISNUMBER(E105),IF($I$146&gt;$H$146,(E105-$H$146)/($I$146-$H$146),"缺失"),"缺失")</x:f>
        <x:v>0.20601851851851852</x:v>
      </x:c>
      <x:c r="X105" s="12" t="n">
        <x:f>IF(ISNUMBER(F105),IF($I$147&gt;$H$147,(F105-$H$147)/($I$147-$H$147),"缺失"),"缺失")</x:f>
        <x:v>0.1666141732283468</x:v>
      </x:c>
      <x:c r="Y105" s="12" t="n">
        <x:f>IF(ISNUMBER(G105),IF($I$148&gt;$H$148,(G105-$H$148)/($I$148-$H$148),"缺失"),"缺失")</x:f>
        <x:v>0.6172446017966903</x:v>
      </x:c>
      <x:c r="Z105" s="12" t="n">
        <x:f>IF(ISNUMBER(H105),IF($I$149&gt;$H$149,(H105-$H$149)/($I$149-$H$149),"缺失"),"缺失")</x:f>
        <x:v>0.6518476682670759</x:v>
      </x:c>
      <x:c r="AA105" s="12" t="n">
        <x:f>IF(ISNUMBER(I105),IF($I$150&gt;$H$150,(I105-$H$150)/($I$150-$H$150),"缺失"),"缺失")</x:f>
        <x:v>0.20069388326279886</x:v>
      </x:c>
      <x:c r="AB105" s="12" t="n">
        <x:f>IF(ISNUMBER(J105),IF($I$151&gt;$H$151,(J105-$H$151)/($I$151-$H$151),"缺失"),"缺失")</x:f>
        <x:v>0.02693414664854521</x:v>
      </x:c>
      <x:c r="AC105" s="12" t="n">
        <x:f>IF(ISNUMBER(K105),IF($I$152&gt;$H$152,(K105-$H$152)/($I$152-$H$152),"缺失"),"缺失")</x:f>
        <x:v>0.008329519876586405</x:v>
      </x:c>
      <x:c r="AD105" s="12" t="n">
        <x:f>IF(ISNUMBER(L105),IF($I$153&gt;$H$153,(L105-$H$153)/($I$153-$H$153),"缺失"),"缺失")</x:f>
        <x:v>0.6846554499974985</x:v>
      </x:c>
      <x:c r="AE105" s="12" t="n">
        <x:f>IF(ISNUMBER(M105),IF($I$154&gt;$H$154,(M105-$H$154)/($I$154-$H$154),"缺失"),"缺失")</x:f>
        <x:v>0.669147387</x:v>
      </x:c>
      <x:c r="AF105" s="12" t="n">
        <x:f>IF(ISNUMBER(N105),IF($I$155&gt;$H$155,(N105-$H$155)/($I$155-$H$155),"缺失"),"缺失")</x:f>
        <x:v>0.03710484389412192</x:v>
      </x:c>
      <x:c r="AG105" s="12" t="n">
        <x:f>IF(ISNUMBER(O105),IF($I$156&gt;$H$156,(O105-$H$156)/($I$156-$H$156),"缺失"),"缺失")</x:f>
        <x:v>0.576728669632026</x:v>
      </x:c>
      <x:c r="AH105" s="12" t="n">
        <x:f>IF(ISNUMBER(P105),IF($I$157&gt;$H$157,(P105-$H$157)/($I$157-$H$157),"缺失"),"缺失")</x:f>
        <x:v>0.46179629658842136</x:v>
      </x:c>
      <x:c r="AI105" s="12" t="n">
        <x:f>IF(ISNUMBER(Q105),IF($I$158&gt;$H$158,(Q105-$H$158)/($I$158-$H$158),"缺失"),"缺失")</x:f>
        <x:v>0.3052910593641789</x:v>
      </x:c>
      <x:c r="AJ105" s="12" t="n">
        <x:f>IF(ISNUMBER(R105),IF($I$159&gt;$H$159,(R105-$H$159)/($I$159-$H$159),"缺失"),"缺失")</x:f>
        <x:v>0.030274257814536833</x:v>
      </x:c>
      <x:c r="AK105" s="12" t="n">
        <x:f>IF(ISNUMBER(S105),IF($I$160&gt;$H$160,(S105-$H$160)/($I$160-$H$160),"缺失"),"缺失")</x:f>
        <x:v>0.0014609541885273899</x:v>
      </x:c>
      <x:c r="AL105" s="12" t="n">
        <x:f>IF(ISNUMBER(T105),IF($I$161&gt;$H$161,(T105-$H$161)/($I$161-$H$161),"缺失"),"缺失")</x:f>
        <x:v>1</x:v>
      </x:c>
      <x:c r="AM105" s="12" t="n">
        <x:f>IF(ISNUMBER(U105),IF($I$162&gt;$H$162,(U105-$H$162)/($I$162-$H$162),"缺失"),"缺失")</x:f>
        <x:v>1</x:v>
      </x:c>
      <x:c r="AN105" s="12" t="n">
        <x:f>IF(ISNUMBER(V105),IF($I$163&gt;$H$163,(V105-$H$163)/($I$163-$H$163),"缺失"),"缺失")</x:f>
        <x:v>0</x:v>
      </x:c>
      <x:c r="AO105" s="23" t="str"/>
      <x:c r="AP105" s="23" t="str">
        <x:v>见指标口径：州级、产业、代表点代理；气候基期待核实</x:v>
      </x:c>
      <x:c r="AQ105" s="15" t="n">
        <x:v>1.0000000000000009</x:v>
      </x:c>
      <x:c r="AR105" s="15" t="n">
        <x:v>1.0000000000000009</x:v>
      </x:c>
      <x:c r="AS105" s="15" t="n">
        <x:v>1</x:v>
      </x:c>
      <x:c r="AT105" s="15" t="n">
        <x:v>1</x:v>
      </x:c>
    </x:row>
    <x:row r="106" ht="24" customHeight="1">
      <x:c r="A106" s="18" t="str">
        <x:v>51550</x:v>
      </x:c>
      <x:c r="B106" s="3" t="str">
        <x:v>Chesapeake city</x:v>
      </x:c>
      <x:c r="C106" s="3" t="str">
        <x:v>VA</x:v>
      </x:c>
      <x:c r="D106" s="12" t="n">
        <x:v>876.598055</x:v>
      </x:c>
      <x:c r="E106" s="12" t="n">
        <x:v>0.508</x:v>
      </x:c>
      <x:c r="F106" s="12" t="n">
        <x:v>0.257735148514851</x:v>
      </x:c>
      <x:c r="G106" s="12" t="n">
        <x:v>2.0417220226104598</x:v>
      </x:c>
      <x:c r="H106" s="12" t="n">
        <x:v>2.4889174125780373</x:v>
      </x:c>
      <x:c r="I106" s="12" t="n">
        <x:v>0.7503967365924491</x:v>
      </x:c>
      <x:c r="J106" s="12" t="n">
        <x:v>0.29060780155319277</x:v>
      </x:c>
      <x:c r="K106" s="12" t="n">
        <x:v>0.483318669662756</x:v>
      </x:c>
      <x:c r="L106" s="24" t="n">
        <x:v>0.673717595</x:v>
      </x:c>
      <x:c r="M106" s="24" t="n">
        <x:v>0.008476352</x:v>
      </x:c>
      <x:c r="N106" s="13" t="n">
        <x:v>125831</x:v>
      </x:c>
      <x:c r="O106" s="12" t="n">
        <x:v>0.4149</x:v>
      </x:c>
      <x:c r="P106" s="12" t="n">
        <x:v>1466.6316935221355</x:v>
      </x:c>
      <x:c r="Q106" s="12" t="n">
        <x:v>22.337963485717772</x:v>
      </x:c>
      <x:c r="R106" s="12" t="n">
        <x:v>8.726630226868197</x:v>
      </x:c>
      <x:c r="S106" s="12" t="n">
        <x:v>7.21964506003419</x:v>
      </x:c>
      <x:c r="T106" s="12" t="n">
        <x:v>89.9</x:v>
      </x:c>
      <x:c r="U106" s="12" t="n">
        <x:v>245.07712999476223</x:v>
      </x:c>
      <x:c r="V106" s="12" t="n">
        <x:v>244.75798925963002</x:v>
      </x:c>
      <x:c r="W106" s="12" t="n">
        <x:f>IF(ISNUMBER(E106),IF($I$146&gt;$H$146,(E106-$H$146)/($I$146-$H$146),"缺失"),"缺失")</x:f>
        <x:v>0.5324074074074074</x:v>
      </x:c>
      <x:c r="X106" s="12" t="n">
        <x:f>IF(ISNUMBER(F106),IF($I$147&gt;$H$147,(F106-$H$147)/($I$147-$H$147),"缺失"),"缺失")</x:f>
        <x:v>0.2560629921259837</x:v>
      </x:c>
      <x:c r="Y106" s="12" t="n">
        <x:f>IF(ISNUMBER(G106),IF($I$148&gt;$H$148,(G106-$H$148)/($I$148-$H$148),"缺失"),"缺失")</x:f>
        <x:v>0.5367341058608228</x:v>
      </x:c>
      <x:c r="Z106" s="12" t="n">
        <x:f>IF(ISNUMBER(H106),IF($I$149&gt;$H$149,(H106-$H$149)/($I$149-$H$149),"缺失"),"缺失")</x:f>
        <x:v>0.613160743351634</x:v>
      </x:c>
      <x:c r="AA106" s="12" t="n">
        <x:f>IF(ISNUMBER(I106),IF($I$150&gt;$H$150,(I106-$H$150)/($I$150-$H$150),"缺失"),"缺失")</x:f>
        <x:v>0.7412564919971821</x:v>
      </x:c>
      <x:c r="AB106" s="12" t="n">
        <x:f>IF(ISNUMBER(J106),IF($I$151&gt;$H$151,(J106-$H$151)/($I$151-$H$151),"缺失"),"缺失")</x:f>
        <x:v>0.712859188063221</x:v>
      </x:c>
      <x:c r="AC106" s="12" t="n">
        <x:f>IF(ISNUMBER(K106),IF($I$152&gt;$H$152,(K106-$H$152)/($I$152-$H$152),"缺失"),"缺失")</x:f>
        <x:v>0.8309220624096596</x:v>
      </x:c>
      <x:c r="AD106" s="12" t="n">
        <x:f>IF(ISNUMBER(L106),IF($I$153&gt;$H$153,(L106-$H$153)/($I$153-$H$153),"缺失"),"缺失")</x:f>
        <x:v>0.6736096436743777</x:v>
      </x:c>
      <x:c r="AE106" s="12" t="n">
        <x:f>IF(ISNUMBER(M106),IF($I$154&gt;$H$154,(M106-$H$154)/($I$154-$H$154),"缺失"),"缺失")</x:f>
        <x:v>0.008476352</x:v>
      </x:c>
      <x:c r="AF106" s="12" t="n">
        <x:f>IF(ISNUMBER(N106),IF($I$155&gt;$H$155,(N106-$H$155)/($I$155-$H$155),"缺失"),"缺失")</x:f>
        <x:v>0.19432565304214688</x:v>
      </x:c>
      <x:c r="AG106" s="12" t="n">
        <x:f>IF(ISNUMBER(O106),IF($I$156&gt;$H$156,(O106-$H$156)/($I$156-$H$156),"缺失"),"缺失")</x:f>
        <x:v>0.4172058228871816</x:v>
      </x:c>
      <x:c r="AH106" s="12" t="n">
        <x:f>IF(ISNUMBER(P106),IF($I$157&gt;$H$157,(P106-$H$157)/($I$157-$H$157),"缺失"),"缺失")</x:f>
        <x:v>0.5357155655144292</x:v>
      </x:c>
      <x:c r="AI106" s="12" t="n">
        <x:f>IF(ISNUMBER(Q106),IF($I$158&gt;$H$158,(Q106-$H$158)/($I$158-$H$158),"缺失"),"缺失")</x:f>
        <x:v>0.2587649275803027</x:v>
      </x:c>
      <x:c r="AJ106" s="12" t="n">
        <x:f>IF(ISNUMBER(R106),IF($I$159&gt;$H$159,(R106-$H$159)/($I$159-$H$159),"缺失"),"缺失")</x:f>
        <x:v>0.09019273662956818</x:v>
      </x:c>
      <x:c r="AK106" s="12" t="n">
        <x:f>IF(ISNUMBER(S106),IF($I$160&gt;$H$160,(S106-$H$160)/($I$160-$H$160),"缺失"),"缺失")</x:f>
        <x:v>0.14078005158786552</x:v>
      </x:c>
      <x:c r="AL106" s="12" t="n">
        <x:f>IF(ISNUMBER(T106),IF($I$161&gt;$H$161,(T106-$H$161)/($I$161-$H$161),"缺失"),"缺失")</x:f>
        <x:v>1</x:v>
      </x:c>
      <x:c r="AM106" s="12" t="n">
        <x:f>IF(ISNUMBER(U106),IF($I$162&gt;$H$162,(U106-$H$162)/($I$162-$H$162),"缺失"),"缺失")</x:f>
        <x:v>1</x:v>
      </x:c>
      <x:c r="AN106" s="12" t="n">
        <x:f>IF(ISNUMBER(V106),IF($I$163&gt;$H$163,(V106-$H$163)/($I$163-$H$163),"缺失"),"缺失")</x:f>
        <x:v>0</x:v>
      </x:c>
      <x:c r="AO106" s="23" t="str"/>
      <x:c r="AP106" s="23" t="str">
        <x:v>见指标口径：州级、产业、代表点代理；气候基期待核实</x:v>
      </x:c>
      <x:c r="AQ106" s="15" t="n">
        <x:v>1.0000000000000002</x:v>
      </x:c>
      <x:c r="AR106" s="15" t="n">
        <x:v>0.9999999999999998</x:v>
      </x:c>
      <x:c r="AS106" s="15" t="n">
        <x:v>1</x:v>
      </x:c>
      <x:c r="AT106" s="15" t="n">
        <x:v>1</x:v>
      </x:c>
    </x:row>
    <x:row r="107" ht="24" customHeight="1">
      <x:c r="A107" s="18" t="str">
        <x:v>51570</x:v>
      </x:c>
      <x:c r="B107" s="3" t="str">
        <x:v>Colonial Heights city</x:v>
      </x:c>
      <x:c r="C107" s="3" t="str">
        <x:v>VA</x:v>
      </x:c>
      <x:c r="D107" s="12" t="n">
        <x:v>19.47536</x:v>
      </x:c>
      <x:c r="E107" s="12" t="n">
        <x:v>0.253</x:v>
      </x:c>
      <x:c r="F107" s="12" t="n">
        <x:v>0.563428217821782</x:v>
      </x:c>
      <x:c r="G107" s="12" t="n">
        <x:v>3.1367336770545875</x:v>
      </x:c>
      <x:c r="H107" s="12" t="n">
        <x:v>3.432467087</x:v>
      </x:c>
      <x:c r="I107" s="12" t="n">
        <x:v>0.24517578035476922</x:v>
      </x:c>
      <x:c r="J107" s="12" t="n">
        <x:v>0</x:v>
      </x:c>
      <x:c r="K107" s="12" t="n">
        <x:v>0.15194573039372966</x:v>
      </x:c>
      <x:c r="L107" s="24" t="n">
        <x:v>0.006714414</x:v>
      </x:c>
      <x:c r="M107" s="24" t="n">
        <x:v>0.000447628</x:v>
      </x:c>
      <x:c r="N107" s="13" t="n">
        <x:v>9357</x:v>
      </x:c>
      <x:c r="O107" s="12" t="n">
        <x:v>0.5651</x:v>
      </x:c>
      <x:c r="P107" s="12" t="n">
        <x:v>1487.2690185546876</x:v>
      </x:c>
      <x:c r="Q107" s="12" t="n">
        <x:v>38.645266723632815</x:v>
      </x:c>
      <x:c r="R107" s="12" t="n">
        <x:v>0.1599778196563176</x:v>
      </x:c>
      <x:c r="S107" s="12" t="n">
        <x:v>1.3449505415244056</x:v>
      </x:c>
      <x:c r="T107" s="12" t="n">
        <x:v>89.9</x:v>
      </x:c>
      <x:c r="U107" s="12" t="n">
        <x:v>245.07712999476223</x:v>
      </x:c>
      <x:c r="V107" s="12" t="n">
        <x:v>244.75798925963002</x:v>
      </x:c>
      <x:c r="W107" s="12" t="n">
        <x:f>IF(ISNUMBER(E107),IF($I$146&gt;$H$146,(E107-$H$146)/($I$146-$H$146),"缺失"),"缺失")</x:f>
        <x:v>0.23726851851851855</x:v>
      </x:c>
      <x:c r="X107" s="12" t="n">
        <x:f>IF(ISNUMBER(F107),IF($I$147&gt;$H$147,(F107-$H$147)/($I$147-$H$147),"缺失"),"缺失")</x:f>
        <x:v>0.5672440944881887</x:v>
      </x:c>
      <x:c r="Y107" s="12" t="n">
        <x:f>IF(ISNUMBER(G107),IF($I$148&gt;$H$148,(G107-$H$148)/($I$148-$H$148),"缺失"),"缺失")</x:f>
        <x:v>0.8247779868972552</x:v>
      </x:c>
      <x:c r="Z107" s="12" t="n">
        <x:f>IF(ISNUMBER(H107),IF($I$149&gt;$H$149,(H107-$H$149)/($I$149-$H$149),"缺失"),"缺失")</x:f>
        <x:v>0.8457718430202851</x:v>
      </x:c>
      <x:c r="AA107" s="12" t="n">
        <x:f>IF(ISNUMBER(I107),IF($I$150&gt;$H$150,(I107-$H$150)/($I$150-$H$150),"缺失"),"缺失")</x:f>
        <x:v>0.198888480622383</x:v>
      </x:c>
      <x:c r="AB107" s="12" t="n">
        <x:f>IF(ISNUMBER(J107),IF($I$151&gt;$H$151,(J107-$H$151)/($I$151-$H$151),"缺失"),"缺失")</x:f>
        <x:v>0</x:v>
      </x:c>
      <x:c r="AC107" s="12" t="n">
        <x:f>IF(ISNUMBER(K107),IF($I$152&gt;$H$152,(K107-$H$152)/($I$152-$H$152),"缺失"),"缺失")</x:f>
        <x:v>0.26122529005799966</x:v>
      </x:c>
      <x:c r="AD107" s="12" t="n">
        <x:f>IF(ISNUMBER(L107),IF($I$153&gt;$H$153,(L107-$H$153)/($I$153-$H$153),"缺失"),"缺失")</x:f>
        <x:v>0.006385783053044314</x:v>
      </x:c>
      <x:c r="AE107" s="12" t="n">
        <x:f>IF(ISNUMBER(M107),IF($I$154&gt;$H$154,(M107-$H$154)/($I$154-$H$154),"缺失"),"缺失")</x:f>
        <x:v>0.000447628</x:v>
      </x:c>
      <x:c r="AF107" s="12" t="n">
        <x:f>IF(ISNUMBER(N107),IF($I$155&gt;$H$155,(N107-$H$155)/($I$155-$H$155),"缺失"),"缺失")</x:f>
        <x:v>0.013461472764935884</x:v>
      </x:c>
      <x:c r="AG107" s="12" t="n">
        <x:f>IF(ISNUMBER(O107),IF($I$156&gt;$H$156,(O107-$H$156)/($I$156-$H$156),"缺失"),"缺失")</x:f>
        <x:v>0.5690456934896887</x:v>
      </x:c>
      <x:c r="AH107" s="12" t="n">
        <x:f>IF(ISNUMBER(P107),IF($I$157&gt;$H$157,(P107-$H$157)/($I$157-$H$157),"缺失"),"缺失")</x:f>
        <x:v>0.5449993909698063</x:v>
      </x:c>
      <x:c r="AI107" s="12" t="n">
        <x:f>IF(ISNUMBER(Q107),IF($I$158&gt;$H$158,(Q107-$H$158)/($I$158-$H$158),"缺失"),"缺失")</x:f>
        <x:v>0.4504017609697242</x:v>
      </x:c>
      <x:c r="AJ107" s="12" t="n">
        <x:f>IF(ISNUMBER(R107),IF($I$159&gt;$H$159,(R107-$H$159)/($I$159-$H$159),"缺失"),"缺失")</x:f>
        <x:v>0.00017050897012287484</x:v>
      </x:c>
      <x:c r="AK107" s="12" t="n">
        <x:f>IF(ISNUMBER(S107),IF($I$160&gt;$H$160,(S107-$H$160)/($I$160-$H$160),"缺失"),"缺失")</x:f>
        <x:v>0.026096263177137983</x:v>
      </x:c>
      <x:c r="AL107" s="12" t="n">
        <x:f>IF(ISNUMBER(T107),IF($I$161&gt;$H$161,(T107-$H$161)/($I$161-$H$161),"缺失"),"缺失")</x:f>
        <x:v>1</x:v>
      </x:c>
      <x:c r="AM107" s="12" t="n">
        <x:f>IF(ISNUMBER(U107),IF($I$162&gt;$H$162,(U107-$H$162)/($I$162-$H$162),"缺失"),"缺失")</x:f>
        <x:v>1</x:v>
      </x:c>
      <x:c r="AN107" s="12" t="n">
        <x:f>IF(ISNUMBER(V107),IF($I$163&gt;$H$163,(V107-$H$163)/($I$163-$H$163),"缺失"),"缺失")</x:f>
        <x:v>0</x:v>
      </x:c>
      <x:c r="AO107" s="23" t="str"/>
      <x:c r="AP107" s="23" t="str">
        <x:v>见指标口径：州级、产业、代表点代理；气候基期待核实</x:v>
      </x:c>
      <x:c r="AQ107" s="15" t="n">
        <x:v>1</x:v>
      </x:c>
      <x:c r="AR107" s="15" t="n">
        <x:v>1</x:v>
      </x:c>
      <x:c r="AS107" s="15" t="n">
        <x:v>1</x:v>
      </x:c>
      <x:c r="AT107" s="15" t="n">
        <x:v>1</x:v>
      </x:c>
    </x:row>
    <x:row r="108" ht="24" customHeight="1">
      <x:c r="A108" s="18" t="str">
        <x:v>51580</x:v>
      </x:c>
      <x:c r="B108" s="3" t="str">
        <x:v>Covington city</x:v>
      </x:c>
      <x:c r="C108" s="3" t="str">
        <x:v>VA</x:v>
      </x:c>
      <x:c r="D108" s="12" t="n">
        <x:v>14.16384</x:v>
      </x:c>
      <x:c r="E108" s="12" t="n">
        <x:v>0.582</x:v>
      </x:c>
      <x:c r="F108" s="12" t="n">
        <x:v>0.9619430693069311</x:v>
      </x:c>
      <x:c r="G108" s="12" t="n">
        <x:v>2.347786261981338</x:v>
      </x:c>
      <x:c r="H108" s="12" t="n">
        <x:v>2.645844728</x:v>
      </x:c>
      <x:c r="I108" s="12" t="n">
        <x:v>0.5038328387734916</x:v>
      </x:c>
      <x:c r="J108" s="12" t="n">
        <x:v>0</x:v>
      </x:c>
      <x:c r="K108" s="12" t="n">
        <x:v>0.00012363996043521266</x:v>
      </x:c>
      <x:c r="L108" s="24" t="n">
        <x:v>0.129692833</x:v>
      </x:c>
      <x:c r="M108" s="24" t="n">
        <x:v>0.129692833</x:v>
      </x:c>
      <x:c r="N108" s="13" t="n">
        <x:v>2142</x:v>
      </x:c>
      <x:c r="O108" s="12" t="n">
        <x:v>0.3128</x:v>
      </x:c>
      <x:c r="P108" s="12" t="n">
        <x:v>698.4631184895833</x:v>
      </x:c>
      <x:c r="Q108" s="12" t="n">
        <x:v>12.308213392893473</x:v>
      </x:c>
      <x:c r="R108" s="12" t="n">
        <x:v>0.8889451565262735</x:v>
      </x:c>
      <x:c r="S108" s="12" t="n">
        <x:v>0.24421245893356675</x:v>
      </x:c>
      <x:c r="T108" s="12" t="n">
        <x:v>89.9</x:v>
      </x:c>
      <x:c r="U108" s="12" t="n">
        <x:v>245.07712999476223</x:v>
      </x:c>
      <x:c r="V108" s="12" t="n">
        <x:v>244.75798925963002</x:v>
      </x:c>
      <x:c r="W108" s="12" t="n">
        <x:f>IF(ISNUMBER(E108),IF($I$146&gt;$H$146,(E108-$H$146)/($I$146-$H$146),"缺失"),"缺失")</x:f>
        <x:v>0.6180555555555555</x:v>
      </x:c>
      <x:c r="X108" s="12" t="n">
        <x:f>IF(ISNUMBER(F108),IF($I$147&gt;$H$147,(F108-$H$147)/($I$147-$H$147),"缺失"),"缺失")</x:f>
        <x:v>0.9729133858267718</x:v>
      </x:c>
      <x:c r="Y108" s="12" t="n">
        <x:f>IF(ISNUMBER(G108),IF($I$148&gt;$H$148,(G108-$H$148)/($I$148-$H$148),"缺失"),"缺失")</x:f>
        <x:v>0.6172446017966903</x:v>
      </x:c>
      <x:c r="Z108" s="12" t="n">
        <x:f>IF(ISNUMBER(H108),IF($I$149&gt;$H$149,(H108-$H$149)/($I$149-$H$149),"缺失"),"缺失")</x:f>
        <x:v>0.6518476682670759</x:v>
      </x:c>
      <x:c r="AA108" s="12" t="n">
        <x:f>IF(ISNUMBER(I108),IF($I$150&gt;$H$150,(I108-$H$150)/($I$150-$H$150),"缺失"),"缺失")</x:f>
        <x:v>0.4765636496164022</x:v>
      </x:c>
      <x:c r="AB108" s="12" t="n">
        <x:f>IF(ISNUMBER(J108),IF($I$151&gt;$H$151,(J108-$H$151)/($I$151-$H$151),"缺失"),"缺失")</x:f>
        <x:v>0</x:v>
      </x:c>
      <x:c r="AC108" s="12" t="n">
        <x:f>IF(ISNUMBER(K108),IF($I$152&gt;$H$152,(K108-$H$152)/($I$152-$H$152),"缺失"),"缺失")</x:f>
        <x:v>0.00021256197488245357</x:v>
      </x:c>
      <x:c r="AD108" s="12" t="n">
        <x:f>IF(ISNUMBER(L108),IF($I$153&gt;$H$153,(L108-$H$153)/($I$153-$H$153),"缺失"),"缺失")</x:f>
        <x:v>0.1294048897614544</x:v>
      </x:c>
      <x:c r="AE108" s="12" t="n">
        <x:f>IF(ISNUMBER(M108),IF($I$154&gt;$H$154,(M108-$H$154)/($I$154-$H$154),"缺失"),"缺失")</x:f>
        <x:v>0.129692833</x:v>
      </x:c>
      <x:c r="AF108" s="12" t="n">
        <x:f>IF(ISNUMBER(N108),IF($I$155&gt;$H$155,(N108-$H$155)/($I$155-$H$155),"缺失"),"缺失")</x:f>
        <x:v>0.0022578130580478456</x:v>
      </x:c>
      <x:c r="AG108" s="12" t="n">
        <x:f>IF(ISNUMBER(O108),IF($I$156&gt;$H$156,(O108-$H$156)/($I$156-$H$156),"缺失"),"缺失")</x:f>
        <x:v>0.31399110392236157</x:v>
      </x:c>
      <x:c r="AH108" s="12" t="n">
        <x:f>IF(ISNUMBER(P108),IF($I$157&gt;$H$157,(P108-$H$157)/($I$157-$H$157),"缺失"),"缺失")</x:f>
        <x:v>0.19015028708522283</x:v>
      </x:c>
      <x:c r="AI108" s="12" t="n">
        <x:f>IF(ISNUMBER(Q108),IF($I$158&gt;$H$158,(Q108-$H$158)/($I$158-$H$158),"缺失"),"缺失")</x:f>
        <x:v>0.14089936026766278</x:v>
      </x:c>
      <x:c r="AJ108" s="12" t="n">
        <x:f>IF(ISNUMBER(R108),IF($I$159&gt;$H$159,(R108-$H$159)/($I$159-$H$159),"缺失"),"缺失")</x:f>
        <x:v>0.007830824859765072</x:v>
      </x:c>
      <x:c r="AK108" s="12" t="n">
        <x:f>IF(ISNUMBER(S108),IF($I$160&gt;$H$160,(S108-$H$160)/($I$160-$H$160),"缺失"),"缺失")</x:f>
        <x:v>0.004608028689074796</x:v>
      </x:c>
      <x:c r="AL108" s="12" t="n">
        <x:f>IF(ISNUMBER(T108),IF($I$161&gt;$H$161,(T108-$H$161)/($I$161-$H$161),"缺失"),"缺失")</x:f>
        <x:v>1</x:v>
      </x:c>
      <x:c r="AM108" s="12" t="n">
        <x:f>IF(ISNUMBER(U108),IF($I$162&gt;$H$162,(U108-$H$162)/($I$162-$H$162),"缺失"),"缺失")</x:f>
        <x:v>1</x:v>
      </x:c>
      <x:c r="AN108" s="12" t="n">
        <x:f>IF(ISNUMBER(V108),IF($I$163&gt;$H$163,(V108-$H$163)/($I$163-$H$163),"缺失"),"缺失")</x:f>
        <x:v>0</x:v>
      </x:c>
      <x:c r="AO108" s="23" t="str"/>
      <x:c r="AP108" s="23" t="str">
        <x:v>见指标口径：州级、产业、代表点代理；气候基期待核实</x:v>
      </x:c>
      <x:c r="AQ108" s="15" t="n">
        <x:v>0.999999999999999</x:v>
      </x:c>
      <x:c r="AR108" s="15" t="n">
        <x:v>0.999999999999999</x:v>
      </x:c>
      <x:c r="AS108" s="15" t="n">
        <x:v>1</x:v>
      </x:c>
      <x:c r="AT108" s="15" t="n">
        <x:v>1</x:v>
      </x:c>
    </x:row>
    <x:row r="109" ht="24" customHeight="1">
      <x:c r="A109" s="18" t="str">
        <x:v>51590</x:v>
      </x:c>
      <x:c r="B109" s="3" t="str">
        <x:v>Danville city</x:v>
      </x:c>
      <x:c r="C109" s="3" t="str">
        <x:v>VA</x:v>
      </x:c>
      <x:c r="D109" s="12" t="n">
        <x:v>110.858218</x:v>
      </x:c>
      <x:c r="E109" s="12" t="n">
        <x:v>0.201</x:v>
      </x:c>
      <x:c r="F109" s="12" t="n">
        <x:v>0.44399752475247506</x:v>
      </x:c>
      <x:c r="G109" s="12" t="n">
        <x:v>2.769729931985377</x:v>
      </x:c>
      <x:c r="H109" s="12" t="n">
        <x:v>3.155046543</x:v>
      </x:c>
      <x:c r="I109" s="12" t="n">
        <x:v>0.4796580259945368</x:v>
      </x:c>
      <x:c r="J109" s="12" t="n">
        <x:v>0</x:v>
      </x:c>
      <x:c r="K109" s="12" t="n">
        <x:v>0.002022513557287092</x:v>
      </x:c>
      <x:c r="L109" s="24" t="n">
        <x:v>0.492923077</x:v>
      </x:c>
      <x:c r="M109" s="24" t="n">
        <x:v>0.004576923</x:v>
      </x:c>
      <x:c r="N109" s="13" t="n">
        <x:v>17867</x:v>
      </x:c>
      <x:c r="O109" s="12" t="n">
        <x:v>0.9796</x:v>
      </x:c>
      <x:c r="P109" s="12" t="n">
        <x:v>1283.6861775716145</x:v>
      </x:c>
      <x:c r="Q109" s="12" t="n">
        <x:v>34.836238924662275</x:v>
      </x:c>
      <x:c r="R109" s="12" t="n">
        <x:v>56.976049637280305</x:v>
      </x:c>
      <x:c r="S109" s="12" t="n">
        <x:v>1.16513102450174</x:v>
      </x:c>
      <x:c r="T109" s="12" t="n">
        <x:v>89.9</x:v>
      </x:c>
      <x:c r="U109" s="12" t="n">
        <x:v>245.07712999476223</x:v>
      </x:c>
      <x:c r="V109" s="12" t="n">
        <x:v>244.75798925963002</x:v>
      </x:c>
      <x:c r="W109" s="12" t="n">
        <x:f>IF(ISNUMBER(E109),IF($I$146&gt;$H$146,(E109-$H$146)/($I$146-$H$146),"缺失"),"缺失")</x:f>
        <x:v>0.17708333333333337</x:v>
      </x:c>
      <x:c r="X109" s="12" t="n">
        <x:f>IF(ISNUMBER(F109),IF($I$147&gt;$H$147,(F109-$H$147)/($I$147-$H$147),"缺失"),"缺失")</x:f>
        <x:v>0.44566929133858235</x:v>
      </x:c>
      <x:c r="Y109" s="12" t="n">
        <x:f>IF(ISNUMBER(G109),IF($I$148&gt;$H$148,(G109-$H$148)/($I$148-$H$148),"缺失"),"缺失")</x:f>
        <x:v>0.7282372946995042</x:v>
      </x:c>
      <x:c r="Z109" s="12" t="n">
        <x:f>IF(ISNUMBER(H109),IF($I$149&gt;$H$149,(H109-$H$149)/($I$149-$H$149),"缺失"),"缺失")</x:f>
        <x:v>0.7773800036080692</x:v>
      </x:c>
      <x:c r="AA109" s="12" t="n">
        <x:f>IF(ISNUMBER(I109),IF($I$150&gt;$H$150,(I109-$H$150)/($I$150-$H$150),"缺失"),"缺失")</x:f>
        <x:v>0.45061135098270994</x:v>
      </x:c>
      <x:c r="AB109" s="12" t="n">
        <x:f>IF(ISNUMBER(J109),IF($I$151&gt;$H$151,(J109-$H$151)/($I$151-$H$151),"缺失"),"缺失")</x:f>
        <x:v>0</x:v>
      </x:c>
      <x:c r="AC109" s="12" t="n">
        <x:f>IF(ISNUMBER(K109),IF($I$152&gt;$H$152,(K109-$H$152)/($I$152-$H$152),"缺失"),"缺失")</x:f>
        <x:v>0.0034771078415926316</x:v>
      </x:c>
      <x:c r="AD109" s="12" t="n">
        <x:f>IF(ISNUMBER(L109),IF($I$153&gt;$H$153,(L109-$H$153)/($I$153-$H$153),"缺失"),"缺失")</x:f>
        <x:v>0.4927553093692867</x:v>
      </x:c>
      <x:c r="AE109" s="12" t="n">
        <x:f>IF(ISNUMBER(M109),IF($I$154&gt;$H$154,(M109-$H$154)/($I$154-$H$154),"缺失"),"缺失")</x:f>
        <x:v>0.004576923</x:v>
      </x:c>
      <x:c r="AF109" s="12" t="n">
        <x:f>IF(ISNUMBER(N109),IF($I$155&gt;$H$155,(N109-$H$155)/($I$155-$H$155),"缺失"),"缺失")</x:f>
        <x:v>0.026676045752547416</x:v>
      </x:c>
      <x:c r="AG109" s="12" t="n">
        <x:f>IF(ISNUMBER(O109),IF($I$156&gt;$H$156,(O109-$H$156)/($I$156-$H$156),"缺失"),"缺失")</x:f>
        <x:v>0.988071168621108</x:v>
      </x:c>
      <x:c r="AH109" s="12" t="n">
        <x:f>IF(ISNUMBER(P109),IF($I$157&gt;$H$157,(P109-$H$157)/($I$157-$H$157),"缺失"),"缺失")</x:f>
        <x:v>0.45341641893174384</x:v>
      </x:c>
      <x:c r="AI109" s="12" t="n">
        <x:f>IF(ISNUMBER(Q109),IF($I$158&gt;$H$158,(Q109-$H$158)/($I$158-$H$158),"缺失"),"缺失")</x:f>
        <x:v>0.40563960655109327</x:v>
      </x:c>
      <x:c r="AJ109" s="12" t="n">
        <x:f>IF(ISNUMBER(R109),IF($I$159&gt;$H$159,(R109-$H$159)/($I$159-$H$159),"缺失"),"缺失")</x:f>
        <x:v>0.5972192870407375</x:v>
      </x:c>
      <x:c r="AK109" s="12" t="n">
        <x:f>IF(ISNUMBER(S109),IF($I$160&gt;$H$160,(S109-$H$160)/($I$160-$H$160),"缺失"),"缺失")</x:f>
        <x:v>0.022585887722317257</x:v>
      </x:c>
      <x:c r="AL109" s="12" t="n">
        <x:f>IF(ISNUMBER(T109),IF($I$161&gt;$H$161,(T109-$H$161)/($I$161-$H$161),"缺失"),"缺失")</x:f>
        <x:v>1</x:v>
      </x:c>
      <x:c r="AM109" s="12" t="n">
        <x:f>IF(ISNUMBER(U109),IF($I$162&gt;$H$162,(U109-$H$162)/($I$162-$H$162),"缺失"),"缺失")</x:f>
        <x:v>1</x:v>
      </x:c>
      <x:c r="AN109" s="12" t="n">
        <x:f>IF(ISNUMBER(V109),IF($I$163&gt;$H$163,(V109-$H$163)/($I$163-$H$163),"缺失"),"缺失")</x:f>
        <x:v>0</x:v>
      </x:c>
      <x:c r="AO109" s="23" t="str"/>
      <x:c r="AP109" s="23" t="str">
        <x:v>见指标口径：州级、产业、代表点代理；气候基期待核实</x:v>
      </x:c>
      <x:c r="AQ109" s="15" t="n">
        <x:v>1.0000000000000027</x:v>
      </x:c>
      <x:c r="AR109" s="15" t="n">
        <x:v>1.0000000000000027</x:v>
      </x:c>
      <x:c r="AS109" s="15" t="n">
        <x:v>1</x:v>
      </x:c>
      <x:c r="AT109" s="15" t="n">
        <x:v>1</x:v>
      </x:c>
    </x:row>
    <x:row r="110" ht="24" customHeight="1">
      <x:c r="A110" s="18" t="str">
        <x:v>51595</x:v>
      </x:c>
      <x:c r="B110" s="3" t="str">
        <x:v>Emporia city</x:v>
      </x:c>
      <x:c r="C110" s="3" t="str">
        <x:v>VA</x:v>
      </x:c>
      <x:c r="D110" s="12" t="n">
        <x:v>17.168108</x:v>
      </x:c>
      <x:c r="E110" s="12" t="n">
        <x:v>0.318</x:v>
      </x:c>
      <x:c r="F110" s="12" t="n">
        <x:v>0.576423267326733</x:v>
      </x:c>
      <x:c r="G110" s="12" t="n">
        <x:v>3.7205495379841897</x:v>
      </x:c>
      <x:c r="H110" s="12" t="n">
        <x:v>4.058068907</x:v>
      </x:c>
      <x:c r="I110" s="12" t="n">
        <x:v>0.46970411102382825</x:v>
      </x:c>
      <x:c r="J110" s="12" t="n">
        <x:v>0</x:v>
      </x:c>
      <x:c r="K110" s="12" t="n">
        <x:v>0.13134328358208955</x:v>
      </x:c>
      <x:c r="L110" s="24" t="n">
        <x:v>0.213726105</x:v>
      </x:c>
      <x:c r="M110" s="24" t="n">
        <x:v>0.213412723</x:v>
      </x:c>
      <x:c r="N110" s="13" t="n">
        <x:v>2195</x:v>
      </x:c>
      <x:c r="O110" s="12" t="n">
        <x:v>0.9233</x:v>
      </x:c>
      <x:c r="P110" s="12" t="n">
        <x:v>1354.9717447916669</x:v>
      </x:c>
      <x:c r="Q110" s="12" t="n">
        <x:v>35.86071675618489</x:v>
      </x:c>
      <x:c r="R110" s="12" t="n">
        <x:v>1.3833375675165136</x:v>
      </x:c>
      <x:c r="S110" s="12" t="n">
        <x:v>0.1197545419323539</x:v>
      </x:c>
      <x:c r="T110" s="12" t="n">
        <x:v>89.9</x:v>
      </x:c>
      <x:c r="U110" s="12" t="n">
        <x:v>245.07712999476223</x:v>
      </x:c>
      <x:c r="V110" s="12" t="n">
        <x:v>244.75798925963002</x:v>
      </x:c>
      <x:c r="W110" s="12" t="n">
        <x:f>IF(ISNUMBER(E110),IF($I$146&gt;$H$146,(E110-$H$146)/($I$146-$H$146),"缺失"),"缺失")</x:f>
        <x:v>0.3125</x:v>
      </x:c>
      <x:c r="X110" s="12" t="n">
        <x:f>IF(ISNUMBER(F110),IF($I$147&gt;$H$147,(F110-$H$147)/($I$147-$H$147),"缺失"),"缺失")</x:f>
        <x:v>0.580472440944882</x:v>
      </x:c>
      <x:c r="Y110" s="12" t="n">
        <x:f>IF(ISNUMBER(G110),IF($I$148&gt;$H$148,(G110-$H$148)/($I$148-$H$148),"缺失"),"缺失")</x:f>
        <x:v>0.9783513171082071</x:v>
      </x:c>
      <x:c r="Z110" s="12" t="n">
        <x:f>IF(ISNUMBER(H110),IF($I$149&gt;$H$149,(H110-$H$149)/($I$149-$H$149),"缺失"),"缺失")</x:f>
        <x:v>1</x:v>
      </x:c>
      <x:c r="AA110" s="12" t="n">
        <x:f>IF(ISNUMBER(I110),IF($I$150&gt;$H$150,(I110-$H$150)/($I$150-$H$150),"缺失"),"缺失")</x:f>
        <x:v>0.43992556093104546</x:v>
      </x:c>
      <x:c r="AB110" s="12" t="n">
        <x:f>IF(ISNUMBER(J110),IF($I$151&gt;$H$151,(J110-$H$151)/($I$151-$H$151),"缺失"),"缺失")</x:f>
        <x:v>0</x:v>
      </x:c>
      <x:c r="AC110" s="12" t="n">
        <x:f>IF(ISNUMBER(K110),IF($I$152&gt;$H$152,(K110-$H$152)/($I$152-$H$152),"缺失"),"缺失")</x:f>
        <x:v>0.22580553768766723</x:v>
      </x:c>
      <x:c r="AD110" s="12" t="n">
        <x:f>IF(ISNUMBER(L110),IF($I$153&gt;$H$153,(L110-$H$153)/($I$153-$H$153),"缺失"),"缺失")</x:f>
        <x:v>0.21346596437345478</x:v>
      </x:c>
      <x:c r="AE110" s="12" t="n">
        <x:f>IF(ISNUMBER(M110),IF($I$154&gt;$H$154,(M110-$H$154)/($I$154-$H$154),"缺失"),"缺失")</x:f>
        <x:v>0.213412723</x:v>
      </x:c>
      <x:c r="AF110" s="12" t="n">
        <x:f>IF(ISNUMBER(N110),IF($I$155&gt;$H$155,(N110-$H$155)/($I$155-$H$155),"缺失"),"缺失")</x:f>
        <x:v>0.00234011298382263</x:v>
      </x:c>
      <x:c r="AG110" s="12" t="n">
        <x:f>IF(ISNUMBER(O110),IF($I$156&gt;$H$156,(O110-$H$156)/($I$156-$H$156),"缺失"),"缺失")</x:f>
        <x:v>0.9311564900930045</x:v>
      </x:c>
      <x:c r="AH110" s="12" t="n">
        <x:f>IF(ISNUMBER(P110),IF($I$157&gt;$H$157,(P110-$H$157)/($I$157-$H$157),"缺失"),"缺失")</x:f>
        <x:v>0.4854846623942383</x:v>
      </x:c>
      <x:c r="AI110" s="12" t="n">
        <x:f>IF(ISNUMBER(Q110),IF($I$158&gt;$H$158,(Q110-$H$158)/($I$158-$H$158),"缺失"),"缺失")</x:f>
        <x:v>0.41767885575412445</x:v>
      </x:c>
      <x:c r="AJ110" s="12" t="n">
        <x:f>IF(ISNUMBER(R110),IF($I$159&gt;$H$159,(R110-$H$159)/($I$159-$H$159),"缺失"),"缺失")</x:f>
        <x:v>0.013026122166073144</x:v>
      </x:c>
      <x:c r="AK110" s="12" t="n">
        <x:f>IF(ISNUMBER(S110),IF($I$160&gt;$H$160,(S110-$H$160)/($I$160-$H$160),"缺失"),"缺失")</x:f>
        <x:v>0.0021784035614302606</x:v>
      </x:c>
      <x:c r="AL110" s="12" t="n">
        <x:f>IF(ISNUMBER(T110),IF($I$161&gt;$H$161,(T110-$H$161)/($I$161-$H$161),"缺失"),"缺失")</x:f>
        <x:v>1</x:v>
      </x:c>
      <x:c r="AM110" s="12" t="n">
        <x:f>IF(ISNUMBER(U110),IF($I$162&gt;$H$162,(U110-$H$162)/($I$162-$H$162),"缺失"),"缺失")</x:f>
        <x:v>1</x:v>
      </x:c>
      <x:c r="AN110" s="12" t="n">
        <x:f>IF(ISNUMBER(V110),IF($I$163&gt;$H$163,(V110-$H$163)/($I$163-$H$163),"缺失"),"缺失")</x:f>
        <x:v>0</x:v>
      </x:c>
      <x:c r="AO110" s="23" t="str"/>
      <x:c r="AP110" s="23" t="str">
        <x:v>见指标口径：州级、产业、代表点代理；气候基期待核实</x:v>
      </x:c>
      <x:c r="AQ110" s="15" t="n">
        <x:v>1.000000000000001</x:v>
      </x:c>
      <x:c r="AR110" s="15" t="n">
        <x:v>1.000000000000001</x:v>
      </x:c>
      <x:c r="AS110" s="15" t="n">
        <x:v>1</x:v>
      </x:c>
      <x:c r="AT110" s="15" t="n">
        <x:v>1</x:v>
      </x:c>
    </x:row>
    <x:row r="111" ht="24" customHeight="1">
      <x:c r="A111" s="18" t="str">
        <x:v>51600</x:v>
      </x:c>
      <x:c r="B111" s="3" t="str">
        <x:v>Fairfax city</x:v>
      </x:c>
      <x:c r="C111" s="3" t="str">
        <x:v>VA</x:v>
      </x:c>
      <x:c r="D111" s="12" t="n">
        <x:v>16.163924</x:v>
      </x:c>
      <x:c r="E111" s="12" t="n">
        <x:v>0.115</x:v>
      </x:c>
      <x:c r="F111" s="12" t="n">
        <x:v>0.0816831683168317</x:v>
      </x:c>
      <x:c r="G111" s="12" t="n">
        <x:v>3.443791740044756</x:v>
      </x:c>
      <x:c r="H111" s="12" t="n">
        <x:v>3.832787907925718</x:v>
      </x:c>
      <x:c r="I111" s="12" t="n">
        <x:v>0.1790243092087048</x:v>
      </x:c>
      <x:c r="J111" s="12" t="n">
        <x:v>0</x:v>
      </x:c>
      <x:c r="K111" s="12" t="n">
        <x:v>0.0010521069826679218</x:v>
      </x:c>
      <x:c r="L111" s="24" t="n">
        <x:v>0.863356887</x:v>
      </x:c>
      <x:c r="M111" s="24" t="n">
        <x:v>0.663301826</x:v>
      </x:c>
      <x:c r="N111" s="13" t="n">
        <x:v>14612</x:v>
      </x:c>
      <x:c r="O111" s="12" t="n">
        <x:v>0.3551</x:v>
      </x:c>
      <x:c r="P111" s="12" t="n">
        <x:v>1069.620202636719</x:v>
      </x:c>
      <x:c r="Q111" s="12" t="n">
        <x:v>20.86354007720947</x:v>
      </x:c>
      <x:c r="R111" s="12" t="n">
        <x:v>1.8676066167643381</x:v>
      </x:c>
      <x:c r="S111" s="12" t="n">
        <x:v>5.951152315097236</x:v>
      </x:c>
      <x:c r="T111" s="12" t="n">
        <x:v>89.9</x:v>
      </x:c>
      <x:c r="U111" s="12" t="n">
        <x:v>245.07712999476223</x:v>
      </x:c>
      <x:c r="V111" s="12" t="n">
        <x:v>244.75798925963002</x:v>
      </x:c>
      <x:c r="W111" s="12" t="n">
        <x:f>IF(ISNUMBER(E111),IF($I$146&gt;$H$146,(E111-$H$146)/($I$146-$H$146),"缺失"),"缺失")</x:f>
        <x:v>0.07754629629629631</x:v>
      </x:c>
      <x:c r="X111" s="12" t="n">
        <x:f>IF(ISNUMBER(F111),IF($I$147&gt;$H$147,(F111-$H$147)/($I$147-$H$147),"缺失"),"缺失")</x:f>
        <x:v>0.07685039370078739</x:v>
      </x:c>
      <x:c r="Y111" s="12" t="n">
        <x:f>IF(ISNUMBER(G111),IF($I$148&gt;$H$148,(G111-$H$148)/($I$148-$H$148),"缺失"),"缺失")</x:f>
        <x:v>0.9055499091030663</x:v>
      </x:c>
      <x:c r="Z111" s="12" t="n">
        <x:f>IF(ISNUMBER(H111),IF($I$149&gt;$H$149,(H111-$H$149)/($I$149-$H$149),"缺失"),"缺失")</x:f>
        <x:v>0.9444620009421083</x:v>
      </x:c>
      <x:c r="AA111" s="12" t="n">
        <x:f>IF(ISNUMBER(I111),IF($I$150&gt;$H$150,(I111-$H$150)/($I$150-$H$150),"缺失"),"缺失")</x:f>
        <x:v>0.12787313295709446</x:v>
      </x:c>
      <x:c r="AB111" s="12" t="n">
        <x:f>IF(ISNUMBER(J111),IF($I$151&gt;$H$151,(J111-$H$151)/($I$151-$H$151),"缺失"),"缺失")</x:f>
        <x:v>0</x:v>
      </x:c>
      <x:c r="AC111" s="12" t="n">
        <x:f>IF(ISNUMBER(K111),IF($I$152&gt;$H$152,(K111-$H$152)/($I$152-$H$152),"缺失"),"缺失")</x:f>
        <x:v>0.0018087836427341717</x:v>
      </x:c>
      <x:c r="AD111" s="12" t="n">
        <x:f>IF(ISNUMBER(L111),IF($I$153&gt;$H$153,(L111-$H$153)/($I$153-$H$153),"缺失"),"缺失")</x:f>
        <x:v>0.8633116782944141</x:v>
      </x:c>
      <x:c r="AE111" s="12" t="n">
        <x:f>IF(ISNUMBER(M111),IF($I$154&gt;$H$154,(M111-$H$154)/($I$154-$H$154),"缺失"),"缺失")</x:f>
        <x:v>0.663301826</x:v>
      </x:c>
      <x:c r="AF111" s="12" t="n">
        <x:f>IF(ISNUMBER(N111),IF($I$155&gt;$H$155,(N111-$H$155)/($I$155-$H$155),"缺失"),"缺失")</x:f>
        <x:v>0.02162158804694512</x:v>
      </x:c>
      <x:c r="AG111" s="12" t="n">
        <x:f>IF(ISNUMBER(O111),IF($I$156&gt;$H$156,(O111-$H$156)/($I$156-$H$156),"缺失"),"缺失")</x:f>
        <x:v>0.3567529316619491</x:v>
      </x:c>
      <x:c r="AH111" s="12" t="n">
        <x:f>IF(ISNUMBER(P111),IF($I$157&gt;$H$157,(P111-$H$157)/($I$157-$H$157),"缺失"),"缺失")</x:f>
        <x:v>0.35711754569618875</x:v>
      </x:c>
      <x:c r="AI111" s="12" t="n">
        <x:f>IF(ISNUMBER(Q111),IF($I$158&gt;$H$158,(Q111-$H$158)/($I$158-$H$158),"缺失"),"缺失")</x:f>
        <x:v>0.24143809990319043</x:v>
      </x:c>
      <x:c r="AJ111" s="12" t="n">
        <x:f>IF(ISNUMBER(R111),IF($I$159&gt;$H$159,(R111-$H$159)/($I$159-$H$159),"缺失"),"缺失")</x:f>
        <x:v>0.01811503864447609</x:v>
      </x:c>
      <x:c r="AK111" s="12" t="n">
        <x:f>IF(ISNUMBER(S111),IF($I$160&gt;$H$160,(S111-$H$160)/($I$160-$H$160),"缺失"),"缺失")</x:f>
        <x:v>0.11601696763472832</x:v>
      </x:c>
      <x:c r="AL111" s="12" t="n">
        <x:f>IF(ISNUMBER(T111),IF($I$161&gt;$H$161,(T111-$H$161)/($I$161-$H$161),"缺失"),"缺失")</x:f>
        <x:v>1</x:v>
      </x:c>
      <x:c r="AM111" s="12" t="n">
        <x:f>IF(ISNUMBER(U111),IF($I$162&gt;$H$162,(U111-$H$162)/($I$162-$H$162),"缺失"),"缺失")</x:f>
        <x:v>1</x:v>
      </x:c>
      <x:c r="AN111" s="12" t="n">
        <x:f>IF(ISNUMBER(V111),IF($I$163&gt;$H$163,(V111-$H$163)/($I$163-$H$163),"缺失"),"缺失")</x:f>
        <x:v>0</x:v>
      </x:c>
      <x:c r="AO111" s="23" t="str"/>
      <x:c r="AP111" s="23" t="str">
        <x:v>见指标口径：州级、产业、代表点代理；气候基期待核实</x:v>
      </x:c>
      <x:c r="AQ111" s="15" t="n">
        <x:v>1.0000000000000007</x:v>
      </x:c>
      <x:c r="AR111" s="15" t="n">
        <x:v>1.000000000000001</x:v>
      </x:c>
      <x:c r="AS111" s="15" t="n">
        <x:v>1</x:v>
      </x:c>
      <x:c r="AT111" s="15" t="n">
        <x:v>1</x:v>
      </x:c>
    </x:row>
    <x:row r="112" ht="24" customHeight="1">
      <x:c r="A112" s="18" t="str">
        <x:v>51610</x:v>
      </x:c>
      <x:c r="B112" s="3" t="str">
        <x:v>Falls Church city</x:v>
      </x:c>
      <x:c r="C112" s="3" t="str">
        <x:v>VA</x:v>
      </x:c>
      <x:c r="D112" s="12" t="n">
        <x:v>5.300262</x:v>
      </x:c>
      <x:c r="E112" s="12" t="n">
        <x:v>0.048</x:v>
      </x:c>
      <x:c r="F112" s="12" t="n">
        <x:v>0.116955445544554</x:v>
      </x:c>
      <x:c r="G112" s="12" t="n">
        <x:v>3.5040879415836073</x:v>
      </x:c>
      <x:c r="H112" s="12" t="n">
        <x:v>3.895782624019243</x:v>
      </x:c>
      <x:c r="I112" s="12" t="n">
        <x:v>0.11073369565217392</x:v>
      </x:c>
      <x:c r="J112" s="12" t="n">
        <x:v>0</x:v>
      </x:c>
      <x:c r="K112" s="12" t="n">
        <x:v>0.0030570652173913045</x:v>
      </x:c>
      <x:c r="L112" s="24" t="n">
        <x:v>0.995625</x:v>
      </x:c>
      <x:c r="M112" s="24" t="n">
        <x:v>0.72</x:v>
      </x:c>
      <x:c r="N112" s="13" t="n">
        <x:v>8367</x:v>
      </x:c>
      <x:c r="O112" s="12" t="n">
        <x:v>0.2189</x:v>
      </x:c>
      <x:c r="P112" s="12" t="n">
        <x:v>1160.946374511719</x:v>
      </x:c>
      <x:c r="Q112" s="12" t="n">
        <x:v>23.209536679585774</x:v>
      </x:c>
      <x:c r="R112" s="12" t="n">
        <x:v>1.094494648479996</x:v>
      </x:c>
      <x:c r="S112" s="12" t="n">
        <x:v>7.3440579511095</x:v>
      </x:c>
      <x:c r="T112" s="12" t="n">
        <x:v>89.9</x:v>
      </x:c>
      <x:c r="U112" s="12" t="n">
        <x:v>245.07712999476223</x:v>
      </x:c>
      <x:c r="V112" s="12" t="n">
        <x:v>244.75798925963002</x:v>
      </x:c>
      <x:c r="W112" s="12" t="n">
        <x:f>IF(ISNUMBER(E112),IF($I$146&gt;$H$146,(E112-$H$146)/($I$146-$H$146),"缺失"),"缺失")</x:f>
        <x:v>0</x:v>
      </x:c>
      <x:c r="X112" s="12" t="n">
        <x:f>IF(ISNUMBER(F112),IF($I$147&gt;$H$147,(F112-$H$147)/($I$147-$H$147),"缺失"),"缺失")</x:f>
        <x:v>0.11275590551181053</x:v>
      </x:c>
      <x:c r="Y112" s="12" t="n">
        <x:f>IF(ISNUMBER(G112),IF($I$148&gt;$H$148,(G112-$H$148)/($I$148-$H$148),"缺失"),"缺失")</x:f>
        <x:v>0.9214108835799291</x:v>
      </x:c>
      <x:c r="Z112" s="12" t="n">
        <x:f>IF(ISNUMBER(H112),IF($I$149&gt;$H$149,(H112-$H$149)/($I$149-$H$149),"缺失"),"缺失")</x:f>
        <x:v>0.9599919413162663</x:v>
      </x:c>
      <x:c r="AA112" s="12" t="n">
        <x:f>IF(ISNUMBER(I112),IF($I$150&gt;$H$150,(I112-$H$150)/($I$150-$H$150),"缺失"),"缺失")</x:f>
        <x:v>0.05456135953810782</x:v>
      </x:c>
      <x:c r="AB112" s="12" t="n">
        <x:f>IF(ISNUMBER(J112),IF($I$151&gt;$H$151,(J112-$H$151)/($I$151-$H$151),"缺失"),"缺失")</x:f>
        <x:v>0</x:v>
      </x:c>
      <x:c r="AC112" s="12" t="n">
        <x:f>IF(ISNUMBER(K112),IF($I$152&gt;$H$152,(K112-$H$152)/($I$152-$H$152),"缺失"),"缺失")</x:f>
        <x:v>0.005255710351781101</x:v>
      </x:c>
      <x:c r="AD112" s="12" t="n">
        <x:f>IF(ISNUMBER(L112),IF($I$153&gt;$H$153,(L112-$H$153)/($I$153-$H$153),"缺失"),"缺失")</x:f>
        <x:v>0.9956235525206313</x:v>
      </x:c>
      <x:c r="AE112" s="12" t="n">
        <x:f>IF(ISNUMBER(M112),IF($I$154&gt;$H$154,(M112-$H$154)/($I$154-$H$154),"缺失"),"缺失")</x:f>
        <x:v>0.72</x:v>
      </x:c>
      <x:c r="AF112" s="12" t="n">
        <x:f>IF(ISNUMBER(N112),IF($I$155&gt;$H$155,(N112-$H$155)/($I$155-$H$155),"缺失"),"缺失")</x:f>
        <x:v>0.011924172264614449</x:v>
      </x:c>
      <x:c r="AG112" s="12" t="n">
        <x:f>IF(ISNUMBER(O112),IF($I$156&gt;$H$156,(O112-$H$156)/($I$156-$H$156),"缺失"),"缺失")</x:f>
        <x:v>0.21906591184795796</x:v>
      </x:c>
      <x:c r="AH112" s="12" t="n">
        <x:f>IF(ISNUMBER(P112),IF($I$157&gt;$H$157,(P112-$H$157)/($I$157-$H$157),"缺失"),"缺失")</x:f>
        <x:v>0.3982011763439545</x:v>
      </x:c>
      <x:c r="AI112" s="12" t="n">
        <x:f>IF(ISNUMBER(Q112),IF($I$158&gt;$H$158,(Q112-$H$158)/($I$158-$H$158),"缺失"),"缺失")</x:f>
        <x:v>0.2690073033123997</x:v>
      </x:c>
      <x:c r="AJ112" s="12" t="n">
        <x:f>IF(ISNUMBER(R112),IF($I$159&gt;$H$159,(R112-$H$159)/($I$159-$H$159),"缺失"),"缺失")</x:f>
        <x:v>0.009990831158650692</x:v>
      </x:c>
      <x:c r="AK112" s="12" t="n">
        <x:f>IF(ISNUMBER(S112),IF($I$160&gt;$H$160,(S112-$H$160)/($I$160-$H$160),"缺失"),"缺失")</x:f>
        <x:v>0.14320879773469786</x:v>
      </x:c>
      <x:c r="AL112" s="12" t="n">
        <x:f>IF(ISNUMBER(T112),IF($I$161&gt;$H$161,(T112-$H$161)/($I$161-$H$161),"缺失"),"缺失")</x:f>
        <x:v>1</x:v>
      </x:c>
      <x:c r="AM112" s="12" t="n">
        <x:f>IF(ISNUMBER(U112),IF($I$162&gt;$H$162,(U112-$H$162)/($I$162-$H$162),"缺失"),"缺失")</x:f>
        <x:v>1</x:v>
      </x:c>
      <x:c r="AN112" s="12" t="n">
        <x:f>IF(ISNUMBER(V112),IF($I$163&gt;$H$163,(V112-$H$163)/($I$163-$H$163),"缺失"),"缺失")</x:f>
        <x:v>0</x:v>
      </x:c>
      <x:c r="AO112" s="23" t="str"/>
      <x:c r="AP112" s="23" t="str">
        <x:v>见指标口径：州级、产业、代表点代理；气候基期待核实</x:v>
      </x:c>
      <x:c r="AQ112" s="15" t="n">
        <x:v>1.0000000000000004</x:v>
      </x:c>
      <x:c r="AR112" s="15" t="n">
        <x:v>1.0000000000000004</x:v>
      </x:c>
      <x:c r="AS112" s="15" t="n">
        <x:v>1</x:v>
      </x:c>
      <x:c r="AT112" s="15" t="n">
        <x:v>1</x:v>
      </x:c>
    </x:row>
    <x:row r="113" ht="24" customHeight="1">
      <x:c r="A113" s="18" t="str">
        <x:v>51620</x:v>
      </x:c>
      <x:c r="B113" s="3" t="str">
        <x:v>Franklin city</x:v>
      </x:c>
      <x:c r="C113" s="3" t="str">
        <x:v>VA</x:v>
      </x:c>
      <x:c r="D113" s="12" t="n">
        <x:v>21.438217</x:v>
      </x:c>
      <x:c r="E113" s="12" t="n">
        <x:v>0.303</x:v>
      </x:c>
      <x:c r="F113" s="12" t="n">
        <x:v>0.286509900990099</x:v>
      </x:c>
      <x:c r="G113" s="12" t="n">
        <x:v>3.7205495379841897</x:v>
      </x:c>
      <x:c r="H113" s="12" t="n">
        <x:v>4.058068907</x:v>
      </x:c>
      <x:c r="I113" s="12" t="n">
        <x:v>0.561401300608349</x:v>
      </x:c>
      <x:c r="J113" s="12" t="n">
        <x:v>0</x:v>
      </x:c>
      <x:c r="K113" s="12" t="n">
        <x:v>0.15636668764422068</x:v>
      </x:c>
      <x:c r="L113" s="24" t="n">
        <x:v>0.068130883</x:v>
      </x:c>
      <x:c r="M113" s="24" t="n">
        <x:v>0.068130883</x:v>
      </x:c>
      <x:c r="N113" s="13" t="n">
        <x:v>3570</x:v>
      </x:c>
      <x:c r="O113" s="12" t="n">
        <x:v>0.7938</x:v>
      </x:c>
      <x:c r="P113" s="12" t="n">
        <x:v>1364.840470377604</x:v>
      </x:c>
      <x:c r="Q113" s="12" t="n">
        <x:v>28.82916316986084</x:v>
      </x:c>
      <x:c r="R113" s="12" t="n">
        <x:v>46.527031073331464</x:v>
      </x:c>
      <x:c r="S113" s="12" t="n">
        <x:v>0.049483621987277404</x:v>
      </x:c>
      <x:c r="T113" s="12" t="n">
        <x:v>89.9</x:v>
      </x:c>
      <x:c r="U113" s="12" t="n">
        <x:v>245.07712999476223</x:v>
      </x:c>
      <x:c r="V113" s="12" t="n">
        <x:v>244.75798925963002</x:v>
      </x:c>
      <x:c r="W113" s="12" t="n">
        <x:f>IF(ISNUMBER(E113),IF($I$146&gt;$H$146,(E113-$H$146)/($I$146-$H$146),"缺失"),"缺失")</x:f>
        <x:v>0.2951388888888889</x:v>
      </x:c>
      <x:c r="X113" s="12" t="n">
        <x:f>IF(ISNUMBER(F113),IF($I$147&gt;$H$147,(F113-$H$147)/($I$147-$H$147),"缺失"),"缺失")</x:f>
        <x:v>0.28535433070866134</x:v>
      </x:c>
      <x:c r="Y113" s="12" t="n">
        <x:f>IF(ISNUMBER(G113),IF($I$148&gt;$H$148,(G113-$H$148)/($I$148-$H$148),"缺失"),"缺失")</x:f>
        <x:v>0.9783513171082071</x:v>
      </x:c>
      <x:c r="Z113" s="12" t="n">
        <x:f>IF(ISNUMBER(H113),IF($I$149&gt;$H$149,(H113-$H$149)/($I$149-$H$149),"缺失"),"缺失")</x:f>
        <x:v>1</x:v>
      </x:c>
      <x:c r="AA113" s="12" t="n">
        <x:f>IF(ISNUMBER(I113),IF($I$150&gt;$H$150,(I113-$H$150)/($I$150-$H$150),"缺失"),"缺失")</x:f>
        <x:v>0.5383649105850559</x:v>
      </x:c>
      <x:c r="AB113" s="12" t="n">
        <x:f>IF(ISNUMBER(J113),IF($I$151&gt;$H$151,(J113-$H$151)/($I$151-$H$151),"缺失"),"缺失")</x:f>
        <x:v>0</x:v>
      </x:c>
      <x:c r="AC113" s="12" t="n">
        <x:f>IF(ISNUMBER(K113),IF($I$152&gt;$H$152,(K113-$H$152)/($I$152-$H$152),"缺失"),"缺失")</x:f>
        <x:v>0.2688258053018369</x:v>
      </x:c>
      <x:c r="AD113" s="12" t="n">
        <x:f>IF(ISNUMBER(L113),IF($I$153&gt;$H$153,(L113-$H$153)/($I$153-$H$153),"缺失"),"缺失")</x:f>
        <x:v>0.06782257184087838</x:v>
      </x:c>
      <x:c r="AE113" s="12" t="n">
        <x:f>IF(ISNUMBER(M113),IF($I$154&gt;$H$154,(M113-$H$154)/($I$154-$H$154),"缺失"),"缺失")</x:f>
        <x:v>0.068130883</x:v>
      </x:c>
      <x:c r="AF113" s="12" t="n">
        <x:f>IF(ISNUMBER(N113),IF($I$155&gt;$H$155,(N113-$H$155)/($I$155-$H$155),"缺失"),"缺失")</x:f>
        <x:v>0.004475252567602402</x:v>
      </x:c>
      <x:c r="AG113" s="12" t="n">
        <x:f>IF(ISNUMBER(O113),IF($I$156&gt;$H$156,(O113-$H$156)/($I$156-$H$156),"缺失"),"缺失")</x:f>
        <x:v>0.8002426202992317</x:v>
      </x:c>
      <x:c r="AH113" s="12" t="n">
        <x:f>IF(ISNUMBER(P113),IF($I$157&gt;$H$157,(P113-$H$157)/($I$157-$H$157),"缺失"),"缺失")</x:f>
        <x:v>0.48992416827314167</x:v>
      </x:c>
      <x:c r="AI113" s="12" t="n">
        <x:f>IF(ISNUMBER(Q113),IF($I$158&gt;$H$158,(Q113-$H$158)/($I$158-$H$158),"缺失"),"缺失")</x:f>
        <x:v>0.33504688139074984</x:v>
      </x:c>
      <x:c r="AJ113" s="12" t="n">
        <x:f>IF(ISNUMBER(R113),IF($I$159&gt;$H$159,(R113-$H$159)/($I$159-$H$159),"缺失"),"缺失")</x:f>
        <x:v>0.48741631112103195</x:v>
      </x:c>
      <x:c r="AK113" s="12" t="n">
        <x:f>IF(ISNUMBER(S113),IF($I$160&gt;$H$160,(S113-$H$160)/($I$160-$H$160),"缺失"),"缺失")</x:f>
        <x:v>0.0008065985613546805</x:v>
      </x:c>
      <x:c r="AL113" s="12" t="n">
        <x:f>IF(ISNUMBER(T113),IF($I$161&gt;$H$161,(T113-$H$161)/($I$161-$H$161),"缺失"),"缺失")</x:f>
        <x:v>1</x:v>
      </x:c>
      <x:c r="AM113" s="12" t="n">
        <x:f>IF(ISNUMBER(U113),IF($I$162&gt;$H$162,(U113-$H$162)/($I$162-$H$162),"缺失"),"缺失")</x:f>
        <x:v>1</x:v>
      </x:c>
      <x:c r="AN113" s="12" t="n">
        <x:f>IF(ISNUMBER(V113),IF($I$163&gt;$H$163,(V113-$H$163)/($I$163-$H$163),"缺失"),"缺失")</x:f>
        <x:v>0</x:v>
      </x:c>
      <x:c r="AO113" s="23" t="str"/>
      <x:c r="AP113" s="23" t="str">
        <x:v>见指标口径：州级、产业、代表点代理；气候基期待核实</x:v>
      </x:c>
      <x:c r="AQ113" s="15" t="n">
        <x:v>0.9999999999999991</x:v>
      </x:c>
      <x:c r="AR113" s="15" t="n">
        <x:v>0.9999999999999991</x:v>
      </x:c>
      <x:c r="AS113" s="15" t="n">
        <x:v>1</x:v>
      </x:c>
      <x:c r="AT113" s="15" t="n">
        <x:v>1</x:v>
      </x:c>
    </x:row>
    <x:row r="114" ht="24" customHeight="1">
      <x:c r="A114" s="18" t="str">
        <x:v>51630</x:v>
      </x:c>
      <x:c r="B114" s="3" t="str">
        <x:v>Fredericksburg city</x:v>
      </x:c>
      <x:c r="C114" s="3" t="str">
        <x:v>VA</x:v>
      </x:c>
      <x:c r="D114" s="12" t="n">
        <x:v>27.066498</x:v>
      </x:c>
      <x:c r="E114" s="12" t="n">
        <x:v>0.205</x:v>
      </x:c>
      <x:c r="F114" s="12" t="n">
        <x:v>0.22679455445544602</x:v>
      </x:c>
      <x:c r="G114" s="12" t="n">
        <x:v>2.7027135553703565</x:v>
      </x:c>
      <x:c r="H114" s="12" t="n">
        <x:v>3.0523827680000006</x:v>
      </x:c>
      <x:c r="I114" s="12" t="n">
        <x:v>0.29597377657108803</x:v>
      </x:c>
      <x:c r="J114" s="12" t="n">
        <x:v>0.007723144990551124</x:v>
      </x:c>
      <x:c r="K114" s="12" t="n">
        <x:v>0.038209390106615455</x:v>
      </x:c>
      <x:c r="L114" s="24" t="n">
        <x:v>0.525613697</x:v>
      </x:c>
      <x:c r="M114" s="24" t="n">
        <x:v>0.22856357</x:v>
      </x:c>
      <x:c r="N114" s="13" t="n">
        <x:v>16496</x:v>
      </x:c>
      <x:c r="O114" s="12" t="n">
        <x:v>0.7636</x:v>
      </x:c>
      <x:c r="P114" s="12" t="n">
        <x:v>1165.3438639322917</x:v>
      </x:c>
      <x:c r="Q114" s="12" t="n">
        <x:v>30.13529001871745</x:v>
      </x:c>
      <x:c r="R114" s="12" t="n">
        <x:v>1.4644234708306532</x:v>
      </x:c>
      <x:c r="S114" s="12" t="n">
        <x:v>2.3148008849534487</x:v>
      </x:c>
      <x:c r="T114" s="12" t="n">
        <x:v>89.9</x:v>
      </x:c>
      <x:c r="U114" s="12" t="n">
        <x:v>245.07712999476223</x:v>
      </x:c>
      <x:c r="V114" s="12" t="n">
        <x:v>244.75798925963002</x:v>
      </x:c>
      <x:c r="W114" s="12" t="n">
        <x:f>IF(ISNUMBER(E114),IF($I$146&gt;$H$146,(E114-$H$146)/($I$146-$H$146),"缺失"),"缺失")</x:f>
        <x:v>0.18171296296296294</x:v>
      </x:c>
      <x:c r="X114" s="12" t="n">
        <x:f>IF(ISNUMBER(F114),IF($I$147&gt;$H$147,(F114-$H$147)/($I$147-$H$147),"缺失"),"缺失")</x:f>
        <x:v>0.2245669291338587</x:v>
      </x:c>
      <x:c r="Y114" s="12" t="n">
        <x:f>IF(ISNUMBER(G114),IF($I$148&gt;$H$148,(G114-$H$148)/($I$148-$H$148),"缺失"),"缺失")</x:f>
        <x:v>0.7106085716308085</x:v>
      </x:c>
      <x:c r="Z114" s="12" t="n">
        <x:f>IF(ISNUMBER(H114),IF($I$149&gt;$H$149,(H114-$H$149)/($I$149-$H$149),"缺失"),"缺失")</x:f>
        <x:v>0.7520705427007623</x:v>
      </x:c>
      <x:c r="AA114" s="12" t="n">
        <x:f>IF(ISNUMBER(I114),IF($I$150&gt;$H$150,(I114-$H$150)/($I$150-$H$150),"缺失"),"缺失")</x:f>
        <x:v>0.25342146831719276</x:v>
      </x:c>
      <x:c r="AB114" s="12" t="n">
        <x:f>IF(ISNUMBER(J114),IF($I$151&gt;$H$151,(J114-$H$151)/($I$151-$H$151),"缺失"),"缺失")</x:f>
        <x:v>0.01894482817678616</x:v>
      </x:c>
      <x:c r="AC114" s="12" t="n">
        <x:f>IF(ISNUMBER(K114),IF($I$152&gt;$H$152,(K114-$H$152)/($I$152-$H$152),"缺失"),"缺失")</x:f>
        <x:v>0.06568963134190035</x:v>
      </x:c>
      <x:c r="AD114" s="12" t="n">
        <x:f>IF(ISNUMBER(L114),IF($I$153&gt;$H$153,(L114-$H$153)/($I$153-$H$153),"缺失"),"缺失")</x:f>
        <x:v>0.525456745140258</x:v>
      </x:c>
      <x:c r="AE114" s="12" t="n">
        <x:f>IF(ISNUMBER(M114),IF($I$154&gt;$H$154,(M114-$H$154)/($I$154-$H$154),"缺失"),"缺失")</x:f>
        <x:v>0.22856357</x:v>
      </x:c>
      <x:c r="AF114" s="12" t="n">
        <x:f>IF(ISNUMBER(N114),IF($I$155&gt;$H$155,(N114-$H$155)/($I$155-$H$155),"缺失"),"缺失")</x:f>
        <x:v>0.02454711748392046</x:v>
      </x:c>
      <x:c r="AG114" s="12" t="n">
        <x:f>IF(ISNUMBER(O114),IF($I$156&gt;$H$156,(O114-$H$156)/($I$156-$H$156),"缺失"),"缺失")</x:f>
        <x:v>0.7697128993125758</x:v>
      </x:c>
      <x:c r="AH114" s="12" t="n">
        <x:f>IF(ISNUMBER(P114),IF($I$157&gt;$H$157,(P114-$H$157)/($I$157-$H$157),"缺失"),"缺失")</x:f>
        <x:v>0.4001794135504757</x:v>
      </x:c>
      <x:c r="AI114" s="12" t="n">
        <x:f>IF(ISNUMBER(Q114),IF($I$158&gt;$H$158,(Q114-$H$158)/($I$158-$H$158),"缺失"),"缺失")</x:f>
        <x:v>0.35039595595372375</x:v>
      </x:c>
      <x:c r="AJ114" s="12" t="n">
        <x:f>IF(ISNUMBER(R114),IF($I$159&gt;$H$159,(R114-$H$159)/($I$159-$H$159),"缺失"),"缺失")</x:f>
        <x:v>0.013878209224253781</x:v>
      </x:c>
      <x:c r="AK114" s="12" t="n">
        <x:f>IF(ISNUMBER(S114),IF($I$160&gt;$H$160,(S114-$H$160)/($I$160-$H$160),"缺失"),"缺失")</x:f>
        <x:v>0.045029351736115886</x:v>
      </x:c>
      <x:c r="AL114" s="12" t="n">
        <x:f>IF(ISNUMBER(T114),IF($I$161&gt;$H$161,(T114-$H$161)/($I$161-$H$161),"缺失"),"缺失")</x:f>
        <x:v>1</x:v>
      </x:c>
      <x:c r="AM114" s="12" t="n">
        <x:f>IF(ISNUMBER(U114),IF($I$162&gt;$H$162,(U114-$H$162)/($I$162-$H$162),"缺失"),"缺失")</x:f>
        <x:v>1</x:v>
      </x:c>
      <x:c r="AN114" s="12" t="n">
        <x:f>IF(ISNUMBER(V114),IF($I$163&gt;$H$163,(V114-$H$163)/($I$163-$H$163),"缺失"),"缺失")</x:f>
        <x:v>0</x:v>
      </x:c>
      <x:c r="AO114" s="23" t="str"/>
      <x:c r="AP114" s="23" t="str">
        <x:v>见指标口径：州级、产业、代表点代理；气候基期待核实</x:v>
      </x:c>
      <x:c r="AQ114" s="15" t="n">
        <x:v>1.0000000000000016</x:v>
      </x:c>
      <x:c r="AR114" s="15" t="n">
        <x:v>1.0000000000000016</x:v>
      </x:c>
      <x:c r="AS114" s="15" t="n">
        <x:v>1</x:v>
      </x:c>
      <x:c r="AT114" s="15" t="n">
        <x:v>1</x:v>
      </x:c>
    </x:row>
    <x:row r="115" ht="24" customHeight="1">
      <x:c r="A115" s="18" t="str">
        <x:v>51640</x:v>
      </x:c>
      <x:c r="B115" s="3" t="str">
        <x:v>Galax city</x:v>
      </x:c>
      <x:c r="C115" s="3" t="str">
        <x:v>VA</x:v>
      </x:c>
      <x:c r="D115" s="12" t="n">
        <x:v>21.332077</x:v>
      </x:c>
      <x:c r="E115" s="12" t="n">
        <x:v>0.653</x:v>
      </x:c>
      <x:c r="F115" s="12" t="n">
        <x:v>0.24102722772277202</x:v>
      </x:c>
      <x:c r="G115" s="12" t="n">
        <x:v>1.8856368305962752</x:v>
      </x:c>
      <x:c r="H115" s="12" t="n">
        <x:v>2.282656327</x:v>
      </x:c>
      <x:c r="I115" s="12" t="n">
        <x:v>0.5625525121828264</x:v>
      </x:c>
      <x:c r="J115" s="12" t="n">
        <x:v>0</x:v>
      </x:c>
      <x:c r="K115" s="12" t="n">
        <x:v>0</x:v>
      </x:c>
      <x:c r="L115" s="24" t="n">
        <x:v>0.876636983</x:v>
      </x:c>
      <x:c r="M115" s="24" t="n">
        <x:v>0.876636983</x:v>
      </x:c>
      <x:c r="N115" s="13" t="n">
        <x:v>2815</x:v>
      </x:c>
      <x:c r="O115" s="12" t="n">
        <x:v>0.9532</x:v>
      </x:c>
      <x:c r="P115" s="12" t="n">
        <x:v>432.3235636393229</x:v>
      </x:c>
      <x:c r="Q115" s="12" t="n">
        <x:v>1.387273340423902</x:v>
      </x:c>
      <x:c r="R115" s="12" t="n">
        <x:v>14.936723105328703</x:v>
      </x:c>
      <x:c r="S115" s="12" t="n">
        <x:v>0.9250213251024745</x:v>
      </x:c>
      <x:c r="T115" s="12" t="n">
        <x:v>89.9</x:v>
      </x:c>
      <x:c r="U115" s="12" t="n">
        <x:v>245.07712999476223</x:v>
      </x:c>
      <x:c r="V115" s="12" t="n">
        <x:v>244.75798925963002</x:v>
      </x:c>
      <x:c r="W115" s="12" t="n">
        <x:f>IF(ISNUMBER(E115),IF($I$146&gt;$H$146,(E115-$H$146)/($I$146-$H$146),"缺失"),"缺失")</x:f>
        <x:v>0.7002314814814815</x:v>
      </x:c>
      <x:c r="X115" s="12" t="n">
        <x:f>IF(ISNUMBER(F115),IF($I$147&gt;$H$147,(F115-$H$147)/($I$147-$H$147),"缺失"),"缺失")</x:f>
        <x:v>0.2390551181102359</x:v>
      </x:c>
      <x:c r="Y115" s="12" t="n">
        <x:f>IF(ISNUMBER(G115),IF($I$148&gt;$H$148,(G115-$H$148)/($I$148-$H$148),"缺失"),"缺失")</x:f>
        <x:v>0.4956757442464839</x:v>
      </x:c>
      <x:c r="Z115" s="12" t="n">
        <x:f>IF(ISNUMBER(H115),IF($I$149&gt;$H$149,(H115-$H$149)/($I$149-$H$149),"缺失"),"缺失")</x:f>
        <x:v>0.5623116791891672</x:v>
      </x:c>
      <x:c r="AA115" s="12" t="n">
        <x:f>IF(ISNUMBER(I115),IF($I$150&gt;$H$150,(I115-$H$150)/($I$150-$H$150),"缺失"),"缺失")</x:f>
        <x:v>0.539600766549881</x:v>
      </x:c>
      <x:c r="AB115" s="12" t="n">
        <x:f>IF(ISNUMBER(J115),IF($I$151&gt;$H$151,(J115-$H$151)/($I$151-$H$151),"缺失"),"缺失")</x:f>
        <x:v>0</x:v>
      </x:c>
      <x:c r="AC115" s="12" t="n">
        <x:f>IF(ISNUMBER(K115),IF($I$152&gt;$H$152,(K115-$H$152)/($I$152-$H$152),"缺失"),"缺失")</x:f>
        <x:v>0</x:v>
      </x:c>
      <x:c r="AD115" s="12" t="n">
        <x:f>IF(ISNUMBER(L115),IF($I$153&gt;$H$153,(L115-$H$153)/($I$153-$H$153),"缺失"),"缺失")</x:f>
        <x:v>0.8765961680464082</x:v>
      </x:c>
      <x:c r="AE115" s="12" t="n">
        <x:f>IF(ISNUMBER(M115),IF($I$154&gt;$H$154,(M115-$H$154)/($I$154-$H$154),"缺失"),"缺失")</x:f>
        <x:v>0.876636983</x:v>
      </x:c>
      <x:c r="AF115" s="12" t="n">
        <x:f>IF(ISNUMBER(N115),IF($I$155&gt;$H$155,(N115-$H$155)/($I$155-$H$155),"缺失"),"缺失")</x:f>
        <x:v>0.0033028668325087813</x:v>
      </x:c>
      <x:c r="AG115" s="12" t="n">
        <x:f>IF(ISNUMBER(O115),IF($I$156&gt;$H$156,(O115-$H$156)/($I$156-$H$156),"缺失"),"缺失")</x:f>
        <x:v>0.9613829357056208</x:v>
      </x:c>
      <x:c r="AH115" s="12" t="n">
        <x:f>IF(ISNUMBER(P115),IF($I$157&gt;$H$157,(P115-$H$157)/($I$157-$H$157),"缺失"),"缺失")</x:f>
        <x:v>0.0704257990469586</x:v>
      </x:c>
      <x:c r="AI115" s="12" t="n">
        <x:f>IF(ISNUMBER(Q115),IF($I$158&gt;$H$158,(Q115-$H$158)/($I$158-$H$158),"缺失"),"缺失")</x:f>
        <x:v>0.012560888924037245</x:v>
      </x:c>
      <x:c r="AJ115" s="12" t="n">
        <x:f>IF(ISNUMBER(R115),IF($I$159&gt;$H$159,(R115-$H$159)/($I$159-$H$159),"缺失"),"缺失")</x:f>
        <x:v>0.15545117928803717</x:v>
      </x:c>
      <x:c r="AK115" s="12" t="n">
        <x:f>IF(ISNUMBER(S115),IF($I$160&gt;$H$160,(S115-$H$160)/($I$160-$H$160),"缺失"),"缺失")</x:f>
        <x:v>0.017898547831790675</x:v>
      </x:c>
      <x:c r="AL115" s="12" t="n">
        <x:f>IF(ISNUMBER(T115),IF($I$161&gt;$H$161,(T115-$H$161)/($I$161-$H$161),"缺失"),"缺失")</x:f>
        <x:v>1</x:v>
      </x:c>
      <x:c r="AM115" s="12" t="n">
        <x:f>IF(ISNUMBER(U115),IF($I$162&gt;$H$162,(U115-$H$162)/($I$162-$H$162),"缺失"),"缺失")</x:f>
        <x:v>1</x:v>
      </x:c>
      <x:c r="AN115" s="12" t="n">
        <x:f>IF(ISNUMBER(V115),IF($I$163&gt;$H$163,(V115-$H$163)/($I$163-$H$163),"缺失"),"缺失")</x:f>
        <x:v>0</x:v>
      </x:c>
      <x:c r="AO115" s="23" t="str"/>
      <x:c r="AP115" s="23" t="str">
        <x:v>见指标口径：州级、产业、代表点代理；气候基期待核实</x:v>
      </x:c>
      <x:c r="AQ115" s="15" t="n">
        <x:v>0.999999999999999</x:v>
      </x:c>
      <x:c r="AR115" s="15" t="n">
        <x:v>0.999999999999999</x:v>
      </x:c>
      <x:c r="AS115" s="15" t="n">
        <x:v>1</x:v>
      </x:c>
      <x:c r="AT115" s="15" t="n">
        <x:v>1</x:v>
      </x:c>
    </x:row>
    <x:row r="116" ht="24" customHeight="1">
      <x:c r="A116" s="18" t="str">
        <x:v>51650</x:v>
      </x:c>
      <x:c r="B116" s="3" t="str">
        <x:v>Hampton city</x:v>
      </x:c>
      <x:c r="C116" s="3" t="str">
        <x:v>VA</x:v>
      </x:c>
      <x:c r="D116" s="12" t="n">
        <x:v>133.282615</x:v>
      </x:c>
      <x:c r="E116" s="12" t="n">
        <x:v>0.351</x:v>
      </x:c>
      <x:c r="F116" s="12" t="n">
        <x:v>0.051980198019802</x:v>
      </x:c>
      <x:c r="G116" s="12" t="n">
        <x:v>3.783336604140713</x:v>
      </x:c>
      <x:c r="H116" s="12" t="n">
        <x:v>4.035093502715816</x:v>
      </x:c>
      <x:c r="I116" s="12" t="n">
        <x:v>0.23928803761007048</x:v>
      </x:c>
      <x:c r="J116" s="12" t="n">
        <x:v>0.005663832553331978</x:v>
      </x:c>
      <x:c r="K116" s="12" t="n">
        <x:v>0.16070793848795176</x:v>
      </x:c>
      <x:c r="L116" s="24" t="n">
        <x:v>0.610012578</x:v>
      </x:c>
      <x:c r="M116" s="24" t="n">
        <x:v>0.001813555</x:v>
      </x:c>
      <x:c r="N116" s="13" t="n">
        <x:v>66943</x:v>
      </x:c>
      <x:c r="O116" s="12" t="n">
        <x:v>0.748</x:v>
      </x:c>
      <x:c r="P116" s="12" t="n">
        <x:v>1517.3301798502605</x:v>
      </x:c>
      <x:c r="Q116" s="12" t="n">
        <x:v>21.40859915415446</x:v>
      </x:c>
      <x:c r="R116" s="12" t="n">
        <x:v>3.834792513362541</x:v>
      </x:c>
      <x:c r="S116" s="12" t="n">
        <x:v>4.6811653556639365</x:v>
      </x:c>
      <x:c r="T116" s="12" t="n">
        <x:v>89.9</x:v>
      </x:c>
      <x:c r="U116" s="12" t="n">
        <x:v>245.07712999476223</x:v>
      </x:c>
      <x:c r="V116" s="12" t="n">
        <x:v>244.75798925963002</x:v>
      </x:c>
      <x:c r="W116" s="12" t="n">
        <x:f>IF(ISNUMBER(E116),IF($I$146&gt;$H$146,(E116-$H$146)/($I$146-$H$146),"缺失"),"缺失")</x:f>
        <x:v>0.3506944444444444</x:v>
      </x:c>
      <x:c r="X116" s="12" t="n">
        <x:f>IF(ISNUMBER(F116),IF($I$147&gt;$H$147,(F116-$H$147)/($I$147-$H$147),"缺失"),"缺失")</x:f>
        <x:v>0.04661417322834646</x:v>
      </x:c>
      <x:c r="Y116" s="12" t="n">
        <x:f>IF(ISNUMBER(G116),IF($I$148&gt;$H$148,(G116-$H$148)/($I$148-$H$148),"缺失"),"缺失")</x:f>
        <x:v>0.9948675159461063</x:v>
      </x:c>
      <x:c r="Z116" s="12" t="n">
        <x:f>IF(ISNUMBER(H116),IF($I$149&gt;$H$149,(H116-$H$149)/($I$149-$H$149),"缺失"),"缺失")</x:f>
        <x:v>0.9943359271898962</x:v>
      </x:c>
      <x:c r="AA116" s="12" t="n">
        <x:f>IF(ISNUMBER(I116),IF($I$150&gt;$H$150,(I116-$H$150)/($I$150-$H$150),"缺失"),"缺失")</x:f>
        <x:v>0.19256783361733998</x:v>
      </x:c>
      <x:c r="AB116" s="12" t="n">
        <x:f>IF(ISNUMBER(J116),IF($I$151&gt;$H$151,(J116-$H$151)/($I$151-$H$151),"缺失"),"缺失")</x:f>
        <x:v>0.013893347163136116</x:v>
      </x:c>
      <x:c r="AC116" s="12" t="n">
        <x:f>IF(ISNUMBER(K116),IF($I$152&gt;$H$152,(K116-$H$152)/($I$152-$H$152),"缺失"),"缺失")</x:f>
        <x:v>0.2762892891913124</x:v>
      </x:c>
      <x:c r="AD116" s="12" t="n">
        <x:f>IF(ISNUMBER(L116),IF($I$153&gt;$H$153,(L116-$H$153)/($I$153-$H$153),"缺失"),"缺失")</x:f>
        <x:v>0.6098835497148833</x:v>
      </x:c>
      <x:c r="AE116" s="12" t="n">
        <x:f>IF(ISNUMBER(M116),IF($I$154&gt;$H$154,(M116-$H$154)/($I$154-$H$154),"缺失"),"缺失")</x:f>
        <x:v>0.001813555</x:v>
      </x:c>
      <x:c r="AF116" s="12" t="n">
        <x:f>IF(ISNUMBER(N116),IF($I$155&gt;$H$155,(N116-$H$155)/($I$155-$H$155),"缺失"),"缺失")</x:f>
        <x:v>0.10288267136242092</x:v>
      </x:c>
      <x:c r="AG116" s="12" t="n">
        <x:f>IF(ISNUMBER(O116),IF($I$156&gt;$H$156,(O116-$H$156)/($I$156-$H$156),"缺失"),"缺失")</x:f>
        <x:v>0.7539425798625152</x:v>
      </x:c>
      <x:c r="AH116" s="12" t="n">
        <x:f>IF(ISNUMBER(P116),IF($I$157&gt;$H$157,(P116-$H$157)/($I$157-$H$157),"缺失"),"缺失")</x:f>
        <x:v>0.5585225861520222</x:v>
      </x:c>
      <x:c r="AI116" s="12" t="n">
        <x:f>IF(ISNUMBER(Q116),IF($I$158&gt;$H$158,(Q116-$H$158)/($I$158-$H$158),"缺失"),"缺失")</x:f>
        <x:v>0.24784341376729033</x:v>
      </x:c>
      <x:c r="AJ116" s="12" t="n">
        <x:f>IF(ISNUMBER(R116),IF($I$159&gt;$H$159,(R116-$H$159)/($I$159-$H$159),"缺失"),"缺失")</x:f>
        <x:v>0.038787110792860326</x:v>
      </x:c>
      <x:c r="AK116" s="12" t="n">
        <x:f>IF(ISNUMBER(S116),IF($I$160&gt;$H$160,(S116-$H$160)/($I$160-$H$160),"缺失"),"缺失")</x:f>
        <x:v>0.09122471413437483</x:v>
      </x:c>
      <x:c r="AL116" s="12" t="n">
        <x:f>IF(ISNUMBER(T116),IF($I$161&gt;$H$161,(T116-$H$161)/($I$161-$H$161),"缺失"),"缺失")</x:f>
        <x:v>1</x:v>
      </x:c>
      <x:c r="AM116" s="12" t="n">
        <x:f>IF(ISNUMBER(U116),IF($I$162&gt;$H$162,(U116-$H$162)/($I$162-$H$162),"缺失"),"缺失")</x:f>
        <x:v>1</x:v>
      </x:c>
      <x:c r="AN116" s="12" t="n">
        <x:f>IF(ISNUMBER(V116),IF($I$163&gt;$H$163,(V116-$H$163)/($I$163-$H$163),"缺失"),"缺失")</x:f>
        <x:v>0</x:v>
      </x:c>
      <x:c r="AO116" s="23" t="str"/>
      <x:c r="AP116" s="23" t="str">
        <x:v>baseline_water_stress:有效县域面积覆盖&lt;99%（诊断提示，非行业阈值）；water_stress_2050_bau:有效县域面积覆盖&lt;99%（诊断提示，非行业阈值）</x:v>
      </x:c>
      <x:c r="AQ116" s="15" t="n">
        <x:v>0.44142996891540104</x:v>
      </x:c>
      <x:c r="AR116" s="15" t="n">
        <x:v>0.4380590722575941</x:v>
      </x:c>
      <x:c r="AS116" s="15" t="n">
        <x:v>1</x:v>
      </x:c>
      <x:c r="AT116" s="15" t="n">
        <x:v>1</x:v>
      </x:c>
    </x:row>
    <x:row r="117" ht="24" customHeight="1">
      <x:c r="A117" s="18" t="str">
        <x:v>51660</x:v>
      </x:c>
      <x:c r="B117" s="3" t="str">
        <x:v>Harrisonburg city</x:v>
      </x:c>
      <x:c r="C117" s="3" t="str">
        <x:v>VA</x:v>
      </x:c>
      <x:c r="D117" s="12" t="n">
        <x:v>44.898874</x:v>
      </x:c>
      <x:c r="E117" s="12" t="n">
        <x:v>0.392</x:v>
      </x:c>
      <x:c r="F117" s="12" t="n">
        <x:v>0.179764851485149</x:v>
      </x:c>
      <x:c r="G117" s="12" t="n">
        <x:v>2.819704746608247</x:v>
      </x:c>
      <x:c r="H117" s="12" t="n">
        <x:v>3.067942118</x:v>
      </x:c>
      <x:c r="I117" s="12" t="n">
        <x:v>0.2139164930277288</x:v>
      </x:c>
      <x:c r="J117" s="12" t="n">
        <x:v>0</x:v>
      </x:c>
      <x:c r="K117" s="12" t="n">
        <x:v>0.00004007052412245552</x:v>
      </x:c>
      <x:c r="L117" s="24" t="n">
        <x:v>0.554456864</x:v>
      </x:c>
      <x:c r="M117" s="24" t="n">
        <x:v>0.549775485</x:v>
      </x:c>
      <x:c r="N117" s="13" t="n">
        <x:v>25730</x:v>
      </x:c>
      <x:c r="O117" s="12" t="n">
        <x:v>0.8648</x:v>
      </x:c>
      <x:c r="P117" s="12" t="n">
        <x:v>807.4765441894531</x:v>
      </x:c>
      <x:c r="Q117" s="12" t="n">
        <x:v>15.3845734278361</x:v>
      </x:c>
      <x:c r="R117" s="12" t="n">
        <x:v>0.38758394724160655</x:v>
      </x:c>
      <x:c r="S117" s="12" t="n">
        <x:v>0.008165487901422798</x:v>
      </x:c>
      <x:c r="T117" s="12" t="n">
        <x:v>89.9</x:v>
      </x:c>
      <x:c r="U117" s="12" t="n">
        <x:v>245.07712999476223</x:v>
      </x:c>
      <x:c r="V117" s="12" t="n">
        <x:v>244.75798925963002</x:v>
      </x:c>
      <x:c r="W117" s="12" t="n">
        <x:f>IF(ISNUMBER(E117),IF($I$146&gt;$H$146,(E117-$H$146)/($I$146-$H$146),"缺失"),"缺失")</x:f>
        <x:v>0.3981481481481482</x:v>
      </x:c>
      <x:c r="X117" s="12" t="n">
        <x:f>IF(ISNUMBER(F117),IF($I$147&gt;$H$147,(F117-$H$147)/($I$147-$H$147),"缺失"),"缺失")</x:f>
        <x:v>0.17669291338582724</x:v>
      </x:c>
      <x:c r="Y117" s="12" t="n">
        <x:f>IF(ISNUMBER(G117),IF($I$148&gt;$H$148,(G117-$H$148)/($I$148-$H$148),"缺失"),"缺失")</x:f>
        <x:v>0.7413832183064589</x:v>
      </x:c>
      <x:c r="Z117" s="12" t="n">
        <x:f>IF(ISNUMBER(H117),IF($I$149&gt;$H$149,(H117-$H$149)/($I$149-$H$149),"缺失"),"缺失")</x:f>
        <x:v>0.7559063529519253</x:v>
      </x:c>
      <x:c r="AA117" s="12" t="n">
        <x:f>IF(ISNUMBER(I117),IF($I$150&gt;$H$150,(I117-$H$150)/($I$150-$H$150),"缺失"),"缺失")</x:f>
        <x:v>0.16533081185342485</x:v>
      </x:c>
      <x:c r="AB117" s="12" t="n">
        <x:f>IF(ISNUMBER(J117),IF($I$151&gt;$H$151,(J117-$H$151)/($I$151-$H$151),"缺失"),"缺失")</x:f>
        <x:v>0</x:v>
      </x:c>
      <x:c r="AC117" s="12" t="n">
        <x:f>IF(ISNUMBER(K117),IF($I$152&gt;$H$152,(K117-$H$152)/($I$152-$H$152),"缺失"),"缺失")</x:f>
        <x:v>0.000068889295273653</x:v>
      </x:c>
      <x:c r="AD117" s="12" t="n">
        <x:f>IF(ISNUMBER(L117),IF($I$153&gt;$H$153,(L117-$H$153)/($I$153-$H$153),"缺失"),"缺失")</x:f>
        <x:v>0.5543094549720659</x:v>
      </x:c>
      <x:c r="AE117" s="12" t="n">
        <x:f>IF(ISNUMBER(M117),IF($I$154&gt;$H$154,(M117-$H$154)/($I$154-$H$154),"缺失"),"缺失")</x:f>
        <x:v>0.549775485</x:v>
      </x:c>
      <x:c r="AF117" s="12" t="n">
        <x:f>IF(ISNUMBER(N117),IF($I$155&gt;$H$155,(N117-$H$155)/($I$155-$H$155),"缺失"),"缺失")</x:f>
        <x:v>0.0388859385141913</x:v>
      </x:c>
      <x:c r="AG117" s="12" t="n">
        <x:f>IF(ISNUMBER(O117),IF($I$156&gt;$H$156,(O117-$H$156)/($I$156-$H$156),"缺失"),"缺失")</x:f>
        <x:v>0.8720177921552771</x:v>
      </x:c>
      <x:c r="AH117" s="12" t="n">
        <x:f>IF(ISNUMBER(P117),IF($I$157&gt;$H$157,(P117-$H$157)/($I$157-$H$157),"缺失"),"缺失")</x:f>
        <x:v>0.23919063581714115</x:v>
      </x:c>
      <x:c r="AI117" s="12" t="n">
        <x:f>IF(ISNUMBER(Q117),IF($I$158&gt;$H$158,(Q117-$H$158)/($I$158-$H$158),"缺失"),"缺失")</x:f>
        <x:v>0.17705149939582135</x:v>
      </x:c>
      <x:c r="AJ117" s="12" t="n">
        <x:f>IF(ISNUMBER(R117),IF($I$159&gt;$H$159,(R117-$H$159)/($I$159-$H$159),"缺失"),"缺失")</x:f>
        <x:v>0.0025622962938291988</x:v>
      </x:c>
      <x:c r="AK117" s="12" t="n">
        <x:f>IF(ISNUMBER(S117),IF($I$160&gt;$H$160,(S117-$H$160)/($I$160-$H$160),"缺失"),"缺失")</x:f>
        <x:v>0</x:v>
      </x:c>
      <x:c r="AL117" s="12" t="n">
        <x:f>IF(ISNUMBER(T117),IF($I$161&gt;$H$161,(T117-$H$161)/($I$161-$H$161),"缺失"),"缺失")</x:f>
        <x:v>1</x:v>
      </x:c>
      <x:c r="AM117" s="12" t="n">
        <x:f>IF(ISNUMBER(U117),IF($I$162&gt;$H$162,(U117-$H$162)/($I$162-$H$162),"缺失"),"缺失")</x:f>
        <x:v>1</x:v>
      </x:c>
      <x:c r="AN117" s="12" t="n">
        <x:f>IF(ISNUMBER(V117),IF($I$163&gt;$H$163,(V117-$H$163)/($I$163-$H$163),"缺失"),"缺失")</x:f>
        <x:v>0</x:v>
      </x:c>
      <x:c r="AO117" s="23" t="str"/>
      <x:c r="AP117" s="23" t="str">
        <x:v>见指标口径：州级、产业、代表点代理；气候基期待核实</x:v>
      </x:c>
      <x:c r="AQ117" s="15" t="n">
        <x:v>0.9999999999999999</x:v>
      </x:c>
      <x:c r="AR117" s="15" t="n">
        <x:v>0.9999999999999999</x:v>
      </x:c>
      <x:c r="AS117" s="15" t="n">
        <x:v>1</x:v>
      </x:c>
      <x:c r="AT117" s="15" t="n">
        <x:v>1</x:v>
      </x:c>
    </x:row>
    <x:row r="118" ht="24" customHeight="1">
      <x:c r="A118" s="18" t="str">
        <x:v>51670</x:v>
      </x:c>
      <x:c r="B118" s="3" t="str">
        <x:v>Hopewell city</x:v>
      </x:c>
      <x:c r="C118" s="3" t="str">
        <x:v>VA</x:v>
      </x:c>
      <x:c r="D118" s="12" t="n">
        <x:v>26.817673</x:v>
      </x:c>
      <x:c r="E118" s="12" t="n">
        <x:v>0.255</x:v>
      </x:c>
      <x:c r="F118" s="12" t="n">
        <x:v>0.202042079207921</x:v>
      </x:c>
      <x:c r="G118" s="12" t="n">
        <x:v>2.1548266396937117</x:v>
      </x:c>
      <x:c r="H118" s="12" t="n">
        <x:v>2.475115552022247</x:v>
      </x:c>
      <x:c r="I118" s="12" t="n">
        <x:v>0.20676565439398012</x:v>
      </x:c>
      <x:c r="J118" s="12" t="n">
        <x:v>0</x:v>
      </x:c>
      <x:c r="K118" s="12" t="n">
        <x:v>0.1042058586401505</x:v>
      </x:c>
      <x:c r="L118" s="24" t="n">
        <x:v>0.315784753</x:v>
      </x:c>
      <x:c r="M118" s="24" t="n">
        <x:v>0.000538117</x:v>
      </x:c>
      <x:c r="N118" s="13" t="n">
        <x:v>10083</x:v>
      </x:c>
      <x:c r="O118" s="12" t="n">
        <x:v>0.8801</x:v>
      </x:c>
      <x:c r="P118" s="12" t="n">
        <x:v>1604.9927001953124</x:v>
      </x:c>
      <x:c r="Q118" s="12" t="n">
        <x:v>44.48429985046387</x:v>
      </x:c>
      <x:c r="R118" s="12" t="n">
        <x:v>2.5967534368406557</x:v>
      </x:c>
      <x:c r="S118" s="12" t="n">
        <x:v>0.0288048378448594</x:v>
      </x:c>
      <x:c r="T118" s="12" t="n">
        <x:v>89.9</x:v>
      </x:c>
      <x:c r="U118" s="12" t="n">
        <x:v>245.07712999476223</x:v>
      </x:c>
      <x:c r="V118" s="12" t="n">
        <x:v>244.75798925963002</x:v>
      </x:c>
      <x:c r="W118" s="12" t="n">
        <x:f>IF(ISNUMBER(E118),IF($I$146&gt;$H$146,(E118-$H$146)/($I$146-$H$146),"缺失"),"缺失")</x:f>
        <x:v>0.23958333333333334</x:v>
      </x:c>
      <x:c r="X118" s="12" t="n">
        <x:f>IF(ISNUMBER(F118),IF($I$147&gt;$H$147,(F118-$H$147)/($I$147-$H$147),"缺失"),"缺失")</x:f>
        <x:v>0.19937007874015764</x:v>
      </x:c>
      <x:c r="Y118" s="12" t="n">
        <x:f>IF(ISNUMBER(G118),IF($I$148&gt;$H$148,(G118-$H$148)/($I$148-$H$148),"缺失"),"缺失")</x:f>
        <x:v>0.5664863854238544</x:v>
      </x:c>
      <x:c r="Z118" s="12" t="n">
        <x:f>IF(ISNUMBER(H118),IF($I$149&gt;$H$149,(H118-$H$149)/($I$149-$H$149),"缺失"),"缺失")</x:f>
        <x:v>0.6097582028724351</x:v>
      </x:c>
      <x:c r="AA118" s="12" t="n">
        <x:f>IF(ISNUMBER(I118),IF($I$150&gt;$H$150,(I118-$H$150)/($I$150-$H$150),"缺失"),"缺失")</x:f>
        <x:v>0.1576541981232062</x:v>
      </x:c>
      <x:c r="AB118" s="12" t="n">
        <x:f>IF(ISNUMBER(J118),IF($I$151&gt;$H$151,(J118-$H$151)/($I$151-$H$151),"缺失"),"缺失")</x:f>
        <x:v>0</x:v>
      </x:c>
      <x:c r="AC118" s="12" t="n">
        <x:f>IF(ISNUMBER(K118),IF($I$152&gt;$H$152,(K118-$H$152)/($I$152-$H$152),"缺失"),"缺失")</x:f>
        <x:v>0.1791508427283822</x:v>
      </x:c>
      <x:c r="AD118" s="12" t="n">
        <x:f>IF(ISNUMBER(L118),IF($I$153&gt;$H$153,(L118-$H$153)/($I$153-$H$153),"缺失"),"缺失")</x:f>
        <x:v>0.31555837872485454</x:v>
      </x:c>
      <x:c r="AE118" s="12" t="n">
        <x:f>IF(ISNUMBER(M118),IF($I$154&gt;$H$154,(M118-$H$154)/($I$154-$H$154),"缺失"),"缺失")</x:f>
        <x:v>0.000538117</x:v>
      </x:c>
      <x:c r="AF118" s="12" t="n">
        <x:f>IF(ISNUMBER(N118),IF($I$155&gt;$H$155,(N118-$H$155)/($I$155-$H$155),"缺失"),"缺失")</x:f>
        <x:v>0.014588826465171604</x:v>
      </x:c>
      <x:c r="AG118" s="12" t="n">
        <x:f>IF(ISNUMBER(O118),IF($I$156&gt;$H$156,(O118-$H$156)/($I$156-$H$156),"缺失"),"缺失")</x:f>
        <x:v>0.887484836231298</x:v>
      </x:c>
      <x:c r="AH118" s="12" t="n">
        <x:f>IF(ISNUMBER(P118),IF($I$157&gt;$H$157,(P118-$H$157)/($I$157-$H$157),"缺失"),"缺失")</x:f>
        <x:v>0.597958101005725</x:v>
      </x:c>
      <x:c r="AI118" s="12" t="n">
        <x:f>IF(ISNUMBER(Q118),IF($I$158&gt;$H$158,(Q118-$H$158)/($I$158-$H$158),"缺失"),"缺失")</x:f>
        <x:v>0.5190197171183646</x:v>
      </x:c>
      <x:c r="AJ118" s="12" t="n">
        <x:f>IF(ISNUMBER(R118),IF($I$159&gt;$H$159,(R118-$H$159)/($I$159-$H$159),"缺失"),"缺失")</x:f>
        <x:v>0.025777240624191292</x:v>
      </x:c>
      <x:c r="AK118" s="12" t="n">
        <x:f>IF(ISNUMBER(S118),IF($I$160&gt;$H$160,(S118-$H$160)/($I$160-$H$160),"缺失"),"缺失")</x:f>
        <x:v>0.0004029143701668549</x:v>
      </x:c>
      <x:c r="AL118" s="12" t="n">
        <x:f>IF(ISNUMBER(T118),IF($I$161&gt;$H$161,(T118-$H$161)/($I$161-$H$161),"缺失"),"缺失")</x:f>
        <x:v>1</x:v>
      </x:c>
      <x:c r="AM118" s="12" t="n">
        <x:f>IF(ISNUMBER(U118),IF($I$162&gt;$H$162,(U118-$H$162)/($I$162-$H$162),"缺失"),"缺失")</x:f>
        <x:v>1</x:v>
      </x:c>
      <x:c r="AN118" s="12" t="n">
        <x:f>IF(ISNUMBER(V118),IF($I$163&gt;$H$163,(V118-$H$163)/($I$163-$H$163),"缺失"),"缺失")</x:f>
        <x:v>0</x:v>
      </x:c>
      <x:c r="AO118" s="23" t="str"/>
      <x:c r="AP118" s="23" t="str">
        <x:v>见指标口径：州级、产业、代表点代理；气候基期待核实</x:v>
      </x:c>
      <x:c r="AQ118" s="15" t="n">
        <x:v>0.9999999999999976</x:v>
      </x:c>
      <x:c r="AR118" s="15" t="n">
        <x:v>0.9999999999999992</x:v>
      </x:c>
      <x:c r="AS118" s="15" t="n">
        <x:v>1</x:v>
      </x:c>
      <x:c r="AT118" s="15" t="n">
        <x:v>1</x:v>
      </x:c>
    </x:row>
    <x:row r="119" ht="24" customHeight="1">
      <x:c r="A119" s="18" t="str">
        <x:v>51678</x:v>
      </x:c>
      <x:c r="B119" s="3" t="str">
        <x:v>Lexington city</x:v>
      </x:c>
      <x:c r="C119" s="3" t="str">
        <x:v>VA</x:v>
      </x:c>
      <x:c r="D119" s="12" t="n">
        <x:v>6.473</x:v>
      </x:c>
      <x:c r="E119" s="12" t="n">
        <x:v>0.526</x:v>
      </x:c>
      <x:c r="F119" s="12" t="n">
        <x:v>0.561571782178218</x:v>
      </x:c>
      <x:c r="G119" s="12" t="n">
        <x:v>2.347786261981338</x:v>
      </x:c>
      <x:c r="H119" s="12" t="n">
        <x:v>2.645844728</x:v>
      </x:c>
      <x:c r="I119" s="12" t="n">
        <x:v>0.26775578014675344</x:v>
      </x:c>
      <x:c r="J119" s="12" t="n">
        <x:v>0</x:v>
      </x:c>
      <x:c r="K119" s="12" t="n">
        <x:v>0</x:v>
      </x:c>
      <x:c r="L119" s="24" t="n">
        <x:v>0.911440386</x:v>
      </x:c>
      <x:c r="M119" s="24" t="n">
        <x:v>0.911440386</x:v>
      </x:c>
      <x:c r="N119" s="13" t="n">
        <x:v>3444</x:v>
      </x:c>
      <x:c r="O119" s="12" t="n">
        <x:v>0.0474</x:v>
      </x:c>
      <x:c r="P119" s="12" t="n">
        <x:v>893.0587117513021</x:v>
      </x:c>
      <x:c r="Q119" s="12" t="n">
        <x:v>18.207386843363444</x:v>
      </x:c>
      <x:c r="R119" s="12" t="n">
        <x:v>3.0118129510117866</x:v>
      </x:c>
      <x:c r="S119" s="12" t="n">
        <x:v>1.070108034277115</x:v>
      </x:c>
      <x:c r="T119" s="12" t="n">
        <x:v>89.9</x:v>
      </x:c>
      <x:c r="U119" s="12" t="n">
        <x:v>245.07712999476223</x:v>
      </x:c>
      <x:c r="V119" s="12" t="n">
        <x:v>244.75798925963002</x:v>
      </x:c>
      <x:c r="W119" s="12" t="n">
        <x:f>IF(ISNUMBER(E119),IF($I$146&gt;$H$146,(E119-$H$146)/($I$146-$H$146),"缺失"),"缺失")</x:f>
        <x:v>0.5532407407407408</x:v>
      </x:c>
      <x:c r="X119" s="12" t="n">
        <x:f>IF(ISNUMBER(F119),IF($I$147&gt;$H$147,(F119-$H$147)/($I$147-$H$147),"缺失"),"缺失")</x:f>
        <x:v>0.5653543307086615</x:v>
      </x:c>
      <x:c r="Y119" s="12" t="n">
        <x:f>IF(ISNUMBER(G119),IF($I$148&gt;$H$148,(G119-$H$148)/($I$148-$H$148),"缺失"),"缺失")</x:f>
        <x:v>0.6172446017966903</x:v>
      </x:c>
      <x:c r="Z119" s="12" t="n">
        <x:f>IF(ISNUMBER(H119),IF($I$149&gt;$H$149,(H119-$H$149)/($I$149-$H$149),"缺失"),"缺失")</x:f>
        <x:v>0.6518476682670759</x:v>
      </x:c>
      <x:c r="AA119" s="12" t="n">
        <x:f>IF(ISNUMBER(I119),IF($I$150&gt;$H$150,(I119-$H$150)/($I$150-$H$150),"缺失"),"缺失")</x:f>
        <x:v>0.2231287054840383</x:v>
      </x:c>
      <x:c r="AB119" s="12" t="n">
        <x:f>IF(ISNUMBER(J119),IF($I$151&gt;$H$151,(J119-$H$151)/($I$151-$H$151),"缺失"),"缺失")</x:f>
        <x:v>0</x:v>
      </x:c>
      <x:c r="AC119" s="12" t="n">
        <x:f>IF(ISNUMBER(K119),IF($I$152&gt;$H$152,(K119-$H$152)/($I$152-$H$152),"缺失"),"缺失")</x:f>
        <x:v>0</x:v>
      </x:c>
      <x:c r="AD119" s="12" t="n">
        <x:f>IF(ISNUMBER(L119),IF($I$153&gt;$H$153,(L119-$H$153)/($I$153-$H$153),"缺失"),"缺失")</x:f>
        <x:v>0.9114110858367629</x:v>
      </x:c>
      <x:c r="AE119" s="12" t="n">
        <x:f>IF(ISNUMBER(M119),IF($I$154&gt;$H$154,(M119-$H$154)/($I$154-$H$154),"缺失"),"缺失")</x:f>
        <x:v>0.911440386</x:v>
      </x:c>
      <x:c r="AF119" s="12" t="n">
        <x:f>IF(ISNUMBER(N119),IF($I$155&gt;$H$155,(N119-$H$155)/($I$155-$H$155),"缺失"),"缺失")</x:f>
        <x:v>0.004279596140288764</x:v>
      </x:c>
      <x:c r="AG119" s="12" t="n">
        <x:f>IF(ISNUMBER(O119),IF($I$156&gt;$H$156,(O119-$H$156)/($I$156-$H$156),"缺失"),"缺失")</x:f>
        <x:v>0.04569348968863728</x:v>
      </x:c>
      <x:c r="AH119" s="12" t="n">
        <x:f>IF(ISNUMBER(P119),IF($I$157&gt;$H$157,(P119-$H$157)/($I$157-$H$157),"缺失"),"缺失")</x:f>
        <x:v>0.2776902913918724</x:v>
      </x:c>
      <x:c r="AI119" s="12" t="n">
        <x:f>IF(ISNUMBER(Q119),IF($I$158&gt;$H$158,(Q119-$H$158)/($I$158-$H$158),"缺失"),"缺失")</x:f>
        <x:v>0.21022406118047615</x:v>
      </x:c>
      <x:c r="AJ119" s="12" t="n">
        <x:f>IF(ISNUMBER(R119),IF($I$159&gt;$H$159,(R119-$H$159)/($I$159-$H$159),"缺失"),"缺失")</x:f>
        <x:v>0.03013887225120545</x:v>
      </x:c>
      <x:c r="AK119" s="12" t="n">
        <x:f>IF(ISNUMBER(S119),IF($I$160&gt;$H$160,(S119-$H$160)/($I$160-$H$160),"缺失"),"缺失")</x:f>
        <x:v>0.020730881224406642</x:v>
      </x:c>
      <x:c r="AL119" s="12" t="n">
        <x:f>IF(ISNUMBER(T119),IF($I$161&gt;$H$161,(T119-$H$161)/($I$161-$H$161),"缺失"),"缺失")</x:f>
        <x:v>1</x:v>
      </x:c>
      <x:c r="AM119" s="12" t="n">
        <x:f>IF(ISNUMBER(U119),IF($I$162&gt;$H$162,(U119-$H$162)/($I$162-$H$162),"缺失"),"缺失")</x:f>
        <x:v>1</x:v>
      </x:c>
      <x:c r="AN119" s="12" t="n">
        <x:f>IF(ISNUMBER(V119),IF($I$163&gt;$H$163,(V119-$H$163)/($I$163-$H$163),"缺失"),"缺失")</x:f>
        <x:v>0</x:v>
      </x:c>
      <x:c r="AO119" s="23" t="str"/>
      <x:c r="AP119" s="23" t="str">
        <x:v>见指标口径：州级、产业、代表点代理；气候基期待核实</x:v>
      </x:c>
      <x:c r="AQ119" s="15" t="n">
        <x:v>0.9999999999999997</x:v>
      </x:c>
      <x:c r="AR119" s="15" t="n">
        <x:v>0.9999999999999997</x:v>
      </x:c>
      <x:c r="AS119" s="15" t="n">
        <x:v>1</x:v>
      </x:c>
      <x:c r="AT119" s="15" t="n">
        <x:v>1</x:v>
      </x:c>
    </x:row>
    <x:row r="120" ht="24" customHeight="1">
      <x:c r="A120" s="18" t="str">
        <x:v>51680</x:v>
      </x:c>
      <x:c r="B120" s="3" t="str">
        <x:v>Lynchburg city</x:v>
      </x:c>
      <x:c r="C120" s="3" t="str">
        <x:v>VA</x:v>
      </x:c>
      <x:c r="D120" s="12" t="n">
        <x:v>126.695077</x:v>
      </x:c>
      <x:c r="E120" s="12" t="n">
        <x:v>0.317</x:v>
      </x:c>
      <x:c r="F120" s="12" t="n">
        <x:v>0.21782178217821802</x:v>
      </x:c>
      <x:c r="G120" s="12" t="n">
        <x:v>2.3477959544749485</x:v>
      </x:c>
      <x:c r="H120" s="12" t="n">
        <x:v>2.645851074354399</x:v>
      </x:c>
      <x:c r="I120" s="12" t="n">
        <x:v>0.49416801486432066</x:v>
      </x:c>
      <x:c r="J120" s="12" t="n">
        <x:v>0</x:v>
      </x:c>
      <x:c r="K120" s="12" t="n">
        <x:v>0.0006711551640091277</x:v>
      </x:c>
      <x:c r="L120" s="24" t="n">
        <x:v>0.59954943</x:v>
      </x:c>
      <x:c r="M120" s="24" t="n">
        <x:v>0.598489266</x:v>
      </x:c>
      <x:c r="N120" s="13" t="n">
        <x:v>37164</x:v>
      </x:c>
      <x:c r="O120" s="12" t="n">
        <x:v>0.7066</x:v>
      </x:c>
      <x:c r="P120" s="12" t="n">
        <x:v>1101.398095703125</x:v>
      </x:c>
      <x:c r="Q120" s="12" t="n">
        <x:v>19.150407854715983</x:v>
      </x:c>
      <x:c r="R120" s="12" t="n">
        <x:v>40.71502587679799</x:v>
      </x:c>
      <x:c r="S120" s="12" t="n">
        <x:v>1.1445827701802576</x:v>
      </x:c>
      <x:c r="T120" s="12" t="n">
        <x:v>89.9</x:v>
      </x:c>
      <x:c r="U120" s="12" t="n">
        <x:v>245.07712999476223</x:v>
      </x:c>
      <x:c r="V120" s="12" t="n">
        <x:v>244.75798925963002</x:v>
      </x:c>
      <x:c r="W120" s="12" t="n">
        <x:f>IF(ISNUMBER(E120),IF($I$146&gt;$H$146,(E120-$H$146)/($I$146-$H$146),"缺失"),"缺失")</x:f>
        <x:v>0.3113425925925926</x:v>
      </x:c>
      <x:c r="X120" s="12" t="n">
        <x:f>IF(ISNUMBER(F120),IF($I$147&gt;$H$147,(F120-$H$147)/($I$147-$H$147),"缺失"),"缺失")</x:f>
        <x:v>0.21543307086614188</x:v>
      </x:c>
      <x:c r="Y120" s="12" t="n">
        <x:f>IF(ISNUMBER(G120),IF($I$148&gt;$H$148,(G120-$H$148)/($I$148-$H$148),"缺失"),"缺失")</x:f>
        <x:v>0.6172471514165643</x:v>
      </x:c>
      <x:c r="Z120" s="12" t="n">
        <x:f>IF(ISNUMBER(H120),IF($I$149&gt;$H$149,(H120-$H$149)/($I$149-$H$149),"缺失"),"缺失")</x:f>
        <x:v>0.651849232819018</x:v>
      </x:c>
      <x:c r="AA120" s="12" t="n">
        <x:f>IF(ISNUMBER(I120),IF($I$150&gt;$H$150,(I120-$H$150)/($I$150-$H$150),"缺失"),"缺失")</x:f>
        <x:v>0.4661882064381532</x:v>
      </x:c>
      <x:c r="AB120" s="12" t="n">
        <x:f>IF(ISNUMBER(J120),IF($I$151&gt;$H$151,(J120-$H$151)/($I$151-$H$151),"缺失"),"缺失")</x:f>
        <x:v>0</x:v>
      </x:c>
      <x:c r="AC120" s="12" t="n">
        <x:f>IF(ISNUMBER(K120),IF($I$152&gt;$H$152,(K120-$H$152)/($I$152-$H$152),"缺失"),"缺失")</x:f>
        <x:v>0.0011538507988207594</x:v>
      </x:c>
      <x:c r="AD120" s="12" t="n">
        <x:f>IF(ISNUMBER(L120),IF($I$153&gt;$H$153,(L120-$H$153)/($I$153-$H$153),"缺失"),"缺失")</x:f>
        <x:v>0.5994169399569722</x:v>
      </x:c>
      <x:c r="AE120" s="12" t="n">
        <x:f>IF(ISNUMBER(M120),IF($I$154&gt;$H$154,(M120-$H$154)/($I$154-$H$154),"缺失"),"缺失")</x:f>
        <x:v>0.598489266</x:v>
      </x:c>
      <x:c r="AF120" s="12" t="n">
        <x:f>IF(ISNUMBER(N120),IF($I$155&gt;$H$155,(N120-$H$155)/($I$155-$H$155),"缺失"),"缺失")</x:f>
        <x:v>0.05664098287850978</x:v>
      </x:c>
      <x:c r="AG120" s="12" t="n">
        <x:f>IF(ISNUMBER(O120),IF($I$156&gt;$H$156,(O120-$H$156)/($I$156-$H$156),"缺失"),"缺失")</x:f>
        <x:v>0.7120905782450465</x:v>
      </x:c>
      <x:c r="AH120" s="12" t="n">
        <x:f>IF(ISNUMBER(P120),IF($I$157&gt;$H$157,(P120-$H$157)/($I$157-$H$157),"缺失"),"缺失")</x:f>
        <x:v>0.37141302304622326</x:v>
      </x:c>
      <x:c r="AI120" s="12" t="n">
        <x:f>IF(ISNUMBER(Q120),IF($I$158&gt;$H$158,(Q120-$H$158)/($I$158-$H$158),"缺失"),"缺失")</x:f>
        <x:v>0.22130606277195422</x:v>
      </x:c>
      <x:c r="AJ120" s="12" t="n">
        <x:f>IF(ISNUMBER(R120),IF($I$159&gt;$H$159,(R120-$H$159)/($I$159-$H$159),"缺失"),"缺失")</x:f>
        <x:v>0.42634115246048576</x:v>
      </x:c>
      <x:c r="AK120" s="12" t="n">
        <x:f>IF(ISNUMBER(S120),IF($I$160&gt;$H$160,(S120-$H$160)/($I$160-$H$160),"缺失"),"缺失")</x:f>
        <x:v>0.022184751689900632</x:v>
      </x:c>
      <x:c r="AL120" s="12" t="n">
        <x:f>IF(ISNUMBER(T120),IF($I$161&gt;$H$161,(T120-$H$161)/($I$161-$H$161),"缺失"),"缺失")</x:f>
        <x:v>1</x:v>
      </x:c>
      <x:c r="AM120" s="12" t="n">
        <x:f>IF(ISNUMBER(U120),IF($I$162&gt;$H$162,(U120-$H$162)/($I$162-$H$162),"缺失"),"缺失")</x:f>
        <x:v>1</x:v>
      </x:c>
      <x:c r="AN120" s="12" t="n">
        <x:f>IF(ISNUMBER(V120),IF($I$163&gt;$H$163,(V120-$H$163)/($I$163-$H$163),"缺失"),"缺失")</x:f>
        <x:v>0</x:v>
      </x:c>
      <x:c r="AO120" s="23" t="str"/>
      <x:c r="AP120" s="23" t="str">
        <x:v>见指标口径：州级、产业、代表点代理；气候基期待核实</x:v>
      </x:c>
      <x:c r="AQ120" s="15" t="n">
        <x:v>1.0000000000000095</x:v>
      </x:c>
      <x:c r="AR120" s="15" t="n">
        <x:v>1.0000000000000098</x:v>
      </x:c>
      <x:c r="AS120" s="15" t="n">
        <x:v>1</x:v>
      </x:c>
      <x:c r="AT120" s="15" t="n">
        <x:v>1</x:v>
      </x:c>
    </x:row>
    <x:row r="121" ht="24" customHeight="1">
      <x:c r="A121" s="18" t="str">
        <x:v>51683</x:v>
      </x:c>
      <x:c r="B121" s="3" t="str">
        <x:v>Manassas city</x:v>
      </x:c>
      <x:c r="C121" s="3" t="str">
        <x:v>VA</x:v>
      </x:c>
      <x:c r="D121" s="12" t="n">
        <x:v>25.493247</x:v>
      </x:c>
      <x:c r="E121" s="12" t="n">
        <x:v>0.13</x:v>
      </x:c>
      <x:c r="F121" s="12" t="n">
        <x:v>0.232982673267327</x:v>
      </x:c>
      <x:c r="G121" s="12" t="n">
        <x:v>3.5886680608434567</x:v>
      </x:c>
      <x:c r="H121" s="12" t="n">
        <x:v>3.9801398220000004</x:v>
      </x:c>
      <x:c r="I121" s="12" t="n">
        <x:v>0.0902379864309066</x:v>
      </x:c>
      <x:c r="J121" s="12" t="n">
        <x:v>0.000015660982919432864</x:v>
      </x:c>
      <x:c r="K121" s="12" t="n">
        <x:v>0.008190670369458994</x:v>
      </x:c>
      <x:c r="L121" s="24" t="n">
        <x:v>0.686545696</x:v>
      </x:c>
      <x:c r="M121" s="24" t="n">
        <x:v>0.008574906</x:v>
      </x:c>
      <x:c r="N121" s="13" t="n">
        <x:v>24058</x:v>
      </x:c>
      <x:c r="O121" s="12" t="n">
        <x:v>0.4884</x:v>
      </x:c>
      <x:c r="P121" s="12" t="n">
        <x:v>1112.7548177083331</x:v>
      </x:c>
      <x:c r="Q121" s="12" t="n">
        <x:v>26.37443313598633</x:v>
      </x:c>
      <x:c r="R121" s="12" t="n">
        <x:v>6.604304262584915</x:v>
      </x:c>
      <x:c r="S121" s="12" t="n">
        <x:v>0.24072120315832132</x:v>
      </x:c>
      <x:c r="T121" s="12" t="n">
        <x:v>89.9</x:v>
      </x:c>
      <x:c r="U121" s="12" t="n">
        <x:v>245.07712999476223</x:v>
      </x:c>
      <x:c r="V121" s="12" t="n">
        <x:v>244.75798925963002</x:v>
      </x:c>
      <x:c r="W121" s="12" t="n">
        <x:f>IF(ISNUMBER(E121),IF($I$146&gt;$H$146,(E121-$H$146)/($I$146-$H$146),"缺失"),"缺失")</x:f>
        <x:v>0.09490740740740741</x:v>
      </x:c>
      <x:c r="X121" s="12" t="n">
        <x:f>IF(ISNUMBER(F121),IF($I$147&gt;$H$147,(F121-$H$147)/($I$147-$H$147),"缺失"),"缺失")</x:f>
        <x:v>0.23086614173228368</x:v>
      </x:c>
      <x:c r="Y121" s="12" t="n">
        <x:f>IF(ISNUMBER(G121),IF($I$148&gt;$H$148,(G121-$H$148)/($I$148-$H$148),"缺失"),"缺失")</x:f>
        <x:v>0.9436597662390811</x:v>
      </x:c>
      <x:c r="Z121" s="12" t="n">
        <x:f>IF(ISNUMBER(H121),IF($I$149&gt;$H$149,(H121-$H$149)/($I$149-$H$149),"缺失"),"缺失")</x:f>
        <x:v>0.9807883245054092</x:v>
      </x:c>
      <x:c r="AA121" s="12" t="n">
        <x:f>IF(ISNUMBER(I121),IF($I$150&gt;$H$150,(I121-$H$150)/($I$150-$H$150),"缺失"),"缺失")</x:f>
        <x:v>0.03255867553458581</x:v>
      </x:c>
      <x:c r="AB121" s="12" t="n">
        <x:f>IF(ISNUMBER(J121),IF($I$151&gt;$H$151,(J121-$H$151)/($I$151-$H$151),"缺失"),"缺失")</x:f>
        <x:v>0.00003841629683907648</x:v>
      </x:c>
      <x:c r="AC121" s="12" t="n">
        <x:f>IF(ISNUMBER(K121),IF($I$152&gt;$H$152,(K121-$H$152)/($I$152-$H$152),"缺失"),"缺失")</x:f>
        <x:v>0.014081410760849414</x:v>
      </x:c>
      <x:c r="AD121" s="12" t="n">
        <x:f>IF(ISNUMBER(L121),IF($I$153&gt;$H$153,(L121-$H$153)/($I$153-$H$153),"缺失"),"缺失")</x:f>
        <x:v>0.6864419888827291</x:v>
      </x:c>
      <x:c r="AE121" s="12" t="n">
        <x:f>IF(ISNUMBER(M121),IF($I$154&gt;$H$154,(M121-$H$154)/($I$154-$H$154),"缺失"),"缺失")</x:f>
        <x:v>0.008574906</x:v>
      </x:c>
      <x:c r="AF121" s="12" t="n">
        <x:f>IF(ISNUMBER(N121),IF($I$155&gt;$H$155,(N121-$H$155)/($I$155-$H$155),"缺失"),"缺失")</x:f>
        <x:v>0.0362896087803151</x:v>
      </x:c>
      <x:c r="AG121" s="12" t="n">
        <x:f>IF(ISNUMBER(O121),IF($I$156&gt;$H$156,(O121-$H$156)/($I$156-$H$156),"缺失"),"缺失")</x:f>
        <x:v>0.49150828952689046</x:v>
      </x:c>
      <x:c r="AH121" s="12" t="n">
        <x:f>IF(ISNUMBER(P121),IF($I$157&gt;$H$157,(P121-$H$157)/($I$157-$H$157),"缺失"),"缺失")</x:f>
        <x:v>0.37652191311193123</x:v>
      </x:c>
      <x:c r="AI121" s="12" t="n">
        <x:f>IF(ISNUMBER(Q121),IF($I$158&gt;$H$158,(Q121-$H$158)/($I$158-$H$158),"缺失"),"缺失")</x:f>
        <x:v>0.30619988666363374</x:v>
      </x:c>
      <x:c r="AJ121" s="12" t="n">
        <x:f>IF(ISNUMBER(R121),IF($I$159&gt;$H$159,(R121-$H$159)/($I$159-$H$159),"缺失"),"缺失")</x:f>
        <x:v>0.0678903830330315</x:v>
      </x:c>
      <x:c r="AK121" s="12" t="n">
        <x:f>IF(ISNUMBER(S121),IF($I$160&gt;$H$160,(S121-$H$160)/($I$160-$H$160),"缺失"),"缺失")</x:f>
        <x:v>0.004539873581204175</x:v>
      </x:c>
      <x:c r="AL121" s="12" t="n">
        <x:f>IF(ISNUMBER(T121),IF($I$161&gt;$H$161,(T121-$H$161)/($I$161-$H$161),"缺失"),"缺失")</x:f>
        <x:v>1</x:v>
      </x:c>
      <x:c r="AM121" s="12" t="n">
        <x:f>IF(ISNUMBER(U121),IF($I$162&gt;$H$162,(U121-$H$162)/($I$162-$H$162),"缺失"),"缺失")</x:f>
        <x:v>1</x:v>
      </x:c>
      <x:c r="AN121" s="12" t="n">
        <x:f>IF(ISNUMBER(V121),IF($I$163&gt;$H$163,(V121-$H$163)/($I$163-$H$163),"缺失"),"缺失")</x:f>
        <x:v>0</x:v>
      </x:c>
      <x:c r="AO121" s="23" t="str"/>
      <x:c r="AP121" s="23" t="str">
        <x:v>见指标口径：州级、产业、代表点代理；气候基期待核实</x:v>
      </x:c>
      <x:c r="AQ121" s="15" t="n">
        <x:v>0.9999999999999981</x:v>
      </x:c>
      <x:c r="AR121" s="15" t="n">
        <x:v>0.9999999999999981</x:v>
      </x:c>
      <x:c r="AS121" s="15" t="n">
        <x:v>1</x:v>
      </x:c>
      <x:c r="AT121" s="15" t="n">
        <x:v>1</x:v>
      </x:c>
    </x:row>
    <x:row r="122" ht="24" customHeight="1">
      <x:c r="A122" s="18" t="str">
        <x:v>51685</x:v>
      </x:c>
      <x:c r="B122" s="3" t="str">
        <x:v>Manassas Park city</x:v>
      </x:c>
      <x:c r="C122" s="3" t="str">
        <x:v>VA</x:v>
      </x:c>
      <x:c r="D122" s="12" t="n">
        <x:v>7.857548</x:v>
      </x:c>
      <x:c r="E122" s="12" t="n">
        <x:v>0.202</x:v>
      </x:c>
      <x:c r="F122" s="12" t="n">
        <x:v>0.639542079207921</x:v>
      </x:c>
      <x:c r="G122" s="12" t="n">
        <x:v>3.5886680608434562</x:v>
      </x:c>
      <x:c r="H122" s="12" t="n">
        <x:v>3.9801398219999995</x:v>
      </x:c>
      <x:c r="I122" s="12" t="n">
        <x:v>0.2745502463618655</x:v>
      </x:c>
      <x:c r="J122" s="12" t="n">
        <x:v>0.12730755348940997</x:v>
      </x:c>
      <x:c r="K122" s="12" t="n">
        <x:v>0</x:v>
      </x:c>
      <x:c r="L122" s="24" t="n">
        <x:v>0.737926594</x:v>
      </x:c>
      <x:c r="M122" s="24" t="n">
        <x:v>0</x:v>
      </x:c>
      <x:c r="N122" s="13" t="n">
        <x:v>10029</x:v>
      </x:c>
      <x:c r="O122" s="12" t="n">
        <x:v>0.6532</x:v>
      </x:c>
      <x:c r="P122" s="12" t="n">
        <x:v>1112.7548177083331</x:v>
      </x:c>
      <x:c r="Q122" s="12" t="n">
        <x:v>26.37443313598633</x:v>
      </x:c>
      <x:c r="R122" s="12" t="n">
        <x:v>5.893783907553276</x:v>
      </x:c>
      <x:c r="S122" s="12" t="n">
        <x:v>0.38254697989226466</x:v>
      </x:c>
      <x:c r="T122" s="12" t="n">
        <x:v>89.9</x:v>
      </x:c>
      <x:c r="U122" s="12" t="n">
        <x:v>245.07712999476223</x:v>
      </x:c>
      <x:c r="V122" s="12" t="n">
        <x:v>244.75798925963002</x:v>
      </x:c>
      <x:c r="W122" s="12" t="n">
        <x:f>IF(ISNUMBER(E122),IF($I$146&gt;$H$146,(E122-$H$146)/($I$146-$H$146),"缺失"),"缺失")</x:f>
        <x:v>0.17824074074074078</x:v>
      </x:c>
      <x:c r="X122" s="12" t="n">
        <x:f>IF(ISNUMBER(F122),IF($I$147&gt;$H$147,(F122-$H$147)/($I$147-$H$147),"缺失"),"缺失")</x:f>
        <x:v>0.644724409448819</x:v>
      </x:c>
      <x:c r="Y122" s="12" t="n">
        <x:f>IF(ISNUMBER(G122),IF($I$148&gt;$H$148,(G122-$H$148)/($I$148-$H$148),"缺失"),"缺失")</x:f>
        <x:v>0.943659766239081</x:v>
      </x:c>
      <x:c r="Z122" s="12" t="n">
        <x:f>IF(ISNUMBER(H122),IF($I$149&gt;$H$149,(H122-$H$149)/($I$149-$H$149),"缺失"),"缺失")</x:f>
        <x:v>0.980788324505409</x:v>
      </x:c>
      <x:c r="AA122" s="12" t="n">
        <x:f>IF(ISNUMBER(I122),IF($I$150&gt;$H$150,(I122-$H$150)/($I$150-$H$150),"缺失"),"缺失")</x:f>
        <x:v>0.23042274403082796</x:v>
      </x:c>
      <x:c r="AB122" s="12" t="n">
        <x:f>IF(ISNUMBER(J122),IF($I$151&gt;$H$151,(J122-$H$151)/($I$151-$H$151),"缺失"),"缺失")</x:f>
        <x:v>0.3122846624548192</x:v>
      </x:c>
      <x:c r="AC122" s="12" t="n">
        <x:f>IF(ISNUMBER(K122),IF($I$152&gt;$H$152,(K122-$H$152)/($I$152-$H$152),"缺失"),"缺失")</x:f>
        <x:v>0</x:v>
      </x:c>
      <x:c r="AD122" s="12" t="n">
        <x:f>IF(ISNUMBER(L122),IF($I$153&gt;$H$153,(L122-$H$153)/($I$153-$H$153),"缺失"),"缺失")</x:f>
        <x:v>0.7378398863775402</x:v>
      </x:c>
      <x:c r="AE122" s="12" t="n">
        <x:f>IF(ISNUMBER(M122),IF($I$154&gt;$H$154,(M122-$H$154)/($I$154-$H$154),"缺失"),"缺失")</x:f>
        <x:v>0</x:v>
      </x:c>
      <x:c r="AF122" s="12" t="n">
        <x:f>IF(ISNUMBER(N122),IF($I$155&gt;$H$155,(N122-$H$155)/($I$155-$H$155),"缺失"),"缺失")</x:f>
        <x:v>0.014504973710608616</x:v>
      </x:c>
      <x:c r="AG122" s="12" t="n">
        <x:f>IF(ISNUMBER(O122),IF($I$156&gt;$H$156,(O122-$H$156)/($I$156-$H$156),"缺失"),"缺失")</x:f>
        <x:v>0.6581075616659927</x:v>
      </x:c>
      <x:c r="AH122" s="12" t="n">
        <x:f>IF(ISNUMBER(P122),IF($I$157&gt;$H$157,(P122-$H$157)/($I$157-$H$157),"缺失"),"缺失")</x:f>
        <x:v>0.37652191311193123</x:v>
      </x:c>
      <x:c r="AI122" s="12" t="n">
        <x:f>IF(ISNUMBER(Q122),IF($I$158&gt;$H$158,(Q122-$H$158)/($I$158-$H$158),"缺失"),"缺失")</x:f>
        <x:v>0.30619988666363374</x:v>
      </x:c>
      <x:c r="AJ122" s="12" t="n">
        <x:f>IF(ISNUMBER(R122),IF($I$159&gt;$H$159,(R122-$H$159)/($I$159-$H$159),"缺失"),"缺失")</x:f>
        <x:v>0.06042391630636931</x:v>
      </x:c>
      <x:c r="AK122" s="12" t="n">
        <x:f>IF(ISNUMBER(S122),IF($I$160&gt;$H$160,(S122-$H$160)/($I$160-$H$160),"缺失"),"缺失")</x:f>
        <x:v>0.007308548159753761</x:v>
      </x:c>
      <x:c r="AL122" s="12" t="n">
        <x:f>IF(ISNUMBER(T122),IF($I$161&gt;$H$161,(T122-$H$161)/($I$161-$H$161),"缺失"),"缺失")</x:f>
        <x:v>1</x:v>
      </x:c>
      <x:c r="AM122" s="12" t="n">
        <x:f>IF(ISNUMBER(U122),IF($I$162&gt;$H$162,(U122-$H$162)/($I$162-$H$162),"缺失"),"缺失")</x:f>
        <x:v>1</x:v>
      </x:c>
      <x:c r="AN122" s="12" t="n">
        <x:f>IF(ISNUMBER(V122),IF($I$163&gt;$H$163,(V122-$H$163)/($I$163-$H$163),"缺失"),"缺失")</x:f>
        <x:v>0</x:v>
      </x:c>
      <x:c r="AO122" s="23" t="str"/>
      <x:c r="AP122" s="23" t="str">
        <x:v>见指标口径：州级、产业、代表点代理；气候基期待核实</x:v>
      </x:c>
      <x:c r="AQ122" s="15" t="n">
        <x:v>0.9999999999999983</x:v>
      </x:c>
      <x:c r="AR122" s="15" t="n">
        <x:v>1.0000000000000007</x:v>
      </x:c>
      <x:c r="AS122" s="15" t="n">
        <x:v>1</x:v>
      </x:c>
      <x:c r="AT122" s="15" t="n">
        <x:v>1</x:v>
      </x:c>
    </x:row>
    <x:row r="123" ht="24" customHeight="1">
      <x:c r="A123" s="18" t="str">
        <x:v>51690</x:v>
      </x:c>
      <x:c r="B123" s="3" t="str">
        <x:v>Martinsville city</x:v>
      </x:c>
      <x:c r="C123" s="3" t="str">
        <x:v>VA</x:v>
      </x:c>
      <x:c r="D123" s="12" t="n">
        <x:v>28.374648</x:v>
      </x:c>
      <x:c r="E123" s="12" t="n">
        <x:v>0.178</x:v>
      </x:c>
      <x:c r="F123" s="12" t="n">
        <x:v>0.181311881188119</x:v>
      </x:c>
      <x:c r="G123" s="12" t="n">
        <x:v>2.7697299319853768</x:v>
      </x:c>
      <x:c r="H123" s="12" t="n">
        <x:v>3.155046543</x:v>
      </x:c>
      <x:c r="I123" s="12" t="n">
        <x:v>0.4702863659401926</x:v>
      </x:c>
      <x:c r="J123" s="12" t="n">
        <x:v>0</x:v>
      </x:c>
      <x:c r="K123" s="12" t="n">
        <x:v>0.001362138874809934</x:v>
      </x:c>
      <x:c r="L123" s="24" t="n">
        <x:v>0.890832566</x:v>
      </x:c>
      <x:c r="M123" s="24" t="n">
        <x:v>0.890569512</x:v>
      </x:c>
      <x:c r="N123" s="13" t="n">
        <x:v>5908</x:v>
      </x:c>
      <x:c r="O123" s="12" t="n">
        <x:v>0.9297</x:v>
      </x:c>
      <x:c r="P123" s="12" t="n">
        <x:v>995.9844136555988</x:v>
      </x:c>
      <x:c r="Q123" s="12" t="n">
        <x:v>23.296376609802245</x:v>
      </x:c>
      <x:c r="R123" s="12" t="n">
        <x:v>48.08967991605346</x:v>
      </x:c>
      <x:c r="S123" s="12" t="n">
        <x:v>0.47384734893125097</x:v>
      </x:c>
      <x:c r="T123" s="12" t="n">
        <x:v>89.9</x:v>
      </x:c>
      <x:c r="U123" s="12" t="n">
        <x:v>245.07712999476223</x:v>
      </x:c>
      <x:c r="V123" s="12" t="n">
        <x:v>244.75798925963002</x:v>
      </x:c>
      <x:c r="W123" s="12" t="n">
        <x:f>IF(ISNUMBER(E123),IF($I$146&gt;$H$146,(E123-$H$146)/($I$146-$H$146),"缺失"),"缺失")</x:f>
        <x:v>0.15046296296296297</x:v>
      </x:c>
      <x:c r="X123" s="12" t="n">
        <x:f>IF(ISNUMBER(F123),IF($I$147&gt;$H$147,(F123-$H$147)/($I$147-$H$147),"缺失"),"缺失")</x:f>
        <x:v>0.17826771653543322</x:v>
      </x:c>
      <x:c r="Y123" s="12" t="n">
        <x:f>IF(ISNUMBER(G123),IF($I$148&gt;$H$148,(G123-$H$148)/($I$148-$H$148),"缺失"),"缺失")</x:f>
        <x:v>0.728237294699504</x:v>
      </x:c>
      <x:c r="Z123" s="12" t="n">
        <x:f>IF(ISNUMBER(H123),IF($I$149&gt;$H$149,(H123-$H$149)/($I$149-$H$149),"缺失"),"缺失")</x:f>
        <x:v>0.7773800036080692</x:v>
      </x:c>
      <x:c r="AA123" s="12" t="n">
        <x:f>IF(ISNUMBER(I123),IF($I$150&gt;$H$150,(I123-$H$150)/($I$150-$H$150),"缺失"),"缺失")</x:f>
        <x:v>0.4405506269288089</x:v>
      </x:c>
      <x:c r="AB123" s="12" t="n">
        <x:f>IF(ISNUMBER(J123),IF($I$151&gt;$H$151,(J123-$H$151)/($I$151-$H$151),"缺失"),"缺失")</x:f>
        <x:v>0</x:v>
      </x:c>
      <x:c r="AC123" s="12" t="n">
        <x:f>IF(ISNUMBER(K123),IF($I$152&gt;$H$152,(K123-$H$152)/($I$152-$H$152),"缺失"),"缺失")</x:f>
        <x:v>0.0023417908601279535</x:v>
      </x:c>
      <x:c r="AD123" s="12" t="n">
        <x:f>IF(ISNUMBER(L123),IF($I$153&gt;$H$153,(L123-$H$153)/($I$153-$H$153),"缺失"),"缺失")</x:f>
        <x:v>0.8907964476894982</x:v>
      </x:c>
      <x:c r="AE123" s="12" t="n">
        <x:f>IF(ISNUMBER(M123),IF($I$154&gt;$H$154,(M123-$H$154)/($I$154-$H$154),"缺失"),"缺失")</x:f>
        <x:v>0.890569512</x:v>
      </x:c>
      <x:c r="AF123" s="12" t="n">
        <x:f>IF(ISNUMBER(N123),IF($I$155&gt;$H$155,(N123-$H$155)/($I$155-$H$155),"缺失"),"缺失")</x:f>
        <x:v>0.008105766274422116</x:v>
      </x:c>
      <x:c r="AG123" s="12" t="n">
        <x:f>IF(ISNUMBER(O123),IF($I$156&gt;$H$156,(O123-$H$156)/($I$156-$H$156),"缺失"),"缺失")</x:f>
        <x:v>0.9376263647391831</x:v>
      </x:c>
      <x:c r="AH123" s="12" t="n">
        <x:f>IF(ISNUMBER(P123),IF($I$157&gt;$H$157,(P123-$H$157)/($I$157-$H$157),"缺失"),"缺失")</x:f>
        <x:v>0.3239920407631905</x:v>
      </x:c>
      <x:c r="AI123" s="12" t="n">
        <x:f>IF(ISNUMBER(Q123),IF($I$158&gt;$H$158,(Q123-$H$158)/($I$158-$H$158),"缺失"),"缺失")</x:f>
        <x:v>0.27002781105642387</x:v>
      </x:c>
      <x:c r="AJ123" s="12" t="n">
        <x:f>IF(ISNUMBER(R123),IF($I$159&gt;$H$159,(R123-$H$159)/($I$159-$H$159),"缺失"),"缺失")</x:f>
        <x:v>0.5038373263769867</x:v>
      </x:c>
      <x:c r="AK123" s="12" t="n">
        <x:f>IF(ISNUMBER(S123),IF($I$160&gt;$H$160,(S123-$H$160)/($I$160-$H$160),"缺失"),"缺失")</x:f>
        <x:v>0.009090882912939278</x:v>
      </x:c>
      <x:c r="AL123" s="12" t="n">
        <x:f>IF(ISNUMBER(T123),IF($I$161&gt;$H$161,(T123-$H$161)/($I$161-$H$161),"缺失"),"缺失")</x:f>
        <x:v>1</x:v>
      </x:c>
      <x:c r="AM123" s="12" t="n">
        <x:f>IF(ISNUMBER(U123),IF($I$162&gt;$H$162,(U123-$H$162)/($I$162-$H$162),"缺失"),"缺失")</x:f>
        <x:v>1</x:v>
      </x:c>
      <x:c r="AN123" s="12" t="n">
        <x:f>IF(ISNUMBER(V123),IF($I$163&gt;$H$163,(V123-$H$163)/($I$163-$H$163),"缺失"),"缺失")</x:f>
        <x:v>0</x:v>
      </x:c>
      <x:c r="AO123" s="23" t="str"/>
      <x:c r="AP123" s="23" t="str">
        <x:v>见指标口径：州级、产业、代表点代理；气候基期待核实</x:v>
      </x:c>
      <x:c r="AQ123" s="15" t="n">
        <x:v>0.9999999999999993</x:v>
      </x:c>
      <x:c r="AR123" s="15" t="n">
        <x:v>0.9999999999999993</x:v>
      </x:c>
      <x:c r="AS123" s="15" t="n">
        <x:v>1</x:v>
      </x:c>
      <x:c r="AT123" s="15" t="n">
        <x:v>1</x:v>
      </x:c>
    </x:row>
    <x:row r="124" ht="24" customHeight="1">
      <x:c r="A124" s="18" t="str">
        <x:v>51700</x:v>
      </x:c>
      <x:c r="B124" s="3" t="str">
        <x:v>Newport News city</x:v>
      </x:c>
      <x:c r="C124" s="3" t="str">
        <x:v>VA</x:v>
      </x:c>
      <x:c r="D124" s="12" t="n">
        <x:v>178.698611</x:v>
      </x:c>
      <x:c r="E124" s="12" t="n">
        <x:v>0.347</x:v>
      </x:c>
      <x:c r="F124" s="12" t="n">
        <x:v>0.0575495049504951</x:v>
      </x:c>
      <x:c r="G124" s="12" t="n">
        <x:v>3.802847971072168</x:v>
      </x:c>
      <x:c r="H124" s="12" t="n">
        <x:v>4.054554194</x:v>
      </x:c>
      <x:c r="I124" s="12" t="n">
        <x:v>0.3212930774074965</x:v>
      </x:c>
      <x:c r="J124" s="12" t="n">
        <x:v>0.0036222173912176035</x:v>
      </x:c>
      <x:c r="K124" s="12" t="n">
        <x:v>0.13825729455193353</x:v>
      </x:c>
      <x:c r="L124" s="24" t="n">
        <x:v>0.698449787</x:v>
      </x:c>
      <x:c r="M124" s="24" t="n">
        <x:v>0.004875309</x:v>
      </x:c>
      <x:c r="N124" s="13" t="n">
        <x:v>88797</x:v>
      </x:c>
      <x:c r="O124" s="12" t="n">
        <x:v>0.8406</x:v>
      </x:c>
      <x:c r="P124" s="12" t="n">
        <x:v>1501.3129516601562</x:v>
      </x:c>
      <x:c r="Q124" s="12" t="n">
        <x:v>24.21282450358073</x:v>
      </x:c>
      <x:c r="R124" s="12" t="n">
        <x:v>4.75594249931083</x:v>
      </x:c>
      <x:c r="S124" s="12" t="n">
        <x:v>2.9699047565433063</x:v>
      </x:c>
      <x:c r="T124" s="12" t="n">
        <x:v>89.9</x:v>
      </x:c>
      <x:c r="U124" s="12" t="n">
        <x:v>245.07712999476223</x:v>
      </x:c>
      <x:c r="V124" s="12" t="n">
        <x:v>244.75798925963002</x:v>
      </x:c>
      <x:c r="W124" s="12" t="n">
        <x:f>IF(ISNUMBER(E124),IF($I$146&gt;$H$146,(E124-$H$146)/($I$146-$H$146),"缺失"),"缺失")</x:f>
        <x:v>0.3460648148148148</x:v>
      </x:c>
      <x:c r="X124" s="12" t="n">
        <x:f>IF(ISNUMBER(F124),IF($I$147&gt;$H$147,(F124-$H$147)/($I$147-$H$147),"缺失"),"缺失")</x:f>
        <x:v>0.052283464566929165</x:v>
      </x:c>
      <x:c r="Y124" s="12" t="n">
        <x:f>IF(ISNUMBER(G124),IF($I$148&gt;$H$148,(G124-$H$148)/($I$148-$H$148),"缺失"),"缺失")</x:f>
        <x:v>1</x:v>
      </x:c>
      <x:c r="Z124" s="12" t="n">
        <x:f>IF(ISNUMBER(H124),IF($I$149&gt;$H$149,(H124-$H$149)/($I$149-$H$149),"缺失"),"缺失")</x:f>
        <x:v>0.9991335260049232</x:v>
      </x:c>
      <x:c r="AA124" s="12" t="n">
        <x:f>IF(ISNUMBER(I124),IF($I$150&gt;$H$150,(I124-$H$150)/($I$150-$H$150),"缺失"),"缺失")</x:f>
        <x:v>0.28060240504299</x:v>
      </x:c>
      <x:c r="AB124" s="12" t="n">
        <x:f>IF(ISNUMBER(J124),IF($I$151&gt;$H$151,(J124-$H$151)/($I$151-$H$151),"缺失"),"缺失")</x:f>
        <x:v>0.008885277458799492</x:v>
      </x:c>
      <x:c r="AC124" s="12" t="n">
        <x:f>IF(ISNUMBER(K124),IF($I$152&gt;$H$152,(K124-$H$152)/($I$152-$H$152),"缺失"),"缺失")</x:f>
        <x:v>0.23769211400923668</x:v>
      </x:c>
      <x:c r="AD124" s="12" t="n">
        <x:f>IF(ISNUMBER(L124),IF($I$153&gt;$H$153,(L124-$H$153)/($I$153-$H$153),"缺失"),"缺失")</x:f>
        <x:v>0.6983500183801291</x:v>
      </x:c>
      <x:c r="AE124" s="12" t="n">
        <x:f>IF(ISNUMBER(M124),IF($I$154&gt;$H$154,(M124-$H$154)/($I$154-$H$154),"缺失"),"缺失")</x:f>
        <x:v>0.004875309</x:v>
      </x:c>
      <x:c r="AF124" s="12" t="n">
        <x:f>IF(ISNUMBER(N124),IF($I$155&gt;$H$155,(N124-$H$155)/($I$155-$H$155),"缺失"),"缺失")</x:f>
        <x:v>0.13681819169981957</x:v>
      </x:c>
      <x:c r="AG124" s="12" t="n">
        <x:f>IF(ISNUMBER(O124),IF($I$156&gt;$H$156,(O124-$H$156)/($I$156-$H$156),"缺失"),"缺失")</x:f>
        <x:v>0.8475535786494137</x:v>
      </x:c>
      <x:c r="AH124" s="12" t="n">
        <x:f>IF(ISNUMBER(P124),IF($I$157&gt;$H$157,(P124-$H$157)/($I$157-$H$157),"缺失"),"缺失")</x:f>
        <x:v>0.5513171391979563</x:v>
      </x:c>
      <x:c r="AI124" s="12" t="n">
        <x:f>IF(ISNUMBER(Q124),IF($I$158&gt;$H$158,(Q124-$H$158)/($I$158-$H$158),"缺失"),"缺失")</x:f>
        <x:v>0.2807975361156709</x:v>
      </x:c>
      <x:c r="AJ124" s="12" t="n">
        <x:f>IF(ISNUMBER(R124),IF($I$159&gt;$H$159,(R124-$H$159)/($I$159-$H$159),"缺失"),"缺失")</x:f>
        <x:v>0.04846696819827131</x:v>
      </x:c>
      <x:c r="AK124" s="12" t="n">
        <x:f>IF(ISNUMBER(S124),IF($I$160&gt;$H$160,(S124-$H$160)/($I$160-$H$160),"缺失"),"缺失")</x:f>
        <x:v>0.05781806671691077</x:v>
      </x:c>
      <x:c r="AL124" s="12" t="n">
        <x:f>IF(ISNUMBER(T124),IF($I$161&gt;$H$161,(T124-$H$161)/($I$161-$H$161),"缺失"),"缺失")</x:f>
        <x:v>1</x:v>
      </x:c>
      <x:c r="AM124" s="12" t="n">
        <x:f>IF(ISNUMBER(U124),IF($I$162&gt;$H$162,(U124-$H$162)/($I$162-$H$162),"缺失"),"缺失")</x:f>
        <x:v>1</x:v>
      </x:c>
      <x:c r="AN124" s="12" t="n">
        <x:f>IF(ISNUMBER(V124),IF($I$163&gt;$H$163,(V124-$H$163)/($I$163-$H$163),"缺失"),"缺失")</x:f>
        <x:v>0</x:v>
      </x:c>
      <x:c r="AO124" s="23" t="str"/>
      <x:c r="AP124" s="23" t="str">
        <x:v>baseline_water_stress:有效县域面积覆盖&lt;99%（诊断提示，非行业阈值）；water_stress_2050_bau:有效县域面积覆盖&lt;99%（诊断提示，非行业阈值）</x:v>
      </x:c>
      <x:c r="AQ124" s="15" t="n">
        <x:v>0.6320726127532597</x:v>
      </x:c>
      <x:c r="AR124" s="15" t="n">
        <x:v>0.6315714413354844</x:v>
      </x:c>
      <x:c r="AS124" s="15" t="n">
        <x:v>1</x:v>
      </x:c>
      <x:c r="AT124" s="15" t="n">
        <x:v>1</x:v>
      </x:c>
    </x:row>
    <x:row r="125" ht="24" customHeight="1">
      <x:c r="A125" s="18" t="str">
        <x:v>51710</x:v>
      </x:c>
      <x:c r="B125" s="3" t="str">
        <x:v>Norfolk city</x:v>
      </x:c>
      <x:c r="C125" s="3" t="str">
        <x:v>VA</x:v>
      </x:c>
      <x:c r="D125" s="12" t="n">
        <x:v>137.981434</x:v>
      </x:c>
      <x:c r="E125" s="12" t="n">
        <x:v>0.235</x:v>
      </x:c>
      <x:c r="F125" s="12" t="n">
        <x:v>0.0253712871287129</x:v>
      </x:c>
      <x:c r="G125" s="12" t="n">
        <x:v>1.1401255828034569</x:v>
      </x:c>
      <x:c r="H125" s="12" t="n">
        <x:v>1.465933626</x:v>
      </x:c>
      <x:c r="I125" s="12" t="n">
        <x:v>0.05990927079423049</x:v>
      </x:c>
      <x:c r="J125" s="12" t="n">
        <x:v>0</x:v>
      </x:c>
      <x:c r="K125" s="12" t="n">
        <x:v>0.028064973818325265</x:v>
      </x:c>
      <x:c r="L125" s="24" t="n">
        <x:v>0.599106479</x:v>
      </x:c>
      <x:c r="M125" s="24" t="n">
        <x:v>0.565800901</x:v>
      </x:c>
      <x:c r="N125" s="13" t="n">
        <x:v>107182</x:v>
      </x:c>
      <x:c r="O125" s="12" t="n">
        <x:v>0.8594</x:v>
      </x:c>
      <x:c r="P125" s="12" t="n">
        <x:v>1520.1002604166667</x:v>
      </x:c>
      <x:c r="Q125" s="12" t="n">
        <x:v>23.37086124420166</x:v>
      </x:c>
      <x:c r="R125" s="12" t="n">
        <x:v>1.9856090612882535</x:v>
      </x:c>
      <x:c r="S125" s="12" t="n">
        <x:v>2.1205243664987883</x:v>
      </x:c>
      <x:c r="T125" s="12" t="n">
        <x:v>89.9</x:v>
      </x:c>
      <x:c r="U125" s="12" t="n">
        <x:v>245.07712999476223</x:v>
      </x:c>
      <x:c r="V125" s="12" t="n">
        <x:v>244.75798925963002</x:v>
      </x:c>
      <x:c r="W125" s="12" t="n">
        <x:f>IF(ISNUMBER(E125),IF($I$146&gt;$H$146,(E125-$H$146)/($I$146-$H$146),"缺失"),"缺失")</x:f>
        <x:v>0.21643518518518517</x:v>
      </x:c>
      <x:c r="X125" s="12" t="n">
        <x:f>IF(ISNUMBER(F125),IF($I$147&gt;$H$147,(F125-$H$147)/($I$147-$H$147),"缺失"),"缺失")</x:f>
        <x:v>0.019527559055118132</x:v>
      </x:c>
      <x:c r="Y125" s="12" t="n">
        <x:f>IF(ISNUMBER(G125),IF($I$148&gt;$H$148,(G125-$H$148)/($I$148-$H$148),"缺失"),"缺失")</x:f>
        <x:v>0.29956828520800677</x:v>
      </x:c>
      <x:c r="Z125" s="12" t="n">
        <x:f>IF(ISNUMBER(H125),IF($I$149&gt;$H$149,(H125-$H$149)/($I$149-$H$149),"缺失"),"缺失")</x:f>
        <x:v>0.3609669373552562</x:v>
      </x:c>
      <x:c r="AA125" s="12" t="n">
        <x:f>IF(ISNUMBER(I125),IF($I$150&gt;$H$150,(I125-$H$150)/($I$150-$H$150),"缺失"),"缺失")</x:f>
        <x:v>0</x:v>
      </x:c>
      <x:c r="AB125" s="12" t="n">
        <x:f>IF(ISNUMBER(J125),IF($I$151&gt;$H$151,(J125-$H$151)/($I$151-$H$151),"缺失"),"缺失")</x:f>
        <x:v>0</x:v>
      </x:c>
      <x:c r="AC125" s="12" t="n">
        <x:f>IF(ISNUMBER(K125),IF($I$152&gt;$H$152,(K125-$H$152)/($I$152-$H$152),"缺失"),"缺失")</x:f>
        <x:v>0.048249338149647165</x:v>
      </x:c>
      <x:c r="AD125" s="12" t="n">
        <x:f>IF(ISNUMBER(L125),IF($I$153&gt;$H$153,(L125-$H$153)/($I$153-$H$153),"缺失"),"缺失")</x:f>
        <x:v>0.5989738424055587</x:v>
      </x:c>
      <x:c r="AE125" s="12" t="n">
        <x:f>IF(ISNUMBER(M125),IF($I$154&gt;$H$154,(M125-$H$154)/($I$154-$H$154),"缺失"),"缺失")</x:f>
        <x:v>0.565800901</x:v>
      </x:c>
      <x:c r="AF125" s="12" t="n">
        <x:f>IF(ISNUMBER(N125),IF($I$155&gt;$H$155,(N125-$H$155)/($I$155-$H$155),"缺失"),"缺失")</x:f>
        <x:v>0.16536694897094037</x:v>
      </x:c>
      <x:c r="AG125" s="12" t="n">
        <x:f>IF(ISNUMBER(O125),IF($I$156&gt;$H$156,(O125-$H$156)/($I$156-$H$156),"缺失"),"缺失")</x:f>
        <x:v>0.8665588354225638</x:v>
      </x:c>
      <x:c r="AH125" s="12" t="n">
        <x:f>IF(ISNUMBER(P125),IF($I$157&gt;$H$157,(P125-$H$157)/($I$157-$H$157),"缺失"),"缺失")</x:f>
        <x:v>0.5597687236449038</x:v>
      </x:c>
      <x:c r="AI125" s="12" t="n">
        <x:f>IF(ISNUMBER(Q125),IF($I$158&gt;$H$158,(Q125-$H$158)/($I$158-$H$158),"缺失"),"缺失")</x:f>
        <x:v>0.27090312436017633</x:v>
      </x:c>
      <x:c r="AJ125" s="12" t="n">
        <x:f>IF(ISNUMBER(R125),IF($I$159&gt;$H$159,(R125-$H$159)/($I$159-$H$159),"缺失"),"缺失")</x:f>
        <x:v>0.01935506128346633</x:v>
      </x:c>
      <x:c r="AK125" s="12" t="n">
        <x:f>IF(ISNUMBER(S125),IF($I$160&gt;$H$160,(S125-$H$160)/($I$160-$H$160),"缺失"),"缺失")</x:f>
        <x:v>0.04123675161615614</x:v>
      </x:c>
      <x:c r="AL125" s="12" t="n">
        <x:f>IF(ISNUMBER(T125),IF($I$161&gt;$H$161,(T125-$H$161)/($I$161-$H$161),"缺失"),"缺失")</x:f>
        <x:v>1</x:v>
      </x:c>
      <x:c r="AM125" s="12" t="n">
        <x:f>IF(ISNUMBER(U125),IF($I$162&gt;$H$162,(U125-$H$162)/($I$162-$H$162),"缺失"),"缺失")</x:f>
        <x:v>1</x:v>
      </x:c>
      <x:c r="AN125" s="12" t="n">
        <x:f>IF(ISNUMBER(V125),IF($I$163&gt;$H$163,(V125-$H$163)/($I$163-$H$163),"缺失"),"缺失")</x:f>
        <x:v>0</x:v>
      </x:c>
      <x:c r="AO125" s="23" t="str"/>
      <x:c r="AP125" s="23" t="str">
        <x:v>baseline_water_stress:有效县域面积覆盖&lt;99%（诊断提示，非行业阈值）；water_stress_2050_bau:有效县域面积覆盖&lt;99%（诊断提示，非行业阈值）</x:v>
      </x:c>
      <x:c r="AQ125" s="15" t="n">
        <x:v>0.6601173257714124</x:v>
      </x:c>
      <x:c r="AR125" s="15" t="n">
        <x:v>0.6606781353961225</x:v>
      </x:c>
      <x:c r="AS125" s="15" t="n">
        <x:v>1</x:v>
      </x:c>
      <x:c r="AT125" s="15" t="n">
        <x:v>1</x:v>
      </x:c>
    </x:row>
    <x:row r="126" ht="24" customHeight="1">
      <x:c r="A126" s="18" t="str">
        <x:v>51720</x:v>
      </x:c>
      <x:c r="B126" s="3" t="str">
        <x:v>Norton city</x:v>
      </x:c>
      <x:c r="C126" s="3" t="str">
        <x:v>VA</x:v>
      </x:c>
      <x:c r="D126" s="12" t="n">
        <x:v>19.366553</x:v>
      </x:c>
      <x:c r="E126" s="12" t="n">
        <x:v>0.827</x:v>
      </x:c>
      <x:c r="F126" s="12" t="n">
        <x:v>0.367574257425743</x:v>
      </x:c>
      <x:c r="G126" s="12" t="n">
        <x:v>2.0011690976267165</x:v>
      </x:c>
      <x:c r="H126" s="12" t="n">
        <x:v>2.215518112</x:v>
      </x:c>
      <x:c r="I126" s="12" t="n">
        <x:v>0.6813375382617568</x:v>
      </x:c>
      <x:c r="J126" s="12" t="n">
        <x:v>0</x:v>
      </x:c>
      <x:c r="K126" s="12" t="n">
        <x:v>0</x:v>
      </x:c>
      <x:c r="L126" s="24" t="n">
        <x:v>0.829700272</x:v>
      </x:c>
      <x:c r="M126" s="24" t="n">
        <x:v>0.829700272</x:v>
      </x:c>
      <x:c r="N126" s="13" t="n">
        <x:v>1502</x:v>
      </x:c>
      <x:c r="O126" s="12" t="n">
        <x:v>0.769</x:v>
      </x:c>
      <x:c r="P126" s="12" t="n">
        <x:v>376.8571004231771</x:v>
      </x:c>
      <x:c r="Q126" s="12" t="n">
        <x:v>0.3184066669394572</x:v>
      </x:c>
      <x:c r="R126" s="12" t="n">
        <x:v>37.89847731857445</x:v>
      </x:c>
      <x:c r="S126" s="12" t="n">
        <x:v>0.17198886296466845</x:v>
      </x:c>
      <x:c r="T126" s="12" t="n">
        <x:v>89.9</x:v>
      </x:c>
      <x:c r="U126" s="12" t="n">
        <x:v>245.07712999476223</x:v>
      </x:c>
      <x:c r="V126" s="12" t="n">
        <x:v>244.75798925963002</x:v>
      </x:c>
      <x:c r="W126" s="12" t="n">
        <x:f>IF(ISNUMBER(E126),IF($I$146&gt;$H$146,(E126-$H$146)/($I$146-$H$146),"缺失"),"缺失")</x:f>
        <x:v>0.9016203703703702</x:v>
      </x:c>
      <x:c r="X126" s="12" t="n">
        <x:f>IF(ISNUMBER(F126),IF($I$147&gt;$H$147,(F126-$H$147)/($I$147-$H$147),"缺失"),"缺失")</x:f>
        <x:v>0.36787401574803186</x:v>
      </x:c>
      <x:c r="Y126" s="12" t="n">
        <x:f>IF(ISNUMBER(G126),IF($I$148&gt;$H$148,(G126-$H$148)/($I$148-$H$148),"缺失"),"缺失")</x:f>
        <x:v>0.52606661948998</x:v>
      </x:c>
      <x:c r="Z126" s="12" t="n">
        <x:f>IF(ISNUMBER(H126),IF($I$149&gt;$H$149,(H126-$H$149)/($I$149-$H$149),"缺失"),"缺失")</x:f>
        <x:v>0.5457602516975434</x:v>
      </x:c>
      <x:c r="AA126" s="12" t="n">
        <x:f>IF(ISNUMBER(I126),IF($I$150&gt;$H$150,(I126-$H$150)/($I$150-$H$150),"缺失"),"缺失")</x:f>
        <x:v>0.6671196225674537</x:v>
      </x:c>
      <x:c r="AB126" s="12" t="n">
        <x:f>IF(ISNUMBER(J126),IF($I$151&gt;$H$151,(J126-$H$151)/($I$151-$H$151),"缺失"),"缺失")</x:f>
        <x:v>0</x:v>
      </x:c>
      <x:c r="AC126" s="12" t="n">
        <x:f>IF(ISNUMBER(K126),IF($I$152&gt;$H$152,(K126-$H$152)/($I$152-$H$152),"缺失"),"缺失")</x:f>
        <x:v>0</x:v>
      </x:c>
      <x:c r="AD126" s="12" t="n">
        <x:f>IF(ISNUMBER(L126),IF($I$153&gt;$H$153,(L126-$H$153)/($I$153-$H$153),"缺失"),"缺失")</x:f>
        <x:v>0.8296439279216525</x:v>
      </x:c>
      <x:c r="AE126" s="12" t="n">
        <x:f>IF(ISNUMBER(M126),IF($I$154&gt;$H$154,(M126-$H$154)/($I$154-$H$154),"缺失"),"缺失")</x:f>
        <x:v>0.829700272</x:v>
      </x:c>
      <x:c r="AF126" s="12" t="n">
        <x:f>IF(ISNUMBER(N126),IF($I$155&gt;$H$155,(N126-$H$155)/($I$155-$H$155),"缺失"),"缺失")</x:f>
        <x:v>0.0012640026335976249</x:v>
      </x:c>
      <x:c r="AG126" s="12" t="n">
        <x:f>IF(ISNUMBER(O126),IF($I$156&gt;$H$156,(O126-$H$156)/($I$156-$H$156),"缺失"),"缺失")</x:f>
        <x:v>0.7751718560452892</x:v>
      </x:c>
      <x:c r="AH126" s="12" t="n">
        <x:f>IF(ISNUMBER(P126),IF($I$157&gt;$H$157,(P126-$H$157)/($I$157-$H$157),"缺失"),"缺失")</x:f>
        <x:v>0.0454738751753546</x:v>
      </x:c>
      <x:c r="AI126" s="12" t="n">
        <x:f>IF(ISNUMBER(Q126),IF($I$158&gt;$H$158,(Q126-$H$158)/($I$158-$H$158),"缺失"),"缺失")</x:f>
        <x:v>0</x:v>
      </x:c>
      <x:c r="AJ126" s="12" t="n">
        <x:f>IF(ISNUMBER(R126),IF($I$159&gt;$H$159,(R126-$H$159)/($I$159-$H$159),"缺失"),"缺失")</x:f>
        <x:v>0.39674359632422557</x:v>
      </x:c>
      <x:c r="AK126" s="12" t="n">
        <x:f>IF(ISNUMBER(S126),IF($I$160&gt;$H$160,(S126-$H$160)/($I$160-$H$160),"缺失"),"缺失")</x:f>
        <x:v>0.003198104211765957</x:v>
      </x:c>
      <x:c r="AL126" s="12" t="n">
        <x:f>IF(ISNUMBER(T126),IF($I$161&gt;$H$161,(T126-$H$161)/($I$161-$H$161),"缺失"),"缺失")</x:f>
        <x:v>1</x:v>
      </x:c>
      <x:c r="AM126" s="12" t="n">
        <x:f>IF(ISNUMBER(U126),IF($I$162&gt;$H$162,(U126-$H$162)/($I$162-$H$162),"缺失"),"缺失")</x:f>
        <x:v>1</x:v>
      </x:c>
      <x:c r="AN126" s="12" t="n">
        <x:f>IF(ISNUMBER(V126),IF($I$163&gt;$H$163,(V126-$H$163)/($I$163-$H$163),"缺失"),"缺失")</x:f>
        <x:v>0</x:v>
      </x:c>
      <x:c r="AO126" s="23" t="str"/>
      <x:c r="AP126" s="23" t="str">
        <x:v>见指标口径：州级、产业、代表点代理；气候基期待核实</x:v>
      </x:c>
      <x:c r="AQ126" s="15" t="n">
        <x:v>1.0000000000000004</x:v>
      </x:c>
      <x:c r="AR126" s="15" t="n">
        <x:v>1.0000000000000004</x:v>
      </x:c>
      <x:c r="AS126" s="15" t="n">
        <x:v>1</x:v>
      </x:c>
      <x:c r="AT126" s="15" t="n">
        <x:v>1</x:v>
      </x:c>
    </x:row>
    <x:row r="127" ht="24" customHeight="1">
      <x:c r="A127" s="18" t="str">
        <x:v>51730</x:v>
      </x:c>
      <x:c r="B127" s="3" t="str">
        <x:v>Petersburg city</x:v>
      </x:c>
      <x:c r="C127" s="3" t="str">
        <x:v>VA</x:v>
      </x:c>
      <x:c r="D127" s="12" t="n">
        <x:v>58.845729</x:v>
      </x:c>
      <x:c r="E127" s="12" t="n">
        <x:v>0.265</x:v>
      </x:c>
      <x:c r="F127" s="12" t="n">
        <x:v>0.09777227722772279</x:v>
      </x:c>
      <x:c r="G127" s="12" t="n">
        <x:v>3.3293571916434743</x:v>
      </x:c>
      <x:c r="H127" s="12" t="n">
        <x:v>3.639075621148229</x:v>
      </x:c>
      <x:c r="I127" s="12" t="n">
        <x:v>0.3943775835506948</x:v>
      </x:c>
      <x:c r="J127" s="12" t="n">
        <x:v>0</x:v>
      </x:c>
      <x:c r="K127" s="12" t="n">
        <x:v>0.06525419850821397</x:v>
      </x:c>
      <x:c r="L127" s="24" t="n">
        <x:v>0.038174571</x:v>
      </x:c>
      <x:c r="M127" s="24" t="n">
        <x:v>0.000204415</x:v>
      </x:c>
      <x:c r="N127" s="13" t="n">
        <x:v>15207</x:v>
      </x:c>
      <x:c r="O127" s="12" t="n">
        <x:v>0.9733</x:v>
      </x:c>
      <x:c r="P127" s="12" t="n">
        <x:v>1443.612862141927</x:v>
      </x:c>
      <x:c r="Q127" s="12" t="n">
        <x:v>36.85441354115804</x:v>
      </x:c>
      <x:c r="R127" s="12" t="n">
        <x:v>1.0446227607590641</x:v>
      </x:c>
      <x:c r="S127" s="12" t="n">
        <x:v>1.0920445330313486</x:v>
      </x:c>
      <x:c r="T127" s="12" t="n">
        <x:v>89.9</x:v>
      </x:c>
      <x:c r="U127" s="12" t="n">
        <x:v>245.07712999476223</x:v>
      </x:c>
      <x:c r="V127" s="12" t="n">
        <x:v>244.75798925963002</x:v>
      </x:c>
      <x:c r="W127" s="12" t="n">
        <x:f>IF(ISNUMBER(E127),IF($I$146&gt;$H$146,(E127-$H$146)/($I$146-$H$146),"缺失"),"缺失")</x:f>
        <x:v>0.25115740740740744</x:v>
      </x:c>
      <x:c r="X127" s="12" t="n">
        <x:f>IF(ISNUMBER(F127),IF($I$147&gt;$H$147,(F127-$H$147)/($I$147-$H$147),"缺失"),"缺失")</x:f>
        <x:v>0.09322834645669291</x:v>
      </x:c>
      <x:c r="Y127" s="12" t="n">
        <x:f>IF(ISNUMBER(G127),IF($I$148&gt;$H$148,(G127-$H$148)/($I$148-$H$148),"缺失"),"缺失")</x:f>
        <x:v>0.8754477898129391</x:v>
      </x:c>
      <x:c r="Z127" s="12" t="n">
        <x:f>IF(ISNUMBER(H127),IF($I$149&gt;$H$149,(H127-$H$149)/($I$149-$H$149),"缺失"),"缺失")</x:f>
        <x:v>0.8967065628680659</x:v>
      </x:c>
      <x:c r="AA127" s="12" t="n">
        <x:f>IF(ISNUMBER(I127),IF($I$150&gt;$H$150,(I127-$H$150)/($I$150-$H$150),"缺失"),"缺失")</x:f>
        <x:v>0.3590605484944818</x:v>
      </x:c>
      <x:c r="AB127" s="12" t="n">
        <x:f>IF(ISNUMBER(J127),IF($I$151&gt;$H$151,(J127-$H$151)/($I$151-$H$151),"缺失"),"缺失")</x:f>
        <x:v>0</x:v>
      </x:c>
      <x:c r="AC127" s="12" t="n">
        <x:f>IF(ISNUMBER(K127),IF($I$152&gt;$H$152,(K127-$H$152)/($I$152-$H$152),"缺失"),"缺失")</x:f>
        <x:v>0.11218509982899737</x:v>
      </x:c>
      <x:c r="AD127" s="12" t="n">
        <x:f>IF(ISNUMBER(L127),IF($I$153&gt;$H$153,(L127-$H$153)/($I$153-$H$153),"缺失"),"缺失")</x:f>
        <x:v>0.03785634872234547</x:v>
      </x:c>
      <x:c r="AE127" s="12" t="n">
        <x:f>IF(ISNUMBER(M127),IF($I$154&gt;$H$154,(M127-$H$154)/($I$154-$H$154),"缺失"),"缺失")</x:f>
        <x:v>0.000204415</x:v>
      </x:c>
      <x:c r="AF127" s="12" t="n">
        <x:f>IF(ISNUMBER(N127),IF($I$155&gt;$H$155,(N127-$H$155)/($I$155-$H$155),"缺失"),"缺失")</x:f>
        <x:v>0.022545521175926186</x:v>
      </x:c>
      <x:c r="AG127" s="12" t="n">
        <x:f>IF(ISNUMBER(O127),IF($I$156&gt;$H$156,(O127-$H$156)/($I$156-$H$156),"缺失"),"缺失")</x:f>
        <x:v>0.9817023857662759</x:v>
      </x:c>
      <x:c r="AH127" s="12" t="n">
        <x:f>IF(ISNUMBER(P127),IF($I$157&gt;$H$157,(P127-$H$157)/($I$157-$H$157),"缺失"),"缺失")</x:f>
        <x:v>0.5253604050281003</x:v>
      </x:c>
      <x:c r="AI127" s="12" t="n">
        <x:f>IF(ISNUMBER(Q127),IF($I$158&gt;$H$158,(Q127-$H$158)/($I$158-$H$158),"缺失"),"缺失")</x:f>
        <x:v>0.4293563785451858</x:v>
      </x:c>
      <x:c r="AJ127" s="12" t="n">
        <x:f>IF(ISNUMBER(R127),IF($I$159&gt;$H$159,(R127-$H$159)/($I$159-$H$159),"缺失"),"缺失")</x:f>
        <x:v>0.009466754983172808</x:v>
      </x:c>
      <x:c r="AK127" s="12" t="n">
        <x:f>IF(ISNUMBER(S127),IF($I$160&gt;$H$160,(S127-$H$160)/($I$160-$H$160),"缺失"),"缺失")</x:f>
        <x:v>0.021159118092498444</x:v>
      </x:c>
      <x:c r="AL127" s="12" t="n">
        <x:f>IF(ISNUMBER(T127),IF($I$161&gt;$H$161,(T127-$H$161)/($I$161-$H$161),"缺失"),"缺失")</x:f>
        <x:v>1</x:v>
      </x:c>
      <x:c r="AM127" s="12" t="n">
        <x:f>IF(ISNUMBER(U127),IF($I$162&gt;$H$162,(U127-$H$162)/($I$162-$H$162),"缺失"),"缺失")</x:f>
        <x:v>1</x:v>
      </x:c>
      <x:c r="AN127" s="12" t="n">
        <x:f>IF(ISNUMBER(V127),IF($I$163&gt;$H$163,(V127-$H$163)/($I$163-$H$163),"缺失"),"缺失")</x:f>
        <x:v>0</x:v>
      </x:c>
      <x:c r="AO127" s="23" t="str"/>
      <x:c r="AP127" s="23" t="str">
        <x:v>见指标口径：州级、产业、代表点代理；气候基期待核实</x:v>
      </x:c>
      <x:c r="AQ127" s="15" t="n">
        <x:v>1.000000000000001</x:v>
      </x:c>
      <x:c r="AR127" s="15" t="n">
        <x:v>0.9999999999999994</x:v>
      </x:c>
      <x:c r="AS127" s="15" t="n">
        <x:v>1</x:v>
      </x:c>
      <x:c r="AT127" s="15" t="n">
        <x:v>1</x:v>
      </x:c>
    </x:row>
    <x:row r="128" ht="24" customHeight="1">
      <x:c r="A128" s="18" t="str">
        <x:v>51735</x:v>
      </x:c>
      <x:c r="B128" s="3" t="str">
        <x:v>Poquoson city</x:v>
      </x:c>
      <x:c r="C128" s="3" t="str">
        <x:v>VA</x:v>
      </x:c>
      <x:c r="D128" s="12" t="n">
        <x:v>39.77369</x:v>
      </x:c>
      <x:c r="E128" s="12" t="n">
        <x:v>0.41</x:v>
      </x:c>
      <x:c r="F128" s="12" t="n">
        <x:v>0.478341584158416</x:v>
      </x:c>
      <x:c r="G128" s="12" t="n">
        <x:v>3.802847971072168</x:v>
      </x:c>
      <x:c r="H128" s="12" t="n">
        <x:v>4.054554194</x:v>
      </x:c>
      <x:c r="I128" s="12" t="n">
        <x:v>0.6535030359645025</x:v>
      </x:c>
      <x:c r="J128" s="12" t="n">
        <x:v>0.3116417478541691</x:v>
      </x:c>
      <x:c r="K128" s="12" t="n">
        <x:v>0.5799159271368519</x:v>
      </x:c>
      <x:c r="L128" s="24" t="n">
        <x:v>0.955066568</x:v>
      </x:c>
      <x:c r="M128" s="24" t="n">
        <x:v>0.000369822</x:v>
      </x:c>
      <x:c r="N128" s="13" t="n">
        <x:v>6853</x:v>
      </x:c>
      <x:c r="O128" s="12" t="n">
        <x:v>0.0038</x:v>
      </x:c>
      <x:c r="P128" s="12" t="n">
        <x:v>1501.5849934895834</x:v>
      </x:c>
      <x:c r="Q128" s="12" t="n">
        <x:v>20.769597721099853</x:v>
      </x:c>
      <x:c r="R128" s="12" t="n">
        <x:v>11.069034644390978</x:v>
      </x:c>
      <x:c r="S128" s="12" t="n">
        <x:v>11.187874038771794</x:v>
      </x:c>
      <x:c r="T128" s="12" t="n">
        <x:v>89.9</x:v>
      </x:c>
      <x:c r="U128" s="12" t="n">
        <x:v>245.07712999476223</x:v>
      </x:c>
      <x:c r="V128" s="12" t="n">
        <x:v>244.75798925963002</x:v>
      </x:c>
      <x:c r="W128" s="12" t="n">
        <x:f>IF(ISNUMBER(E128),IF($I$146&gt;$H$146,(E128-$H$146)/($I$146-$H$146),"缺失"),"缺失")</x:f>
        <x:v>0.41898148148148145</x:v>
      </x:c>
      <x:c r="X128" s="12" t="n">
        <x:f>IF(ISNUMBER(F128),IF($I$147&gt;$H$147,(F128-$H$147)/($I$147-$H$147),"缺失"),"缺失")</x:f>
        <x:v>0.48062992125984255</x:v>
      </x:c>
      <x:c r="Y128" s="12" t="n">
        <x:f>IF(ISNUMBER(G128),IF($I$148&gt;$H$148,(G128-$H$148)/($I$148-$H$148),"缺失"),"缺失")</x:f>
        <x:v>1</x:v>
      </x:c>
      <x:c r="Z128" s="12" t="n">
        <x:f>IF(ISNUMBER(H128),IF($I$149&gt;$H$149,(H128-$H$149)/($I$149-$H$149),"缺失"),"缺失")</x:f>
        <x:v>0.9991335260049232</x:v>
      </x:c>
      <x:c r="AA128" s="12" t="n">
        <x:f>IF(ISNUMBER(I128),IF($I$150&gt;$H$150,(I128-$H$150)/($I$150-$H$150),"缺失"),"缺失")</x:f>
        <x:v>0.637238550786522</x:v>
      </x:c>
      <x:c r="AB128" s="12" t="n">
        <x:f>IF(ISNUMBER(J128),IF($I$151&gt;$H$151,(J128-$H$151)/($I$151-$H$151),"缺失"),"缺失")</x:f>
        <x:v>0.7644553317377564</x:v>
      </x:c>
      <x:c r="AC128" s="12" t="n">
        <x:f>IF(ISNUMBER(K128),IF($I$152&gt;$H$152,(K128-$H$152)/($I$152-$H$152),"缺失"),"缺失")</x:f>
        <x:v>0.9969921884809302</x:v>
      </x:c>
      <x:c r="AD128" s="12" t="n">
        <x:f>IF(ISNUMBER(L128),IF($I$153&gt;$H$153,(L128-$H$153)/($I$153-$H$153),"缺失"),"缺失")</x:f>
        <x:v>0.9550517016649638</x:v>
      </x:c>
      <x:c r="AE128" s="12" t="n">
        <x:f>IF(ISNUMBER(M128),IF($I$154&gt;$H$154,(M128-$H$154)/($I$154-$H$154),"缺失"),"缺失")</x:f>
        <x:v>0.000369822</x:v>
      </x:c>
      <x:c r="AF128" s="12" t="n">
        <x:f>IF(ISNUMBER(N128),IF($I$155&gt;$H$155,(N128-$H$155)/($I$155-$H$155),"缺失"),"缺失")</x:f>
        <x:v>0.009573189479274394</x:v>
      </x:c>
      <x:c r="AG128" s="12" t="n">
        <x:f>IF(ISNUMBER(O128),IF($I$156&gt;$H$156,(O128-$H$156)/($I$156-$H$156),"缺失"),"缺失")</x:f>
        <x:v>0.0016174686615446825</x:v>
      </x:c>
      <x:c r="AH128" s="12" t="n">
        <x:f>IF(ISNUMBER(P128),IF($I$157&gt;$H$157,(P128-$H$157)/($I$157-$H$157),"缺失"),"缺失")</x:f>
        <x:v>0.5514395188599027</x:v>
      </x:c>
      <x:c r="AI128" s="12" t="n">
        <x:f>IF(ISNUMBER(Q128),IF($I$158&gt;$H$158,(Q128-$H$158)/($I$158-$H$158),"缺失"),"缺失")</x:f>
        <x:v>0.24033412732211207</x:v>
      </x:c>
      <x:c r="AJ128" s="12" t="n">
        <x:f>IF(ISNUMBER(R128),IF($I$159&gt;$H$159,(R128-$H$159)/($I$159-$H$159),"缺失"),"缺失")</x:f>
        <x:v>0.11480777336984792</x:v>
      </x:c>
      <x:c r="AK128" s="12" t="n">
        <x:f>IF(ISNUMBER(S128),IF($I$160&gt;$H$160,(S128-$H$160)/($I$160-$H$160),"缺失"),"缺失")</x:f>
        <x:v>0.21824646811879733</x:v>
      </x:c>
      <x:c r="AL128" s="12" t="n">
        <x:f>IF(ISNUMBER(T128),IF($I$161&gt;$H$161,(T128-$H$161)/($I$161-$H$161),"缺失"),"缺失")</x:f>
        <x:v>1</x:v>
      </x:c>
      <x:c r="AM128" s="12" t="n">
        <x:f>IF(ISNUMBER(U128),IF($I$162&gt;$H$162,(U128-$H$162)/($I$162-$H$162),"缺失"),"缺失")</x:f>
        <x:v>1</x:v>
      </x:c>
      <x:c r="AN128" s="12" t="n">
        <x:f>IF(ISNUMBER(V128),IF($I$163&gt;$H$163,(V128-$H$163)/($I$163-$H$163),"缺失"),"缺失")</x:f>
        <x:v>0</x:v>
      </x:c>
      <x:c r="AO128" s="23" t="str"/>
      <x:c r="AP128" s="23" t="str">
        <x:v>baseline_water_stress:有效县域面积覆盖&lt;99%（诊断提示，非行业阈值）；water_stress_2050_bau:有效县域面积覆盖&lt;99%（诊断提示，非行业阈值）</x:v>
      </x:c>
      <x:c r="AQ128" s="15" t="n">
        <x:v>0.2712582144845973</x:v>
      </x:c>
      <x:c r="AR128" s="15" t="n">
        <x:v>0.26961287974131676</x:v>
      </x:c>
      <x:c r="AS128" s="15" t="n">
        <x:v>1</x:v>
      </x:c>
      <x:c r="AT128" s="15" t="n">
        <x:v>1</x:v>
      </x:c>
    </x:row>
    <x:row r="129" ht="24" customHeight="1">
      <x:c r="A129" s="18" t="str">
        <x:v>51740</x:v>
      </x:c>
      <x:c r="B129" s="3" t="str">
        <x:v>Portsmouth city</x:v>
      </x:c>
      <x:c r="C129" s="3" t="str">
        <x:v>VA</x:v>
      </x:c>
      <x:c r="D129" s="12" t="n">
        <x:v>86.248205</x:v>
      </x:c>
      <x:c r="E129" s="12" t="n">
        <x:v>0.24</x:v>
      </x:c>
      <x:c r="F129" s="12" t="n">
        <x:v>0.0748762376237624</x:v>
      </x:c>
      <x:c r="G129" s="12" t="n">
        <x:v>1.1401255828034569</x:v>
      </x:c>
      <x:c r="H129" s="12" t="n">
        <x:v>1.465933626</x:v>
      </x:c>
      <x:c r="I129" s="12" t="n">
        <x:v>0.1875289559027924</x:v>
      </x:c>
      <x:c r="J129" s="12" t="n">
        <x:v>0</x:v>
      </x:c>
      <x:c r="K129" s="12" t="n">
        <x:v>0.0451501495177526</x:v>
      </x:c>
      <x:c r="L129" s="24" t="n">
        <x:v>0.668709406</x:v>
      </x:c>
      <x:c r="M129" s="24" t="n">
        <x:v>0.012731157</x:v>
      </x:c>
      <x:c r="N129" s="13" t="n">
        <x:v>43784</x:v>
      </x:c>
      <x:c r="O129" s="12" t="n">
        <x:v>0.8355</x:v>
      </x:c>
      <x:c r="P129" s="12" t="n">
        <x:v>1506.9204223632812</x:v>
      </x:c>
      <x:c r="Q129" s="12" t="n">
        <x:v>22.743598429361978</x:v>
      </x:c>
      <x:c r="R129" s="12" t="n">
        <x:v>4.538397014894531</x:v>
      </x:c>
      <x:c r="S129" s="12" t="n">
        <x:v>0.7327851453206146</x:v>
      </x:c>
      <x:c r="T129" s="12" t="n">
        <x:v>89.9</x:v>
      </x:c>
      <x:c r="U129" s="12" t="n">
        <x:v>245.07712999476223</x:v>
      </x:c>
      <x:c r="V129" s="12" t="n">
        <x:v>244.75798925963002</x:v>
      </x:c>
      <x:c r="W129" s="12" t="n">
        <x:f>IF(ISNUMBER(E129),IF($I$146&gt;$H$146,(E129-$H$146)/($I$146-$H$146),"缺失"),"缺失")</x:f>
        <x:v>0.22222222222222224</x:v>
      </x:c>
      <x:c r="X129" s="12" t="n">
        <x:f>IF(ISNUMBER(F129),IF($I$147&gt;$H$147,(F129-$H$147)/($I$147-$H$147),"缺失"),"缺失")</x:f>
        <x:v>0.06992125984251969</x:v>
      </x:c>
      <x:c r="Y129" s="12" t="n">
        <x:f>IF(ISNUMBER(G129),IF($I$148&gt;$H$148,(G129-$H$148)/($I$148-$H$148),"缺失"),"缺失")</x:f>
        <x:v>0.29956828520800677</x:v>
      </x:c>
      <x:c r="Z129" s="12" t="n">
        <x:f>IF(ISNUMBER(H129),IF($I$149&gt;$H$149,(H129-$H$149)/($I$149-$H$149),"缺失"),"缺失")</x:f>
        <x:v>0.3609669373552562</x:v>
      </x:c>
      <x:c r="AA129" s="12" t="n">
        <x:f>IF(ISNUMBER(I129),IF($I$150&gt;$H$150,(I129-$H$150)/($I$150-$H$150),"缺失"),"缺失")</x:f>
        <x:v>0.13700309531904278</x:v>
      </x:c>
      <x:c r="AB129" s="12" t="n">
        <x:f>IF(ISNUMBER(J129),IF($I$151&gt;$H$151,(J129-$H$151)/($I$151-$H$151),"缺失"),"缺失")</x:f>
        <x:v>0</x:v>
      </x:c>
      <x:c r="AC129" s="12" t="n">
        <x:f>IF(ISNUMBER(K129),IF($I$152&gt;$H$152,(K129-$H$152)/($I$152-$H$152),"缺失"),"缺失")</x:f>
        <x:v>0.07762219361725278</x:v>
      </x:c>
      <x:c r="AD129" s="12" t="n">
        <x:f>IF(ISNUMBER(L129),IF($I$153&gt;$H$153,(L129-$H$153)/($I$153-$H$153),"缺失"),"缺失")</x:f>
        <x:v>0.6685997977028916</x:v>
      </x:c>
      <x:c r="AE129" s="12" t="n">
        <x:f>IF(ISNUMBER(M129),IF($I$154&gt;$H$154,(M129-$H$154)/($I$154-$H$154),"缺失"),"缺失")</x:f>
        <x:v>0.012731157</x:v>
      </x:c>
      <x:c r="AF129" s="12" t="n">
        <x:f>IF(ISNUMBER(N129),IF($I$155&gt;$H$155,(N129-$H$155)/($I$155-$H$155),"缺失"),"缺失")</x:f>
        <x:v>0.06692070945641676</x:v>
      </x:c>
      <x:c r="AG129" s="12" t="n">
        <x:f>IF(ISNUMBER(O129),IF($I$156&gt;$H$156,(O129-$H$156)/($I$156-$H$156),"缺失"),"缺失")</x:f>
        <x:v>0.8423978972907401</x:v>
      </x:c>
      <x:c r="AH129" s="12" t="n">
        <x:f>IF(ISNUMBER(P129),IF($I$157&gt;$H$157,(P129-$H$157)/($I$157-$H$157),"缺失"),"缺失")</x:f>
        <x:v>0.5538396938009311</x:v>
      </x:c>
      <x:c r="AI129" s="12" t="n">
        <x:f>IF(ISNUMBER(Q129),IF($I$158&gt;$H$158,(Q129-$H$158)/($I$158-$H$158),"缺失"),"缺失")</x:f>
        <x:v>0.2635317854094584</x:v>
      </x:c>
      <x:c r="AJ129" s="12" t="n">
        <x:f>IF(ISNUMBER(R129),IF($I$159&gt;$H$159,(R129-$H$159)/($I$159-$H$159),"缺失"),"缺失")</x:f>
        <x:v>0.046180902627556475</x:v>
      </x:c>
      <x:c r="AK129" s="12" t="n">
        <x:f>IF(ISNUMBER(S129),IF($I$160&gt;$H$160,(S129-$H$160)/($I$160-$H$160),"缺失"),"缺失")</x:f>
        <x:v>0.01414577850948354</x:v>
      </x:c>
      <x:c r="AL129" s="12" t="n">
        <x:f>IF(ISNUMBER(T129),IF($I$161&gt;$H$161,(T129-$H$161)/($I$161-$H$161),"缺失"),"缺失")</x:f>
        <x:v>1</x:v>
      </x:c>
      <x:c r="AM129" s="12" t="n">
        <x:f>IF(ISNUMBER(U129),IF($I$162&gt;$H$162,(U129-$H$162)/($I$162-$H$162),"缺失"),"缺失")</x:f>
        <x:v>1</x:v>
      </x:c>
      <x:c r="AN129" s="12" t="n">
        <x:f>IF(ISNUMBER(V129),IF($I$163&gt;$H$163,(V129-$H$163)/($I$163-$H$163),"缺失"),"缺失")</x:f>
        <x:v>0</x:v>
      </x:c>
      <x:c r="AO129" s="23" t="str"/>
      <x:c r="AP129" s="23" t="str">
        <x:v>baseline_water_stress:有效县域面积覆盖&lt;99%（诊断提示，非行业阈值）；water_stress_2050_bau:有效县域面积覆盖&lt;99%（诊断提示，非行业阈值）</x:v>
      </x:c>
      <x:c r="AQ129" s="15" t="n">
        <x:v>0.8393238364288559</x:v>
      </x:c>
      <x:c r="AR129" s="15" t="n">
        <x:v>0.8393812119013329</x:v>
      </x:c>
      <x:c r="AS129" s="15" t="n">
        <x:v>1</x:v>
      </x:c>
      <x:c r="AT129" s="15" t="n">
        <x:v>1</x:v>
      </x:c>
    </x:row>
    <x:row r="130" ht="24" customHeight="1">
      <x:c r="A130" s="18" t="str">
        <x:v>51750</x:v>
      </x:c>
      <x:c r="B130" s="3" t="str">
        <x:v>Radford city</x:v>
      </x:c>
      <x:c r="C130" s="3" t="str">
        <x:v>VA</x:v>
      </x:c>
      <x:c r="D130" s="12" t="n">
        <x:v>25.061729</x:v>
      </x:c>
      <x:c r="E130" s="12" t="n">
        <x:v>0.457</x:v>
      </x:c>
      <x:c r="F130" s="12" t="n">
        <x:v>0.200185643564356</x:v>
      </x:c>
      <x:c r="G130" s="12" t="n">
        <x:v>1.885636830596275</x:v>
      </x:c>
      <x:c r="H130" s="12" t="n">
        <x:v>2.282656327</x:v>
      </x:c>
      <x:c r="I130" s="12" t="n">
        <x:v>0.4956053811659193</x:v>
      </x:c>
      <x:c r="J130" s="12" t="n">
        <x:v>0</x:v>
      </x:c>
      <x:c r="K130" s="12" t="n">
        <x:v>0.00017937219730941703</x:v>
      </x:c>
      <x:c r="L130" s="24" t="n">
        <x:v>0.117812685</x:v>
      </x:c>
      <x:c r="M130" s="24" t="n">
        <x:v>0.111440427</x:v>
      </x:c>
      <x:c r="N130" s="13" t="n">
        <x:v>8871</x:v>
      </x:c>
      <x:c r="O130" s="12" t="n">
        <x:v>0.3408</x:v>
      </x:c>
      <x:c r="P130" s="12" t="n">
        <x:v>613.026436360677</x:v>
      </x:c>
      <x:c r="Q130" s="12" t="n">
        <x:v>3.3588300148646035</x:v>
      </x:c>
      <x:c r="R130" s="12" t="n">
        <x:v>2.2158828956813625</x:v>
      </x:c>
      <x:c r="S130" s="12" t="n">
        <x:v>2.2248870942070997</x:v>
      </x:c>
      <x:c r="T130" s="12" t="n">
        <x:v>89.9</x:v>
      </x:c>
      <x:c r="U130" s="12" t="n">
        <x:v>245.07712999476223</x:v>
      </x:c>
      <x:c r="V130" s="12" t="n">
        <x:v>244.75798925963002</x:v>
      </x:c>
      <x:c r="W130" s="12" t="n">
        <x:f>IF(ISNUMBER(E130),IF($I$146&gt;$H$146,(E130-$H$146)/($I$146-$H$146),"缺失"),"缺失")</x:f>
        <x:v>0.47337962962962965</x:v>
      </x:c>
      <x:c r="X130" s="12" t="n">
        <x:f>IF(ISNUMBER(F130),IF($I$147&gt;$H$147,(F130-$H$147)/($I$147-$H$147),"缺失"),"缺失")</x:f>
        <x:v>0.19748031496062943</x:v>
      </x:c>
      <x:c r="Y130" s="12" t="n">
        <x:f>IF(ISNUMBER(G130),IF($I$148&gt;$H$148,(G130-$H$148)/($I$148-$H$148),"缺失"),"缺失")</x:f>
        <x:v>0.49567574424648386</x:v>
      </x:c>
      <x:c r="Z130" s="12" t="n">
        <x:f>IF(ISNUMBER(H130),IF($I$149&gt;$H$149,(H130-$H$149)/($I$149-$H$149),"缺失"),"缺失")</x:f>
        <x:v>0.5623116791891672</x:v>
      </x:c>
      <x:c r="AA130" s="12" t="n">
        <x:f>IF(ISNUMBER(I130),IF($I$150&gt;$H$150,(I130-$H$150)/($I$150-$H$150),"缺失"),"缺失")</x:f>
        <x:v>0.46773125704401214</x:v>
      </x:c>
      <x:c r="AB130" s="12" t="n">
        <x:f>IF(ISNUMBER(J130),IF($I$151&gt;$H$151,(J130-$H$151)/($I$151-$H$151),"缺失"),"缺失")</x:f>
        <x:v>0</x:v>
      </x:c>
      <x:c r="AC130" s="12" t="n">
        <x:f>IF(ISNUMBER(K130),IF($I$152&gt;$H$152,(K130-$H$152)/($I$152-$H$152),"缺失"),"缺失")</x:f>
        <x:v>0.00030837690634067885</x:v>
      </x:c>
      <x:c r="AD130" s="12" t="n">
        <x:f>IF(ISNUMBER(L130),IF($I$153&gt;$H$153,(L130-$H$153)/($I$153-$H$153),"缺失"),"缺失")</x:f>
        <x:v>0.11752081118565398</x:v>
      </x:c>
      <x:c r="AE130" s="12" t="n">
        <x:f>IF(ISNUMBER(M130),IF($I$154&gt;$H$154,(M130-$H$154)/($I$154-$H$154),"缺失"),"缺失")</x:f>
        <x:v>0.111440427</x:v>
      </x:c>
      <x:c r="AF130" s="12" t="n">
        <x:f>IF(ISNUMBER(N130),IF($I$155&gt;$H$155,(N130-$H$155)/($I$155-$H$155),"缺失"),"缺失")</x:f>
        <x:v>0.012706797973868996</x:v>
      </x:c>
      <x:c r="AG130" s="12" t="n">
        <x:f>IF(ISNUMBER(O130),IF($I$156&gt;$H$156,(O130-$H$156)/($I$156-$H$156),"缺失"),"缺失")</x:f>
        <x:v>0.34229680549939345</x:v>
      </x:c>
      <x:c r="AH130" s="12" t="n">
        <x:f>IF(ISNUMBER(P130),IF($I$157&gt;$H$157,(P130-$H$157)/($I$157-$H$157),"缺失"),"缺失")</x:f>
        <x:v>0.15171607901222015</x:v>
      </x:c>
      <x:c r="AI130" s="12" t="n">
        <x:f>IF(ISNUMBER(Q130),IF($I$158&gt;$H$158,(Q130-$H$158)/($I$158-$H$158),"缺失"),"缺失")</x:f>
        <x:v>0.035729825714219905</x:v>
      </x:c>
      <x:c r="AJ130" s="12" t="n">
        <x:f>IF(ISNUMBER(R130),IF($I$159&gt;$H$159,(R130-$H$159)/($I$159-$H$159),"缺失"),"缺失")</x:f>
        <x:v>0.02177488206740504</x:v>
      </x:c>
      <x:c r="AK130" s="12" t="n">
        <x:f>IF(ISNUMBER(S130),IF($I$160&gt;$H$160,(S130-$H$160)/($I$160-$H$160),"缺失"),"缺失")</x:f>
        <x:v>0.0432740852927849</x:v>
      </x:c>
      <x:c r="AL130" s="12" t="n">
        <x:f>IF(ISNUMBER(T130),IF($I$161&gt;$H$161,(T130-$H$161)/($I$161-$H$161),"缺失"),"缺失")</x:f>
        <x:v>1</x:v>
      </x:c>
      <x:c r="AM130" s="12" t="n">
        <x:f>IF(ISNUMBER(U130),IF($I$162&gt;$H$162,(U130-$H$162)/($I$162-$H$162),"缺失"),"缺失")</x:f>
        <x:v>1</x:v>
      </x:c>
      <x:c r="AN130" s="12" t="n">
        <x:f>IF(ISNUMBER(V130),IF($I$163&gt;$H$163,(V130-$H$163)/($I$163-$H$163),"缺失"),"缺失")</x:f>
        <x:v>0</x:v>
      </x:c>
      <x:c r="AO130" s="23" t="str"/>
      <x:c r="AP130" s="23" t="str">
        <x:v>见指标口径：州级、产业、代表点代理；气候基期待核实</x:v>
      </x:c>
      <x:c r="AQ130" s="15" t="n">
        <x:v>0.9999999999999984</x:v>
      </x:c>
      <x:c r="AR130" s="15" t="n">
        <x:v>0.9999999999999984</x:v>
      </x:c>
      <x:c r="AS130" s="15" t="n">
        <x:v>1</x:v>
      </x:c>
      <x:c r="AT130" s="15" t="n">
        <x:v>1</x:v>
      </x:c>
    </x:row>
    <x:row r="131" ht="24" customHeight="1">
      <x:c r="A131" s="18" t="str">
        <x:v>51760</x:v>
      </x:c>
      <x:c r="B131" s="3" t="str">
        <x:v>Richmond city</x:v>
      </x:c>
      <x:c r="C131" s="3" t="str">
        <x:v>VA</x:v>
      </x:c>
      <x:c r="D131" s="12" t="n">
        <x:v>155.205068</x:v>
      </x:c>
      <x:c r="E131" s="12" t="n">
        <x:v>0.177</x:v>
      </x:c>
      <x:c r="F131" s="12" t="n">
        <x:v>0.067759900990099</x:v>
      </x:c>
      <x:c r="G131" s="12" t="n">
        <x:v>2.454005571426488</x:v>
      </x:c>
      <x:c r="H131" s="12" t="n">
        <x:v>2.7494100146904987</x:v>
      </x:c>
      <x:c r="I131" s="12" t="n">
        <x:v>0.1995100317274537</x:v>
      </x:c>
      <x:c r="J131" s="12" t="n">
        <x:v>0.010788691196866729</x:v>
      </x:c>
      <x:c r="K131" s="12" t="n">
        <x:v>0.024050901621944152</x:v>
      </x:c>
      <x:c r="L131" s="24" t="n">
        <x:v>0.68239254</x:v>
      </x:c>
      <x:c r="M131" s="24" t="n">
        <x:v>0.00331071</x:v>
      </x:c>
      <x:c r="N131" s="13" t="n">
        <x:v>130766</x:v>
      </x:c>
      <x:c r="O131" s="12" t="n">
        <x:v>0.8333</x:v>
      </x:c>
      <x:c r="P131" s="12" t="n">
        <x:v>1343.370235188802</x:v>
      </x:c>
      <x:c r="Q131" s="12" t="n">
        <x:v>30.38526859283447</x:v>
      </x:c>
      <x:c r="R131" s="12" t="n">
        <x:v>2.0158835369915202</x:v>
      </x:c>
      <x:c r="S131" s="12" t="n">
        <x:v>0.009147783595810519</x:v>
      </x:c>
      <x:c r="T131" s="12" t="n">
        <x:v>89.9</x:v>
      </x:c>
      <x:c r="U131" s="12" t="n">
        <x:v>245.07712999476223</x:v>
      </x:c>
      <x:c r="V131" s="12" t="n">
        <x:v>244.75798925963002</x:v>
      </x:c>
      <x:c r="W131" s="12" t="n">
        <x:f>IF(ISNUMBER(E131),IF($I$146&gt;$H$146,(E131-$H$146)/($I$146-$H$146),"缺失"),"缺失")</x:f>
        <x:v>0.14930555555555555</x:v>
      </x:c>
      <x:c r="X131" s="12" t="n">
        <x:f>IF(ISNUMBER(F131),IF($I$147&gt;$H$147,(F131-$H$147)/($I$147-$H$147),"缺失"),"缺失")</x:f>
        <x:v>0.06267716535433068</x:v>
      </x:c>
      <x:c r="Y131" s="12" t="n">
        <x:f>IF(ISNUMBER(G131),IF($I$148&gt;$H$148,(G131-$H$148)/($I$148-$H$148),"缺失"),"缺失")</x:f>
        <x:v>0.6451856944868155</x:v>
      </x:c>
      <x:c r="Z131" s="12" t="n">
        <x:f>IF(ISNUMBER(H131),IF($I$149&gt;$H$149,(H131-$H$149)/($I$149-$H$149),"缺失"),"缺失")</x:f>
        <x:v>0.6773793767479613</x:v>
      </x:c>
      <x:c r="AA131" s="12" t="n">
        <x:f>IF(ISNUMBER(I131),IF($I$150&gt;$H$150,(I131-$H$150)/($I$150-$H$150),"缺失"),"缺失")</x:f>
        <x:v>0.14986509597226824</x:v>
      </x:c>
      <x:c r="AB131" s="12" t="n">
        <x:f>IF(ISNUMBER(J131),IF($I$151&gt;$H$151,(J131-$H$151)/($I$151-$H$151),"缺失"),"缺失")</x:f>
        <x:v>0.02646459456958354</x:v>
      </x:c>
      <x:c r="AC131" s="12" t="n">
        <x:f>IF(ISNUMBER(K131),IF($I$152&gt;$H$152,(K131-$H$152)/($I$152-$H$152),"缺失"),"缺失")</x:f>
        <x:v>0.041348340200601276</x:v>
      </x:c>
      <x:c r="AD131" s="12" t="n">
        <x:f>IF(ISNUMBER(L131),IF($I$153&gt;$H$153,(L131-$H$153)/($I$153-$H$153),"缺失"),"缺失")</x:f>
        <x:v>0.6822874588009863</x:v>
      </x:c>
      <x:c r="AE131" s="12" t="n">
        <x:f>IF(ISNUMBER(M131),IF($I$154&gt;$H$154,(M131-$H$154)/($I$154-$H$154),"缺失"),"缺失")</x:f>
        <x:v>0.00331071</x:v>
      </x:c>
      <x:c r="AF131" s="12" t="n">
        <x:f>IF(ISNUMBER(N131),IF($I$155&gt;$H$155,(N131-$H$155)/($I$155-$H$155),"缺失"),"缺失")</x:f>
        <x:v>0.201988863111931</x:v>
      </x:c>
      <x:c r="AG131" s="12" t="n">
        <x:f>IF(ISNUMBER(O131),IF($I$156&gt;$H$156,(O131-$H$156)/($I$156-$H$156),"缺失"),"缺失")</x:f>
        <x:v>0.8401738778811162</x:v>
      </x:c>
      <x:c r="AH131" s="12" t="n">
        <x:f>IF(ISNUMBER(P131),IF($I$157&gt;$H$157,(P131-$H$157)/($I$157-$H$157),"缺失"),"缺失")</x:f>
        <x:v>0.4802656531475462</x:v>
      </x:c>
      <x:c r="AI131" s="12" t="n">
        <x:f>IF(ISNUMBER(Q131),IF($I$158&gt;$H$158,(Q131-$H$158)/($I$158-$H$158),"缺失"),"缺失")</x:f>
        <x:v>0.35333360307171</x:v>
      </x:c>
      <x:c r="AJ131" s="12" t="n">
        <x:f>IF(ISNUMBER(R131),IF($I$159&gt;$H$159,(R131-$H$159)/($I$159-$H$159),"缺失"),"缺失")</x:f>
        <x:v>0.019673199059400306</x:v>
      </x:c>
      <x:c r="AK131" s="12" t="n">
        <x:f>IF(ISNUMBER(S131),IF($I$160&gt;$H$160,(S131-$H$160)/($I$160-$H$160),"缺失"),"缺失")</x:f>
        <x:v>0.000019176042467737783</x:v>
      </x:c>
      <x:c r="AL131" s="12" t="n">
        <x:f>IF(ISNUMBER(T131),IF($I$161&gt;$H$161,(T131-$H$161)/($I$161-$H$161),"缺失"),"缺失")</x:f>
        <x:v>1</x:v>
      </x:c>
      <x:c r="AM131" s="12" t="n">
        <x:f>IF(ISNUMBER(U131),IF($I$162&gt;$H$162,(U131-$H$162)/($I$162-$H$162),"缺失"),"缺失")</x:f>
        <x:v>1</x:v>
      </x:c>
      <x:c r="AN131" s="12" t="n">
        <x:f>IF(ISNUMBER(V131),IF($I$163&gt;$H$163,(V131-$H$163)/($I$163-$H$163),"缺失"),"缺失")</x:f>
        <x:v>0</x:v>
      </x:c>
      <x:c r="AO131" s="23" t="str"/>
      <x:c r="AP131" s="23" t="str">
        <x:v>见指标口径：州级、产业、代表点代理；气候基期待核实</x:v>
      </x:c>
      <x:c r="AQ131" s="15" t="n">
        <x:v>0.9999999999999952</x:v>
      </x:c>
      <x:c r="AR131" s="15" t="n">
        <x:v>0.9999999999999949</x:v>
      </x:c>
      <x:c r="AS131" s="15" t="n">
        <x:v>1</x:v>
      </x:c>
      <x:c r="AT131" s="15" t="n">
        <x:v>1</x:v>
      </x:c>
    </x:row>
    <x:row r="132" ht="24" customHeight="1">
      <x:c r="A132" s="18" t="str">
        <x:v>51770</x:v>
      </x:c>
      <x:c r="B132" s="3" t="str">
        <x:v>Roanoke city</x:v>
      </x:c>
      <x:c r="C132" s="3" t="str">
        <x:v>VA</x:v>
      </x:c>
      <x:c r="D132" s="12" t="n">
        <x:v>110.129888</x:v>
      </x:c>
      <x:c r="E132" s="12" t="n">
        <x:v>0.399</x:v>
      </x:c>
      <x:c r="F132" s="12" t="n">
        <x:v>0.42821782178217804</x:v>
      </x:c>
      <x:c r="G132" s="12" t="n">
        <x:v>2.7697299319853768</x:v>
      </x:c>
      <x:c r="H132" s="12" t="n">
        <x:v>3.155046543</x:v>
      </x:c>
      <x:c r="I132" s="12" t="n">
        <x:v>0.24054957718589212</x:v>
      </x:c>
      <x:c r="J132" s="12" t="n">
        <x:v>0</x:v>
      </x:c>
      <x:c r="K132" s="12" t="n">
        <x:v>0</x:v>
      </x:c>
      <x:c r="L132" s="24" t="n">
        <x:v>0.70265169</x:v>
      </x:c>
      <x:c r="M132" s="24" t="n">
        <x:v>0.6861272</x:v>
      </x:c>
      <x:c r="N132" s="13" t="n">
        <x:v>48738</x:v>
      </x:c>
      <x:c r="O132" s="12" t="n">
        <x:v>0.8521</x:v>
      </x:c>
      <x:c r="P132" s="12" t="n">
        <x:v>1157.9026692708333</x:v>
      </x:c>
      <x:c r="Q132" s="12" t="n">
        <x:v>22.97145347595215</x:v>
      </x:c>
      <x:c r="R132" s="12" t="n">
        <x:v>1.792493092527808</x:v>
      </x:c>
      <x:c r="S132" s="12" t="n">
        <x:v>0.17552854364318132</x:v>
      </x:c>
      <x:c r="T132" s="12" t="n">
        <x:v>89.9</x:v>
      </x:c>
      <x:c r="U132" s="12" t="n">
        <x:v>245.07712999476223</x:v>
      </x:c>
      <x:c r="V132" s="12" t="n">
        <x:v>244.75798925963002</x:v>
      </x:c>
      <x:c r="W132" s="12" t="n">
        <x:f>IF(ISNUMBER(E132),IF($I$146&gt;$H$146,(E132-$H$146)/($I$146-$H$146),"缺失"),"缺失")</x:f>
        <x:v>0.40625000000000006</x:v>
      </x:c>
      <x:c r="X132" s="12" t="n">
        <x:f>IF(ISNUMBER(F132),IF($I$147&gt;$H$147,(F132-$H$147)/($I$147-$H$147),"缺失"),"缺失")</x:f>
        <x:v>0.42960629921259813</x:v>
      </x:c>
      <x:c r="Y132" s="12" t="n">
        <x:f>IF(ISNUMBER(G132),IF($I$148&gt;$H$148,(G132-$H$148)/($I$148-$H$148),"缺失"),"缺失")</x:f>
        <x:v>0.728237294699504</x:v>
      </x:c>
      <x:c r="Z132" s="12" t="n">
        <x:f>IF(ISNUMBER(H132),IF($I$149&gt;$H$149,(H132-$H$149)/($I$149-$H$149),"缺失"),"缺失")</x:f>
        <x:v>0.7773800036080692</x:v>
      </x:c>
      <x:c r="AA132" s="12" t="n">
        <x:f>IF(ISNUMBER(I132),IF($I$150&gt;$H$150,(I132-$H$150)/($I$150-$H$150),"缺失"),"缺失")</x:f>
        <x:v>0.19392212959924915</x:v>
      </x:c>
      <x:c r="AB132" s="12" t="n">
        <x:f>IF(ISNUMBER(J132),IF($I$151&gt;$H$151,(J132-$H$151)/($I$151-$H$151),"缺失"),"缺失")</x:f>
        <x:v>0</x:v>
      </x:c>
      <x:c r="AC132" s="12" t="n">
        <x:f>IF(ISNUMBER(K132),IF($I$152&gt;$H$152,(K132-$H$152)/($I$152-$H$152),"缺失"),"缺失")</x:f>
        <x:v>0</x:v>
      </x:c>
      <x:c r="AD132" s="12" t="n">
        <x:f>IF(ISNUMBER(L132),IF($I$153&gt;$H$153,(L132-$H$153)/($I$153-$H$153),"缺失"),"缺失")</x:f>
        <x:v>0.7025533115899353</x:v>
      </x:c>
      <x:c r="AE132" s="12" t="n">
        <x:f>IF(ISNUMBER(M132),IF($I$154&gt;$H$154,(M132-$H$154)/($I$154-$H$154),"缺失"),"缺失")</x:f>
        <x:v>0.6861272</x:v>
      </x:c>
      <x:c r="AF132" s="12" t="n">
        <x:f>IF(ISNUMBER(N132),IF($I$155&gt;$H$155,(N132-$H$155)/($I$155-$H$155),"缺失"),"缺失")</x:f>
        <x:v>0.07461342327317674</x:v>
      </x:c>
      <x:c r="AG132" s="12" t="n">
        <x:f>IF(ISNUMBER(O132),IF($I$156&gt;$H$156,(O132-$H$156)/($I$156-$H$156),"缺失"),"缺失")</x:f>
        <x:v>0.8591791346542661</x:v>
      </x:c>
      <x:c r="AH132" s="12" t="n">
        <x:f>IF(ISNUMBER(P132),IF($I$157&gt;$H$157,(P132-$H$157)/($I$157-$H$157),"缺失"),"缺失")</x:f>
        <x:v>0.39683194713670855</x:v>
      </x:c>
      <x:c r="AI132" s="12" t="n">
        <x:f>IF(ISNUMBER(Q132),IF($I$158&gt;$H$158,(Q132-$H$158)/($I$158-$H$158),"缺失"),"缺失")</x:f>
        <x:v>0.2662094457781462</x:v>
      </x:c>
      <x:c r="AJ132" s="12" t="n">
        <x:f>IF(ISNUMBER(R132),IF($I$159&gt;$H$159,(R132-$H$159)/($I$159-$H$159),"缺失"),"缺失")</x:f>
        <x:v>0.01732571202566386</x:v>
      </x:c>
      <x:c r="AK132" s="12" t="n">
        <x:f>IF(ISNUMBER(S132),IF($I$160&gt;$H$160,(S132-$H$160)/($I$160-$H$160),"缺失"),"缺失")</x:f>
        <x:v>0.003267204654128888</x:v>
      </x:c>
      <x:c r="AL132" s="12" t="n">
        <x:f>IF(ISNUMBER(T132),IF($I$161&gt;$H$161,(T132-$H$161)/($I$161-$H$161),"缺失"),"缺失")</x:f>
        <x:v>1</x:v>
      </x:c>
      <x:c r="AM132" s="12" t="n">
        <x:f>IF(ISNUMBER(U132),IF($I$162&gt;$H$162,(U132-$H$162)/($I$162-$H$162),"缺失"),"缺失")</x:f>
        <x:v>1</x:v>
      </x:c>
      <x:c r="AN132" s="12" t="n">
        <x:f>IF(ISNUMBER(V132),IF($I$163&gt;$H$163,(V132-$H$163)/($I$163-$H$163),"缺失"),"缺失")</x:f>
        <x:v>0</x:v>
      </x:c>
      <x:c r="AO132" s="23" t="str"/>
      <x:c r="AP132" s="23" t="str">
        <x:v>见指标口径：州级、产业、代表点代理；气候基期待核实</x:v>
      </x:c>
      <x:c r="AQ132" s="15" t="n">
        <x:v>0.9999999999999988</x:v>
      </x:c>
      <x:c r="AR132" s="15" t="n">
        <x:v>0.9999999999999988</x:v>
      </x:c>
      <x:c r="AS132" s="15" t="n">
        <x:v>1</x:v>
      </x:c>
      <x:c r="AT132" s="15" t="n">
        <x:v>1</x:v>
      </x:c>
    </x:row>
    <x:row r="133" ht="24" customHeight="1">
      <x:c r="A133" s="18" t="str">
        <x:v>51775</x:v>
      </x:c>
      <x:c r="B133" s="3" t="str">
        <x:v>Salem city</x:v>
      </x:c>
      <x:c r="C133" s="3" t="str">
        <x:v>VA</x:v>
      </x:c>
      <x:c r="D133" s="12" t="n">
        <x:v>37.597966</x:v>
      </x:c>
      <x:c r="E133" s="12" t="n">
        <x:v>0.462</x:v>
      </x:c>
      <x:c r="F133" s="12" t="n">
        <x:v>0.608910891089109</x:v>
      </x:c>
      <x:c r="G133" s="12" t="n">
        <x:v>2.7697299319853763</x:v>
      </x:c>
      <x:c r="H133" s="12" t="n">
        <x:v>3.155046543</x:v>
      </x:c>
      <x:c r="I133" s="12" t="n">
        <x:v>0.25792349726775954</x:v>
      </x:c>
      <x:c r="J133" s="12" t="n">
        <x:v>0</x:v>
      </x:c>
      <x:c r="K133" s="12" t="n">
        <x:v>0</x:v>
      </x:c>
      <x:c r="L133" s="24" t="n">
        <x:v>0.747789706</x:v>
      </x:c>
      <x:c r="M133" s="24" t="n">
        <x:v>0.743211241</x:v>
      </x:c>
      <x:c r="N133" s="13" t="n">
        <x:v>13413</x:v>
      </x:c>
      <x:c r="O133" s="12" t="n">
        <x:v>0.3248</x:v>
      </x:c>
      <x:c r="P133" s="12" t="n">
        <x:v>1116.765242513021</x:v>
      </x:c>
      <x:c r="Q133" s="12" t="n">
        <x:v>20.404090245564777</x:v>
      </x:c>
      <x:c r="R133" s="12" t="n">
        <x:v>2.63053205718924</x:v>
      </x:c>
      <x:c r="S133" s="12" t="n">
        <x:v>0.2665666362461617</x:v>
      </x:c>
      <x:c r="T133" s="12" t="n">
        <x:v>89.9</x:v>
      </x:c>
      <x:c r="U133" s="12" t="n">
        <x:v>245.07712999476223</x:v>
      </x:c>
      <x:c r="V133" s="12" t="n">
        <x:v>244.75798925963002</x:v>
      </x:c>
      <x:c r="W133" s="12" t="n">
        <x:f>IF(ISNUMBER(E133),IF($I$146&gt;$H$146,(E133-$H$146)/($I$146-$H$146),"缺失"),"缺失")</x:f>
        <x:v>0.4791666666666667</x:v>
      </x:c>
      <x:c r="X133" s="12" t="n">
        <x:f>IF(ISNUMBER(F133),IF($I$147&gt;$H$147,(F133-$H$147)/($I$147-$H$147),"缺失"),"缺失")</x:f>
        <x:v>0.6135433070866141</x:v>
      </x:c>
      <x:c r="Y133" s="12" t="n">
        <x:f>IF(ISNUMBER(G133),IF($I$148&gt;$H$148,(G133-$H$148)/($I$148-$H$148),"缺失"),"缺失")</x:f>
        <x:v>0.7282372946995039</x:v>
      </x:c>
      <x:c r="Z133" s="12" t="n">
        <x:f>IF(ISNUMBER(H133),IF($I$149&gt;$H$149,(H133-$H$149)/($I$149-$H$149),"缺失"),"缺失")</x:f>
        <x:v>0.7773800036080692</x:v>
      </x:c>
      <x:c r="AA133" s="12" t="n">
        <x:f>IF(ISNUMBER(I133),IF($I$150&gt;$H$150,(I133-$H$150)/($I$150-$H$150),"缺失"),"缺失")</x:f>
        <x:v>0.21257349068838433</x:v>
      </x:c>
      <x:c r="AB133" s="12" t="n">
        <x:f>IF(ISNUMBER(J133),IF($I$151&gt;$H$151,(J133-$H$151)/($I$151-$H$151),"缺失"),"缺失")</x:f>
        <x:v>0</x:v>
      </x:c>
      <x:c r="AC133" s="12" t="n">
        <x:f>IF(ISNUMBER(K133),IF($I$152&gt;$H$152,(K133-$H$152)/($I$152-$H$152),"缺失"),"缺失")</x:f>
        <x:v>0</x:v>
      </x:c>
      <x:c r="AD133" s="12" t="n">
        <x:f>IF(ISNUMBER(L133),IF($I$153&gt;$H$153,(L133-$H$153)/($I$153-$H$153),"缺失"),"缺失")</x:f>
        <x:v>0.7477062616120844</x:v>
      </x:c>
      <x:c r="AE133" s="12" t="n">
        <x:f>IF(ISNUMBER(M133),IF($I$154&gt;$H$154,(M133-$H$154)/($I$154-$H$154),"缺失"),"缺失")</x:f>
        <x:v>0.743211241</x:v>
      </x:c>
      <x:c r="AF133" s="12" t="n">
        <x:f>IF(ISNUMBER(N133),IF($I$155&gt;$H$155,(N133-$H$155)/($I$155-$H$155),"缺失"),"缺失")</x:f>
        <x:v>0.01975974632988916</x:v>
      </x:c>
      <x:c r="AG133" s="12" t="n">
        <x:f>IF(ISNUMBER(O133),IF($I$156&gt;$H$156,(O133-$H$156)/($I$156-$H$156),"缺失"),"缺失")</x:f>
        <x:v>0.32612211888394665</x:v>
      </x:c>
      <x:c r="AH133" s="12" t="n">
        <x:f>IF(ISNUMBER(P133),IF($I$157&gt;$H$157,(P133-$H$157)/($I$157-$H$157),"缺失"),"缺失")</x:f>
        <x:v>0.3783260269604997</x:v>
      </x:c>
      <x:c r="AI133" s="12" t="n">
        <x:f>IF(ISNUMBER(Q133),IF($I$158&gt;$H$158,(Q133-$H$158)/($I$158-$H$158),"缺失"),"缺失")</x:f>
        <x:v>0.23603883127163777</x:v>
      </x:c>
      <x:c r="AJ133" s="12" t="n">
        <x:f>IF(ISNUMBER(R133),IF($I$159&gt;$H$159,(R133-$H$159)/($I$159-$H$159),"缺失"),"缺失")</x:f>
        <x:v>0.02613220152449376</x:v>
      </x:c>
      <x:c r="AK133" s="12" t="n">
        <x:f>IF(ISNUMBER(S133),IF($I$160&gt;$H$160,(S133-$H$160)/($I$160-$H$160),"缺失"),"缺失")</x:f>
        <x:v>0.005044419335930735</x:v>
      </x:c>
      <x:c r="AL133" s="12" t="n">
        <x:f>IF(ISNUMBER(T133),IF($I$161&gt;$H$161,(T133-$H$161)/($I$161-$H$161),"缺失"),"缺失")</x:f>
        <x:v>1</x:v>
      </x:c>
      <x:c r="AM133" s="12" t="n">
        <x:f>IF(ISNUMBER(U133),IF($I$162&gt;$H$162,(U133-$H$162)/($I$162-$H$162),"缺失"),"缺失")</x:f>
        <x:v>1</x:v>
      </x:c>
      <x:c r="AN133" s="12" t="n">
        <x:f>IF(ISNUMBER(V133),IF($I$163&gt;$H$163,(V133-$H$163)/($I$163-$H$163),"缺失"),"缺失")</x:f>
        <x:v>0</x:v>
      </x:c>
      <x:c r="AO133" s="23" t="str"/>
      <x:c r="AP133" s="23" t="str">
        <x:v>见指标口径：州级、产业、代表点代理；气候基期待核实</x:v>
      </x:c>
      <x:c r="AQ133" s="15" t="n">
        <x:v>0.9999999999999979</x:v>
      </x:c>
      <x:c r="AR133" s="15" t="n">
        <x:v>1.0000000000000009</x:v>
      </x:c>
      <x:c r="AS133" s="15" t="n">
        <x:v>1</x:v>
      </x:c>
      <x:c r="AT133" s="15" t="n">
        <x:v>1</x:v>
      </x:c>
    </x:row>
    <x:row r="134" ht="24" customHeight="1">
      <x:c r="A134" s="18" t="str">
        <x:v>51790</x:v>
      </x:c>
      <x:c r="B134" s="3" t="str">
        <x:v>Staunton city</x:v>
      </x:c>
      <x:c r="C134" s="3" t="str">
        <x:v>VA</x:v>
      </x:c>
      <x:c r="D134" s="12" t="n">
        <x:v>51.593818</x:v>
      </x:c>
      <x:c r="E134" s="12" t="n">
        <x:v>0.456</x:v>
      </x:c>
      <x:c r="F134" s="12" t="n">
        <x:v>0.351485148514851</x:v>
      </x:c>
      <x:c r="G134" s="12" t="n">
        <x:v>2.819704746608247</x:v>
      </x:c>
      <x:c r="H134" s="12" t="n">
        <x:v>3.067942118</x:v>
      </x:c>
      <x:c r="I134" s="12" t="n">
        <x:v>0.5298646553676253</x:v>
      </x:c>
      <x:c r="J134" s="12" t="n">
        <x:v>0</x:v>
      </x:c>
      <x:c r="K134" s="12" t="n">
        <x:v>0</x:v>
      </x:c>
      <x:c r="L134" s="24" t="n">
        <x:v>0.786426573</x:v>
      </x:c>
      <x:c r="M134" s="24" t="n">
        <x:v>0.786067867</x:v>
      </x:c>
      <x:c r="N134" s="13" t="n">
        <x:v>13273</x:v>
      </x:c>
      <x:c r="O134" s="12" t="n">
        <x:v>0.6048</x:v>
      </x:c>
      <x:c r="P134" s="12" t="n">
        <x:v>799.9847106933594</x:v>
      </x:c>
      <x:c r="Q134" s="12" t="n">
        <x:v>11.168731768925984</x:v>
      </x:c>
      <x:c r="R134" s="12" t="n">
        <x:v>3.912237975464496</x:v>
      </x:c>
      <x:c r="S134" s="12" t="n">
        <x:v>0.6667416945151187</x:v>
      </x:c>
      <x:c r="T134" s="12" t="n">
        <x:v>89.9</x:v>
      </x:c>
      <x:c r="U134" s="12" t="n">
        <x:v>245.07712999476223</x:v>
      </x:c>
      <x:c r="V134" s="12" t="n">
        <x:v>244.75798925963002</x:v>
      </x:c>
      <x:c r="W134" s="12" t="n">
        <x:f>IF(ISNUMBER(E134),IF($I$146&gt;$H$146,(E134-$H$146)/($I$146-$H$146),"缺失"),"缺失")</x:f>
        <x:v>0.47222222222222227</x:v>
      </x:c>
      <x:c r="X134" s="12" t="n">
        <x:f>IF(ISNUMBER(F134),IF($I$147&gt;$H$147,(F134-$H$147)/($I$147-$H$147),"缺失"),"缺失")</x:f>
        <x:v>0.35149606299212544</x:v>
      </x:c>
      <x:c r="Y134" s="12" t="n">
        <x:f>IF(ISNUMBER(G134),IF($I$148&gt;$H$148,(G134-$H$148)/($I$148-$H$148),"缺失"),"缺失")</x:f>
        <x:v>0.7413832183064589</x:v>
      </x:c>
      <x:c r="Z134" s="12" t="n">
        <x:f>IF(ISNUMBER(H134),IF($I$149&gt;$H$149,(H134-$H$149)/($I$149-$H$149),"缺失"),"缺失")</x:f>
        <x:v>0.7559063529519253</x:v>
      </x:c>
      <x:c r="AA134" s="12" t="n">
        <x:f>IF(ISNUMBER(I134),IF($I$150&gt;$H$150,(I134-$H$150)/($I$150-$H$150),"缺失"),"缺失")</x:f>
        <x:v>0.5045094907861252</x:v>
      </x:c>
      <x:c r="AB134" s="12" t="n">
        <x:f>IF(ISNUMBER(J134),IF($I$151&gt;$H$151,(J134-$H$151)/($I$151-$H$151),"缺失"),"缺失")</x:f>
        <x:v>0</x:v>
      </x:c>
      <x:c r="AC134" s="12" t="n">
        <x:f>IF(ISNUMBER(K134),IF($I$152&gt;$H$152,(K134-$H$152)/($I$152-$H$152),"缺失"),"缺失")</x:f>
        <x:v>0</x:v>
      </x:c>
      <x:c r="AD134" s="12" t="n">
        <x:f>IF(ISNUMBER(L134),IF($I$153&gt;$H$153,(L134-$H$153)/($I$153-$H$153),"缺失"),"缺失")</x:f>
        <x:v>0.7863559117133078</x:v>
      </x:c>
      <x:c r="AE134" s="12" t="n">
        <x:f>IF(ISNUMBER(M134),IF($I$154&gt;$H$154,(M134-$H$154)/($I$154-$H$154),"缺失"),"缺失")</x:f>
        <x:v>0.786067867</x:v>
      </x:c>
      <x:c r="AF134" s="12" t="n">
        <x:f>IF(ISNUMBER(N134),IF($I$155&gt;$H$155,(N134-$H$155)/($I$155-$H$155),"缺失"),"缺失")</x:f>
        <x:v>0.019542350299540674</x:v>
      </x:c>
      <x:c r="AG134" s="12" t="n">
        <x:f>IF(ISNUMBER(O134),IF($I$156&gt;$H$156,(O134-$H$156)/($I$156-$H$156),"缺失"),"缺失")</x:f>
        <x:v>0.6091791346542661</x:v>
      </x:c>
      <x:c r="AH134" s="12" t="n">
        <x:f>IF(ISNUMBER(P134),IF($I$157&gt;$H$157,(P134-$H$157)/($I$157-$H$157),"缺失"),"缺失")</x:f>
        <x:v>0.23582038921741116</x:v>
      </x:c>
      <x:c r="AI134" s="12" t="n">
        <x:f>IF(ISNUMBER(Q134),IF($I$158&gt;$H$158,(Q134-$H$158)/($I$158-$H$158),"缺失"),"缺失")</x:f>
        <x:v>0.1275086330004556</x:v>
      </x:c>
      <x:c r="AJ134" s="12" t="n">
        <x:f>IF(ISNUMBER(R134),IF($I$159&gt;$H$159,(R134-$H$159)/($I$159-$H$159),"缺失"),"缺失")</x:f>
        <x:v>0.03960094246118667</x:v>
      </x:c>
      <x:c r="AK134" s="12" t="n">
        <x:f>IF(ISNUMBER(S134),IF($I$160&gt;$H$160,(S134-$H$160)/($I$160-$H$160),"缺失"),"缺失")</x:f>
        <x:v>0.012856500724191465</x:v>
      </x:c>
      <x:c r="AL134" s="12" t="n">
        <x:f>IF(ISNUMBER(T134),IF($I$161&gt;$H$161,(T134-$H$161)/($I$161-$H$161),"缺失"),"缺失")</x:f>
        <x:v>1</x:v>
      </x:c>
      <x:c r="AM134" s="12" t="n">
        <x:f>IF(ISNUMBER(U134),IF($I$162&gt;$H$162,(U134-$H$162)/($I$162-$H$162),"缺失"),"缺失")</x:f>
        <x:v>1</x:v>
      </x:c>
      <x:c r="AN134" s="12" t="n">
        <x:f>IF(ISNUMBER(V134),IF($I$163&gt;$H$163,(V134-$H$163)/($I$163-$H$163),"缺失"),"缺失")</x:f>
        <x:v>0</x:v>
      </x:c>
      <x:c r="AO134" s="23" t="str"/>
      <x:c r="AP134" s="23" t="str">
        <x:v>见指标口径：州级、产业、代表点代理；气候基期待核实</x:v>
      </x:c>
      <x:c r="AQ134" s="15" t="n">
        <x:v>0.9999999999999997</x:v>
      </x:c>
      <x:c r="AR134" s="15" t="n">
        <x:v>1.0000000000000002</x:v>
      </x:c>
      <x:c r="AS134" s="15" t="n">
        <x:v>1</x:v>
      </x:c>
      <x:c r="AT134" s="15" t="n">
        <x:v>1</x:v>
      </x:c>
    </x:row>
    <x:row r="135" ht="24" customHeight="1">
      <x:c r="A135" s="18" t="str">
        <x:v>51800</x:v>
      </x:c>
      <x:c r="B135" s="3" t="str">
        <x:v>Suffolk city</x:v>
      </x:c>
      <x:c r="C135" s="3" t="str">
        <x:v>VA</x:v>
      </x:c>
      <x:c r="D135" s="12" t="n">
        <x:v>1033.837944</x:v>
      </x:c>
      <x:c r="E135" s="12" t="n">
        <x:v>0.384</x:v>
      </x:c>
      <x:c r="F135" s="12" t="n">
        <x:v>0.0758044554455445</x:v>
      </x:c>
      <x:c r="G135" s="12" t="n">
        <x:v>2.3267364345799213</x:v>
      </x:c>
      <x:c r="H135" s="12" t="n">
        <x:v>2.7078319527527874</x:v>
      </x:c>
      <x:c r="I135" s="12" t="n">
        <x:v>0.8737804555050249</x:v>
      </x:c>
      <x:c r="J135" s="12" t="n">
        <x:v>0.15166887410331995</x:v>
      </x:c>
      <x:c r="K135" s="12" t="n">
        <x:v>0.3493843552685625</x:v>
      </x:c>
      <x:c r="L135" s="24" t="n">
        <x:v>0.647566651</x:v>
      </x:c>
      <x:c r="M135" s="24" t="n">
        <x:v>0.605401644</x:v>
      </x:c>
      <x:c r="N135" s="13" t="n">
        <x:v>50564</x:v>
      </x:c>
      <x:c r="O135" s="12" t="n">
        <x:v>0.4788</x:v>
      </x:c>
      <x:c r="P135" s="12" t="n">
        <x:v>1388.1778076171877</x:v>
      </x:c>
      <x:c r="Q135" s="12" t="n">
        <x:v>24.930801836649575</x:v>
      </x:c>
      <x:c r="R135" s="12" t="n">
        <x:v>21.279565742207165</x:v>
      </x:c>
      <x:c r="S135" s="12" t="n">
        <x:v>1.0286922491371366</x:v>
      </x:c>
      <x:c r="T135" s="12" t="n">
        <x:v>89.9</x:v>
      </x:c>
      <x:c r="U135" s="12" t="n">
        <x:v>245.07712999476223</x:v>
      </x:c>
      <x:c r="V135" s="12" t="n">
        <x:v>244.75798925963002</x:v>
      </x:c>
      <x:c r="W135" s="12" t="n">
        <x:f>IF(ISNUMBER(E135),IF($I$146&gt;$H$146,(E135-$H$146)/($I$146-$H$146),"缺失"),"缺失")</x:f>
        <x:v>0.3888888888888889</x:v>
      </x:c>
      <x:c r="X135" s="12" t="n">
        <x:f>IF(ISNUMBER(F135),IF($I$147&gt;$H$147,(F135-$H$147)/($I$147-$H$147),"缺失"),"缺失")</x:f>
        <x:v>0.07086614173228338</x:v>
      </x:c>
      <x:c r="Y135" s="12" t="n">
        <x:f>IF(ISNUMBER(G135),IF($I$148&gt;$H$148,(G135-$H$148)/($I$148-$H$148),"缺失"),"缺失")</x:f>
        <x:v>0.6117074242194077</x:v>
      </x:c>
      <x:c r="Z135" s="12" t="n">
        <x:f>IF(ISNUMBER(H135),IF($I$149&gt;$H$149,(H135-$H$149)/($I$149-$H$149),"缺失"),"缺失")</x:f>
        <x:v>0.6671292341517623</x:v>
      </x:c>
      <x:c r="AA135" s="12" t="n">
        <x:f>IF(ISNUMBER(I135),IF($I$150&gt;$H$150,(I135-$H$150)/($I$150-$H$150),"缺失"),"缺失")</x:f>
        <x:v>0.8737121659679961</x:v>
      </x:c>
      <x:c r="AB135" s="12" t="n">
        <x:f>IF(ISNUMBER(J135),IF($I$151&gt;$H$151,(J135-$H$151)/($I$151-$H$151),"缺失"),"缺失")</x:f>
        <x:v>0.37204283529176196</x:v>
      </x:c>
      <x:c r="AC135" s="12" t="n">
        <x:f>IF(ISNUMBER(K135),IF($I$152&gt;$H$152,(K135-$H$152)/($I$152-$H$152),"缺失"),"缺失")</x:f>
        <x:v>0.6006620213036522</x:v>
      </x:c>
      <x:c r="AD135" s="12" t="n">
        <x:f>IF(ISNUMBER(L135),IF($I$153&gt;$H$153,(L135-$H$153)/($I$153-$H$153),"缺失"),"缺失")</x:f>
        <x:v>0.6474500475710838</x:v>
      </x:c>
      <x:c r="AE135" s="12" t="n">
        <x:f>IF(ISNUMBER(M135),IF($I$154&gt;$H$154,(M135-$H$154)/($I$154-$H$154),"缺失"),"缺失")</x:f>
        <x:v>0.605401644</x:v>
      </x:c>
      <x:c r="AF135" s="12" t="n">
        <x:f>IF(ISNUMBER(N135),IF($I$155&gt;$H$155,(N135-$H$155)/($I$155-$H$155),"缺失"),"缺失")</x:f>
        <x:v>0.07744888864043628</x:v>
      </x:c>
      <x:c r="AG135" s="12" t="n">
        <x:f>IF(ISNUMBER(O135),IF($I$156&gt;$H$156,(O135-$H$156)/($I$156-$H$156),"缺失"),"缺失")</x:f>
        <x:v>0.4818034775576224</x:v>
      </x:c>
      <x:c r="AH135" s="12" t="n">
        <x:f>IF(ISNUMBER(P135),IF($I$157&gt;$H$157,(P135-$H$157)/($I$157-$H$157),"缺失"),"缺失")</x:f>
        <x:v>0.5004226105462471</x:v>
      </x:c>
      <x:c r="AI135" s="12" t="n">
        <x:f>IF(ISNUMBER(Q135),IF($I$158&gt;$H$158,(Q135-$H$158)/($I$158-$H$158),"缺失"),"缺失")</x:f>
        <x:v>0.2892349154019524</x:v>
      </x:c>
      <x:c r="AJ135" s="12" t="n">
        <x:f>IF(ISNUMBER(R135),IF($I$159&gt;$H$159,(R135-$H$159)/($I$159-$H$159),"缺失"),"缺失")</x:f>
        <x:v>0.2221046159775441</x:v>
      </x:c>
      <x:c r="AK135" s="12" t="n">
        <x:f>IF(ISNUMBER(S135),IF($I$160&gt;$H$160,(S135-$H$160)/($I$160-$H$160),"缺失"),"缺失")</x:f>
        <x:v>0.019922376352384415</x:v>
      </x:c>
      <x:c r="AL135" s="12" t="n">
        <x:f>IF(ISNUMBER(T135),IF($I$161&gt;$H$161,(T135-$H$161)/($I$161-$H$161),"缺失"),"缺失")</x:f>
        <x:v>1</x:v>
      </x:c>
      <x:c r="AM135" s="12" t="n">
        <x:f>IF(ISNUMBER(U135),IF($I$162&gt;$H$162,(U135-$H$162)/($I$162-$H$162),"缺失"),"缺失")</x:f>
        <x:v>1</x:v>
      </x:c>
      <x:c r="AN135" s="12" t="n">
        <x:f>IF(ISNUMBER(V135),IF($I$163&gt;$H$163,(V135-$H$163)/($I$163-$H$163),"缺失"),"缺失")</x:f>
        <x:v>0</x:v>
      </x:c>
      <x:c r="AO135" s="23" t="str"/>
      <x:c r="AP135" s="23" t="str">
        <x:v>baseline_water_stress:有效县域面积覆盖&lt;99%（诊断提示，非行业阈值）；water_stress_2050_bau:有效县域面积覆盖&lt;99%（诊断提示，非行业阈值）</x:v>
      </x:c>
      <x:c r="AQ135" s="15" t="n">
        <x:v>0.9696936747057584</x:v>
      </x:c>
      <x:c r="AR135" s="15" t="n">
        <x:v>0.96885646801187</x:v>
      </x:c>
      <x:c r="AS135" s="15" t="n">
        <x:v>1</x:v>
      </x:c>
      <x:c r="AT135" s="15" t="n">
        <x:v>1</x:v>
      </x:c>
    </x:row>
    <x:row r="136" ht="24" customHeight="1">
      <x:c r="A136" s="18" t="str">
        <x:v>51810</x:v>
      </x:c>
      <x:c r="B136" s="3" t="str">
        <x:v>Virginia Beach city</x:v>
      </x:c>
      <x:c r="C136" s="3" t="str">
        <x:v>VA</x:v>
      </x:c>
      <x:c r="D136" s="12" t="n">
        <x:v>633.821986</x:v>
      </x:c>
      <x:c r="E136" s="12" t="n">
        <x:v>0.586</x:v>
      </x:c>
      <x:c r="F136" s="12" t="n">
        <x:v>0.00618811881188119</x:v>
      </x:c>
      <x:c r="G136" s="12" t="n">
        <x:v>2.193390776865507</x:v>
      </x:c>
      <x:c r="H136" s="12" t="n">
        <x:v>2.6624983145479337</x:v>
      </x:c>
      <x:c r="I136" s="12" t="n">
        <x:v>0.5424224496389445</x:v>
      </x:c>
      <x:c r="J136" s="12" t="n">
        <x:v>0.16445957159577984</x:v>
      </x:c>
      <x:c r="K136" s="12" t="n">
        <x:v>0.31648967044156046</x:v>
      </x:c>
      <x:c r="L136" s="24" t="n">
        <x:v>0.628000657</x:v>
      </x:c>
      <x:c r="M136" s="24" t="n">
        <x:v>0.009655232</x:v>
      </x:c>
      <x:c r="N136" s="13" t="n">
        <x:v>233058</x:v>
      </x:c>
      <x:c r="O136" s="12" t="n">
        <x:v>0.307</x:v>
      </x:c>
      <x:c r="P136" s="12" t="n">
        <x:v>1525.9467814127604</x:v>
      </x:c>
      <x:c r="Q136" s="12" t="n">
        <x:v>21.20953070322673</x:v>
      </x:c>
      <x:c r="R136" s="12" t="n">
        <x:v>6.924662061595166</x:v>
      </x:c>
      <x:c r="S136" s="12" t="n">
        <x:v>2.745419379162609</x:v>
      </x:c>
      <x:c r="T136" s="12" t="n">
        <x:v>89.9</x:v>
      </x:c>
      <x:c r="U136" s="12" t="n">
        <x:v>245.07712999476223</x:v>
      </x:c>
      <x:c r="V136" s="12" t="n">
        <x:v>244.75798925963002</x:v>
      </x:c>
      <x:c r="W136" s="12" t="n">
        <x:f>IF(ISNUMBER(E136),IF($I$146&gt;$H$146,(E136-$H$146)/($I$146-$H$146),"缺失"),"缺失")</x:f>
        <x:v>0.6226851851851851</x:v>
      </x:c>
      <x:c r="X136" s="12" t="n">
        <x:f>IF(ISNUMBER(F136),IF($I$147&gt;$H$147,(F136-$H$147)/($I$147-$H$147),"缺失"),"缺失")</x:f>
        <x:v>0</x:v>
      </x:c>
      <x:c r="Y136" s="12" t="n">
        <x:f>IF(ISNUMBER(G136),IF($I$148&gt;$H$148,(G136-$H$148)/($I$148-$H$148),"缺失"),"缺失")</x:f>
        <x:v>0.5766307192258762</x:v>
      </x:c>
      <x:c r="Z136" s="12" t="n">
        <x:f>IF(ISNUMBER(H136),IF($I$149&gt;$H$149,(H136-$H$149)/($I$149-$H$149),"缺失"),"缺失")</x:f>
        <x:v>0.6559532381012396</x:v>
      </x:c>
      <x:c r="AA136" s="12" t="n">
        <x:f>IF(ISNUMBER(I136),IF($I$150&gt;$H$150,(I136-$H$150)/($I$150-$H$150),"缺失"),"缺失")</x:f>
        <x:v>0.5179906138909732</x:v>
      </x:c>
      <x:c r="AB136" s="12" t="n">
        <x:f>IF(ISNUMBER(J136),IF($I$151&gt;$H$151,(J136-$H$151)/($I$151-$H$151),"缺失"),"缺失")</x:f>
        <x:v>0.40341833925450843</x:v>
      </x:c>
      <x:c r="AC136" s="12" t="n">
        <x:f>IF(ISNUMBER(K136),IF($I$152&gt;$H$152,(K136-$H$152)/($I$152-$H$152),"缺失"),"缺失")</x:f>
        <x:v>0.544109437936988</x:v>
      </x:c>
      <x:c r="AD136" s="12" t="n">
        <x:f>IF(ISNUMBER(L136),IF($I$153&gt;$H$153,(L136-$H$153)/($I$153-$H$153),"缺失"),"缺失")</x:f>
        <x:v>0.6278775801144798</x:v>
      </x:c>
      <x:c r="AE136" s="12" t="n">
        <x:f>IF(ISNUMBER(M136),IF($I$154&gt;$H$154,(M136-$H$154)/($I$154-$H$154),"缺失"),"缺失")</x:f>
        <x:v>0.009655232</x:v>
      </x:c>
      <x:c r="AF136" s="12" t="n">
        <x:f>IF(ISNUMBER(N136),IF($I$155&gt;$H$155,(N136-$H$155)/($I$155-$H$155),"缺失"),"缺失")</x:f>
        <x:v>0.36083082551484036</x:v>
      </x:c>
      <x:c r="AG136" s="12" t="n">
        <x:f>IF(ISNUMBER(O136),IF($I$156&gt;$H$156,(O136-$H$156)/($I$156-$H$156),"缺失"),"缺失")</x:f>
        <x:v>0.30812778002426205</x:v>
      </x:c>
      <x:c r="AH136" s="12" t="n">
        <x:f>IF(ISNUMBER(P136),IF($I$157&gt;$H$157,(P136-$H$157)/($I$157-$H$157),"缺失"),"缺失")</x:f>
        <x:v>0.5623988164676565</x:v>
      </x:c>
      <x:c r="AI136" s="12" t="n">
        <x:f>IF(ISNUMBER(Q136),IF($I$158&gt;$H$158,(Q136-$H$158)/($I$158-$H$158),"缺失"),"缺失")</x:f>
        <x:v>0.24550404183025354</x:v>
      </x:c>
      <x:c r="AJ136" s="12" t="n">
        <x:f>IF(ISNUMBER(R136),IF($I$159&gt;$H$159,(R136-$H$159)/($I$159-$H$159),"缺失"),"缺失")</x:f>
        <x:v>0.07125684654107593</x:v>
      </x:c>
      <x:c r="AK136" s="12" t="n">
        <x:f>IF(ISNUMBER(S136),IF($I$160&gt;$H$160,(S136-$H$160)/($I$160-$H$160),"缺失"),"缺失")</x:f>
        <x:v>0.053435739527009356</x:v>
      </x:c>
      <x:c r="AL136" s="12" t="n">
        <x:f>IF(ISNUMBER(T136),IF($I$161&gt;$H$161,(T136-$H$161)/($I$161-$H$161),"缺失"),"缺失")</x:f>
        <x:v>1</x:v>
      </x:c>
      <x:c r="AM136" s="12" t="n">
        <x:f>IF(ISNUMBER(U136),IF($I$162&gt;$H$162,(U136-$H$162)/($I$162-$H$162),"缺失"),"缺失")</x:f>
        <x:v>1</x:v>
      </x:c>
      <x:c r="AN136" s="12" t="n">
        <x:f>IF(ISNUMBER(V136),IF($I$163&gt;$H$163,(V136-$H$163)/($I$163-$H$163),"缺失"),"缺失")</x:f>
        <x:v>0</x:v>
      </x:c>
      <x:c r="AO136" s="23" t="str"/>
      <x:c r="AP136" s="23" t="str">
        <x:v>baseline_water_stress:有效县域面积覆盖&lt;99%（诊断提示，非行业阈值）；water_stress_2050_bau:有效县域面积覆盖&lt;99%（诊断提示，非行业阈值）</x:v>
      </x:c>
      <x:c r="AQ136" s="15" t="n">
        <x:v>0.5711429509058283</x:v>
      </x:c>
      <x:c r="AR136" s="15" t="n">
        <x:v>0.5705830431970388</x:v>
      </x:c>
      <x:c r="AS136" s="15" t="n">
        <x:v>0.999996507670204</x:v>
      </x:c>
      <x:c r="AT136" s="15" t="n">
        <x:v>1</x:v>
      </x:c>
    </x:row>
    <x:row r="137" ht="24" customHeight="1">
      <x:c r="A137" s="18" t="str">
        <x:v>51820</x:v>
      </x:c>
      <x:c r="B137" s="3" t="str">
        <x:v>Waynesboro city</x:v>
      </x:c>
      <x:c r="C137" s="3" t="str">
        <x:v>VA</x:v>
      </x:c>
      <x:c r="D137" s="12" t="n">
        <x:v>38.771594</x:v>
      </x:c>
      <x:c r="E137" s="12" t="n">
        <x:v>0.465</x:v>
      </x:c>
      <x:c r="F137" s="12" t="n">
        <x:v>0.666460396039604</x:v>
      </x:c>
      <x:c r="G137" s="12" t="n">
        <x:v>2.819704746608247</x:v>
      </x:c>
      <x:c r="H137" s="12" t="n">
        <x:v>3.067942118</x:v>
      </x:c>
      <x:c r="I137" s="12" t="n">
        <x:v>0.42565966550875334</x:v>
      </x:c>
      <x:c r="J137" s="12" t="n">
        <x:v>0</x:v>
      </x:c>
      <x:c r="K137" s="12" t="n">
        <x:v>0.0008511813016172444</x:v>
      </x:c>
      <x:c r="L137" s="24" t="n">
        <x:v>0.099031765</x:v>
      </x:c>
      <x:c r="M137" s="24" t="n">
        <x:v>0.098946832</x:v>
      </x:c>
      <x:c r="N137" s="13" t="n">
        <x:v>12120</x:v>
      </x:c>
      <x:c r="O137" s="12" t="n">
        <x:v>0.7601</x:v>
      </x:c>
      <x:c r="P137" s="12" t="n">
        <x:v>845.9502115885417</x:v>
      </x:c>
      <x:c r="Q137" s="12" t="n">
        <x:v>12.169993241628012</x:v>
      </x:c>
      <x:c r="R137" s="12" t="n">
        <x:v>2.0699008928427536</x:v>
      </x:c>
      <x:c r="S137" s="12" t="n">
        <x:v>0.9798070553215869</x:v>
      </x:c>
      <x:c r="T137" s="12" t="n">
        <x:v>89.9</x:v>
      </x:c>
      <x:c r="U137" s="12" t="n">
        <x:v>245.07712999476223</x:v>
      </x:c>
      <x:c r="V137" s="12" t="n">
        <x:v>244.75798925963002</x:v>
      </x:c>
      <x:c r="W137" s="12" t="n">
        <x:f>IF(ISNUMBER(E137),IF($I$146&gt;$H$146,(E137-$H$146)/($I$146-$H$146),"缺失"),"缺失")</x:f>
        <x:v>0.48263888888888895</x:v>
      </x:c>
      <x:c r="X137" s="12" t="n">
        <x:f>IF(ISNUMBER(F137),IF($I$147&gt;$H$147,(F137-$H$147)/($I$147-$H$147),"缺失"),"缺失")</x:f>
        <x:v>0.6721259842519685</x:v>
      </x:c>
      <x:c r="Y137" s="12" t="n">
        <x:f>IF(ISNUMBER(G137),IF($I$148&gt;$H$148,(G137-$H$148)/($I$148-$H$148),"缺失"),"缺失")</x:f>
        <x:v>0.7413832183064589</x:v>
      </x:c>
      <x:c r="Z137" s="12" t="n">
        <x:f>IF(ISNUMBER(H137),IF($I$149&gt;$H$149,(H137-$H$149)/($I$149-$H$149),"缺失"),"缺失")</x:f>
        <x:v>0.7559063529519253</x:v>
      </x:c>
      <x:c r="AA137" s="12" t="n">
        <x:f>IF(ISNUMBER(I137),IF($I$150&gt;$H$150,(I137-$H$150)/($I$150-$H$150),"缺失"),"缺失")</x:f>
        <x:v>0.3926426879005794</x:v>
      </x:c>
      <x:c r="AB137" s="12" t="n">
        <x:f>IF(ISNUMBER(J137),IF($I$151&gt;$H$151,(J137-$H$151)/($I$151-$H$151),"缺失"),"缺失")</x:f>
        <x:v>0</x:v>
      </x:c>
      <x:c r="AC137" s="12" t="n">
        <x:f>IF(ISNUMBER(K137),IF($I$152&gt;$H$152,(K137-$H$152)/($I$152-$H$152),"缺失"),"缺失")</x:f>
        <x:v>0.0014633519601422514</x:v>
      </x:c>
      <x:c r="AD137" s="12" t="n">
        <x:f>IF(ISNUMBER(L137),IF($I$153&gt;$H$153,(L137-$H$153)/($I$153-$H$153),"缺失"),"缺失")</x:f>
        <x:v>0.09873367747268835</x:v>
      </x:c>
      <x:c r="AE137" s="12" t="n">
        <x:f>IF(ISNUMBER(M137),IF($I$154&gt;$H$154,(M137-$H$154)/($I$154-$H$154),"缺失"),"缺失")</x:f>
        <x:v>0.098946832</x:v>
      </x:c>
      <x:c r="AF137" s="12" t="n">
        <x:f>IF(ISNUMBER(N137),IF($I$155&gt;$H$155,(N137-$H$155)/($I$155-$H$155),"缺失"),"缺失")</x:f>
        <x:v>0.017751938706742073</x:v>
      </x:c>
      <x:c r="AG137" s="12" t="n">
        <x:f>IF(ISNUMBER(O137),IF($I$156&gt;$H$156,(O137-$H$156)/($I$156-$H$156),"缺失"),"缺失")</x:f>
        <x:v>0.7661746866154469</x:v>
      </x:c>
      <x:c r="AH137" s="12" t="n">
        <x:f>IF(ISNUMBER(P137),IF($I$157&gt;$H$157,(P137-$H$157)/($I$157-$H$157),"缺失"),"缺失")</x:f>
        <x:v>0.25649824773864593</x:v>
      </x:c>
      <x:c r="AI137" s="12" t="n">
        <x:f>IF(ISNUMBER(Q137),IF($I$158&gt;$H$158,(Q137-$H$158)/($I$158-$H$158),"缺失"),"缺失")</x:f>
        <x:v>0.1392750529427377</x:v>
      </x:c>
      <x:c r="AJ137" s="12" t="n">
        <x:f>IF(ISNUMBER(R137),IF($I$159&gt;$H$159,(R137-$H$159)/($I$159-$H$159),"缺失"),"缺失")</x:f>
        <x:v>0.020240837674211764</x:v>
      </x:c>
      <x:c r="AK137" s="12" t="n">
        <x:f>IF(ISNUMBER(S137),IF($I$160&gt;$H$160,(S137-$H$160)/($I$160-$H$160),"缺失"),"缺失")</x:f>
        <x:v>0.018968056224538506</x:v>
      </x:c>
      <x:c r="AL137" s="12" t="n">
        <x:f>IF(ISNUMBER(T137),IF($I$161&gt;$H$161,(T137-$H$161)/($I$161-$H$161),"缺失"),"缺失")</x:f>
        <x:v>1</x:v>
      </x:c>
      <x:c r="AM137" s="12" t="n">
        <x:f>IF(ISNUMBER(U137),IF($I$162&gt;$H$162,(U137-$H$162)/($I$162-$H$162),"缺失"),"缺失")</x:f>
        <x:v>1</x:v>
      </x:c>
      <x:c r="AN137" s="12" t="n">
        <x:f>IF(ISNUMBER(V137),IF($I$163&gt;$H$163,(V137-$H$163)/($I$163-$H$163),"缺失"),"缺失")</x:f>
        <x:v>0</x:v>
      </x:c>
      <x:c r="AO137" s="23" t="str"/>
      <x:c r="AP137" s="23" t="str">
        <x:v>见指标口径：州级、产业、代表点代理；气候基期待核实</x:v>
      </x:c>
      <x:c r="AQ137" s="15" t="n">
        <x:v>0.9999999999999997</x:v>
      </x:c>
      <x:c r="AR137" s="15" t="n">
        <x:v>0.9999999999999997</x:v>
      </x:c>
      <x:c r="AS137" s="15" t="n">
        <x:v>1</x:v>
      </x:c>
      <x:c r="AT137" s="15" t="n">
        <x:v>1</x:v>
      </x:c>
    </x:row>
    <x:row r="138" ht="24" customHeight="1">
      <x:c r="A138" s="18" t="str">
        <x:v>51830</x:v>
      </x:c>
      <x:c r="B138" s="3" t="str">
        <x:v>Williamsburg city</x:v>
      </x:c>
      <x:c r="C138" s="3" t="str">
        <x:v>VA</x:v>
      </x:c>
      <x:c r="D138" s="12" t="n">
        <x:v>23.149768</x:v>
      </x:c>
      <x:c r="E138" s="12" t="n">
        <x:v>0.313</x:v>
      </x:c>
      <x:c r="F138" s="12" t="n">
        <x:v>0.03125</x:v>
      </x:c>
      <x:c r="G138" s="12" t="n">
        <x:v>3.8028479710721674</x:v>
      </x:c>
      <x:c r="H138" s="12" t="n">
        <x:v>4.054554194</x:v>
      </x:c>
      <x:c r="I138" s="12" t="n">
        <x:v>0.5456482162915908</x:v>
      </x:c>
      <x:c r="J138" s="12" t="n">
        <x:v>0</x:v>
      </x:c>
      <x:c r="K138" s="12" t="n">
        <x:v>0.07096099469341907</x:v>
      </x:c>
      <x:c r="L138" s="24" t="n">
        <x:v>0.483075071</x:v>
      </x:c>
      <x:c r="M138" s="24" t="n">
        <x:v>0.388897247</x:v>
      </x:c>
      <x:c r="N138" s="13" t="n">
        <x:v>7135</x:v>
      </x:c>
      <x:c r="O138" s="12" t="n">
        <x:v>0.3802</x:v>
      </x:c>
      <x:c r="P138" s="12" t="n">
        <x:v>1370.7797485351562</x:v>
      </x:c>
      <x:c r="Q138" s="12" t="n">
        <x:v>27.610490163167317</x:v>
      </x:c>
      <x:c r="R138" s="12" t="n">
        <x:v>3.8015386819202903</x:v>
      </x:c>
      <x:c r="S138" s="12" t="n">
        <x:v>0.7580951224007243</x:v>
      </x:c>
      <x:c r="T138" s="12" t="n">
        <x:v>89.9</x:v>
      </x:c>
      <x:c r="U138" s="12" t="n">
        <x:v>245.07712999476223</x:v>
      </x:c>
      <x:c r="V138" s="12" t="n">
        <x:v>244.75798925963002</x:v>
      </x:c>
      <x:c r="W138" s="12" t="n">
        <x:f>IF(ISNUMBER(E138),IF($I$146&gt;$H$146,(E138-$H$146)/($I$146-$H$146),"缺失"),"缺失")</x:f>
        <x:v>0.30671296296296297</x:v>
      </x:c>
      <x:c r="X138" s="12" t="n">
        <x:f>IF(ISNUMBER(F138),IF($I$147&gt;$H$147,(F138-$H$147)/($I$147-$H$147),"缺失"),"缺失")</x:f>
        <x:v>0.02551181102362204</x:v>
      </x:c>
      <x:c r="Y138" s="12" t="n">
        <x:f>IF(ISNUMBER(G138),IF($I$148&gt;$H$148,(G138-$H$148)/($I$148-$H$148),"缺失"),"缺失")</x:f>
        <x:v>0.9999999999999999</x:v>
      </x:c>
      <x:c r="Z138" s="12" t="n">
        <x:f>IF(ISNUMBER(H138),IF($I$149&gt;$H$149,(H138-$H$149)/($I$149-$H$149),"缺失"),"缺失")</x:f>
        <x:v>0.9991335260049232</x:v>
      </x:c>
      <x:c r="AA138" s="12" t="n">
        <x:f>IF(ISNUMBER(I138),IF($I$150&gt;$H$150,(I138-$H$150)/($I$150-$H$150),"缺失"),"缺失")</x:f>
        <x:v>0.5214535594061072</x:v>
      </x:c>
      <x:c r="AB138" s="12" t="n">
        <x:f>IF(ISNUMBER(J138),IF($I$151&gt;$H$151,(J138-$H$151)/($I$151-$H$151),"缺失"),"缺失")</x:f>
        <x:v>0</x:v>
      </x:c>
      <x:c r="AC138" s="12" t="n">
        <x:f>IF(ISNUMBER(K138),IF($I$152&gt;$H$152,(K138-$H$152)/($I$152-$H$152),"缺失"),"缺失")</x:f>
        <x:v>0.1219962309803575</x:v>
      </x:c>
      <x:c r="AD138" s="12" t="n">
        <x:f>IF(ISNUMBER(L138),IF($I$153&gt;$H$153,(L138-$H$153)/($I$153-$H$153),"缺失"),"缺失")</x:f>
        <x:v>0.4829040451325993</x:v>
      </x:c>
      <x:c r="AE138" s="12" t="n">
        <x:f>IF(ISNUMBER(M138),IF($I$154&gt;$H$154,(M138-$H$154)/($I$154-$H$154),"缺失"),"缺失")</x:f>
        <x:v>0.388897247</x:v>
      </x:c>
      <x:c r="AF138" s="12" t="n">
        <x:f>IF(ISNUMBER(N138),IF($I$155&gt;$H$155,(N138-$H$155)/($I$155-$H$155),"缺失"),"缺失")</x:f>
        <x:v>0.010011087197547773</x:v>
      </x:c>
      <x:c r="AG138" s="12" t="n">
        <x:f>IF(ISNUMBER(O138),IF($I$156&gt;$H$156,(O138-$H$156)/($I$156-$H$156),"缺失"),"缺失")</x:f>
        <x:v>0.3821269712899313</x:v>
      </x:c>
      <x:c r="AH138" s="12" t="n">
        <x:f>IF(ISNUMBER(P138),IF($I$157&gt;$H$157,(P138-$H$157)/($I$157-$H$157),"缺失"),"缺失")</x:f>
        <x:v>0.4925959884658591</x:v>
      </x:c>
      <x:c r="AI138" s="12" t="n">
        <x:f>IF(ISNUMBER(Q138),IF($I$158&gt;$H$158,(Q138-$H$158)/($I$158-$H$158),"缺失"),"缺失")</x:f>
        <x:v>0.32072552901674617</x:v>
      </x:c>
      <x:c r="AJ138" s="12" t="n">
        <x:f>IF(ISNUMBER(R138),IF($I$159&gt;$H$159,(R138-$H$159)/($I$159-$H$159),"缺失"),"缺失")</x:f>
        <x:v>0.038437664609877235</x:v>
      </x:c>
      <x:c r="AK138" s="12" t="n">
        <x:f>IF(ISNUMBER(S138),IF($I$160&gt;$H$160,(S138-$H$160)/($I$160-$H$160),"缺失"),"缺失")</x:f>
        <x:v>0.014639871274135408</x:v>
      </x:c>
      <x:c r="AL138" s="12" t="n">
        <x:f>IF(ISNUMBER(T138),IF($I$161&gt;$H$161,(T138-$H$161)/($I$161-$H$161),"缺失"),"缺失")</x:f>
        <x:v>1</x:v>
      </x:c>
      <x:c r="AM138" s="12" t="n">
        <x:f>IF(ISNUMBER(U138),IF($I$162&gt;$H$162,(U138-$H$162)/($I$162-$H$162),"缺失"),"缺失")</x:f>
        <x:v>1</x:v>
      </x:c>
      <x:c r="AN138" s="12" t="n">
        <x:f>IF(ISNUMBER(V138),IF($I$163&gt;$H$163,(V138-$H$163)/($I$163-$H$163),"缺失"),"缺失")</x:f>
        <x:v>0</x:v>
      </x:c>
      <x:c r="AO138" s="23" t="str"/>
      <x:c r="AP138" s="23" t="str">
        <x:v>见指标口径：州级、产业、代表点代理；气候基期待核实</x:v>
      </x:c>
      <x:c r="AQ138" s="15" t="n">
        <x:v>1.0000000000000013</x:v>
      </x:c>
      <x:c r="AR138" s="15" t="n">
        <x:v>1.0000000000000013</x:v>
      </x:c>
      <x:c r="AS138" s="15" t="n">
        <x:v>1</x:v>
      </x:c>
      <x:c r="AT138" s="15" t="n">
        <x:v>1</x:v>
      </x:c>
    </x:row>
    <x:row r="139" ht="24" customHeight="1">
      <x:c r="A139" s="18" t="str">
        <x:v>51840</x:v>
      </x:c>
      <x:c r="B139" s="3" t="str">
        <x:v>Winchester city</x:v>
      </x:c>
      <x:c r="C139" s="3" t="str">
        <x:v>VA</x:v>
      </x:c>
      <x:c r="D139" s="12" t="n">
        <x:v>23.809501</x:v>
      </x:c>
      <x:c r="E139" s="12" t="n">
        <x:v>0.3</x:v>
      </x:c>
      <x:c r="F139" s="12" t="n">
        <x:v>0.04424504950495051</x:v>
      </x:c>
      <x:c r="G139" s="12" t="n">
        <x:v>2.8177826710561424</x:v>
      </x:c>
      <x:c r="H139" s="12" t="n">
        <x:v>3.24617363</x:v>
      </x:c>
      <x:c r="I139" s="12" t="n">
        <x:v>0.13802593877243252</x:v>
      </x:c>
      <x:c r="J139" s="12" t="n">
        <x:v>0</x:v>
      </x:c>
      <x:c r="K139" s="12" t="n">
        <x:v>0.0003770170411702609</x:v>
      </x:c>
      <x:c r="L139" s="24" t="n">
        <x:v>0.733747804</x:v>
      </x:c>
      <x:c r="M139" s="24" t="n">
        <x:v>0.719556697</x:v>
      </x:c>
      <x:c r="N139" s="13" t="n">
        <x:v>14625</x:v>
      </x:c>
      <x:c r="O139" s="12" t="n">
        <x:v>0.9033</x:v>
      </x:c>
      <x:c r="P139" s="12" t="n">
        <x:v>893.673280843099</x:v>
      </x:c>
      <x:c r="Q139" s="12" t="n">
        <x:v>16.20895004272461</x:v>
      </x:c>
      <x:c r="R139" s="12" t="n">
        <x:v>2.059904116908261</x:v>
      </x:c>
      <x:c r="S139" s="12" t="n">
        <x:v>0.8109849372096721</x:v>
      </x:c>
      <x:c r="T139" s="12" t="n">
        <x:v>89.9</x:v>
      </x:c>
      <x:c r="U139" s="12" t="n">
        <x:v>245.07712999476223</x:v>
      </x:c>
      <x:c r="V139" s="12" t="n">
        <x:v>244.75798925963002</x:v>
      </x:c>
      <x:c r="W139" s="12" t="n">
        <x:f>IF(ISNUMBER(E139),IF($I$146&gt;$H$146,(E139-$H$146)/($I$146-$H$146),"缺失"),"缺失")</x:f>
        <x:v>0.2916666666666667</x:v>
      </x:c>
      <x:c r="X139" s="12" t="n">
        <x:f>IF(ISNUMBER(F139),IF($I$147&gt;$H$147,(F139-$H$147)/($I$147-$H$147),"缺失"),"缺失")</x:f>
        <x:v>0.03874015748031496</x:v>
      </x:c>
      <x:c r="Y139" s="12" t="n">
        <x:f>IF(ISNUMBER(G139),IF($I$148&gt;$H$148,(G139-$H$148)/($I$148-$H$148),"缺失"),"缺失")</x:f>
        <x:v>0.7408776144624939</x:v>
      </x:c>
      <x:c r="Z139" s="12" t="n">
        <x:f>IF(ISNUMBER(H139),IF($I$149&gt;$H$149,(H139-$H$149)/($I$149-$H$149),"缺失"),"缺失")</x:f>
        <x:v>0.799845351741072</x:v>
      </x:c>
      <x:c r="AA139" s="12" t="n">
        <x:f>IF(ISNUMBER(I139),IF($I$150&gt;$H$150,(I139-$H$150)/($I$150-$H$150),"缺失"),"缺失")</x:f>
        <x:v>0.08386030180155667</x:v>
      </x:c>
      <x:c r="AB139" s="12" t="n">
        <x:f>IF(ISNUMBER(J139),IF($I$151&gt;$H$151,(J139-$H$151)/($I$151-$H$151),"缺失"),"缺失")</x:f>
        <x:v>0</x:v>
      </x:c>
      <x:c r="AC139" s="12" t="n">
        <x:f>IF(ISNUMBER(K139),IF($I$152&gt;$H$152,(K139-$H$152)/($I$152-$H$152),"缺失"),"缺失")</x:f>
        <x:v>0.0006481681695254428</x:v>
      </x:c>
      <x:c r="AD139" s="12" t="n">
        <x:f>IF(ISNUMBER(L139),IF($I$153&gt;$H$153,(L139-$H$153)/($I$153-$H$153),"缺失"),"缺失")</x:f>
        <x:v>0.7336597138147262</x:v>
      </x:c>
      <x:c r="AE139" s="12" t="n">
        <x:f>IF(ISNUMBER(M139),IF($I$154&gt;$H$154,(M139-$H$154)/($I$154-$H$154),"缺失"),"缺失")</x:f>
        <x:v>0.719556697</x:v>
      </x:c>
      <x:c r="AF139" s="12" t="n">
        <x:f>IF(ISNUMBER(N139),IF($I$155&gt;$H$155,(N139-$H$155)/($I$155-$H$155),"缺失"),"缺失")</x:f>
        <x:v>0.021641774821191766</x:v>
      </x:c>
      <x:c r="AG139" s="12" t="n">
        <x:f>IF(ISNUMBER(O139),IF($I$156&gt;$H$156,(O139-$H$156)/($I$156-$H$156),"缺失"),"缺失")</x:f>
        <x:v>0.910938131823696</x:v>
      </x:c>
      <x:c r="AH139" s="12" t="n">
        <x:f>IF(ISNUMBER(P139),IF($I$157&gt;$H$157,(P139-$H$157)/($I$157-$H$157),"缺失"),"缺失")</x:f>
        <x:v>0.2779667590139848</x:v>
      </x:c>
      <x:c r="AI139" s="12" t="n">
        <x:f>IF(ISNUMBER(Q139),IF($I$158&gt;$H$158,(Q139-$H$158)/($I$158-$H$158),"缺失"),"缺失")</x:f>
        <x:v>0.18673924001685877</x:v>
      </x:c>
      <x:c r="AJ139" s="12" t="n">
        <x:f>IF(ISNUMBER(R139),IF($I$159&gt;$H$159,(R139-$H$159)/($I$159-$H$159),"缺失"),"缺失")</x:f>
        <x:v>0.020135787066779886</x:v>
      </x:c>
      <x:c r="AK139" s="12" t="n">
        <x:f>IF(ISNUMBER(S139),IF($I$160&gt;$H$160,(S139-$H$160)/($I$160-$H$160),"缺失"),"缺失")</x:f>
        <x:v>0.01567236825104555</x:v>
      </x:c>
      <x:c r="AL139" s="12" t="n">
        <x:f>IF(ISNUMBER(T139),IF($I$161&gt;$H$161,(T139-$H$161)/($I$161-$H$161),"缺失"),"缺失")</x:f>
        <x:v>1</x:v>
      </x:c>
      <x:c r="AM139" s="12" t="n">
        <x:f>IF(ISNUMBER(U139),IF($I$162&gt;$H$162,(U139-$H$162)/($I$162-$H$162),"缺失"),"缺失")</x:f>
        <x:v>1</x:v>
      </x:c>
      <x:c r="AN139" s="12" t="n">
        <x:f>IF(ISNUMBER(V139),IF($I$163&gt;$H$163,(V139-$H$163)/($I$163-$H$163),"缺失"),"缺失")</x:f>
        <x:v>0</x:v>
      </x:c>
      <x:c r="AO139" s="23" t="str"/>
      <x:c r="AP139" s="23" t="str">
        <x:v>见指标口径：州级、产业、代表点代理；气候基期待核实</x:v>
      </x:c>
      <x:c r="AQ139" s="15" t="n">
        <x:v>1.0000000000000029</x:v>
      </x:c>
      <x:c r="AR139" s="15" t="n">
        <x:v>1.0000000000000029</x:v>
      </x:c>
      <x:c r="AS139" s="15" t="n">
        <x:v>1</x:v>
      </x:c>
      <x:c r="AT139" s="15" t="n">
        <x:v>1</x:v>
      </x:c>
    </x:row>
    <x:row r="145" ht="36" customHeight="1">
      <x:c r="A145" s="6" t="str">
        <x:v>指标ID</x:v>
      </x:c>
      <x:c r="B145" s="6" t="str">
        <x:v>Dimension</x:v>
      </x:c>
      <x:c r="C145" s="6" t="str">
        <x:v>名称</x:v>
      </x:c>
      <x:c r="D145" s="6" t="str">
        <x:v>单位</x:v>
      </x:c>
      <x:c r="E145" s="6" t="str">
        <x:v>数据期间</x:v>
      </x:c>
      <x:c r="F145" s="6" t="str">
        <x:v>实际空间精度</x:v>
      </x:c>
      <x:c r="G145" s="6" t="str">
        <x:v>处理／公式</x:v>
      </x:c>
      <x:c r="H145" s="6" t="str">
        <x:v>两州共同最小值</x:v>
      </x:c>
      <x:c r="I145" s="6" t="str">
        <x:v>两州共同最大值</x:v>
      </x:c>
      <x:c r="J145" s="6" t="str">
        <x:v>有效县数</x:v>
      </x:c>
      <x:c r="K145" s="6" t="str">
        <x:v>缺失县数</x:v>
      </x:c>
      <x:c r="L145" s="6" t="str">
        <x:v>来源字段</x:v>
      </x:c>
    </x:row>
    <x:row r="146" ht="46" customHeight="1">
      <x:c r="A146" s="21" t="str">
        <x:v>wildfire_bp_national_percentile</x:v>
      </x:c>
      <x:c r="B146" s="21" t="str">
        <x:v>climate_risk</x:v>
      </x:c>
      <x:c r="C146" s="21" t="str">
        <x:v>野火全国百分位</x:v>
      </x:c>
      <x:c r="D146" s="21" t="str">
        <x:v>fraction</x:v>
      </x:c>
      <x:c r="E146" s="21" t="str">
        <x:v>WRC工作簿2026-04-15；模型基期另计</x:v>
      </x:c>
      <x:c r="F146" s="21" t="str">
        <x:v>县级来源百分位</x:v>
      </x:c>
      <x:c r="G146" s="21" t="str">
        <x:v>直接读取全国百分位；不是概率</x:v>
      </x:c>
      <x:c r="H146" s="22" t="n">
        <x:f>MIN('Virginia'!E7:E139,'Georgia'!E7:E165)</x:f>
        <x:v>0.048</x:v>
      </x:c>
      <x:c r="I146" s="22" t="n">
        <x:f>MAX('Virginia'!E7:E139,'Georgia'!E7:E165)</x:f>
        <x:v>0.912</x:v>
      </x:c>
      <x:c r="J146" s="21" t="n">
        <x:v>292</x:v>
      </x:c>
      <x:c r="K146" s="21" t="n">
        <x:v>0</x:v>
      </x:c>
      <x:c r="L146" s="21" t="str">
        <x:v>WRC Counties.BP_NATIONAL_RANK</x:v>
      </x:c>
    </x:row>
    <x:row r="147" ht="46" customHeight="1">
      <x:c r="A147" s="21" t="str">
        <x:v>inland_flood_loss_rate_percentile</x:v>
      </x:c>
      <x:c r="B147" s="21" t="str">
        <x:v>climate_risk</x:v>
      </x:c>
      <x:c r="C147" s="21" t="str">
        <x:v>洪水损失率全国百分位</x:v>
      </x:c>
      <x:c r="D147" s="21" t="str">
        <x:v>fraction</x:v>
      </x:c>
      <x:c r="E147" s="21" t="str">
        <x:v>上传NRI版本，基期未核实</x:v>
      </x:c>
      <x:c r="F147" s="21" t="str">
        <x:v>县级来源百分位</x:v>
      </x:c>
      <x:c r="G147" s="21" t="str">
        <x:v>原始0–100百分位 /100</x:v>
      </x:c>
      <x:c r="H147" s="22" t="n">
        <x:f>MIN('Virginia'!F7:F139,'Georgia'!F7:F165)</x:f>
        <x:v>0.00618811881188119</x:v>
      </x:c>
      <x:c r="I147" s="22" t="n">
        <x:f>MAX('Virginia'!F7:F139,'Georgia'!F7:F165)</x:f>
        <x:v>0.98855198019802</x:v>
      </x:c>
      <x:c r="J147" s="21" t="n">
        <x:v>292</x:v>
      </x:c>
      <x:c r="K147" s="21" t="n">
        <x:v>0</x:v>
      </x:c>
      <x:c r="L147" s="21" t="str">
        <x:v>FEMA Inland Flooding - Expected Annual Loss Rate - National Percentile</x:v>
      </x:c>
    </x:row>
    <x:row r="148" ht="46" customHeight="1">
      <x:c r="A148" s="21" t="str">
        <x:v>baseline_water_stress</x:v>
      </x:c>
      <x:c r="B148" s="21" t="str">
        <x:v>water</x:v>
      </x:c>
      <x:c r="C148" s="21" t="str">
        <x:v>基线水压力</x:v>
      </x:c>
      <x:c r="D148" s="21" t="str">
        <x:v>Aqueduct index 0–5</x:v>
      </x:c>
      <x:c r="E148" s="21" t="str">
        <x:v>Aqueduct4.0基线；2023发布</x:v>
      </x:c>
      <x:c r="F148" s="21" t="str">
        <x:v>县界×水文单元代理</x:v>
      </x:c>
      <x:c r="G148" s="21" t="str">
        <x:v>Σ有效相交面积×指数 / Σ有效相交面积；无回退</x:v>
      </x:c>
      <x:c r="H148" s="22" t="n">
        <x:f>MIN('Virginia'!G7:G139,'Georgia'!G7:G165)</x:f>
        <x:v>0.0013033921556378832</x:v>
      </x:c>
      <x:c r="I148" s="22" t="n">
        <x:f>MAX('Virginia'!G7:G139,'Georgia'!G7:G165)</x:f>
        <x:v>3.802847971072168</x:v>
      </x:c>
      <x:c r="J148" s="21" t="n">
        <x:v>292</x:v>
      </x:c>
      <x:c r="K148" s="21" t="n">
        <x:v>0</x:v>
      </x:c>
      <x:c r="L148" s="21" t="str">
        <x:v>Aqueduct baseline_annual.bws_score</x:v>
      </x:c>
    </x:row>
    <x:row r="149" ht="46" customHeight="1">
      <x:c r="A149" s="21" t="str">
        <x:v>water_stress_2050_bau</x:v>
      </x:c>
      <x:c r="B149" s="21" t="str">
        <x:v>water</x:v>
      </x:c>
      <x:c r="C149" s="21" t="str">
        <x:v>2050 BAU水压力</x:v>
      </x:c>
      <x:c r="D149" s="21" t="str">
        <x:v>Aqueduct index 0–5</x:v>
      </x:c>
      <x:c r="E149" s="21" t="str">
        <x:v>2050 BAU情景</x:v>
      </x:c>
      <x:c r="F149" s="21" t="str">
        <x:v>县界×水文单元代理</x:v>
      </x:c>
      <x:c r="G149" s="21" t="str">
        <x:v>Σ有效相交面积×指数 / Σ有效相交面积；无回退</x:v>
      </x:c>
      <x:c r="H149" s="22" t="n">
        <x:f>MIN('Virginia'!H7:H139,'Georgia'!H7:H165)</x:f>
        <x:v>0.0017290514813823935</x:v>
      </x:c>
      <x:c r="I149" s="22" t="n">
        <x:f>MAX('Virginia'!H7:H139,'Georgia'!H7:H165)</x:f>
        <x:v>4.058068907</x:v>
      </x:c>
      <x:c r="J149" s="21" t="n">
        <x:v>292</x:v>
      </x:c>
      <x:c r="K149" s="21" t="n">
        <x:v>0</x:v>
      </x:c>
      <x:c r="L149" s="21" t="str">
        <x:v>Aqueduct future_annual.bau50_ws_x_s</x:v>
      </x:c>
    </x:row>
    <x:row r="150" ht="46" customHeight="1">
      <x:c r="A150" s="21" t="str">
        <x:v>low_impervious_land_share</x:v>
      </x:c>
      <x:c r="B150" s="21" t="str">
        <x:v>land_ecology</x:v>
      </x:c>
      <x:c r="C150" s="21" t="str">
        <x:v>低不透水土地比例</x:v>
      </x:c>
      <x:c r="D150" s="21" t="str">
        <x:v>fraction</x:v>
      </x:c>
      <x:c r="E150" s="21" t="str">
        <x:v>2025</x:v>
      </x:c>
      <x:c r="F150" s="21" t="str">
        <x:v>县级栅格统计代理</x:v>
      </x:c>
      <x:c r="G150" s="21" t="str">
        <x:v>有效陆地中不透水率&lt;10%像元数 / 有效陆地像元数</x:v>
      </x:c>
      <x:c r="H150" s="22" t="n">
        <x:f>MIN('Virginia'!I7:I139,'Georgia'!I7:I165)</x:f>
        <x:v>0.05990927079423049</x:v>
      </x:c>
      <x:c r="I150" s="22" t="n">
        <x:f>MAX('Virginia'!I7:I139,'Georgia'!I7:I165)</x:f>
        <x:v>0.9914187729070881</x:v>
      </x:c>
      <x:c r="J150" s="21" t="n">
        <x:v>292</x:v>
      </x:c>
      <x:c r="K150" s="21" t="n">
        <x:v>0</x:v>
      </x:c>
      <x:c r="L150" s="21" t="str">
        <x:v>NLCD2025 fractional impervious + land cover</x:v>
      </x:c>
    </x:row>
    <x:row r="151" ht="46" customHeight="1">
      <x:c r="A151" s="21" t="str">
        <x:v>gap12_protected_land_share</x:v>
      </x:c>
      <x:c r="B151" s="21" t="str">
        <x:v>land_ecology</x:v>
      </x:c>
      <x:c r="C151" s="21" t="str">
        <x:v>GAP1/2保护地比例</x:v>
      </x:c>
      <x:c r="D151" s="21" t="str">
        <x:v>fraction</x:v>
      </x:c>
      <x:c r="E151" s="21" t="str">
        <x:v>PAD-US4.1 Census2022县汇总 / Census2024土地分母</x:v>
      </x:c>
      <x:c r="F151" s="21" t="str">
        <x:v>官方县汇总派生</x:v>
      </x:c>
      <x:c r="G151" s="21" t="str">
        <x:v>ΣGAP1/2 acres ×0.0040468564224 / ALAND_km2</x:v>
      </x:c>
      <x:c r="H151" s="22" t="n">
        <x:f>MIN('Virginia'!J7:J139,'Georgia'!J7:J165)</x:f>
        <x:v>0</x:v>
      </x:c>
      <x:c r="I151" s="22" t="n">
        <x:f>MAX('Virginia'!J7:J139,'Georgia'!J7:J165)</x:f>
        <x:v>0.4076650850818798</x:v>
      </x:c>
      <x:c r="J151" s="21" t="n">
        <x:v>292</x:v>
      </x:c>
      <x:c r="K151" s="21" t="n">
        <x:v>0</x:v>
      </x:c>
      <x:c r="L151" s="21" t="str">
        <x:v>PAD-US4.1 county summary GAP_Sts,GIS_AcrsDb</x:v>
      </x:c>
    </x:row>
    <x:row r="152" ht="46" customHeight="1">
      <x:c r="A152" s="21" t="str">
        <x:v>wetland_land_share</x:v>
      </x:c>
      <x:c r="B152" s="21" t="str">
        <x:v>land_ecology</x:v>
      </x:c>
      <x:c r="C152" s="21" t="str">
        <x:v>湿地陆地比例</x:v>
      </x:c>
      <x:c r="D152" s="21" t="str">
        <x:v>fraction</x:v>
      </x:c>
      <x:c r="E152" s="21" t="str">
        <x:v>2025</x:v>
      </x:c>
      <x:c r="F152" s="21" t="str">
        <x:v>县级栅格统计代理</x:v>
      </x:c>
      <x:c r="G152" s="21" t="str">
        <x:v>有效非开放水面中类别90/95像元数 / 有效陆地像元数</x:v>
      </x:c>
      <x:c r="H152" s="22" t="n">
        <x:f>MIN('Virginia'!K7:K139,'Georgia'!K7:K165)</x:f>
        <x:v>0</x:v>
      </x:c>
      <x:c r="I152" s="22" t="n">
        <x:f>MAX('Virginia'!K7:K139,'Georgia'!K7:K165)</x:f>
        <x:v>0.5816654672294297</x:v>
      </x:c>
      <x:c r="J152" s="21" t="n">
        <x:v>292</x:v>
      </x:c>
      <x:c r="K152" s="21" t="n">
        <x:v>0</x:v>
      </x:c>
      <x:c r="L152" s="21" t="str">
        <x:v>NLCD2025 land cover classes90,95</x:v>
      </x:c>
    </x:row>
    <x:row r="153" ht="86" customHeight="1">
      <x:c r="A153" s="21" t="str">
        <x:v>fiber_business_100_20_availability</x:v>
      </x:c>
      <x:c r="B153" s="21" t="str">
        <x:v>fiber</x:v>
      </x:c>
      <x:c r="C153" s="21" t="str">
        <x:v>商业服务光纤可用占比100/20</x:v>
      </x:c>
      <x:c r="D153" s="21" t="str">
        <x:v>比例0–1</x:v>
      </x:c>
      <x:c r="E153" s="21" t="str">
        <x:v>D25（精确截止日待核实）；版本2026-09-29</x:v>
      </x:c>
      <x:c r="F153" s="21" t="str">
        <x:v>县级商业服务口径覆盖代理</x:v>
      </x:c>
      <x:c r="G153" s="21" t="str">
        <x:v>直接读取speed_100_20；已为比例，不再除total_units；不是专线或双路由证据</x:v>
      </x:c>
      <x:c r="H153" s="22" t="n">
        <x:f>MIN('Virginia'!L7:L139,'Georgia'!L7:L165)</x:f>
        <x:v>0.000330743</x:v>
      </x:c>
      <x:c r="I153" s="22" t="n">
        <x:f>MAX('Virginia'!L7:L139,'Georgia'!L7:L165)</x:f>
        <x:v>1</x:v>
      </x:c>
      <x:c r="J153" s="21" t="n">
        <x:v>292</x:v>
      </x:c>
      <x:c r="K153" s="21" t="n">
        <x:v>0</x:v>
      </x:c>
      <x:c r="L153" s="21" t="str">
        <x:v>FCC BDC; County/Total/Fiber/B; speed_100_20; https://broadbandmap.fcc.gov/data-download/nationwide-data</x:v>
      </x:c>
    </x:row>
    <x:row r="154" ht="86" customHeight="1">
      <x:c r="A154" s="21" t="str">
        <x:v>fiber_business_1000_100_availability</x:v>
      </x:c>
      <x:c r="B154" s="21" t="str">
        <x:v>fiber</x:v>
      </x:c>
      <x:c r="C154" s="21" t="str">
        <x:v>商业服务光纤可用占比1000/100</x:v>
      </x:c>
      <x:c r="D154" s="21" t="str">
        <x:v>比例0–1</x:v>
      </x:c>
      <x:c r="E154" s="21" t="str">
        <x:v>D25（精确截止日待核实）；版本2026-09-29</x:v>
      </x:c>
      <x:c r="F154" s="21" t="str">
        <x:v>县级商业服务口径覆盖代理</x:v>
      </x:c>
      <x:c r="G154" s="21" t="str">
        <x:v>直接读取speed_1000_100；已为比例，不再除total_units；不是专线或双路由证据</x:v>
      </x:c>
      <x:c r="H154" s="22" t="n">
        <x:f>MIN('Virginia'!M7:M139,'Georgia'!M7:M165)</x:f>
        <x:v>0</x:v>
      </x:c>
      <x:c r="I154" s="22" t="n">
        <x:f>MAX('Virginia'!M7:M139,'Georgia'!M7:M165)</x:f>
        <x:v>1</x:v>
      </x:c>
      <x:c r="J154" s="21" t="n">
        <x:v>292</x:v>
      </x:c>
      <x:c r="K154" s="21" t="n">
        <x:v>0</x:v>
      </x:c>
      <x:c r="L154" s="21" t="str">
        <x:v>FCC BDC; County/Total/Fiber/B; speed_1000_100; https://broadbandmap.fcc.gov/data-download/nationwide-data</x:v>
      </x:c>
    </x:row>
    <x:row r="155" ht="46" customHeight="1">
      <x:c r="A155" s="21" t="str">
        <x:v>labor_force</x:v>
      </x:c>
      <x:c r="B155" s="21" t="str">
        <x:v>workforce_community</x:v>
      </x:c>
      <x:c r="C155" s="21" t="str">
        <x:v>劳动力人数</x:v>
      </x:c>
      <x:c r="D155" s="21" t="str">
        <x:v>persons</x:v>
      </x:c>
      <x:c r="E155" s="21" t="str">
        <x:v>2025 11个月平均，排除10月</x:v>
      </x:c>
      <x:c r="F155" s="21" t="str">
        <x:v>县级直接统计</x:v>
      </x:c>
      <x:c r="G155" s="21" t="str">
        <x:v>同一全国表直接读取；不是技能人才或招聘人数</x:v>
      </x:c>
      <x:c r="H155" s="22" t="n">
        <x:f>MIN('Virginia'!N7:N139,'Georgia'!N7:N165)</x:f>
        <x:v>688</x:v>
      </x:c>
      <x:c r="I155" s="22" t="n">
        <x:f>MAX('Virginia'!N7:N139,'Georgia'!N7:N165)</x:f>
        <x:v>644674</x:v>
      </x:c>
      <x:c r="J155" s="21" t="n">
        <x:v>292</x:v>
      </x:c>
      <x:c r="K155" s="21" t="n">
        <x:v>0</x:v>
      </x:c>
      <x:c r="L155" s="21" t="str">
        <x:v>BLS LAUS2025 Labor Force</x:v>
      </x:c>
    </x:row>
    <x:row r="156" ht="46" customHeight="1">
      <x:c r="A156" s="21" t="str">
        <x:v>social_vulnerability_percentile</x:v>
      </x:c>
      <x:c r="B156" s="21" t="str">
        <x:v>workforce_community</x:v>
      </x:c>
      <x:c r="C156" s="21" t="str">
        <x:v>社会脆弱性百分位</x:v>
      </x:c>
      <x:c r="D156" s="21" t="str">
        <x:v>fraction</x:v>
      </x:c>
      <x:c r="E156" s="21" t="str">
        <x:v>2022指数；调查期间另计</x:v>
      </x:c>
      <x:c r="F156" s="21" t="str">
        <x:v>县级社区影响背景</x:v>
      </x:c>
      <x:c r="G156" s="21" t="str">
        <x:v>直接读取；不定义为接受度或越低越好的效用分</x:v>
      </x:c>
      <x:c r="H156" s="22" t="n">
        <x:f>MIN('Virginia'!O7:O139,'Georgia'!O7:O165)</x:f>
        <x:v>0.0022</x:v>
      </x:c>
      <x:c r="I156" s="22" t="n">
        <x:f>MAX('Virginia'!O7:O139,'Georgia'!O7:O165)</x:f>
        <x:v>0.9914</x:v>
      </x:c>
      <x:c r="J156" s="21" t="n">
        <x:v>292</x:v>
      </x:c>
      <x:c r="K156" s="21" t="n">
        <x:v>0</x:v>
      </x:c>
      <x:c r="L156" s="21" t="str">
        <x:v>CDC SVI2022 RPL_THEMES</x:v>
      </x:c>
    </x:row>
    <x:row r="157" ht="46" customHeight="1">
      <x:c r="A157" s="21" t="str">
        <x:v>historical_cdd65</x:v>
      </x:c>
      <x:c r="B157" s="21" t="str">
        <x:v>cooling_climate</x:v>
      </x:c>
      <x:c r="C157" s="21" t="str">
        <x:v>历史CDD65</x:v>
      </x:c>
      <x:c r="D157" s="21" t="str">
        <x:v>degF_day/year</x:v>
      </x:c>
      <x:c r="E157" s="21" t="str">
        <x:v>源HISTORIC；具体基期未核实</x:v>
      </x:c>
      <x:c r="F157" s="21" t="str">
        <x:v>县级气候模型摘要</x:v>
      </x:c>
      <x:c r="G157" s="21" t="str">
        <x:v>直接读取；官方字段定义base65°F</x:v>
      </x:c>
      <x:c r="H157" s="22" t="n">
        <x:f>MIN('Virginia'!P7:P139,'Georgia'!P7:P165)</x:f>
        <x:v>275.7717076619466</x:v>
      </x:c>
      <x:c r="I157" s="22" t="n">
        <x:f>MAX('Virginia'!P7:P139,'Georgia'!P7:P165)</x:f>
        <x:v>2498.705037434896</x:v>
      </x:c>
      <x:c r="J157" s="21" t="n">
        <x:v>292</x:v>
      </x:c>
      <x:c r="K157" s="21" t="n">
        <x:v>0</x:v>
      </x:c>
      <x:c r="L157" s="21" t="str">
        <x:v>CMRA HISTORIC_MEAN_CDD</x:v>
      </x:c>
    </x:row>
    <x:row r="158" ht="46" customHeight="1">
      <x:c r="A158" s="21" t="str">
        <x:v>historical_days_tmax_gt90f</x:v>
      </x:c>
      <x:c r="B158" s="21" t="str">
        <x:v>cooling_climate</x:v>
      </x:c>
      <x:c r="C158" s="21" t="str">
        <x:v>历史&gt;90°F天数</x:v>
      </x:c>
      <x:c r="D158" s="21" t="str">
        <x:v>days/year</x:v>
      </x:c>
      <x:c r="E158" s="21" t="str">
        <x:v>源HISTORIC；具体基期未核实</x:v>
      </x:c>
      <x:c r="F158" s="21" t="str">
        <x:v>县级气候模型摘要</x:v>
      </x:c>
      <x:c r="G158" s="21" t="str">
        <x:v>直接读取；官方字段定义严格&gt;90°F</x:v>
      </x:c>
      <x:c r="H158" s="22" t="n">
        <x:f>MIN('Virginia'!Q7:Q139,'Georgia'!Q7:Q165)</x:f>
        <x:v>0.3184066669394572</x:v>
      </x:c>
      <x:c r="I158" s="22" t="n">
        <x:f>MAX('Virginia'!Q7:Q139,'Georgia'!Q7:Q165)</x:f>
        <x:v>85.41323394775391</x:v>
      </x:c>
      <x:c r="J158" s="21" t="n">
        <x:v>292</x:v>
      </x:c>
      <x:c r="K158" s="21" t="n">
        <x:v>0</x:v>
      </x:c>
      <x:c r="L158" s="21" t="str">
        <x:v>CMRA HISTORIC_MEAN_TMAX90F</x:v>
      </x:c>
    </x:row>
    <x:row r="159" ht="46" customHeight="1">
      <x:c r="A159" s="21" t="str">
        <x:v>distance_to_interstate_km</x:v>
      </x:c>
      <x:c r="B159" s="21" t="str">
        <x:v>transportation</x:v>
      </x:c>
      <x:c r="C159" s="21" t="str">
        <x:v>到Interstate距离</x:v>
      </x:c>
      <x:c r="D159" s="21" t="str">
        <x:v>km</x:v>
      </x:c>
      <x:c r="E159" s="21" t="str">
        <x:v>2024</x:v>
      </x:c>
      <x:c r="F159" s="21" t="str">
        <x:v>县内部代表点代理</x:v>
      </x:c>
      <x:c r="G159" s="21" t="str">
        <x:v>县内部代表点到最近Interstate线段的投影距离</x:v>
      </x:c>
      <x:c r="H159" s="22" t="n">
        <x:f>MIN('Virginia'!R7:R139,'Georgia'!R7:R165)</x:f>
        <x:v>0.1437519261483259</x:v>
      </x:c>
      <x:c r="I159" s="22" t="n">
        <x:f>MAX('Virginia'!R7:R139,'Georgia'!R7:R165)</x:f>
        <x:v>95.30527625122483</x:v>
      </x:c>
      <x:c r="J159" s="21" t="n">
        <x:v>292</x:v>
      </x:c>
      <x:c r="K159" s="21" t="n">
        <x:v>0</x:v>
      </x:c>
      <x:c r="L159" s="21" t="str">
        <x:v>TIGER2024 primaryroads RTTYP=I</x:v>
      </x:c>
    </x:row>
    <x:row r="160" ht="46" customHeight="1">
      <x:c r="A160" s="21" t="str">
        <x:v>distance_to_rail_km</x:v>
      </x:c>
      <x:c r="B160" s="21" t="str">
        <x:v>transportation</x:v>
      </x:c>
      <x:c r="C160" s="21" t="str">
        <x:v>到铁路距离</x:v>
      </x:c>
      <x:c r="D160" s="21" t="str">
        <x:v>km</x:v>
      </x:c>
      <x:c r="E160" s="21" t="str">
        <x:v>上传线路快照，发布日期未核实</x:v>
      </x:c>
      <x:c r="F160" s="21" t="str">
        <x:v>县内部代表点代理</x:v>
      </x:c>
      <x:c r="G160" s="21" t="str">
        <x:v>县内部代表点到最近铁路段的投影距离</x:v>
      </x:c>
      <x:c r="H160" s="22" t="n">
        <x:f>MIN('Virginia'!S7:S139,'Georgia'!S7:S165)</x:f>
        <x:v>0.008165487901422798</x:v>
      </x:c>
      <x:c r="I160" s="22" t="n">
        <x:f>MAX('Virginia'!S7:S139,'Georgia'!S7:S165)</x:f>
        <x:v>51.23331770793625</x:v>
      </x:c>
      <x:c r="J160" s="21" t="n">
        <x:v>292</x:v>
      </x:c>
      <x:c r="K160" s="21" t="n">
        <x:v>0</x:v>
      </x:c>
      <x:c r="L160" s="21" t="str">
        <x:v>BTS North American Rail Network Lines</x:v>
      </x:c>
    </x:row>
    <x:row r="161" ht="46" customHeight="1">
      <x:c r="A161" s="21" t="str">
        <x:v>state_industrial_price</x:v>
      </x:c>
      <x:c r="B161" s="21" t="str">
        <x:v>energy_carbon</x:v>
      </x:c>
      <x:c r="C161" s="21" t="str">
        <x:v>州工业电价</x:v>
      </x:c>
      <x:c r="D161" s="21" t="str">
        <x:v>USD/MWh</x:v>
      </x:c>
      <x:c r="E161" s="21" t="str">
        <x:v>2024</x:v>
      </x:c>
      <x:c r="F161" s="21" t="str">
        <x:v>州级代理，同州各县相同</x:v>
      </x:c>
      <x:c r="G161" s="21" t="str">
        <x:v>源cent/kWh ×10</x:v>
      </x:c>
      <x:c r="H161" s="22" t="n">
        <x:f>MIN('Virginia'!T7:T139,'Georgia'!T7:T165)</x:f>
        <x:v>72.1</x:v>
      </x:c>
      <x:c r="I161" s="22" t="n">
        <x:f>MAX('Virginia'!T7:T139,'Georgia'!T7:T165)</x:f>
        <x:v>89.9</x:v>
      </x:c>
      <x:c r="J161" s="21" t="n">
        <x:v>292</x:v>
      </x:c>
      <x:c r="K161" s="21" t="n">
        <x:v>0</x:v>
      </x:c>
      <x:c r="L161" s="21" t="str">
        <x:v>EIA Table2.10 Industrial Year2024</x:v>
      </x:c>
    </x:row>
    <x:row r="162" ht="46" customHeight="1">
      <x:c r="A162" s="21" t="str">
        <x:v>state_ieee_saidi_without_med</x:v>
      </x:c>
      <x:c r="B162" s="21" t="str">
        <x:v>energy_carbon</x:v>
      </x:c>
      <x:c r="C162" s="21" t="str">
        <x:v>州SAIDI不含重大事件日</x:v>
      </x:c>
      <x:c r="D162" s="21" t="str">
        <x:v>minutes/customer/year</x:v>
      </x:c>
      <x:c r="E162" s="21" t="str">
        <x:v>2024</x:v>
      </x:c>
      <x:c r="F162" s="21" t="str">
        <x:v>州级报告企业代理，同州各县相同</x:v>
      </x:c>
      <x:c r="G162" s="21" t="str">
        <x:v>Σ有效IEEE客户数×SAIDI / Σ有效IEEE客户数</x:v>
      </x:c>
      <x:c r="H162" s="22" t="n">
        <x:f>MIN('Virginia'!U7:U139,'Georgia'!U7:U165)</x:f>
        <x:v>211.4154781728841</x:v>
      </x:c>
      <x:c r="I162" s="22" t="n">
        <x:f>MAX('Virginia'!U7:U139,'Georgia'!U7:U165)</x:f>
        <x:v>245.07712999476223</x:v>
      </x:c>
      <x:c r="J162" s="21" t="n">
        <x:v>292</x:v>
      </x:c>
      <x:c r="K162" s="21" t="n">
        <x:v>0</x:v>
      </x:c>
      <x:c r="L162" s="21" t="str">
        <x:v>EIA8612024 Reliability IEEE Without Major Event Days SAIDI</x:v>
      </x:c>
    </x:row>
    <x:row r="163" ht="46" customHeight="1">
      <x:c r="A163" s="21" t="str">
        <x:v>state_grid_co2e_intensity</x:v>
      </x:c>
      <x:c r="B163" s="21" t="str">
        <x:v>energy_carbon</x:v>
      </x:c>
      <x:c r="C163" s="21" t="str">
        <x:v>州电网CO₂e强度</x:v>
      </x:c>
      <x:c r="D163" s="21" t="str">
        <x:v>kgCO2e/MWh</x:v>
      </x:c>
      <x:c r="E163" s="21" t="str">
        <x:v>2023 rev2</x:v>
      </x:c>
      <x:c r="F163" s="21" t="str">
        <x:v>州级代理，同州各县相同</x:v>
      </x:c>
      <x:c r="G163" s="21" t="str">
        <x:v>源lb/MWh ×0.45359237</x:v>
      </x:c>
      <x:c r="H163" s="22" t="n">
        <x:f>MIN('Virginia'!V7:V139,'Georgia'!V7:V165)</x:f>
        <x:v>244.75798925963002</x:v>
      </x:c>
      <x:c r="I163" s="22" t="n">
        <x:f>MAX('Virginia'!V7:V139,'Georgia'!V7:V165)</x:f>
        <x:v>325.42757789465</x:v>
      </x:c>
      <x:c r="J163" s="21" t="n">
        <x:v>292</x:v>
      </x:c>
      <x:c r="K163" s="21" t="n">
        <x:v>0</x:v>
      </x:c>
      <x:c r="L163" s="21" t="str">
        <x:v>eGRID2023 ST23.STC2ERTA</x:v>
      </x:c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</x:row>
    <x:row r="166">
      <x:c r="A166" s="19" t="str">
        <x:v>口径：VA含独立市；LAUS2025为排除10月的11个月平均。气候HISTORIC具体期间与NRI模型版本待核实。</x:v>
      </x:c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</x:row>
    <x:row r="167">
      <x:c r="A167" s="19" t="str">
        <x:v>FCC Fiber为商业服务口径、广告速度可用单位比例；不是专线或双路由。SVI仍仅作社区背景。</x:v>
      </x:c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</x:row>
    <x:row r="168">
      <x:c r="A168" s="19" t="str">
        <x:v>水按有效县域面积汇总，无最近流域回退；覆盖&lt;99%只作诊断提示，不是行业门槛。</x:v>
      </x:c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</x:row>
    <x:row r="169">
      <x:c r="A169" s="19" t="str">
        <x:v>NLCD陆地排除开放水面11，像元中心统计。PAD-US为2022县汇总/2024土地分母，保留年份差异。</x:v>
      </x:c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</x:row>
    <x:row r="170">
      <x:c r="A170" s="19" t="str">
        <x:v>能源三项为州级代理，同州相同；交通为县代表点投影距离，不是地块接入或实际路线距离。</x:v>
      </x:c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</x:row>
    <x:row r="171">
      <x:c r="A171" s="19" t="str">
        <x:v>CMRA字段核对：https://services3.arcgis.com/0Fs3HcaFfvzXvm7w/arcgis/rest/services/CMRA_Screening_Data/FeatureServer/layers</x:v>
      </x:c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</x:row>
    <x:row r="172">
      <x:c r="A172" s="19" t="str">
        <x:v>FCC两项相关：1000/100建议主指标，100/20辅助；不新增权重。详细输入与来源见本版results.json。</x:v>
      </x:c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</x:row>
  </x:sheetData>
  <x:pageMargins left="0.7" right="0.7" top="0.75" bottom="0.75" header="0.3" footer="0.3"/>
  <x:tableParts count="1">
    <x:tablePart xmlns:r="http://schemas.openxmlformats.org/officeDocument/2006/relationships" r:id="R4f51fef37585493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" hidden="0" customWidth="1"/>
    <x:col min="2" max="2" width="2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46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42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50" hidden="0" customWidth="1"/>
    <x:col min="42" max="42" width="50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</x:cols>
  <x:sheetData>
    <x:row r="2">
      <x:c r="A2" s="1" t="str">
        <x:v>Georgia County：八维18指标</x:v>
      </x:c>
    </x:row>
    <x:row r="3">
      <x:c r="A3" s="2" t="str">
        <x:v>原始结果在E:V；标准化在W:AN；缺失及覆盖在AO:AT。未计算权重或最终评分。</x:v>
      </x:c>
    </x:row>
    <x:row r="4">
      <x:c r="A4" s="2" t="str">
        <x:v>标准化使用两州共同min–max，保留原方向；不是越高越好的效用分。指标定义、单位、期间与来源见表下方。</x:v>
      </x:c>
    </x:row>
    <x:row r="6" ht="62" customHeight="1">
      <x:c r="A6" s="17" t="str">
        <x:v>FIPS</x:v>
      </x:c>
      <x:c r="B6" s="8" t="str">
        <x:v>County / 独立市</x:v>
      </x:c>
      <x:c r="C6" s="8" t="str">
        <x:v>州</x:v>
      </x:c>
      <x:c r="D6" s="8" t="str">
        <x:v>土地面积 km²</x:v>
      </x:c>
      <x:c r="E6" s="8" t="str">
        <x:v>野火全国百分位
fraction</x:v>
      </x:c>
      <x:c r="F6" s="8" t="str">
        <x:v>洪水损失率全国百分位
fraction</x:v>
      </x:c>
      <x:c r="G6" s="8" t="str">
        <x:v>基线水压力
Aqueduct index 0–5</x:v>
      </x:c>
      <x:c r="H6" s="8" t="str">
        <x:v>2050 BAU水压力
Aqueduct index 0–5</x:v>
      </x:c>
      <x:c r="I6" s="8" t="str">
        <x:v>低不透水土地比例
fraction</x:v>
      </x:c>
      <x:c r="J6" s="8" t="str">
        <x:v>GAP1/2保护地比例
fraction</x:v>
      </x:c>
      <x:c r="K6" s="8" t="str">
        <x:v>湿地陆地比例
fraction</x:v>
      </x:c>
      <x:c r="L6" s="8" t="str">
        <x:v>商业服务光纤可用占比100/20
比例0–1</x:v>
      </x:c>
      <x:c r="M6" s="8" t="str">
        <x:v>商业服务光纤可用占比1000/100
比例0–1</x:v>
      </x:c>
      <x:c r="N6" s="8" t="str">
        <x:v>劳动力人数
persons</x:v>
      </x:c>
      <x:c r="O6" s="8" t="str">
        <x:v>社会脆弱性百分位
fraction</x:v>
      </x:c>
      <x:c r="P6" s="8" t="str">
        <x:v>历史CDD65
degF_day/year</x:v>
      </x:c>
      <x:c r="Q6" s="8" t="str">
        <x:v>历史&gt;90°F天数
days/year</x:v>
      </x:c>
      <x:c r="R6" s="8" t="str">
        <x:v>到Interstate距离
km</x:v>
      </x:c>
      <x:c r="S6" s="8" t="str">
        <x:v>到铁路距离
km</x:v>
      </x:c>
      <x:c r="T6" s="8" t="str">
        <x:v>州工业电价
USD/MWh</x:v>
      </x:c>
      <x:c r="U6" s="8" t="str">
        <x:v>州SAIDI不含重大事件日
minutes/customer/year</x:v>
      </x:c>
      <x:c r="V6" s="8" t="str">
        <x:v>州电网CO₂e强度
kgCO2e/MWh</x:v>
      </x:c>
      <x:c r="W6" s="8" t="str">
        <x:v>野火全国百分位
标准化0–1</x:v>
      </x:c>
      <x:c r="X6" s="8" t="str">
        <x:v>洪水损失率全国百分位
标准化0–1</x:v>
      </x:c>
      <x:c r="Y6" s="8" t="str">
        <x:v>基线水压力
标准化0–1</x:v>
      </x:c>
      <x:c r="Z6" s="8" t="str">
        <x:v>2050 BAU水压力
标准化0–1</x:v>
      </x:c>
      <x:c r="AA6" s="8" t="str">
        <x:v>低不透水土地比例
标准化0–1</x:v>
      </x:c>
      <x:c r="AB6" s="8" t="str">
        <x:v>GAP1/2保护地比例
标准化0–1</x:v>
      </x:c>
      <x:c r="AC6" s="8" t="str">
        <x:v>湿地陆地比例
标准化0–1</x:v>
      </x:c>
      <x:c r="AD6" s="8" t="str">
        <x:v>商业服务光纤可用占比100/20
标准化0–1</x:v>
      </x:c>
      <x:c r="AE6" s="8" t="str">
        <x:v>商业服务光纤可用占比1000/100
标准化0–1</x:v>
      </x:c>
      <x:c r="AF6" s="8" t="str">
        <x:v>劳动力人数
标准化0–1</x:v>
      </x:c>
      <x:c r="AG6" s="8" t="str">
        <x:v>社会脆弱性百分位
标准化0–1</x:v>
      </x:c>
      <x:c r="AH6" s="8" t="str">
        <x:v>历史CDD65
标准化0–1</x:v>
      </x:c>
      <x:c r="AI6" s="8" t="str">
        <x:v>历史&gt;90°F天数
标准化0–1</x:v>
      </x:c>
      <x:c r="AJ6" s="8" t="str">
        <x:v>到Interstate距离
标准化0–1</x:v>
      </x:c>
      <x:c r="AK6" s="8" t="str">
        <x:v>到铁路距离
标准化0–1</x:v>
      </x:c>
      <x:c r="AL6" s="8" t="str">
        <x:v>州工业电价
标准化0–1</x:v>
      </x:c>
      <x:c r="AM6" s="8" t="str">
        <x:v>州SAIDI不含重大事件日
标准化0–1</x:v>
      </x:c>
      <x:c r="AN6" s="8" t="str">
        <x:v>州电网CO₂e强度
标准化0–1</x:v>
      </x:c>
      <x:c r="AO6" s="8" t="str">
        <x:v>缺失指标</x:v>
      </x:c>
      <x:c r="AP6" s="8" t="str">
        <x:v>质量提示</x:v>
      </x:c>
      <x:c r="AQ6" s="8" t="str">
        <x:v>基线水有效覆盖</x:v>
      </x:c>
      <x:c r="AR6" s="8" t="str">
        <x:v>未来水有效覆盖</x:v>
      </x:c>
      <x:c r="AS6" s="8" t="str">
        <x:v>NLCD县域有效覆盖</x:v>
      </x:c>
      <x:c r="AT6" s="8" t="str">
        <x:v>不透水陆地有效覆盖</x:v>
      </x:c>
    </x:row>
    <x:row r="7" ht="24" customHeight="1">
      <x:c r="A7" s="18" t="str">
        <x:v>13001</x:v>
      </x:c>
      <x:c r="B7" s="3" t="str">
        <x:v>Appling County</x:v>
      </x:c>
      <x:c r="C7" s="3" t="str">
        <x:v>GA</x:v>
      </x:c>
      <x:c r="D7" s="12" t="n">
        <x:v>1316.393793</x:v>
      </x:c>
      <x:c r="E7" s="12" t="n">
        <x:v>0.542</x:v>
      </x:c>
      <x:c r="F7" s="12" t="n">
        <x:v>0.23267326732673302</x:v>
      </x:c>
      <x:c r="G7" s="12" t="n">
        <x:v>0.7651955300472733</x:v>
      </x:c>
      <x:c r="H7" s="12" t="n">
        <x:v>0.7145068300168177</x:v>
      </x:c>
      <x:c r="I7" s="12" t="n">
        <x:v>0.9234443187604444</x:v>
      </x:c>
      <x:c r="J7" s="12" t="n">
        <x:v>0.025635483832204722</x:v>
      </x:c>
      <x:c r="K7" s="12" t="n">
        <x:v>0.29941391766141184</x:v>
      </x:c>
      <x:c r="L7" s="24" t="n">
        <x:v>0.633191748</x:v>
      </x:c>
      <x:c r="M7" s="24" t="n">
        <x:v>0.633191748</x:v>
      </x:c>
      <x:c r="N7" s="13" t="n">
        <x:v>8824</x:v>
      </x:c>
      <x:c r="O7" s="12" t="n">
        <x:v>0.9122</x:v>
      </x:c>
      <x:c r="P7" s="12" t="n">
        <x:v>2186.5702311197915</x:v>
      </x:c>
      <x:c r="Q7" s="12" t="n">
        <x:v>73.06198755900066</x:v>
      </x:c>
      <x:c r="R7" s="12" t="n">
        <x:v>71.25830095263419</x:v>
      </x:c>
      <x:c r="S7" s="12" t="n">
        <x:v>1.6896912720807074</x:v>
      </x:c>
      <x:c r="T7" s="12" t="n">
        <x:v>72.1</x:v>
      </x:c>
      <x:c r="U7" s="12" t="n">
        <x:v>211.4154781728841</x:v>
      </x:c>
      <x:c r="V7" s="12" t="n">
        <x:v>325.42757789465</x:v>
      </x:c>
      <x:c r="W7" s="12" t="n">
        <x:f>IF(ISNUMBER(E7),IF($I$172&gt;$H$172,(E7-$H$172)/($I$172-$H$172),"缺失"),"缺失")</x:f>
        <x:v>0.5717592592592593</x:v>
      </x:c>
      <x:c r="X7" s="12" t="n">
        <x:f>IF(ISNUMBER(F7),IF($I$173&gt;$H$173,(F7-$H$173)/($I$173-$H$173),"缺失"),"缺失")</x:f>
        <x:v>0.2305511811023625</x:v>
      </x:c>
      <x:c r="Y7" s="12" t="n">
        <x:f>IF(ISNUMBER(G7),IF($I$174&gt;$H$174,(G7-$H$174)/($I$174-$H$174),"缺失"),"缺失")</x:f>
        <x:v>0.2009425700617065</x:v>
      </x:c>
      <x:c r="Z7" s="12" t="n">
        <x:f>IF(ISNUMBER(H7),IF($I$175&gt;$H$175,(H7-$H$175)/($I$175-$H$175),"缺失"),"缺失")</x:f>
        <x:v>0.17571944263144199</x:v>
      </x:c>
      <x:c r="AA7" s="12" t="n">
        <x:f>IF(ISNUMBER(I7),IF($I$176&gt;$H$176,(I7-$H$176)/($I$176-$H$176),"缺失"),"缺失")</x:f>
        <x:v>0.9270276320397554</x:v>
      </x:c>
      <x:c r="AB7" s="12" t="n">
        <x:f>IF(ISNUMBER(J7),IF($I$177&gt;$H$177,(J7-$H$177)/($I$177-$H$177),"缺失"),"缺失")</x:f>
        <x:v>0.06288368754232612</x:v>
      </x:c>
      <x:c r="AC7" s="12" t="n">
        <x:f>IF(ISNUMBER(K7),IF($I$178&gt;$H$178,(K7-$H$178)/($I$178-$H$178),"缺失"),"缺失")</x:f>
        <x:v>0.5147527823640118</x:v>
      </x:c>
      <x:c r="AD7" s="12" t="n">
        <x:f>IF(ISNUMBER(L7),IF($I$179&gt;$H$179,(L7-$H$179)/($I$179-$H$179),"缺失"),"缺失")</x:f>
        <x:v>0.6330703885995366</x:v>
      </x:c>
      <x:c r="AE7" s="12" t="n">
        <x:f>IF(ISNUMBER(M7),IF($I$180&gt;$H$180,(M7-$H$180)/($I$180-$H$180),"缺失"),"缺失")</x:f>
        <x:v>0.633191748</x:v>
      </x:c>
      <x:c r="AF7" s="12" t="n">
        <x:f>IF(ISNUMBER(N7),IF($I$181&gt;$H$181,(N7-$H$181)/($I$181-$H$181),"缺失"),"缺失")</x:f>
        <x:v>0.012633815020823435</x:v>
      </x:c>
      <x:c r="AG7" s="12" t="n">
        <x:f>IF(ISNUMBER(O7),IF($I$182&gt;$H$182,(O7-$H$182)/($I$182-$H$182),"缺失"),"缺失")</x:f>
        <x:v>0.9199353012535383</x:v>
      </x:c>
      <x:c r="AH7" s="12" t="n">
        <x:f>IF(ISNUMBER(P7),IF($I$183&gt;$H$183,(P7-$H$183)/($I$183-$H$183),"缺失"),"缺失")</x:f>
        <x:v>0.8595842699668433</x:v>
      </x:c>
      <x:c r="AI7" s="12" t="n">
        <x:f>IF(ISNUMBER(Q7),IF($I$184&gt;$H$184,(Q7-$H$184)/($I$184-$H$184),"缺失"),"缺失")</x:f>
        <x:v>0.8548531469722135</x:v>
      </x:c>
      <x:c r="AJ7" s="12" t="n">
        <x:f>IF(ISNUMBER(R7),IF($I$185&gt;$H$185,(R7-$H$185)/($I$185-$H$185),"缺失"),"缺失")</x:f>
        <x:v>0.747303592821349</x:v>
      </x:c>
      <x:c r="AK7" s="12" t="n">
        <x:f>IF(ISNUMBER(S7),IF($I$186&gt;$H$186,(S7-$H$186)/($I$186-$H$186),"缺失"),"缺失")</x:f>
        <x:v>0.032826174472969503</x:v>
      </x:c>
      <x:c r="AL7" s="12" t="n">
        <x:f>IF(ISNUMBER(T7),IF($I$187&gt;$H$187,(T7-$H$187)/($I$187-$H$187),"缺失"),"缺失")</x:f>
        <x:v>0</x:v>
      </x:c>
      <x:c r="AM7" s="12" t="n">
        <x:f>IF(ISNUMBER(U7),IF($I$188&gt;$H$188,(U7-$H$188)/($I$188-$H$188),"缺失"),"缺失")</x:f>
        <x:v>0</x:v>
      </x:c>
      <x:c r="AN7" s="12" t="n">
        <x:f>IF(ISNUMBER(V7),IF($I$189&gt;$H$189,(V7-$H$189)/($I$189-$H$189),"缺失"),"缺失")</x:f>
        <x:v>1</x:v>
      </x:c>
      <x:c r="AO7" s="23" t="str"/>
      <x:c r="AP7" s="23" t="str">
        <x:v>见指标口径：州级、产业、代表点代理；气候基期待核实</x:v>
      </x:c>
      <x:c r="AQ7" s="15" t="n">
        <x:v>0.9999999999999998</x:v>
      </x:c>
      <x:c r="AR7" s="15" t="n">
        <x:v>1.0000000000000004</x:v>
      </x:c>
      <x:c r="AS7" s="15" t="n">
        <x:v>1</x:v>
      </x:c>
      <x:c r="AT7" s="15" t="n">
        <x:v>1</x:v>
      </x:c>
    </x:row>
    <x:row r="8" ht="24" customHeight="1">
      <x:c r="A8" s="18" t="str">
        <x:v>13003</x:v>
      </x:c>
      <x:c r="B8" s="3" t="str">
        <x:v>Atkinson County</x:v>
      </x:c>
      <x:c r="C8" s="3" t="str">
        <x:v>GA</x:v>
      </x:c>
      <x:c r="D8" s="12" t="n">
        <x:v>887.642157</x:v>
      </x:c>
      <x:c r="E8" s="12" t="n">
        <x:v>0.611</x:v>
      </x:c>
      <x:c r="F8" s="12" t="n">
        <x:v>0.225556930693069</x:v>
      </x:c>
      <x:c r="G8" s="12" t="n">
        <x:v>1.6718057087113112</x:v>
      </x:c>
      <x:c r="H8" s="12" t="n">
        <x:v>1.666399116302934</x:v>
      </x:c>
      <x:c r="I8" s="12" t="n">
        <x:v>0.943446722170842</x:v>
      </x:c>
      <x:c r="J8" s="12" t="n">
        <x:v>0.015502590004870856</x:v>
      </x:c>
      <x:c r="K8" s="12" t="n">
        <x:v>0.3179935433091604</x:v>
      </x:c>
      <x:c r="L8" s="24" t="n">
        <x:v>0.60433024</x:v>
      </x:c>
      <x:c r="M8" s="24" t="n">
        <x:v>0.588627171</x:v>
      </x:c>
      <x:c r="N8" s="13" t="n">
        <x:v>3754</x:v>
      </x:c>
      <x:c r="O8" s="12" t="n">
        <x:v>0.8444</x:v>
      </x:c>
      <x:c r="P8" s="12" t="n">
        <x:v>2187.9940836588544</x:v>
      </x:c>
      <x:c r="Q8" s="12" t="n">
        <x:v>77.72325922648112</x:v>
      </x:c>
      <x:c r="R8" s="12" t="n">
        <x:v>56.12967010241723</x:v>
      </x:c>
      <x:c r="S8" s="12" t="n">
        <x:v>3.7955695329319084</x:v>
      </x:c>
      <x:c r="T8" s="12" t="n">
        <x:v>72.1</x:v>
      </x:c>
      <x:c r="U8" s="12" t="n">
        <x:v>211.4154781728841</x:v>
      </x:c>
      <x:c r="V8" s="12" t="n">
        <x:v>325.42757789465</x:v>
      </x:c>
      <x:c r="W8" s="12" t="n">
        <x:f>IF(ISNUMBER(E8),IF($I$172&gt;$H$172,(E8-$H$172)/($I$172-$H$172),"缺失"),"缺失")</x:f>
        <x:v>0.6516203703703703</x:v>
      </x:c>
      <x:c r="X8" s="12" t="n">
        <x:f>IF(ISNUMBER(F8),IF($I$173&gt;$H$173,(F8-$H$173)/($I$173-$H$173),"缺失"),"缺失")</x:f>
        <x:v>0.22330708661417287</x:v>
      </x:c>
      <x:c r="Y8" s="12" t="n">
        <x:f>IF(ISNUMBER(G8),IF($I$174&gt;$H$174,(G8-$H$174)/($I$174-$H$174),"缺失"),"缺失")</x:f>
        <x:v>0.4394272595987233</x:v>
      </x:c>
      <x:c r="Z8" s="12" t="n">
        <x:f>IF(ISNUMBER(H8),IF($I$175&gt;$H$175,(H8-$H$175)/($I$175-$H$175),"缺失"),"缺失")</x:f>
        <x:v>0.41038722693730445</x:v>
      </x:c>
      <x:c r="AA8" s="12" t="n">
        <x:f>IF(ISNUMBER(I8),IF($I$176&gt;$H$176,(I8-$H$176)/($I$176-$H$176),"缺失"),"缺失")</x:f>
        <x:v>0.948500739254473</x:v>
      </x:c>
      <x:c r="AB8" s="12" t="n">
        <x:f>IF(ISNUMBER(J8),IF($I$177&gt;$H$177,(J8-$H$177)/($I$177-$H$177),"缺失"),"缺失")</x:f>
        <x:v>0.038027759973011055</x:v>
      </x:c>
      <x:c r="AC8" s="12" t="n">
        <x:f>IF(ISNUMBER(K8),IF($I$178&gt;$H$178,(K8-$H$178)/($I$178-$H$178),"缺失"),"缺失")</x:f>
        <x:v>0.5466948980550919</x:v>
      </x:c>
      <x:c r="AD8" s="12" t="n">
        <x:f>IF(ISNUMBER(L8),IF($I$179&gt;$H$179,(L8-$H$179)/($I$179-$H$179),"缺失"),"缺失")</x:f>
        <x:v>0.6041993316995643</x:v>
      </x:c>
      <x:c r="AE8" s="12" t="n">
        <x:f>IF(ISNUMBER(M8),IF($I$180&gt;$H$180,(M8-$H$180)/($I$180-$H$180),"缺失"),"缺失")</x:f>
        <x:v>0.588627171</x:v>
      </x:c>
      <x:c r="AF8" s="12" t="n">
        <x:f>IF(ISNUMBER(N8),IF($I$181&gt;$H$181,(N8-$H$181)/($I$181-$H$181),"缺失"),"缺失")</x:f>
        <x:v>0.00476097306463184</x:v>
      </x:c>
      <x:c r="AG8" s="12" t="n">
        <x:f>IF(ISNUMBER(O8),IF($I$182&gt;$H$182,(O8-$H$182)/($I$182-$H$182),"缺失"),"缺失")</x:f>
        <x:v>0.8513950667205824</x:v>
      </x:c>
      <x:c r="AH8" s="12" t="n">
        <x:f>IF(ISNUMBER(P8),IF($I$183&gt;$H$183,(P8-$H$183)/($I$183-$H$183),"缺失"),"缺失")</x:f>
        <x:v>0.8602247986412721</x:v>
      </x:c>
      <x:c r="AI8" s="12" t="n">
        <x:f>IF(ISNUMBER(Q8),IF($I$184&gt;$H$184,(Q8-$H$184)/($I$184-$H$184),"缺失"),"缺失")</x:f>
        <x:v>0.9096305267076255</x:v>
      </x:c>
      <x:c r="AJ8" s="12" t="n">
        <x:f>IF(ISNUMBER(R8),IF($I$185&gt;$H$185,(R8-$H$185)/($I$185-$H$185),"缺失"),"缺失")</x:f>
        <x:v>0.5883251510875154</x:v>
      </x:c>
      <x:c r="AK8" s="12" t="n">
        <x:f>IF(ISNUMBER(S8),IF($I$186&gt;$H$186,(S8-$H$186)/($I$186-$H$186),"缺失"),"缺失")</x:f>
        <x:v>0.07393641367353872</x:v>
      </x:c>
      <x:c r="AL8" s="12" t="n">
        <x:f>IF(ISNUMBER(T8),IF($I$187&gt;$H$187,(T8-$H$187)/($I$187-$H$187),"缺失"),"缺失")</x:f>
        <x:v>0</x:v>
      </x:c>
      <x:c r="AM8" s="12" t="n">
        <x:f>IF(ISNUMBER(U8),IF($I$188&gt;$H$188,(U8-$H$188)/($I$188-$H$188),"缺失"),"缺失")</x:f>
        <x:v>0</x:v>
      </x:c>
      <x:c r="AN8" s="12" t="n">
        <x:f>IF(ISNUMBER(V8),IF($I$189&gt;$H$189,(V8-$H$189)/($I$189-$H$189),"缺失"),"缺失")</x:f>
        <x:v>1</x:v>
      </x:c>
      <x:c r="AO8" s="23" t="str"/>
      <x:c r="AP8" s="23" t="str">
        <x:v>见指标口径：州级、产业、代表点代理；气候基期待核实</x:v>
      </x:c>
      <x:c r="AQ8" s="15" t="n">
        <x:v>1.0000000000000004</x:v>
      </x:c>
      <x:c r="AR8" s="15" t="n">
        <x:v>1.0000000000000018</x:v>
      </x:c>
      <x:c r="AS8" s="15" t="n">
        <x:v>1</x:v>
      </x:c>
      <x:c r="AT8" s="15" t="n">
        <x:v>1</x:v>
      </x:c>
    </x:row>
    <x:row r="9" ht="24" customHeight="1">
      <x:c r="A9" s="18" t="str">
        <x:v>13005</x:v>
      </x:c>
      <x:c r="B9" s="3" t="str">
        <x:v>Bacon County</x:v>
      </x:c>
      <x:c r="C9" s="3" t="str">
        <x:v>GA</x:v>
      </x:c>
      <x:c r="D9" s="12" t="n">
        <x:v>735.776107</x:v>
      </x:c>
      <x:c r="E9" s="12" t="n">
        <x:v>0.532</x:v>
      </x:c>
      <x:c r="F9" s="12" t="n">
        <x:v>0.11509900990099001</x:v>
      </x:c>
      <x:c r="G9" s="12" t="n">
        <x:v>1.2482862615613577</x:v>
      </x:c>
      <x:c r="H9" s="12" t="n">
        <x:v>1.165489541</x:v>
      </x:c>
      <x:c r="I9" s="12" t="n">
        <x:v>0.9254285721269839</x:v>
      </x:c>
      <x:c r="J9" s="12" t="n">
        <x:v>0</x:v>
      </x:c>
      <x:c r="K9" s="12" t="n">
        <x:v>0.2929006015776441</x:v>
      </x:c>
      <x:c r="L9" s="24" t="n">
        <x:v>1</x:v>
      </x:c>
      <x:c r="M9" s="24" t="n">
        <x:v>1</x:v>
      </x:c>
      <x:c r="N9" s="13" t="n">
        <x:v>4601</x:v>
      </x:c>
      <x:c r="O9" s="12" t="n">
        <x:v>0.889</x:v>
      </x:c>
      <x:c r="P9" s="12" t="n">
        <x:v>2239.825935872396</x:v>
      </x:c>
      <x:c r="Q9" s="12" t="n">
        <x:v>72.69285265604655</x:v>
      </x:c>
      <x:c r="R9" s="12" t="n">
        <x:v>94.403787674103</x:v>
      </x:c>
      <x:c r="S9" s="12" t="n">
        <x:v>11.61770052625278</x:v>
      </x:c>
      <x:c r="T9" s="12" t="n">
        <x:v>72.1</x:v>
      </x:c>
      <x:c r="U9" s="12" t="n">
        <x:v>211.4154781728841</x:v>
      </x:c>
      <x:c r="V9" s="12" t="n">
        <x:v>325.42757789465</x:v>
      </x:c>
      <x:c r="W9" s="12" t="n">
        <x:f>IF(ISNUMBER(E9),IF($I$172&gt;$H$172,(E9-$H$172)/($I$172-$H$172),"缺失"),"缺失")</x:f>
        <x:v>0.5601851851851852</x:v>
      </x:c>
      <x:c r="X9" s="12" t="n">
        <x:f>IF(ISNUMBER(F9),IF($I$173&gt;$H$173,(F9-$H$173)/($I$173-$H$173),"缺失"),"缺失")</x:f>
        <x:v>0.11086614173228333</x:v>
      </x:c>
      <x:c r="Y9" s="12" t="n">
        <x:f>IF(ISNUMBER(G9),IF($I$174&gt;$H$174,(G9-$H$174)/($I$174-$H$174),"缺失"),"缺失")</x:f>
        <x:v>0.3280200569846059</x:v>
      </x:c>
      <x:c r="Z9" s="12" t="n">
        <x:f>IF(ISNUMBER(H9),IF($I$175&gt;$H$175,(H9-$H$175)/($I$175-$H$175),"缺失"),"缺失")</x:f>
        <x:v>0.28689915810070277</x:v>
      </x:c>
      <x:c r="AA9" s="12" t="n">
        <x:f>IF(ISNUMBER(I9),IF($I$176&gt;$H$176,(I9-$H$176)/($I$176-$H$176),"缺失"),"缺失")</x:f>
        <x:v>0.9291577803227722</x:v>
      </x:c>
      <x:c r="AB9" s="12" t="n">
        <x:f>IF(ISNUMBER(J9),IF($I$177&gt;$H$177,(J9-$H$177)/($I$177-$H$177),"缺失"),"缺失")</x:f>
        <x:v>0</x:v>
      </x:c>
      <x:c r="AC9" s="12" t="n">
        <x:f>IF(ISNUMBER(K9),IF($I$178&gt;$H$178,(K9-$H$178)/($I$178-$H$178),"缺失"),"缺失")</x:f>
        <x:v>0.5035550811925948</x:v>
      </x:c>
      <x:c r="AD9" s="12" t="n">
        <x:f>IF(ISNUMBER(L9),IF($I$179&gt;$H$179,(L9-$H$179)/($I$179-$H$179),"缺失"),"缺失")</x:f>
        <x:v>1</x:v>
      </x:c>
      <x:c r="AE9" s="12" t="n">
        <x:f>IF(ISNUMBER(M9),IF($I$180&gt;$H$180,(M9-$H$180)/($I$180-$H$180),"缺失"),"缺失")</x:f>
        <x:v>1</x:v>
      </x:c>
      <x:c r="AF9" s="12" t="n">
        <x:f>IF(ISNUMBER(N9),IF($I$181&gt;$H$181,(N9-$H$181)/($I$181-$H$181),"缺失"),"缺失")</x:f>
        <x:v>0.006076219048240179</x:v>
      </x:c>
      <x:c r="AG9" s="12" t="n">
        <x:f>IF(ISNUMBER(O9),IF($I$182&gt;$H$182,(O9-$H$182)/($I$182-$H$182),"缺失"),"缺失")</x:f>
        <x:v>0.8964820056611403</x:v>
      </x:c>
      <x:c r="AH9" s="12" t="n">
        <x:f>IF(ISNUMBER(P9),IF($I$183&gt;$H$183,(P9-$H$183)/($I$183-$H$183),"缺失"),"缺失")</x:f>
        <x:v>0.8835416707756404</x:v>
      </x:c>
      <x:c r="AI9" s="12" t="n">
        <x:f>IF(ISNUMBER(Q9),IF($I$184&gt;$H$184,(Q9-$H$184)/($I$184-$H$184),"缺失"),"缺失")</x:f>
        <x:v>0.850515222861551</x:v>
      </x:c>
      <x:c r="AJ9" s="12" t="n">
        <x:f>IF(ISNUMBER(R9),IF($I$185&gt;$H$185,(R9-$H$185)/($I$185-$H$185),"缺失"),"缺失")</x:f>
        <x:v>0.9905267535013175</x:v>
      </x:c>
      <x:c r="AK9" s="12" t="n">
        <x:f>IF(ISNUMBER(S9),IF($I$186&gt;$H$186,(S9-$H$186)/($I$186-$H$186),"缺失"),"缺失")</x:f>
        <x:v>0.22663739462370433</x:v>
      </x:c>
      <x:c r="AL9" s="12" t="n">
        <x:f>IF(ISNUMBER(T9),IF($I$187&gt;$H$187,(T9-$H$187)/($I$187-$H$187),"缺失"),"缺失")</x:f>
        <x:v>0</x:v>
      </x:c>
      <x:c r="AM9" s="12" t="n">
        <x:f>IF(ISNUMBER(U9),IF($I$188&gt;$H$188,(U9-$H$188)/($I$188-$H$188),"缺失"),"缺失")</x:f>
        <x:v>0</x:v>
      </x:c>
      <x:c r="AN9" s="12" t="n">
        <x:f>IF(ISNUMBER(V9),IF($I$189&gt;$H$189,(V9-$H$189)/($I$189-$H$189),"缺失"),"缺失")</x:f>
        <x:v>1</x:v>
      </x:c>
      <x:c r="AO9" s="23" t="str"/>
      <x:c r="AP9" s="23" t="str">
        <x:v>见指标口径：州级、产业、代表点代理；气候基期待核实</x:v>
      </x:c>
      <x:c r="AQ9" s="15" t="n">
        <x:v>0.9999999999999974</x:v>
      </x:c>
      <x:c r="AR9" s="15" t="n">
        <x:v>0.9999999999999974</x:v>
      </x:c>
      <x:c r="AS9" s="15" t="n">
        <x:v>1</x:v>
      </x:c>
      <x:c r="AT9" s="15" t="n">
        <x:v>1</x:v>
      </x:c>
    </x:row>
    <x:row r="10" ht="24" customHeight="1">
      <x:c r="A10" s="18" t="str">
        <x:v>13007</x:v>
      </x:c>
      <x:c r="B10" s="3" t="str">
        <x:v>Baker County</x:v>
      </x:c>
      <x:c r="C10" s="3" t="str">
        <x:v>GA</x:v>
      </x:c>
      <x:c r="D10" s="12" t="n">
        <x:v>885.665382</x:v>
      </x:c>
      <x:c r="E10" s="12" t="n">
        <x:v>0.53</x:v>
      </x:c>
      <x:c r="F10" s="12" t="n">
        <x:v>0.968440594059406</x:v>
      </x:c>
      <x:c r="G10" s="12" t="n">
        <x:v>1.1652933984148754</x:v>
      </x:c>
      <x:c r="H10" s="12" t="n">
        <x:v>1.134330805</x:v>
      </x:c>
      <x:c r="I10" s="12" t="n">
        <x:v>0.9591233607182724</x:v>
      </x:c>
      <x:c r="J10" s="12" t="n">
        <x:v>0.15494539207297048</x:v>
      </x:c>
      <x:c r="K10" s="12" t="n">
        <x:v>0.1640938074702259</x:v>
      </x:c>
      <x:c r="L10" s="24" t="n">
        <x:v>0.74205159</x:v>
      </x:c>
      <x:c r="M10" s="24" t="n">
        <x:v>0.74205159</x:v>
      </x:c>
      <x:c r="N10" s="13" t="n">
        <x:v>904</x:v>
      </x:c>
      <x:c r="O10" s="12" t="n">
        <x:v>0.7162</x:v>
      </x:c>
      <x:c r="P10" s="12" t="n">
        <x:v>2297.812255859375</x:v>
      </x:c>
      <x:c r="Q10" s="12" t="n">
        <x:v>77.34104690551757</x:v>
      </x:c>
      <x:c r="R10" s="12" t="n">
        <x:v>83.36378533520502</x:v>
      </x:c>
      <x:c r="S10" s="12" t="n">
        <x:v>19.13975020136568</x:v>
      </x:c>
      <x:c r="T10" s="12" t="n">
        <x:v>72.1</x:v>
      </x:c>
      <x:c r="U10" s="12" t="n">
        <x:v>211.4154781728841</x:v>
      </x:c>
      <x:c r="V10" s="12" t="n">
        <x:v>325.42757789465</x:v>
      </x:c>
      <x:c r="W10" s="12" t="n">
        <x:f>IF(ISNUMBER(E10),IF($I$172&gt;$H$172,(E10-$H$172)/($I$172-$H$172),"缺失"),"缺失")</x:f>
        <x:v>0.5578703703703705</x:v>
      </x:c>
      <x:c r="X10" s="12" t="n">
        <x:f>IF(ISNUMBER(F10),IF($I$173&gt;$H$173,(F10-$H$173)/($I$173-$H$173),"缺失"),"缺失")</x:f>
        <x:v>0.9795275590551179</x:v>
      </x:c>
      <x:c r="Y10" s="12" t="n">
        <x:f>IF(ISNUMBER(G10),IF($I$174&gt;$H$174,(G10-$H$174)/($I$174-$H$174),"缺失"),"缺失")</x:f>
        <x:v>0.3061887035903138</x:v>
      </x:c>
      <x:c r="Z10" s="12" t="n">
        <x:f>IF(ISNUMBER(H10),IF($I$175&gt;$H$175,(H10-$H$175)/($I$175-$H$175),"缺失"),"缺失")</x:f>
        <x:v>0.27921766761671174</x:v>
      </x:c>
      <x:c r="AA10" s="12" t="n">
        <x:f>IF(ISNUMBER(I10),IF($I$176&gt;$H$176,(I10-$H$176)/($I$176-$H$176),"缺失"),"缺失")</x:f>
        <x:v>0.965330023885357</x:v>
      </x:c>
      <x:c r="AB10" s="12" t="n">
        <x:f>IF(ISNUMBER(J10),IF($I$177&gt;$H$177,(J10-$H$177)/($I$177-$H$177),"缺失"),"缺失")</x:f>
        <x:v>0.38008011415019655</x:v>
      </x:c>
      <x:c r="AC10" s="12" t="n">
        <x:f>IF(ISNUMBER(K10),IF($I$178&gt;$H$178,(K10-$H$178)/($I$178-$H$178),"缺失"),"缺失")</x:f>
        <x:v>0.2821102793876217</x:v>
      </x:c>
      <x:c r="AD10" s="12" t="n">
        <x:f>IF(ISNUMBER(L10),IF($I$179&gt;$H$179,(L10-$H$179)/($I$179-$H$179),"缺失"),"缺失")</x:f>
        <x:v>0.7419662471424786</x:v>
      </x:c>
      <x:c r="AE10" s="12" t="n">
        <x:f>IF(ISNUMBER(M10),IF($I$180&gt;$H$180,(M10-$H$180)/($I$180-$H$180),"缺失"),"缺失")</x:f>
        <x:v>0.74205159</x:v>
      </x:c>
      <x:c r="AF10" s="12" t="n">
        <x:f>IF(ISNUMBER(N10),IF($I$181&gt;$H$181,(N10-$H$181)/($I$181-$H$181),"缺失"),"缺失")</x:f>
        <x:v>0.00033541101825194957</x:v>
      </x:c>
      <x:c r="AG10" s="12" t="n">
        <x:f>IF(ISNUMBER(O10),IF($I$182&gt;$H$182,(O10-$H$182)/($I$182-$H$182),"缺失"),"缺失")</x:f>
        <x:v>0.7217953902143146</x:v>
      </x:c>
      <x:c r="AH10" s="12" t="n">
        <x:f>IF(ISNUMBER(P10),IF($I$183&gt;$H$183,(P10-$H$183)/($I$183-$H$183),"缺失"),"缺失")</x:f>
        <x:v>0.9096271674526378</x:v>
      </x:c>
      <x:c r="AI10" s="12" t="n">
        <x:f>IF(ISNUMBER(Q10),IF($I$184&gt;$H$184,(Q10-$H$184)/($I$184-$H$184),"缺失"),"缺失")</x:f>
        <x:v>0.9051389220686943</x:v>
      </x:c>
      <x:c r="AJ10" s="12" t="n">
        <x:f>IF(ISNUMBER(R10),IF($I$185&gt;$H$185,(R10-$H$185)/($I$185-$H$185),"缺失"),"缺失")</x:f>
        <x:v>0.8745134548788114</x:v>
      </x:c>
      <x:c r="AK10" s="12" t="n">
        <x:f>IF(ISNUMBER(S10),IF($I$186&gt;$H$186,(S10-$H$186)/($I$186-$H$186),"缺失"),"缺失")</x:f>
        <x:v>0.37348029013726664</x:v>
      </x:c>
      <x:c r="AL10" s="12" t="n">
        <x:f>IF(ISNUMBER(T10),IF($I$187&gt;$H$187,(T10-$H$187)/($I$187-$H$187),"缺失"),"缺失")</x:f>
        <x:v>0</x:v>
      </x:c>
      <x:c r="AM10" s="12" t="n">
        <x:f>IF(ISNUMBER(U10),IF($I$188&gt;$H$188,(U10-$H$188)/($I$188-$H$188),"缺失"),"缺失")</x:f>
        <x:v>0</x:v>
      </x:c>
      <x:c r="AN10" s="12" t="n">
        <x:f>IF(ISNUMBER(V10),IF($I$189&gt;$H$189,(V10-$H$189)/($I$189-$H$189),"缺失"),"缺失")</x:f>
        <x:v>1</x:v>
      </x:c>
      <x:c r="AO10" s="23" t="str"/>
      <x:c r="AP10" s="23" t="str">
        <x:v>见指标口径：州级、产业、代表点代理；气候基期待核实</x:v>
      </x:c>
      <x:c r="AQ10" s="15" t="n">
        <x:v>1.0000000000000004</x:v>
      </x:c>
      <x:c r="AR10" s="15" t="n">
        <x:v>1.0000000000000004</x:v>
      </x:c>
      <x:c r="AS10" s="15" t="n">
        <x:v>1</x:v>
      </x:c>
      <x:c r="AT10" s="15" t="n">
        <x:v>1</x:v>
      </x:c>
    </x:row>
    <x:row r="11" ht="24" customHeight="1">
      <x:c r="A11" s="18" t="str">
        <x:v>13009</x:v>
      </x:c>
      <x:c r="B11" s="3" t="str">
        <x:v>Baldwin County</x:v>
      </x:c>
      <x:c r="C11" s="3" t="str">
        <x:v>GA</x:v>
      </x:c>
      <x:c r="D11" s="12" t="n">
        <x:v>670.028049</x:v>
      </x:c>
      <x:c r="E11" s="12" t="n">
        <x:v>0.585</x:v>
      </x:c>
      <x:c r="F11" s="12" t="n">
        <x:v>0.465037128712871</x:v>
      </x:c>
      <x:c r="G11" s="12" t="n">
        <x:v>2.1016018680269624</x:v>
      </x:c>
      <x:c r="H11" s="12" t="n">
        <x:v>1.909171031</x:v>
      </x:c>
      <x:c r="I11" s="12" t="n">
        <x:v>0.882016326069836</x:v>
      </x:c>
      <x:c r="J11" s="12" t="n">
        <x:v>0.01239980925425343</x:v>
      </x:c>
      <x:c r="K11" s="12" t="n">
        <x:v>0.07716446754810599</x:v>
      </x:c>
      <x:c r="L11" s="24" t="n">
        <x:v>0.71817294</x:v>
      </x:c>
      <x:c r="M11" s="24" t="n">
        <x:v>0.71817294</x:v>
      </x:c>
      <x:c r="N11" s="13" t="n">
        <x:v>19197</x:v>
      </x:c>
      <x:c r="O11" s="12" t="n">
        <x:v>0.923</x:v>
      </x:c>
      <x:c r="P11" s="12" t="n">
        <x:v>1841.5551106770831</x:v>
      </x:c>
      <x:c r="Q11" s="12" t="n">
        <x:v>60.71126314798991</x:v>
      </x:c>
      <x:c r="R11" s="12" t="n">
        <x:v>40.76621229086302</x:v>
      </x:c>
      <x:c r="S11" s="12" t="n">
        <x:v>1.6428310753699205</x:v>
      </x:c>
      <x:c r="T11" s="12" t="n">
        <x:v>72.1</x:v>
      </x:c>
      <x:c r="U11" s="12" t="n">
        <x:v>211.4154781728841</x:v>
      </x:c>
      <x:c r="V11" s="12" t="n">
        <x:v>325.42757789465</x:v>
      </x:c>
      <x:c r="W11" s="12" t="n">
        <x:f>IF(ISNUMBER(E11),IF($I$172&gt;$H$172,(E11-$H$172)/($I$172-$H$172),"缺失"),"缺失")</x:f>
        <x:v>0.6215277777777777</x:v>
      </x:c>
      <x:c r="X11" s="12" t="n">
        <x:f>IF(ISNUMBER(F11),IF($I$173&gt;$H$173,(F11-$H$173)/($I$173-$H$173),"缺失"),"缺失")</x:f>
        <x:v>0.46708661417322794</x:v>
      </x:c>
      <x:c r="Y11" s="12" t="n">
        <x:f>IF(ISNUMBER(G11),IF($I$174&gt;$H$174,(G11-$H$174)/($I$174-$H$174),"缺失"),"缺失")</x:f>
        <x:v>0.5524855574546297</x:v>
      </x:c>
      <x:c r="Z11" s="12" t="n">
        <x:f>IF(ISNUMBER(H11),IF($I$175&gt;$H$175,(H11-$H$175)/($I$175-$H$175),"缺失"),"缺失")</x:f>
        <x:v>0.47023722061245893</x:v>
      </x:c>
      <x:c r="AA11" s="12" t="n">
        <x:f>IF(ISNUMBER(I11),IF($I$176&gt;$H$176,(I11-$H$176)/($I$176-$H$176),"缺失"),"缺失")</x:f>
        <x:v>0.8825535900717013</x:v>
      </x:c>
      <x:c r="AB11" s="12" t="n">
        <x:f>IF(ISNUMBER(J11),IF($I$177&gt;$H$177,(J11-$H$177)/($I$177-$H$177),"缺失"),"缺失")</x:f>
        <x:v>0.030416657467153264</x:v>
      </x:c>
      <x:c r="AC11" s="12" t="n">
        <x:f>IF(ISNUMBER(K11),IF($I$178&gt;$H$178,(K11-$H$178)/($I$178-$H$178),"缺失"),"缺失")</x:f>
        <x:v>0.1326612492841518</x:v>
      </x:c>
      <x:c r="AD11" s="12" t="n">
        <x:f>IF(ISNUMBER(L11),IF($I$179&gt;$H$179,(L11-$H$179)/($I$179-$H$179),"缺失"),"缺失")</x:f>
        <x:v>0.7180796968331696</x:v>
      </x:c>
      <x:c r="AE11" s="12" t="n">
        <x:f>IF(ISNUMBER(M11),IF($I$180&gt;$H$180,(M11-$H$180)/($I$180-$H$180),"缺失"),"缺失")</x:f>
        <x:v>0.71817294</x:v>
      </x:c>
      <x:c r="AF11" s="12" t="n">
        <x:f>IF(ISNUMBER(N11),IF($I$181&gt;$H$181,(N11-$H$181)/($I$181-$H$181),"缺失"),"缺失")</x:f>
        <x:v>0.028741308040858032</x:v>
      </x:c>
      <x:c r="AG11" s="12" t="n">
        <x:f>IF(ISNUMBER(O11),IF($I$182&gt;$H$182,(O11-$H$182)/($I$182-$H$182),"缺失"),"缺失")</x:f>
        <x:v>0.9308532147189649</x:v>
      </x:c>
      <x:c r="AH11" s="12" t="n">
        <x:f>IF(ISNUMBER(P11),IF($I$183&gt;$H$183,(P11-$H$183)/($I$183-$H$183),"缺失"),"缺失")</x:f>
        <x:v>0.7043771318031683</x:v>
      </x:c>
      <x:c r="AI11" s="12" t="n">
        <x:f>IF(ISNUMBER(Q11),IF($I$184&gt;$H$184,(Q11-$H$184)/($I$184-$H$184),"缺失"),"缺失")</x:f>
        <x:v>0.7097124280157823</x:v>
      </x:c>
      <x:c r="AJ11" s="12" t="n">
        <x:f>IF(ISNUMBER(R11),IF($I$185&gt;$H$185,(R11-$H$185)/($I$185-$H$185),"缺失"),"缺失")</x:f>
        <x:v>0.4268790422686626</x:v>
      </x:c>
      <x:c r="AK11" s="12" t="n">
        <x:f>IF(ISNUMBER(S11),IF($I$186&gt;$H$186,(S11-$H$186)/($I$186-$H$186),"缺失"),"缺失")</x:f>
        <x:v>0.03191138564990264</x:v>
      </x:c>
      <x:c r="AL11" s="12" t="n">
        <x:f>IF(ISNUMBER(T11),IF($I$187&gt;$H$187,(T11-$H$187)/($I$187-$H$187),"缺失"),"缺失")</x:f>
        <x:v>0</x:v>
      </x:c>
      <x:c r="AM11" s="12" t="n">
        <x:f>IF(ISNUMBER(U11),IF($I$188&gt;$H$188,(U11-$H$188)/($I$188-$H$188),"缺失"),"缺失")</x:f>
        <x:v>0</x:v>
      </x:c>
      <x:c r="AN11" s="12" t="n">
        <x:f>IF(ISNUMBER(V11),IF($I$189&gt;$H$189,(V11-$H$189)/($I$189-$H$189),"缺失"),"缺失")</x:f>
        <x:v>1</x:v>
      </x:c>
      <x:c r="AO11" s="23" t="str"/>
      <x:c r="AP11" s="23" t="str">
        <x:v>见指标口径：州级、产业、代表点代理；气候基期待核实</x:v>
      </x:c>
      <x:c r="AQ11" s="15" t="n">
        <x:v>0.9999999999999998</x:v>
      </x:c>
      <x:c r="AR11" s="15" t="n">
        <x:v>1.0000000000000033</x:v>
      </x:c>
      <x:c r="AS11" s="15" t="n">
        <x:v>1</x:v>
      </x:c>
      <x:c r="AT11" s="15" t="n">
        <x:v>1</x:v>
      </x:c>
    </x:row>
    <x:row r="12" ht="24" customHeight="1">
      <x:c r="A12" s="18" t="str">
        <x:v>13011</x:v>
      </x:c>
      <x:c r="B12" s="3" t="str">
        <x:v>Banks County</x:v>
      </x:c>
      <x:c r="C12" s="3" t="str">
        <x:v>GA</x:v>
      </x:c>
      <x:c r="D12" s="12" t="n">
        <x:v>602.57815</x:v>
      </x:c>
      <x:c r="E12" s="12" t="n">
        <x:v>0.594</x:v>
      </x:c>
      <x:c r="F12" s="12" t="n">
        <x:v>0.33353960396039595</x:v>
      </x:c>
      <x:c r="G12" s="12" t="n">
        <x:v>2.929870761592893</x:v>
      </x:c>
      <x:c r="H12" s="12" t="n">
        <x:v>2.733165841412153</x:v>
      </x:c>
      <x:c r="I12" s="12" t="n">
        <x:v>0.9360638854402185</x:v>
      </x:c>
      <x:c r="J12" s="12" t="n">
        <x:v>0.025381608020013588</x:v>
      </x:c>
      <x:c r="K12" s="12" t="n">
        <x:v>0.03179814919420345</x:v>
      </x:c>
      <x:c r="L12" s="24" t="n">
        <x:v>0.109761849</x:v>
      </x:c>
      <x:c r="M12" s="24" t="n">
        <x:v>0.109643952</x:v>
      </x:c>
      <x:c r="N12" s="13" t="n">
        <x:v>9706</x:v>
      </x:c>
      <x:c r="O12" s="12" t="n">
        <x:v>0.3373</x:v>
      </x:c>
      <x:c r="P12" s="12" t="n">
        <x:v>1387.7676188151042</x:v>
      </x:c>
      <x:c r="Q12" s="12" t="n">
        <x:v>29.498154894510904</x:v>
      </x:c>
      <x:c r="R12" s="12" t="n">
        <x:v>9.952196771096625</x:v>
      </x:c>
      <x:c r="S12" s="12" t="n">
        <x:v>11.96943736338027</x:v>
      </x:c>
      <x:c r="T12" s="12" t="n">
        <x:v>72.1</x:v>
      </x:c>
      <x:c r="U12" s="12" t="n">
        <x:v>211.4154781728841</x:v>
      </x:c>
      <x:c r="V12" s="12" t="n">
        <x:v>325.42757789465</x:v>
      </x:c>
      <x:c r="W12" s="12" t="n">
        <x:f>IF(ISNUMBER(E12),IF($I$172&gt;$H$172,(E12-$H$172)/($I$172-$H$172),"缺失"),"缺失")</x:f>
        <x:v>0.6319444444444444</x:v>
      </x:c>
      <x:c r="X12" s="12" t="n">
        <x:f>IF(ISNUMBER(F12),IF($I$173&gt;$H$173,(F12-$H$173)/($I$173-$H$173),"缺失"),"缺失")</x:f>
        <x:v>0.33322834645669275</x:v>
      </x:c>
      <x:c r="Y12" s="12" t="n">
        <x:f>IF(ISNUMBER(G12),IF($I$174&gt;$H$174,(G12-$H$174)/($I$174-$H$174),"缺失"),"缺失")</x:f>
        <x:v>0.7703624957284915</x:v>
      </x:c>
      <x:c r="Z12" s="12" t="n">
        <x:f>IF(ISNUMBER(H12),IF($I$175&gt;$H$175,(H12-$H$175)/($I$175-$H$175),"缺失"),"缺失")</x:f>
        <x:v>0.6733747386118728</x:v>
      </x:c>
      <x:c r="AA12" s="12" t="n">
        <x:f>IF(ISNUMBER(I12),IF($I$176&gt;$H$176,(I12-$H$176)/($I$176-$H$176),"缺失"),"缺失")</x:f>
        <x:v>0.9405750694530617</x:v>
      </x:c>
      <x:c r="AB12" s="12" t="n">
        <x:f>IF(ISNUMBER(J12),IF($I$177&gt;$H$177,(J12-$H$177)/($I$177-$H$177),"缺失"),"缺失")</x:f>
        <x:v>0.06226093170308091</x:v>
      </x:c>
      <x:c r="AC12" s="12" t="n">
        <x:f>IF(ISNUMBER(K12),IF($I$178&gt;$H$178,(K12-$H$178)/($I$178-$H$178),"缺失"),"缺失")</x:f>
        <x:v>0.054667417932963036</x:v>
      </x:c>
      <x:c r="AD12" s="12" t="n">
        <x:f>IF(ISNUMBER(L12),IF($I$179&gt;$H$179,(L12-$H$179)/($I$179-$H$179),"缺失"),"缺失")</x:f>
        <x:v>0.109467311547023</x:v>
      </x:c>
      <x:c r="AE12" s="12" t="n">
        <x:f>IF(ISNUMBER(M12),IF($I$180&gt;$H$180,(M12-$H$180)/($I$180-$H$180),"缺失"),"缺失")</x:f>
        <x:v>0.109643952</x:v>
      </x:c>
      <x:c r="AF12" s="12" t="n">
        <x:f>IF(ISNUMBER(N12),IF($I$181&gt;$H$181,(N12-$H$181)/($I$181-$H$181),"缺失"),"缺失")</x:f>
        <x:v>0.014003410012018895</x:v>
      </x:c>
      <x:c r="AG12" s="12" t="n">
        <x:f>IF(ISNUMBER(O12),IF($I$182&gt;$H$182,(O12-$H$182)/($I$182-$H$182),"缺失"),"缺失")</x:f>
        <x:v>0.3387585928022645</x:v>
      </x:c>
      <x:c r="AH12" s="12" t="n">
        <x:f>IF(ISNUMBER(P12),IF($I$183&gt;$H$183,(P12-$H$183)/($I$183-$H$183),"缺失"),"缺失")</x:f>
        <x:v>0.500238084633306</x:v>
      </x:c>
      <x:c r="AI12" s="12" t="n">
        <x:f>IF(ISNUMBER(Q12),IF($I$184&gt;$H$184,(Q12-$H$184)/($I$184-$H$184),"缺失"),"缺失")</x:f>
        <x:v>0.3429086016154396</x:v>
      </x:c>
      <x:c r="AJ12" s="12" t="n">
        <x:f>IF(ISNUMBER(R12),IF($I$185&gt;$H$185,(R12-$H$185)/($I$185-$H$185),"缺失"),"缺失")</x:f>
        <x:v>0.10307153983202459</x:v>
      </x:c>
      <x:c r="AK12" s="12" t="n">
        <x:f>IF(ISNUMBER(S12),IF($I$186&gt;$H$186,(S12-$H$186)/($I$186-$H$186),"缺失"),"缺失")</x:f>
        <x:v>0.2335038815326475</x:v>
      </x:c>
      <x:c r="AL12" s="12" t="n">
        <x:f>IF(ISNUMBER(T12),IF($I$187&gt;$H$187,(T12-$H$187)/($I$187-$H$187),"缺失"),"缺失")</x:f>
        <x:v>0</x:v>
      </x:c>
      <x:c r="AM12" s="12" t="n">
        <x:f>IF(ISNUMBER(U12),IF($I$188&gt;$H$188,(U12-$H$188)/($I$188-$H$188),"缺失"),"缺失")</x:f>
        <x:v>0</x:v>
      </x:c>
      <x:c r="AN12" s="12" t="n">
        <x:f>IF(ISNUMBER(V12),IF($I$189&gt;$H$189,(V12-$H$189)/($I$189-$H$189),"缺失"),"缺失")</x:f>
        <x:v>1</x:v>
      </x:c>
      <x:c r="AO12" s="23" t="str"/>
      <x:c r="AP12" s="23" t="str">
        <x:v>见指标口径：州级、产业、代表点代理；气候基期待核实</x:v>
      </x:c>
      <x:c r="AQ12" s="15" t="n">
        <x:v>1.0000000000000024</x:v>
      </x:c>
      <x:c r="AR12" s="15" t="n">
        <x:v>1.0000000000000036</x:v>
      </x:c>
      <x:c r="AS12" s="15" t="n">
        <x:v>1</x:v>
      </x:c>
      <x:c r="AT12" s="15" t="n">
        <x:v>1</x:v>
      </x:c>
    </x:row>
    <x:row r="13" ht="24" customHeight="1">
      <x:c r="A13" s="18" t="str">
        <x:v>13013</x:v>
      </x:c>
      <x:c r="B13" s="3" t="str">
        <x:v>Barrow County</x:v>
      </x:c>
      <x:c r="C13" s="3" t="str">
        <x:v>GA</x:v>
      </x:c>
      <x:c r="D13" s="12" t="n">
        <x:v>417.122366</x:v>
      </x:c>
      <x:c r="E13" s="12" t="n">
        <x:v>0.448</x:v>
      </x:c>
      <x:c r="F13" s="12" t="n">
        <x:v>0.48205445544554504</x:v>
      </x:c>
      <x:c r="G13" s="12" t="n">
        <x:v>2.101601868026963</x:v>
      </x:c>
      <x:c r="H13" s="12" t="n">
        <x:v>1.909171031</x:v>
      </x:c>
      <x:c r="I13" s="12" t="n">
        <x:v>0.7574565793599993</x:v>
      </x:c>
      <x:c r="J13" s="12" t="n">
        <x:v>0.01764683345020458</x:v>
      </x:c>
      <x:c r="K13" s="12" t="n">
        <x:v>0.0309217676700418</x:v>
      </x:c>
      <x:c r="L13" s="24" t="n">
        <x:v>0.532093224</x:v>
      </x:c>
      <x:c r="M13" s="24" t="n">
        <x:v>0.53144433</x:v>
      </x:c>
      <x:c r="N13" s="13" t="n">
        <x:v>49274</x:v>
      </x:c>
      <x:c r="O13" s="12" t="n">
        <x:v>0.4887</x:v>
      </x:c>
      <x:c r="P13" s="12" t="n">
        <x:v>1499.051582845052</x:v>
      </x:c>
      <x:c r="Q13" s="12" t="n">
        <x:v>37.97758922576904</x:v>
      </x:c>
      <x:c r="R13" s="12" t="n">
        <x:v>14.215467659393612</x:v>
      </x:c>
      <x:c r="S13" s="12" t="n">
        <x:v>0.6063383919582049</x:v>
      </x:c>
      <x:c r="T13" s="12" t="n">
        <x:v>72.1</x:v>
      </x:c>
      <x:c r="U13" s="12" t="n">
        <x:v>211.4154781728841</x:v>
      </x:c>
      <x:c r="V13" s="12" t="n">
        <x:v>325.42757789465</x:v>
      </x:c>
      <x:c r="W13" s="12" t="n">
        <x:f>IF(ISNUMBER(E13),IF($I$172&gt;$H$172,(E13-$H$172)/($I$172-$H$172),"缺失"),"缺失")</x:f>
        <x:v>0.462962962962963</x:v>
      </x:c>
      <x:c r="X13" s="12" t="n">
        <x:f>IF(ISNUMBER(F13),IF($I$173&gt;$H$173,(F13-$H$173)/($I$173-$H$173),"缺失"),"缺失")</x:f>
        <x:v>0.484409448818898</x:v>
      </x:c>
      <x:c r="Y13" s="12" t="n">
        <x:f>IF(ISNUMBER(G13),IF($I$174&gt;$H$174,(G13-$H$174)/($I$174-$H$174),"缺失"),"缺失")</x:f>
        <x:v>0.5524855574546298</x:v>
      </x:c>
      <x:c r="Z13" s="12" t="n">
        <x:f>IF(ISNUMBER(H13),IF($I$175&gt;$H$175,(H13-$H$175)/($I$175-$H$175),"缺失"),"缺失")</x:f>
        <x:v>0.47023722061245893</x:v>
      </x:c>
      <x:c r="AA13" s="12" t="n">
        <x:f>IF(ISNUMBER(I13),IF($I$176&gt;$H$176,(I13-$H$176)/($I$176-$H$176),"缺失"),"缺失")</x:f>
        <x:v>0.7488354192668848</x:v>
      </x:c>
      <x:c r="AB13" s="12" t="n">
        <x:f>IF(ISNUMBER(J13),IF($I$177&gt;$H$177,(J13-$H$177)/($I$177-$H$177),"缺失"),"缺失")</x:f>
        <x:v>0.04328757623837273</x:v>
      </x:c>
      <x:c r="AC13" s="12" t="n">
        <x:f>IF(ISNUMBER(K13),IF($I$178&gt;$H$178,(K13-$H$178)/($I$178-$H$178),"缺失"),"缺失")</x:f>
        <x:v>0.053160741718650366</x:v>
      </x:c>
      <x:c r="AD13" s="12" t="n">
        <x:f>IF(ISNUMBER(L13),IF($I$179&gt;$H$179,(L13-$H$179)/($I$179-$H$179),"缺失"),"缺失")</x:f>
        <x:v>0.5319384159074925</x:v>
      </x:c>
      <x:c r="AE13" s="12" t="n">
        <x:f>IF(ISNUMBER(M13),IF($I$180&gt;$H$180,(M13-$H$180)/($I$180-$H$180),"缺失"),"缺失")</x:f>
        <x:v>0.53144433</x:v>
      </x:c>
      <x:c r="AF13" s="12" t="n">
        <x:f>IF(ISNUMBER(N13),IF($I$181&gt;$H$181,(N13-$H$181)/($I$181-$H$181),"缺失"),"缺失")</x:f>
        <x:v>0.07544573950365381</x:v>
      </x:c>
      <x:c r="AG13" s="12" t="n">
        <x:f>IF(ISNUMBER(O13),IF($I$182&gt;$H$182,(O13-$H$182)/($I$182-$H$182),"缺失"),"缺失")</x:f>
        <x:v>0.4918115649009301</x:v>
      </x:c>
      <x:c r="AH13" s="12" t="n">
        <x:f>IF(ISNUMBER(P13),IF($I$183&gt;$H$183,(P13-$H$183)/($I$183-$H$183),"缺失"),"缺失")</x:f>
        <x:v>0.550299848762469</x:v>
      </x:c>
      <x:c r="AI13" s="12" t="n">
        <x:f>IF(ISNUMBER(Q13),IF($I$184&gt;$H$184,(Q13-$H$184)/($I$184-$H$184),"缺失"),"缺失")</x:f>
        <x:v>0.4425554850067866</x:v>
      </x:c>
      <x:c r="AJ13" s="12" t="n">
        <x:f>IF(ISNUMBER(R13),IF($I$185&gt;$H$185,(R13-$H$185)/($I$185-$H$185),"缺失"),"缺失")</x:f>
        <x:v>0.14787190340894082</x:v>
      </x:c>
      <x:c r="AK13" s="12" t="n">
        <x:f>IF(ISNUMBER(S13),IF($I$186&gt;$H$186,(S13-$H$186)/($I$186-$H$186),"缺失"),"缺失")</x:f>
        <x:v>0.011677327994797619</x:v>
      </x:c>
      <x:c r="AL13" s="12" t="n">
        <x:f>IF(ISNUMBER(T13),IF($I$187&gt;$H$187,(T13-$H$187)/($I$187-$H$187),"缺失"),"缺失")</x:f>
        <x:v>0</x:v>
      </x:c>
      <x:c r="AM13" s="12" t="n">
        <x:f>IF(ISNUMBER(U13),IF($I$188&gt;$H$188,(U13-$H$188)/($I$188-$H$188),"缺失"),"缺失")</x:f>
        <x:v>0</x:v>
      </x:c>
      <x:c r="AN13" s="12" t="n">
        <x:f>IF(ISNUMBER(V13),IF($I$189&gt;$H$189,(V13-$H$189)/($I$189-$H$189),"缺失"),"缺失")</x:f>
        <x:v>1</x:v>
      </x:c>
      <x:c r="AO13" s="23" t="str"/>
      <x:c r="AP13" s="23" t="str">
        <x:v>见指标口径：州级、产业、代表点代理；气候基期待核实</x:v>
      </x:c>
      <x:c r="AQ13" s="15" t="n">
        <x:v>1.000000000000004</x:v>
      </x:c>
      <x:c r="AR13" s="15" t="n">
        <x:v>1.000000000000004</x:v>
      </x:c>
      <x:c r="AS13" s="15" t="n">
        <x:v>1</x:v>
      </x:c>
      <x:c r="AT13" s="15" t="n">
        <x:v>1</x:v>
      </x:c>
    </x:row>
    <x:row r="14" ht="24" customHeight="1">
      <x:c r="A14" s="18" t="str">
        <x:v>13015</x:v>
      </x:c>
      <x:c r="B14" s="3" t="str">
        <x:v>Bartow County</x:v>
      </x:c>
      <x:c r="C14" s="3" t="str">
        <x:v>GA</x:v>
      </x:c>
      <x:c r="D14" s="12" t="n">
        <x:v>1188.576977</x:v>
      </x:c>
      <x:c r="E14" s="12" t="n">
        <x:v>0.649</x:v>
      </x:c>
      <x:c r="F14" s="12" t="n">
        <x:v>0.347153465346535</x:v>
      </x:c>
      <x:c r="G14" s="12" t="n">
        <x:v>3.418650067202911</x:v>
      </x:c>
      <x:c r="H14" s="12" t="n">
        <x:v>3.150536211721366</x:v>
      </x:c>
      <x:c r="I14" s="12" t="n">
        <x:v>0.8435810739194031</x:v>
      </x:c>
      <x:c r="J14" s="12" t="n">
        <x:v>0.04751171905359102</x:v>
      </x:c>
      <x:c r="K14" s="12" t="n">
        <x:v>0.004625830151024648</x:v>
      </x:c>
      <x:c r="L14" s="24" t="n">
        <x:v>0.414888635</x:v>
      </x:c>
      <x:c r="M14" s="24" t="n">
        <x:v>0.412490868</x:v>
      </x:c>
      <x:c r="N14" s="13" t="n">
        <x:v>56684</x:v>
      </x:c>
      <x:c r="O14" s="12" t="n">
        <x:v>0.454</x:v>
      </x:c>
      <x:c r="P14" s="12" t="n">
        <x:v>1461.2584879557292</x:v>
      </x:c>
      <x:c r="Q14" s="12" t="n">
        <x:v>33.63199570973714</x:v>
      </x:c>
      <x:c r="R14" s="12" t="n">
        <x:v>4.106558397151116</x:v>
      </x:c>
      <x:c r="S14" s="12" t="n">
        <x:v>2.5774303645511925</x:v>
      </x:c>
      <x:c r="T14" s="12" t="n">
        <x:v>72.1</x:v>
      </x:c>
      <x:c r="U14" s="12" t="n">
        <x:v>211.4154781728841</x:v>
      </x:c>
      <x:c r="V14" s="12" t="n">
        <x:v>325.42757789465</x:v>
      </x:c>
      <x:c r="W14" s="12" t="n">
        <x:f>IF(ISNUMBER(E14),IF($I$172&gt;$H$172,(E14-$H$172)/($I$172-$H$172),"缺失"),"缺失")</x:f>
        <x:v>0.6956018518518519</x:v>
      </x:c>
      <x:c r="X14" s="12" t="n">
        <x:f>IF(ISNUMBER(F14),IF($I$173&gt;$H$173,(F14-$H$173)/($I$173-$H$173),"缺失"),"缺失")</x:f>
        <x:v>0.3470866141732286</x:v>
      </x:c>
      <x:c r="Y14" s="12" t="n">
        <x:f>IF(ISNUMBER(G14),IF($I$174&gt;$H$174,(G14-$H$174)/($I$174-$H$174),"缺失"),"缺失")</x:f>
        <x:v>0.8989363676017299</x:v>
      </x:c>
      <x:c r="Z14" s="12" t="n">
        <x:f>IF(ISNUMBER(H14),IF($I$175&gt;$H$175,(H14-$H$175)/($I$175-$H$175),"缺失"),"缺失")</x:f>
        <x:v>0.7762680821618182</x:v>
      </x:c>
      <x:c r="AA14" s="12" t="n">
        <x:f>IF(ISNUMBER(I14),IF($I$176&gt;$H$176,(I14-$H$176)/($I$176-$H$176),"缺失"),"缺失")</x:f>
        <x:v>0.8412923339457533</x:v>
      </x:c>
      <x:c r="AB14" s="12" t="n">
        <x:f>IF(ISNUMBER(J14),IF($I$177&gt;$H$177,(J14-$H$177)/($I$177-$H$177),"缺失"),"缺失")</x:f>
        <x:v>0.11654596086895266</x:v>
      </x:c>
      <x:c r="AC14" s="12" t="n">
        <x:f>IF(ISNUMBER(K14),IF($I$178&gt;$H$178,(K14-$H$178)/($I$178-$H$178),"缺失"),"缺失")</x:f>
        <x:v>0.00795273299110957</x:v>
      </x:c>
      <x:c r="AD14" s="12" t="n">
        <x:f>IF(ISNUMBER(L14),IF($I$179&gt;$H$179,(L14-$H$179)/($I$179-$H$179),"缺失"),"缺失")</x:f>
        <x:v>0.4146950494847517</x:v>
      </x:c>
      <x:c r="AE14" s="12" t="n">
        <x:f>IF(ISNUMBER(M14),IF($I$180&gt;$H$180,(M14-$H$180)/($I$180-$H$180),"缺失"),"缺失")</x:f>
        <x:v>0.412490868</x:v>
      </x:c>
      <x:c r="AF14" s="12" t="n">
        <x:f>IF(ISNUMBER(N14),IF($I$181&gt;$H$181,(N14-$H$181)/($I$181-$H$181),"缺失"),"缺失")</x:f>
        <x:v>0.08695220082424152</x:v>
      </x:c>
      <x:c r="AG14" s="12" t="n">
        <x:f>IF(ISNUMBER(O14),IF($I$182&gt;$H$182,(O14-$H$182)/($I$182-$H$182),"缺失"),"缺失")</x:f>
        <x:v>0.4567327133036798</x:v>
      </x:c>
      <x:c r="AH14" s="12" t="n">
        <x:f>IF(ISNUMBER(P14),IF($I$183&gt;$H$183,(P14-$H$183)/($I$183-$H$183),"缺失"),"缺失")</x:f>
        <x:v>0.5332983964997583</x:v>
      </x:c>
      <x:c r="AI14" s="12" t="n">
        <x:f>IF(ISNUMBER(Q14),IF($I$184&gt;$H$184,(Q14-$H$184)/($I$184-$H$184),"缺失"),"缺失")</x:f>
        <x:v>0.3914878272549075</x:v>
      </x:c>
      <x:c r="AJ14" s="12" t="n">
        <x:f>IF(ISNUMBER(R14),IF($I$185&gt;$H$185,(R14-$H$185)/($I$185-$H$185),"缺失"),"缺失")</x:f>
        <x:v>0.04164294865081865</x:v>
      </x:c>
      <x:c r="AK14" s="12" t="n">
        <x:f>IF(ISNUMBER(S14),IF($I$186&gt;$H$186,(S14-$H$186)/($I$186-$H$186),"缺失"),"缺失")</x:f>
        <x:v>0.05015631511671519</x:v>
      </x:c>
      <x:c r="AL14" s="12" t="n">
        <x:f>IF(ISNUMBER(T14),IF($I$187&gt;$H$187,(T14-$H$187)/($I$187-$H$187),"缺失"),"缺失")</x:f>
        <x:v>0</x:v>
      </x:c>
      <x:c r="AM14" s="12" t="n">
        <x:f>IF(ISNUMBER(U14),IF($I$188&gt;$H$188,(U14-$H$188)/($I$188-$H$188),"缺失"),"缺失")</x:f>
        <x:v>0</x:v>
      </x:c>
      <x:c r="AN14" s="12" t="n">
        <x:f>IF(ISNUMBER(V14),IF($I$189&gt;$H$189,(V14-$H$189)/($I$189-$H$189),"缺失"),"缺失")</x:f>
        <x:v>1</x:v>
      </x:c>
      <x:c r="AO14" s="23" t="str"/>
      <x:c r="AP14" s="23" t="str">
        <x:v>见指标口径：州级、产业、代表点代理；气候基期待核实</x:v>
      </x:c>
      <x:c r="AQ14" s="15" t="n">
        <x:v>1.0000000000000013</x:v>
      </x:c>
      <x:c r="AR14" s="15" t="n">
        <x:v>0.9999999999999996</x:v>
      </x:c>
      <x:c r="AS14" s="15" t="n">
        <x:v>1</x:v>
      </x:c>
      <x:c r="AT14" s="15" t="n">
        <x:v>1</x:v>
      </x:c>
    </x:row>
    <x:row r="15" ht="24" customHeight="1">
      <x:c r="A15" s="18" t="str">
        <x:v>13017</x:v>
      </x:c>
      <x:c r="B15" s="3" t="str">
        <x:v>Ben Hill County</x:v>
      </x:c>
      <x:c r="C15" s="3" t="str">
        <x:v>GA</x:v>
      </x:c>
      <x:c r="D15" s="12" t="n">
        <x:v>647.802704</x:v>
      </x:c>
      <x:c r="E15" s="12" t="n">
        <x:v>0.529</x:v>
      </x:c>
      <x:c r="F15" s="12" t="n">
        <x:v>0.062190594059405906</x:v>
      </x:c>
      <x:c r="G15" s="12" t="n">
        <x:v>2.56704237473867</x:v>
      </x:c>
      <x:c r="H15" s="12" t="n">
        <x:v>2.530554056332882</x:v>
      </x:c>
      <x:c r="I15" s="12" t="n">
        <x:v>0.9174325273610747</x:v>
      </x:c>
      <x:c r="J15" s="12" t="n">
        <x:v>0</x:v>
      </x:c>
      <x:c r="K15" s="12" t="n">
        <x:v>0.176071061896508</x:v>
      </x:c>
      <x:c r="L15" s="24" t="n">
        <x:v>0.758894571</x:v>
      </x:c>
      <x:c r="M15" s="24" t="n">
        <x:v>0.74790556</x:v>
      </x:c>
      <x:c r="N15" s="13" t="n">
        <x:v>7001</x:v>
      </x:c>
      <x:c r="O15" s="12" t="n">
        <x:v>0.9265</x:v>
      </x:c>
      <x:c r="P15" s="12" t="n">
        <x:v>2320.150081380208</x:v>
      </x:c>
      <x:c r="Q15" s="12" t="n">
        <x:v>76.84320907592773</x:v>
      </x:c>
      <x:c r="R15" s="12" t="n">
        <x:v>42.217187200243046</x:v>
      </x:c>
      <x:c r="S15" s="12" t="n">
        <x:v>6.3873987212894905</x:v>
      </x:c>
      <x:c r="T15" s="12" t="n">
        <x:v>72.1</x:v>
      </x:c>
      <x:c r="U15" s="12" t="n">
        <x:v>211.4154781728841</x:v>
      </x:c>
      <x:c r="V15" s="12" t="n">
        <x:v>325.42757789465</x:v>
      </x:c>
      <x:c r="W15" s="12" t="n">
        <x:f>IF(ISNUMBER(E15),IF($I$172&gt;$H$172,(E15-$H$172)/($I$172-$H$172),"缺失"),"缺失")</x:f>
        <x:v>0.556712962962963</x:v>
      </x:c>
      <x:c r="X15" s="12" t="n">
        <x:f>IF(ISNUMBER(F15),IF($I$173&gt;$H$173,(F15-$H$173)/($I$173-$H$173),"缺失"),"缺失")</x:f>
        <x:v>0.057007874015747986</x:v>
      </x:c>
      <x:c r="Y15" s="12" t="n">
        <x:f>IF(ISNUMBER(G15),IF($I$174&gt;$H$174,(G15-$H$174)/($I$174-$H$174),"缺失"),"缺失")</x:f>
        <x:v>0.6749201355713914</x:v>
      </x:c>
      <x:c r="Z15" s="12" t="n">
        <x:f>IF(ISNUMBER(H15),IF($I$175&gt;$H$175,(H15-$H$175)/($I$175-$H$175),"缺失"),"缺失")</x:f>
        <x:v>0.6234253279865231</x:v>
      </x:c>
      <x:c r="AA15" s="12" t="n">
        <x:f>IF(ISNUMBER(I15),IF($I$176&gt;$H$176,(I15-$H$176)/($I$176-$H$176),"缺失"),"缺失")</x:f>
        <x:v>0.9205738155346809</x:v>
      </x:c>
      <x:c r="AB15" s="12" t="n">
        <x:f>IF(ISNUMBER(J15),IF($I$177&gt;$H$177,(J15-$H$177)/($I$177-$H$177),"缺失"),"缺失")</x:f>
        <x:v>0</x:v>
      </x:c>
      <x:c r="AC15" s="12" t="n">
        <x:f>IF(ISNUMBER(K15),IF($I$178&gt;$H$178,(K15-$H$178)/($I$178-$H$178),"缺失"),"缺失")</x:f>
        <x:v>0.3027015902029805</x:v>
      </x:c>
      <x:c r="AD15" s="12" t="n">
        <x:f>IF(ISNUMBER(L15),IF($I$179&gt;$H$179,(L15-$H$179)/($I$179-$H$179),"缺失"),"缺失")</x:f>
        <x:v>0.7588148006836225</x:v>
      </x:c>
      <x:c r="AE15" s="12" t="n">
        <x:f>IF(ISNUMBER(M15),IF($I$180&gt;$H$180,(M15-$H$180)/($I$180-$H$180),"缺失"),"缺失")</x:f>
        <x:v>0.74790556</x:v>
      </x:c>
      <x:c r="AF15" s="12" t="n">
        <x:f>IF(ISNUMBER(N15),IF($I$181&gt;$H$181,(N15-$H$181)/($I$181-$H$181),"缺失"),"缺失")</x:f>
        <x:v>0.009803008139928508</x:v>
      </x:c>
      <x:c r="AG15" s="12" t="n">
        <x:f>IF(ISNUMBER(O15),IF($I$182&gt;$H$182,(O15-$H$182)/($I$182-$H$182),"缺失"),"缺失")</x:f>
        <x:v>0.9343914274160938</x:v>
      </x:c>
      <x:c r="AH15" s="12" t="n">
        <x:f>IF(ISNUMBER(P15),IF($I$183&gt;$H$183,(P15-$H$183)/($I$183-$H$183),"缺失"),"缺失")</x:f>
        <x:v>0.9196759733352302</x:v>
      </x:c>
      <x:c r="AI15" s="12" t="n">
        <x:f>IF(ISNUMBER(Q15),IF($I$184&gt;$H$184,(Q15-$H$184)/($I$184-$H$184),"缺失"),"缺失")</x:f>
        <x:v>0.8992885332084294</x:v>
      </x:c>
      <x:c r="AJ15" s="12" t="n">
        <x:f>IF(ISNUMBER(R15),IF($I$185&gt;$H$185,(R15-$H$185)/($I$185-$H$185),"缺失"),"缺失")</x:f>
        <x:v>0.44212653772095717</x:v>
      </x:c>
      <x:c r="AK15" s="12" t="n">
        <x:f>IF(ISNUMBER(S15),IF($I$186&gt;$H$186,(S15-$H$186)/($I$186-$H$186),"缺失"),"缺失")</x:f>
        <x:v>0.12453322160930672</x:v>
      </x:c>
      <x:c r="AL15" s="12" t="n">
        <x:f>IF(ISNUMBER(T15),IF($I$187&gt;$H$187,(T15-$H$187)/($I$187-$H$187),"缺失"),"缺失")</x:f>
        <x:v>0</x:v>
      </x:c>
      <x:c r="AM15" s="12" t="n">
        <x:f>IF(ISNUMBER(U15),IF($I$188&gt;$H$188,(U15-$H$188)/($I$188-$H$188),"缺失"),"缺失")</x:f>
        <x:v>0</x:v>
      </x:c>
      <x:c r="AN15" s="12" t="n">
        <x:f>IF(ISNUMBER(V15),IF($I$189&gt;$H$189,(V15-$H$189)/($I$189-$H$189),"缺失"),"缺失")</x:f>
        <x:v>1</x:v>
      </x:c>
      <x:c r="AO15" s="23" t="str"/>
      <x:c r="AP15" s="23" t="str">
        <x:v>见指标口径：州级、产业、代表点代理；气候基期待核实</x:v>
      </x:c>
      <x:c r="AQ15" s="15" t="n">
        <x:v>1.0000000000000018</x:v>
      </x:c>
      <x:c r="AR15" s="15" t="n">
        <x:v>1.000000000000002</x:v>
      </x:c>
      <x:c r="AS15" s="15" t="n">
        <x:v>1</x:v>
      </x:c>
      <x:c r="AT15" s="15" t="n">
        <x:v>1</x:v>
      </x:c>
    </x:row>
    <x:row r="16" ht="24" customHeight="1">
      <x:c r="A16" s="18" t="str">
        <x:v>13019</x:v>
      </x:c>
      <x:c r="B16" s="3" t="str">
        <x:v>Berrien County</x:v>
      </x:c>
      <x:c r="C16" s="3" t="str">
        <x:v>GA</x:v>
      </x:c>
      <x:c r="D16" s="12" t="n">
        <x:v>1174.239572</x:v>
      </x:c>
      <x:c r="E16" s="12" t="n">
        <x:v>0.544</x:v>
      </x:c>
      <x:c r="F16" s="12" t="n">
        <x:v>0.261757425742574</x:v>
      </x:c>
      <x:c r="G16" s="12" t="n">
        <x:v>2.8615833765292407</x:v>
      </x:c>
      <x:c r="H16" s="12" t="n">
        <x:v>3.072920026</x:v>
      </x:c>
      <x:c r="I16" s="12" t="n">
        <x:v>0.9393543381671638</x:v>
      </x:c>
      <x:c r="J16" s="12" t="n">
        <x:v>0.00739836650752707</x:v>
      </x:c>
      <x:c r="K16" s="12" t="n">
        <x:v>0.2755512946366746</x:v>
      </x:c>
      <x:c r="L16" s="24" t="n">
        <x:v>0.817548443</x:v>
      </x:c>
      <x:c r="M16" s="24" t="n">
        <x:v>0.817221859</x:v>
      </x:c>
      <x:c r="N16" s="13" t="n">
        <x:v>8609</x:v>
      </x:c>
      <x:c r="O16" s="12" t="n">
        <x:v>0.6748</x:v>
      </x:c>
      <x:c r="P16" s="12" t="n">
        <x:v>2202.3437744140624</x:v>
      </x:c>
      <x:c r="Q16" s="12" t="n">
        <x:v>73.7176394144694</x:v>
      </x:c>
      <x:c r="R16" s="12" t="n">
        <x:v>23.238833599050945</x:v>
      </x:c>
      <x:c r="S16" s="12" t="n">
        <x:v>8.535270788394966</x:v>
      </x:c>
      <x:c r="T16" s="12" t="n">
        <x:v>72.1</x:v>
      </x:c>
      <x:c r="U16" s="12" t="n">
        <x:v>211.4154781728841</x:v>
      </x:c>
      <x:c r="V16" s="12" t="n">
        <x:v>325.42757789465</x:v>
      </x:c>
      <x:c r="W16" s="12" t="n">
        <x:f>IF(ISNUMBER(E16),IF($I$172&gt;$H$172,(E16-$H$172)/($I$172-$H$172),"缺失"),"缺失")</x:f>
        <x:v>0.5740740740740742</x:v>
      </x:c>
      <x:c r="X16" s="12" t="n">
        <x:f>IF(ISNUMBER(F16),IF($I$173&gt;$H$173,(F16-$H$173)/($I$173-$H$173),"缺失"),"缺失")</x:f>
        <x:v>0.2601574803149603</x:v>
      </x:c>
      <x:c r="Y16" s="12" t="n">
        <x:f>IF(ISNUMBER(G16),IF($I$174&gt;$H$174,(G16-$H$174)/($I$174-$H$174),"缺失"),"缺失")</x:f>
        <x:v>0.7523994326508213</x:v>
      </x:c>
      <x:c r="Z16" s="12" t="n">
        <x:f>IF(ISNUMBER(H16),IF($I$175&gt;$H$175,(H16-$H$175)/($I$175-$H$175),"缺失"),"缺失")</x:f>
        <x:v>0.7571335449963068</x:v>
      </x:c>
      <x:c r="AA16" s="12" t="n">
        <x:f>IF(ISNUMBER(I16),IF($I$176&gt;$H$176,(I16-$H$176)/($I$176-$H$176),"缺失"),"缺失")</x:f>
        <x:v>0.9441074571737258</x:v>
      </x:c>
      <x:c r="AB16" s="12" t="n">
        <x:f>IF(ISNUMBER(J16),IF($I$177&gt;$H$177,(J16-$H$177)/($I$177-$H$177),"缺失"),"缺失")</x:f>
        <x:v>0.01814814851274571</x:v>
      </x:c>
      <x:c r="AC16" s="12" t="n">
        <x:f>IF(ISNUMBER(K16),IF($I$178&gt;$H$178,(K16-$H$178)/($I$178-$H$178),"缺失"),"缺失")</x:f>
        <x:v>0.4737281309636133</x:v>
      </x:c>
      <x:c r="AD16" s="12" t="n">
        <x:f>IF(ISNUMBER(L16),IF($I$179&gt;$H$179,(L16-$H$179)/($I$179-$H$179),"缺失"),"缺失")</x:f>
        <x:v>0.8174880784595339</x:v>
      </x:c>
      <x:c r="AE16" s="12" t="n">
        <x:f>IF(ISNUMBER(M16),IF($I$180&gt;$H$180,(M16-$H$180)/($I$180-$H$180),"缺失"),"缺失")</x:f>
        <x:v>0.817221859</x:v>
      </x:c>
      <x:c r="AF16" s="12" t="n">
        <x:f>IF(ISNUMBER(N16),IF($I$181&gt;$H$181,(N16-$H$181)/($I$181-$H$181),"缺失"),"缺失")</x:f>
        <x:v>0.012299956831359688</x:v>
      </x:c>
      <x:c r="AG16" s="12" t="n">
        <x:f>IF(ISNUMBER(O16),IF($I$182&gt;$H$182,(O16-$H$182)/($I$182-$H$182),"缺失"),"缺失")</x:f>
        <x:v>0.6799433885968459</x:v>
      </x:c>
      <x:c r="AH16" s="12" t="n">
        <x:f>IF(ISNUMBER(P16),IF($I$183&gt;$H$183,(P16-$H$183)/($I$183-$H$183),"缺失"),"缺失")</x:f>
        <x:v>0.8666800937970083</x:v>
      </x:c>
      <x:c r="AI16" s="12" t="n">
        <x:f>IF(ISNUMBER(Q16),IF($I$184&gt;$H$184,(Q16-$H$184)/($I$184-$H$184),"缺失"),"缺失")</x:f>
        <x:v>0.8625581024485914</x:v>
      </x:c>
      <x:c r="AJ16" s="12" t="n">
        <x:f>IF(ISNUMBER(R16),IF($I$185&gt;$H$185,(R16-$H$185)/($I$185-$H$185),"缺失"),"缺失")</x:f>
        <x:v>0.2426934818110802</x:v>
      </x:c>
      <x:c r="AK16" s="12" t="n">
        <x:f>IF(ISNUMBER(S16),IF($I$186&gt;$H$186,(S16-$H$186)/($I$186-$H$186),"缺失"),"缺失")</x:f>
        <x:v>0.16646324961350686</x:v>
      </x:c>
      <x:c r="AL16" s="12" t="n">
        <x:f>IF(ISNUMBER(T16),IF($I$187&gt;$H$187,(T16-$H$187)/($I$187-$H$187),"缺失"),"缺失")</x:f>
        <x:v>0</x:v>
      </x:c>
      <x:c r="AM16" s="12" t="n">
        <x:f>IF(ISNUMBER(U16),IF($I$188&gt;$H$188,(U16-$H$188)/($I$188-$H$188),"缺失"),"缺失")</x:f>
        <x:v>0</x:v>
      </x:c>
      <x:c r="AN16" s="12" t="n">
        <x:f>IF(ISNUMBER(V16),IF($I$189&gt;$H$189,(V16-$H$189)/($I$189-$H$189),"缺失"),"缺失")</x:f>
        <x:v>1</x:v>
      </x:c>
      <x:c r="AO16" s="23" t="str"/>
      <x:c r="AP16" s="23" t="str">
        <x:v>见指标口径：州级、产业、代表点代理；气候基期待核实</x:v>
      </x:c>
      <x:c r="AQ16" s="15" t="n">
        <x:v>0.9999999999999968</x:v>
      </x:c>
      <x:c r="AR16" s="15" t="n">
        <x:v>0.9999999999999968</x:v>
      </x:c>
      <x:c r="AS16" s="15" t="n">
        <x:v>1</x:v>
      </x:c>
      <x:c r="AT16" s="15" t="n">
        <x:v>1</x:v>
      </x:c>
    </x:row>
    <x:row r="17" ht="24" customHeight="1">
      <x:c r="A17" s="18" t="str">
        <x:v>13021</x:v>
      </x:c>
      <x:c r="B17" s="3" t="str">
        <x:v>Bibb County</x:v>
      </x:c>
      <x:c r="C17" s="3" t="str">
        <x:v>GA</x:v>
      </x:c>
      <x:c r="D17" s="12" t="n">
        <x:v>645.898854</x:v>
      </x:c>
      <x:c r="E17" s="12" t="n">
        <x:v>0.542</x:v>
      </x:c>
      <x:c r="F17" s="12" t="n">
        <x:v>0.0826113861386139</x:v>
      </x:c>
      <x:c r="G17" s="12" t="n">
        <x:v>2.5941844188976857</x:v>
      </x:c>
      <x:c r="H17" s="12" t="n">
        <x:v>2.469893082</x:v>
      </x:c>
      <x:c r="I17" s="12" t="n">
        <x:v>0.6507781232381984</x:v>
      </x:c>
      <x:c r="J17" s="12" t="n">
        <x:v>0.03931453875239692</x:v>
      </x:c>
      <x:c r="K17" s="12" t="n">
        <x:v>0.1554153246738748</x:v>
      </x:c>
      <x:c r="L17" s="24" t="n">
        <x:v>0.403397293</x:v>
      </x:c>
      <x:c r="M17" s="24" t="n">
        <x:v>0.393202912</x:v>
      </x:c>
      <x:c r="N17" s="13" t="n">
        <x:v>63387</x:v>
      </x:c>
      <x:c r="O17" s="12" t="n">
        <x:v>0.9644</x:v>
      </x:c>
      <x:c r="P17" s="12" t="n">
        <x:v>1990.6732747395831</x:v>
      </x:c>
      <x:c r="Q17" s="12" t="n">
        <x:v>64.28104489644369</x:v>
      </x:c>
      <x:c r="R17" s="12" t="n">
        <x:v>2.704888598194569</x:v>
      </x:c>
      <x:c r="S17" s="12" t="n">
        <x:v>4.586761765103279</x:v>
      </x:c>
      <x:c r="T17" s="12" t="n">
        <x:v>72.1</x:v>
      </x:c>
      <x:c r="U17" s="12" t="n">
        <x:v>211.4154781728841</x:v>
      </x:c>
      <x:c r="V17" s="12" t="n">
        <x:v>325.42757789465</x:v>
      </x:c>
      <x:c r="W17" s="12" t="n">
        <x:f>IF(ISNUMBER(E17),IF($I$172&gt;$H$172,(E17-$H$172)/($I$172-$H$172),"缺失"),"缺失")</x:f>
        <x:v>0.5717592592592593</x:v>
      </x:c>
      <x:c r="X17" s="12" t="n">
        <x:f>IF(ISNUMBER(F17),IF($I$173&gt;$H$173,(F17-$H$173)/($I$173-$H$173),"缺失"),"缺失")</x:f>
        <x:v>0.07779527559055119</x:v>
      </x:c>
      <x:c r="Y17" s="12" t="n">
        <x:f>IF(ISNUMBER(G17),IF($I$174&gt;$H$174,(G17-$H$174)/($I$174-$H$174),"缺失"),"缺失")</x:f>
        <x:v>0.6820598766938673</x:v>
      </x:c>
      <x:c r="Z17" s="12" t="n">
        <x:f>IF(ISNUMBER(H17),IF($I$175&gt;$H$175,(H17-$H$175)/($I$175-$H$175),"缺失"),"缺失")</x:f>
        <x:v>0.6084707195233409</x:v>
      </x:c>
      <x:c r="AA17" s="12" t="n">
        <x:f>IF(ISNUMBER(I17),IF($I$176&gt;$H$176,(I17-$H$176)/($I$176-$H$176),"缺失"),"缺失")</x:f>
        <x:v>0.6343132851610791</x:v>
      </x:c>
      <x:c r="AB17" s="12" t="n">
        <x:f>IF(ISNUMBER(J17),IF($I$177&gt;$H$177,(J17-$H$177)/($I$177-$H$177),"缺失"),"缺失")</x:f>
        <x:v>0.09643832692834257</x:v>
      </x:c>
      <x:c r="AC17" s="12" t="n">
        <x:f>IF(ISNUMBER(K17),IF($I$178&gt;$H$178,(K17-$H$178)/($I$178-$H$178),"缺失"),"缺失")</x:f>
        <x:v>0.2671902208913039</x:v>
      </x:c>
      <x:c r="AD17" s="12" t="n">
        <x:f>IF(ISNUMBER(L17),IF($I$179&gt;$H$179,(L17-$H$179)/($I$179-$H$179),"缺失"),"缺失")</x:f>
        <x:v>0.4031999055463601</x:v>
      </x:c>
      <x:c r="AE17" s="12" t="n">
        <x:f>IF(ISNUMBER(M17),IF($I$180&gt;$H$180,(M17-$H$180)/($I$180-$H$180),"缺失"),"缺失")</x:f>
        <x:v>0.393202912</x:v>
      </x:c>
      <x:c r="AF17" s="12" t="n">
        <x:f>IF(ISNUMBER(N17),IF($I$181&gt;$H$181,(N17-$H$181)/($I$181-$H$181),"缺失"),"缺失")</x:f>
        <x:v>0.09736081219156938</x:v>
      </x:c>
      <x:c r="AG17" s="12" t="n">
        <x:f>IF(ISNUMBER(O17),IF($I$182&gt;$H$182,(O17-$H$182)/($I$182-$H$182),"缺失"),"缺失")</x:f>
        <x:v>0.9727052163364336</x:v>
      </x:c>
      <x:c r="AH17" s="12" t="n">
        <x:f>IF(ISNUMBER(P17),IF($I$183&gt;$H$183,(P17-$H$183)/($I$183-$H$183),"缺失"),"缺失")</x:f>
        <x:v>0.7714588395922772</x:v>
      </x:c>
      <x:c r="AI17" s="12" t="n">
        <x:f>IF(ISNUMBER(Q17),IF($I$184&gt;$H$184,(Q17-$H$184)/($I$184-$H$184),"缺失"),"缺失")</x:f>
        <x:v>0.751663059593815</x:v>
      </x:c>
      <x:c r="AJ17" s="12" t="n">
        <x:f>IF(ISNUMBER(R17),IF($I$185&gt;$H$185,(R17-$H$185)/($I$185-$H$185),"缺失"),"缺失")</x:f>
        <x:v>0.026913573423826973</x:v>
      </x:c>
      <x:c r="AK17" s="12" t="n">
        <x:f>IF(ISNUMBER(S17),IF($I$186&gt;$H$186,(S17-$H$186)/($I$186-$H$186),"缺失"),"缺失")</x:f>
        <x:v>0.08938179934604677</x:v>
      </x:c>
      <x:c r="AL17" s="12" t="n">
        <x:f>IF(ISNUMBER(T17),IF($I$187&gt;$H$187,(T17-$H$187)/($I$187-$H$187),"缺失"),"缺失")</x:f>
        <x:v>0</x:v>
      </x:c>
      <x:c r="AM17" s="12" t="n">
        <x:f>IF(ISNUMBER(U17),IF($I$188&gt;$H$188,(U17-$H$188)/($I$188-$H$188),"缺失"),"缺失")</x:f>
        <x:v>0</x:v>
      </x:c>
      <x:c r="AN17" s="12" t="n">
        <x:f>IF(ISNUMBER(V17),IF($I$189&gt;$H$189,(V17-$H$189)/($I$189-$H$189),"缺失"),"缺失")</x:f>
        <x:v>1</x:v>
      </x:c>
      <x:c r="AO17" s="23" t="str"/>
      <x:c r="AP17" s="23" t="str">
        <x:v>见指标口径：州级、产业、代表点代理；气候基期待核实</x:v>
      </x:c>
      <x:c r="AQ17" s="15" t="n">
        <x:v>1.0000000000000016</x:v>
      </x:c>
      <x:c r="AR17" s="15" t="n">
        <x:v>0.9999999999999986</x:v>
      </x:c>
      <x:c r="AS17" s="15" t="n">
        <x:v>1</x:v>
      </x:c>
      <x:c r="AT17" s="15" t="n">
        <x:v>1</x:v>
      </x:c>
    </x:row>
    <x:row r="18" ht="24" customHeight="1">
      <x:c r="A18" s="18" t="str">
        <x:v>13023</x:v>
      </x:c>
      <x:c r="B18" s="3" t="str">
        <x:v>Bleckley County</x:v>
      </x:c>
      <x:c r="C18" s="3" t="str">
        <x:v>GA</x:v>
      </x:c>
      <x:c r="D18" s="12" t="n">
        <x:v>559.122131</x:v>
      </x:c>
      <x:c r="E18" s="12" t="n">
        <x:v>0.481</x:v>
      </x:c>
      <x:c r="F18" s="12" t="n">
        <x:v>0.191831683168317</x:v>
      </x:c>
      <x:c r="G18" s="12" t="n">
        <x:v>2.4661605231195733</x:v>
      </x:c>
      <x:c r="H18" s="12" t="n">
        <x:v>2.32023418583933</x:v>
      </x:c>
      <x:c r="I18" s="12" t="n">
        <x:v>0.9133742566967322</x:v>
      </x:c>
      <x:c r="J18" s="12" t="n">
        <x:v>0.06220609340603918</x:v>
      </x:c>
      <x:c r="K18" s="12" t="n">
        <x:v>0.17272167044154016</x:v>
      </x:c>
      <x:c r="L18" s="24" t="n">
        <x:v>0.947464369</x:v>
      </x:c>
      <x:c r="M18" s="24" t="n">
        <x:v>0.947464369</x:v>
      </x:c>
      <x:c r="N18" s="13" t="n">
        <x:v>5441</x:v>
      </x:c>
      <x:c r="O18" s="12" t="n">
        <x:v>0.7063</x:v>
      </x:c>
      <x:c r="P18" s="12" t="n">
        <x:v>2106.184696451823</x:v>
      </x:c>
      <x:c r="Q18" s="12" t="n">
        <x:v>71.67978439331054</x:v>
      </x:c>
      <x:c r="R18" s="12" t="n">
        <x:v>17.132126535464028</x:v>
      </x:c>
      <x:c r="S18" s="12" t="n">
        <x:v>2.986716665650039</x:v>
      </x:c>
      <x:c r="T18" s="12" t="n">
        <x:v>72.1</x:v>
      </x:c>
      <x:c r="U18" s="12" t="n">
        <x:v>211.4154781728841</x:v>
      </x:c>
      <x:c r="V18" s="12" t="n">
        <x:v>325.42757789465</x:v>
      </x:c>
      <x:c r="W18" s="12" t="n">
        <x:f>IF(ISNUMBER(E18),IF($I$172&gt;$H$172,(E18-$H$172)/($I$172-$H$172),"缺失"),"缺失")</x:f>
        <x:v>0.5011574074074074</x:v>
      </x:c>
      <x:c r="X18" s="12" t="n">
        <x:f>IF(ISNUMBER(F18),IF($I$173&gt;$H$173,(F18-$H$173)/($I$173-$H$173),"缺失"),"缺失")</x:f>
        <x:v>0.18897637795275604</x:v>
      </x:c>
      <x:c r="Y18" s="12" t="n">
        <x:f>IF(ISNUMBER(G18),IF($I$174&gt;$H$174,(G18-$H$174)/($I$174-$H$174),"缺失"),"缺失")</x:f>
        <x:v>0.6483830663552127</x:v>
      </x:c>
      <x:c r="Z18" s="12" t="n">
        <x:f>IF(ISNUMBER(H18),IF($I$175&gt;$H$175,(H18-$H$175)/($I$175-$H$175),"缺失"),"缺失")</x:f>
        <x:v>0.5715756610491205</x:v>
      </x:c>
      <x:c r="AA18" s="12" t="n">
        <x:f>IF(ISNUMBER(I18),IF($I$176&gt;$H$176,(I18-$H$176)/($I$176-$H$176),"缺失"),"缺失")</x:f>
        <x:v>0.916217155022751</x:v>
      </x:c>
      <x:c r="AB18" s="12" t="n">
        <x:f>IF(ISNUMBER(J18),IF($I$177&gt;$H$177,(J18-$H$177)/($I$177-$H$177),"缺失"),"缺失")</x:f>
        <x:v>0.1525911727111608</x:v>
      </x:c>
      <x:c r="AC18" s="12" t="n">
        <x:f>IF(ISNUMBER(K18),IF($I$178&gt;$H$178,(K18-$H$178)/($I$178-$H$178),"缺失"),"缺失")</x:f>
        <x:v>0.29694331221731707</x:v>
      </x:c>
      <x:c r="AD18" s="12" t="n">
        <x:f>IF(ISNUMBER(L18),IF($I$179&gt;$H$179,(L18-$H$179)/($I$179-$H$179),"缺失"),"缺失")</x:f>
        <x:v>0.9474469874589732</x:v>
      </x:c>
      <x:c r="AE18" s="12" t="n">
        <x:f>IF(ISNUMBER(M18),IF($I$180&gt;$H$180,(M18-$H$180)/($I$180-$H$180),"缺失"),"缺失")</x:f>
        <x:v>0.947464369</x:v>
      </x:c>
      <x:c r="AF18" s="12" t="n">
        <x:f>IF(ISNUMBER(N18),IF($I$181&gt;$H$181,(N18-$H$181)/($I$181-$H$181),"缺失"),"缺失")</x:f>
        <x:v>0.007380595230331094</x:v>
      </x:c>
      <x:c r="AG18" s="12" t="n">
        <x:f>IF(ISNUMBER(O18),IF($I$182&gt;$H$182,(O18-$H$182)/($I$182-$H$182),"缺失"),"缺失")</x:f>
        <x:v>0.711787302871007</x:v>
      </x:c>
      <x:c r="AH18" s="12" t="n">
        <x:f>IF(ISNUMBER(P18),IF($I$183&gt;$H$183,(P18-$H$183)/($I$183-$H$183),"缺失"),"缺失")</x:f>
        <x:v>0.8234223511223502</x:v>
      </x:c>
      <x:c r="AI18" s="12" t="n">
        <x:f>IF(ISNUMBER(Q18),IF($I$184&gt;$H$184,(Q18-$H$184)/($I$184-$H$184),"缺失"),"缺失")</x:f>
        <x:v>0.838610054297158</x:v>
      </x:c>
      <x:c r="AJ18" s="12" t="n">
        <x:f>IF(ISNUMBER(R18),IF($I$185&gt;$H$185,(R18-$H$185)/($I$185-$H$185),"缺失"),"缺失")</x:f>
        <x:v>0.17852146368822938</x:v>
      </x:c>
      <x:c r="AK18" s="12" t="n">
        <x:f>IF(ISNUMBER(S18),IF($I$186&gt;$H$186,(S18-$H$186)/($I$186-$H$186),"缺失"),"缺失")</x:f>
        <x:v>0.05814626308877352</x:v>
      </x:c>
      <x:c r="AL18" s="12" t="n">
        <x:f>IF(ISNUMBER(T18),IF($I$187&gt;$H$187,(T18-$H$187)/($I$187-$H$187),"缺失"),"缺失")</x:f>
        <x:v>0</x:v>
      </x:c>
      <x:c r="AM18" s="12" t="n">
        <x:f>IF(ISNUMBER(U18),IF($I$188&gt;$H$188,(U18-$H$188)/($I$188-$H$188),"缺失"),"缺失")</x:f>
        <x:v>0</x:v>
      </x:c>
      <x:c r="AN18" s="12" t="n">
        <x:f>IF(ISNUMBER(V18),IF($I$189&gt;$H$189,(V18-$H$189)/($I$189-$H$189),"缺失"),"缺失")</x:f>
        <x:v>1</x:v>
      </x:c>
      <x:c r="AO18" s="23" t="str"/>
      <x:c r="AP18" s="23" t="str">
        <x:v>见指标口径：州级、产业、代表点代理；气候基期待核实</x:v>
      </x:c>
      <x:c r="AQ18" s="15" t="n">
        <x:v>1</x:v>
      </x:c>
      <x:c r="AR18" s="15" t="n">
        <x:v>0.9999999999999991</x:v>
      </x:c>
      <x:c r="AS18" s="15" t="n">
        <x:v>1</x:v>
      </x:c>
      <x:c r="AT18" s="15" t="n">
        <x:v>1</x:v>
      </x:c>
    </x:row>
    <x:row r="19" ht="24" customHeight="1">
      <x:c r="A19" s="18" t="str">
        <x:v>13025</x:v>
      </x:c>
      <x:c r="B19" s="3" t="str">
        <x:v>Brantley County</x:v>
      </x:c>
      <x:c r="C19" s="3" t="str">
        <x:v>GA</x:v>
      </x:c>
      <x:c r="D19" s="12" t="n">
        <x:v>1147.972265</x:v>
      </x:c>
      <x:c r="E19" s="12" t="n">
        <x:v>0.678</x:v>
      </x:c>
      <x:c r="F19" s="12" t="n">
        <x:v>0.356435643564356</x:v>
      </x:c>
      <x:c r="G19" s="12" t="n">
        <x:v>1.177970828377322</x:v>
      </x:c>
      <x:c r="H19" s="12" t="n">
        <x:v>1.1008552735856914</x:v>
      </x:c>
      <x:c r="I19" s="12" t="n">
        <x:v>0.9278714523425232</x:v>
      </x:c>
      <x:c r="J19" s="12" t="n">
        <x:v>0.05129083406452463</x:v>
      </x:c>
      <x:c r="K19" s="12" t="n">
        <x:v>0.4061445380669774</x:v>
      </x:c>
      <x:c r="L19" s="24" t="n">
        <x:v>0.962102689</x:v>
      </x:c>
      <x:c r="M19" s="24" t="n">
        <x:v>0.962102689</x:v>
      </x:c>
      <x:c r="N19" s="13" t="n">
        <x:v>8594</x:v>
      </x:c>
      <x:c r="O19" s="12" t="n">
        <x:v>0.3974</x:v>
      </x:c>
      <x:c r="P19" s="12" t="n">
        <x:v>2248.0844156901044</x:v>
      </x:c>
      <x:c r="Q19" s="12" t="n">
        <x:v>71.54732411702474</x:v>
      </x:c>
      <x:c r="R19" s="12" t="n">
        <x:v>35.926410261995755</x:v>
      </x:c>
      <x:c r="S19" s="12" t="n">
        <x:v>0.33010670966844297</x:v>
      </x:c>
      <x:c r="T19" s="12" t="n">
        <x:v>72.1</x:v>
      </x:c>
      <x:c r="U19" s="12" t="n">
        <x:v>211.4154781728841</x:v>
      </x:c>
      <x:c r="V19" s="12" t="n">
        <x:v>325.42757789465</x:v>
      </x:c>
      <x:c r="W19" s="12" t="n">
        <x:f>IF(ISNUMBER(E19),IF($I$172&gt;$H$172,(E19-$H$172)/($I$172-$H$172),"缺失"),"缺失")</x:f>
        <x:v>0.7291666666666666</x:v>
      </x:c>
      <x:c r="X19" s="12" t="n">
        <x:f>IF(ISNUMBER(F19),IF($I$173&gt;$H$173,(F19-$H$173)/($I$173-$H$173),"缺失"),"缺失")</x:f>
        <x:v>0.3565354330708656</x:v>
      </x:c>
      <x:c r="Y19" s="12" t="n">
        <x:f>IF(ISNUMBER(G19),IF($I$174&gt;$H$174,(G19-$H$174)/($I$174-$H$174),"缺失"),"缺失")</x:f>
        <x:v>0.3095235138757846</x:v>
      </x:c>
      <x:c r="Z19" s="12" t="n">
        <x:f>IF(ISNUMBER(H19),IF($I$175&gt;$H$175,(H19-$H$175)/($I$175-$H$175),"缺失"),"缺失")</x:f>
        <x:v>0.270965022964966</x:v>
      </x:c>
      <x:c r="AA19" s="12" t="n">
        <x:f>IF(ISNUMBER(I19),IF($I$176&gt;$H$176,(I19-$H$176)/($I$176-$H$176),"缺失"),"缺失")</x:f>
        <x:v>0.9317802766150787</x:v>
      </x:c>
      <x:c r="AB19" s="12" t="n">
        <x:f>IF(ISNUMBER(J19),IF($I$177&gt;$H$177,(J19-$H$177)/($I$177-$H$177),"缺失"),"缺失")</x:f>
        <x:v>0.12581610724456038</x:v>
      </x:c>
      <x:c r="AC19" s="12" t="n">
        <x:f>IF(ISNUMBER(K19),IF($I$178&gt;$H$178,(K19-$H$178)/($I$178-$H$178),"缺失"),"缺失")</x:f>
        <x:v>0.6982441986826415</x:v>
      </x:c>
      <x:c r="AD19" s="12" t="n">
        <x:f>IF(ISNUMBER(L19),IF($I$179&gt;$H$179,(L19-$H$179)/($I$179-$H$179),"缺失"),"缺失")</x:f>
        <x:v>0.9620901505826741</x:v>
      </x:c>
      <x:c r="AE19" s="12" t="n">
        <x:f>IF(ISNUMBER(M19),IF($I$180&gt;$H$180,(M19-$H$180)/($I$180-$H$180),"缺失"),"缺失")</x:f>
        <x:v>0.962102689</x:v>
      </x:c>
      <x:c r="AF19" s="12" t="n">
        <x:f>IF(ISNUMBER(N19),IF($I$181&gt;$H$181,(N19-$H$181)/($I$181-$H$181),"缺失"),"缺失")</x:f>
        <x:v>0.012276664399536636</x:v>
      </x:c>
      <x:c r="AG19" s="12" t="n">
        <x:f>IF(ISNUMBER(O19),IF($I$182&gt;$H$182,(O19-$H$182)/($I$182-$H$182),"缺失"),"缺失")</x:f>
        <x:v>0.3995147594015366</x:v>
      </x:c>
      <x:c r="AH19" s="12" t="n">
        <x:f>IF(ISNUMBER(P19),IF($I$183&gt;$H$183,(P19-$H$183)/($I$183-$H$183),"缺失"),"缺失")</x:f>
        <x:v>0.8872567978588949</x:v>
      </x:c>
      <x:c r="AI19" s="12" t="n">
        <x:f>IF(ISNUMBER(Q19),IF($I$184&gt;$H$184,(Q19-$H$184)/($I$184-$H$184),"缺失"),"缺失")</x:f>
        <x:v>0.8370534346938455</x:v>
      </x:c>
      <x:c r="AJ19" s="12" t="n">
        <x:f>IF(ISNUMBER(R19),IF($I$185&gt;$H$185,(R19-$H$185)/($I$185-$H$185),"缺失"),"缺失")</x:f>
        <x:v>0.3760202307564146</x:v>
      </x:c>
      <x:c r="AK19" s="12" t="n">
        <x:f>IF(ISNUMBER(S19),IF($I$186&gt;$H$186,(S19-$H$186)/($I$186-$H$186),"缺失"),"缺失")</x:f>
        <x:v>0.006284827039344643</x:v>
      </x:c>
      <x:c r="AL19" s="12" t="n">
        <x:f>IF(ISNUMBER(T19),IF($I$187&gt;$H$187,(T19-$H$187)/($I$187-$H$187),"缺失"),"缺失")</x:f>
        <x:v>0</x:v>
      </x:c>
      <x:c r="AM19" s="12" t="n">
        <x:f>IF(ISNUMBER(U19),IF($I$188&gt;$H$188,(U19-$H$188)/($I$188-$H$188),"缺失"),"缺失")</x:f>
        <x:v>0</x:v>
      </x:c>
      <x:c r="AN19" s="12" t="n">
        <x:f>IF(ISNUMBER(V19),IF($I$189&gt;$H$189,(V19-$H$189)/($I$189-$H$189),"缺失"),"缺失")</x:f>
        <x:v>1</x:v>
      </x:c>
      <x:c r="AO19" s="23" t="str"/>
      <x:c r="AP19" s="23" t="str">
        <x:v>见指标口径：州级、产业、代表点代理；气候基期待核实</x:v>
      </x:c>
      <x:c r="AQ19" s="15" t="n">
        <x:v>0.9999999999999992</x:v>
      </x:c>
      <x:c r="AR19" s="15" t="n">
        <x:v>0.9999999999999992</x:v>
      </x:c>
      <x:c r="AS19" s="15" t="n">
        <x:v>1</x:v>
      </x:c>
      <x:c r="AT19" s="15" t="n">
        <x:v>1</x:v>
      </x:c>
    </x:row>
    <x:row r="20" ht="24" customHeight="1">
      <x:c r="A20" s="18" t="str">
        <x:v>13027</x:v>
      </x:c>
      <x:c r="B20" s="3" t="str">
        <x:v>Brooks County</x:v>
      </x:c>
      <x:c r="C20" s="3" t="str">
        <x:v>GA</x:v>
      </x:c>
      <x:c r="D20" s="12" t="n">
        <x:v>1277.341891</x:v>
      </x:c>
      <x:c r="E20" s="12" t="n">
        <x:v>0.529</x:v>
      </x:c>
      <x:c r="F20" s="12" t="n">
        <x:v>0.30847772277227703</x:v>
      </x:c>
      <x:c r="G20" s="12" t="n">
        <x:v>2.8405969214724944</x:v>
      </x:c>
      <x:c r="H20" s="12" t="n">
        <x:v>3.0339722256524224</x:v>
      </x:c>
      <x:c r="I20" s="12" t="n">
        <x:v>0.9521672082198999</x:v>
      </x:c>
      <x:c r="J20" s="12" t="n">
        <x:v>0.005008464233057214</x:v>
      </x:c>
      <x:c r="K20" s="12" t="n">
        <x:v>0.24733959778695003</x:v>
      </x:c>
      <x:c r="L20" s="24" t="n">
        <x:v>0.681403172</x:v>
      </x:c>
      <x:c r="M20" s="24" t="n">
        <x:v>0.681403172</x:v>
      </x:c>
      <x:c r="N20" s="13" t="n">
        <x:v>6465</x:v>
      </x:c>
      <x:c r="O20" s="12" t="n">
        <x:v>0.9275</x:v>
      </x:c>
      <x:c r="P20" s="12" t="n">
        <x:v>2294.583642578125</x:v>
      </x:c>
      <x:c r="Q20" s="12" t="n">
        <x:v>76.85538431803386</x:v>
      </x:c>
      <x:c r="R20" s="12" t="n">
        <x:v>22.938287077432857</x:v>
      </x:c>
      <x:c r="S20" s="12" t="n">
        <x:v>3.4514351711620326</x:v>
      </x:c>
      <x:c r="T20" s="12" t="n">
        <x:v>72.1</x:v>
      </x:c>
      <x:c r="U20" s="12" t="n">
        <x:v>211.4154781728841</x:v>
      </x:c>
      <x:c r="V20" s="12" t="n">
        <x:v>325.42757789465</x:v>
      </x:c>
      <x:c r="W20" s="12" t="n">
        <x:f>IF(ISNUMBER(E20),IF($I$172&gt;$H$172,(E20-$H$172)/($I$172-$H$172),"缺失"),"缺失")</x:f>
        <x:v>0.556712962962963</x:v>
      </x:c>
      <x:c r="X20" s="12" t="n">
        <x:f>IF(ISNUMBER(F20),IF($I$173&gt;$H$173,(F20-$H$173)/($I$173-$H$173),"缺失"),"缺失")</x:f>
        <x:v>0.3077165354330706</x:v>
      </x:c>
      <x:c r="Y20" s="12" t="n">
        <x:f>IF(ISNUMBER(G20),IF($I$174&gt;$H$174,(G20-$H$174)/($I$174-$H$174),"缺失"),"缺失")</x:f>
        <x:v>0.7468789252304592</x:v>
      </x:c>
      <x:c r="Z20" s="12" t="n">
        <x:f>IF(ISNUMBER(H20),IF($I$175&gt;$H$175,(H20-$H$175)/($I$175-$H$175),"缺失"),"缺失")</x:f>
        <x:v>0.7475318346527838</x:v>
      </x:c>
      <x:c r="AA20" s="12" t="n">
        <x:f>IF(ISNUMBER(I20),IF($I$176&gt;$H$176,(I20-$H$176)/($I$176-$H$176),"缺失"),"缺失")</x:f>
        <x:v>0.9578624108523235</x:v>
      </x:c>
      <x:c r="AB20" s="12" t="n">
        <x:f>IF(ISNUMBER(J20),IF($I$177&gt;$H$177,(J20-$H$177)/($I$177-$H$177),"缺失"),"缺失")</x:f>
        <x:v>0.012285732618115334</x:v>
      </x:c>
      <x:c r="AC20" s="12" t="n">
        <x:f>IF(ISNUMBER(K20),IF($I$178&gt;$H$178,(K20-$H$178)/($I$178-$H$178),"缺失"),"缺失")</x:f>
        <x:v>0.42522654639456264</x:v>
      </x:c>
      <x:c r="AD20" s="12" t="n">
        <x:f>IF(ISNUMBER(L20),IF($I$179&gt;$H$179,(L20-$H$179)/($I$179-$H$179),"缺失"),"缺失")</x:f>
        <x:v>0.6812977634661821</x:v>
      </x:c>
      <x:c r="AE20" s="12" t="n">
        <x:f>IF(ISNUMBER(M20),IF($I$180&gt;$H$180,(M20-$H$180)/($I$180-$H$180),"缺失"),"缺失")</x:f>
        <x:v>0.681403172</x:v>
      </x:c>
      <x:c r="AF20" s="12" t="n">
        <x:f>IF(ISNUMBER(N20),IF($I$181&gt;$H$181,(N20-$H$181)/($I$181-$H$181),"缺失"),"缺失")</x:f>
        <x:v>0.008970691909451448</x:v>
      </x:c>
      <x:c r="AG20" s="12" t="n">
        <x:f>IF(ISNUMBER(O20),IF($I$182&gt;$H$182,(O20-$H$182)/($I$182-$H$182),"缺失"),"缺失")</x:f>
        <x:v>0.9354023453295592</x:v>
      </x:c>
      <x:c r="AH20" s="12" t="n">
        <x:f>IF(ISNUMBER(P20),IF($I$183&gt;$H$183,(P20-$H$183)/($I$183-$H$183),"缺失"),"缺失")</x:f>
        <x:v>0.9081747562453346</x:v>
      </x:c>
      <x:c r="AI20" s="12" t="n">
        <x:f>IF(ISNUMBER(Q20),IF($I$184&gt;$H$184,(Q20-$H$184)/($I$184-$H$184),"缺失"),"缺失")</x:f>
        <x:v>0.8994316117302995</x:v>
      </x:c>
      <x:c r="AJ20" s="12" t="n">
        <x:f>IF(ISNUMBER(R20),IF($I$185&gt;$H$185,(R20-$H$185)/($I$185-$H$185),"缺失"),"缺失")</x:f>
        <x:v>0.23953520409590398</x:v>
      </x:c>
      <x:c r="AK20" s="12" t="n">
        <x:f>IF(ISNUMBER(S20),IF($I$186&gt;$H$186,(S20-$H$186)/($I$186-$H$186),"缺失"),"缺失")</x:f>
        <x:v>0.06721833970293019</x:v>
      </x:c>
      <x:c r="AL20" s="12" t="n">
        <x:f>IF(ISNUMBER(T20),IF($I$187&gt;$H$187,(T20-$H$187)/($I$187-$H$187),"缺失"),"缺失")</x:f>
        <x:v>0</x:v>
      </x:c>
      <x:c r="AM20" s="12" t="n">
        <x:f>IF(ISNUMBER(U20),IF($I$188&gt;$H$188,(U20-$H$188)/($I$188-$H$188),"缺失"),"缺失")</x:f>
        <x:v>0</x:v>
      </x:c>
      <x:c r="AN20" s="12" t="n">
        <x:f>IF(ISNUMBER(V20),IF($I$189&gt;$H$189,(V20-$H$189)/($I$189-$H$189),"缺失"),"缺失")</x:f>
        <x:v>1</x:v>
      </x:c>
      <x:c r="AO20" s="23" t="str"/>
      <x:c r="AP20" s="23" t="str">
        <x:v>见指标口径：州级、产业、代表点代理；气候基期待核实</x:v>
      </x:c>
      <x:c r="AQ20" s="15" t="n">
        <x:v>1.0000000000000009</x:v>
      </x:c>
      <x:c r="AR20" s="15" t="n">
        <x:v>1.0000000000000009</x:v>
      </x:c>
      <x:c r="AS20" s="15" t="n">
        <x:v>1</x:v>
      </x:c>
      <x:c r="AT20" s="15" t="n">
        <x:v>1</x:v>
      </x:c>
    </x:row>
    <x:row r="21" ht="24" customHeight="1">
      <x:c r="A21" s="18" t="str">
        <x:v>13029</x:v>
      </x:c>
      <x:c r="B21" s="3" t="str">
        <x:v>Bryan County</x:v>
      </x:c>
      <x:c r="C21" s="3" t="str">
        <x:v>GA</x:v>
      </x:c>
      <x:c r="D21" s="12" t="n">
        <x:v>1133.284239</x:v>
      </x:c>
      <x:c r="E21" s="12" t="n">
        <x:v>0.676</x:v>
      </x:c>
      <x:c r="F21" s="12" t="n">
        <x:v>0.598081683168317</x:v>
      </x:c>
      <x:c r="G21" s="12" t="n">
        <x:v>0.8207086059047767</x:v>
      </x:c>
      <x:c r="H21" s="12" t="n">
        <x:v>0.630086639</x:v>
      </x:c>
      <x:c r="I21" s="12" t="n">
        <x:v>0.9110180321336782</x:v>
      </x:c>
      <x:c r="J21" s="12" t="n">
        <x:v>0.09244845179729956</x:v>
      </x:c>
      <x:c r="K21" s="12" t="n">
        <x:v>0.4268157941107836</x:v>
      </x:c>
      <x:c r="L21" s="24" t="n">
        <x:v>0.776621102</x:v>
      </x:c>
      <x:c r="M21" s="24" t="n">
        <x:v>0.717906309</x:v>
      </x:c>
      <x:c r="N21" s="13" t="n">
        <x:v>24391</x:v>
      </x:c>
      <x:c r="O21" s="12" t="n">
        <x:v>0.3115</x:v>
      </x:c>
      <x:c r="P21" s="12" t="n">
        <x:v>2284.184293619792</x:v>
      </x:c>
      <x:c r="Q21" s="12" t="n">
        <x:v>63.68989957173665</x:v>
      </x:c>
      <x:c r="R21" s="12" t="n">
        <x:v>12.087303655252171</x:v>
      </x:c>
      <x:c r="S21" s="12" t="n">
        <x:v>12.341112641478242</x:v>
      </x:c>
      <x:c r="T21" s="12" t="n">
        <x:v>72.1</x:v>
      </x:c>
      <x:c r="U21" s="12" t="n">
        <x:v>211.4154781728841</x:v>
      </x:c>
      <x:c r="V21" s="12" t="n">
        <x:v>325.42757789465</x:v>
      </x:c>
      <x:c r="W21" s="12" t="n">
        <x:f>IF(ISNUMBER(E21),IF($I$172&gt;$H$172,(E21-$H$172)/($I$172-$H$172),"缺失"),"缺失")</x:f>
        <x:v>0.7268518518518519</x:v>
      </x:c>
      <x:c r="X21" s="12" t="n">
        <x:f>IF(ISNUMBER(F21),IF($I$173&gt;$H$173,(F21-$H$173)/($I$173-$H$173),"缺失"),"缺失")</x:f>
        <x:v>0.6025196850393701</x:v>
      </x:c>
      <x:c r="Y21" s="12" t="n">
        <x:f>IF(ISNUMBER(G21),IF($I$174&gt;$H$174,(G21-$H$174)/($I$174-$H$174),"缺失"),"缺失")</x:f>
        <x:v>0.21554533867459622</x:v>
      </x:c>
      <x:c r="Z21" s="12" t="n">
        <x:f>IF(ISNUMBER(H21),IF($I$175&gt;$H$175,(H21-$H$175)/($I$175-$H$175),"缺失"),"缺失")</x:f>
        <x:v>0.15490752991609966</x:v>
      </x:c>
      <x:c r="AA21" s="12" t="n">
        <x:f>IF(ISNUMBER(I21),IF($I$176&gt;$H$176,(I21-$H$176)/($I$176-$H$176),"缺失"),"缺失")</x:f>
        <x:v>0.9136876858571551</x:v>
      </x:c>
      <x:c r="AB21" s="12" t="n">
        <x:f>IF(ISNUMBER(J21),IF($I$177&gt;$H$177,(J21-$H$177)/($I$177-$H$177),"缺失"),"缺失")</x:f>
        <x:v>0.22677549581841483</x:v>
      </x:c>
      <x:c r="AC21" s="12" t="n">
        <x:f>IF(ISNUMBER(K21),IF($I$178&gt;$H$178,(K21-$H$178)/($I$178-$H$178),"缺失"),"缺失")</x:f>
        <x:v>0.7337822479711215</x:v>
      </x:c>
      <x:c r="AD21" s="12" t="n">
        <x:f>IF(ISNUMBER(L21),IF($I$179&gt;$H$179,(L21-$H$179)/($I$179-$H$179),"缺失"),"缺失")</x:f>
        <x:v>0.7765471965494284</x:v>
      </x:c>
      <x:c r="AE21" s="12" t="n">
        <x:f>IF(ISNUMBER(M21),IF($I$180&gt;$H$180,(M21-$H$180)/($I$180-$H$180),"缺失"),"缺失")</x:f>
        <x:v>0.717906309</x:v>
      </x:c>
      <x:c r="AF21" s="12" t="n">
        <x:f>IF(ISNUMBER(N21),IF($I$181&gt;$H$181,(N21-$H$181)/($I$181-$H$181),"缺失"),"缺失")</x:f>
        <x:v>0.036806700766786854</x:v>
      </x:c>
      <x:c r="AG21" s="12" t="n">
        <x:f>IF(ISNUMBER(O21),IF($I$182&gt;$H$182,(O21-$H$182)/($I$182-$H$182),"缺失"),"缺失")</x:f>
        <x:v>0.3126769106348565</x:v>
      </x:c>
      <x:c r="AH21" s="12" t="n">
        <x:f>IF(ISNUMBER(P21),IF($I$183&gt;$H$183,(P21-$H$183)/($I$183-$H$183),"缺失"),"缺失")</x:f>
        <x:v>0.903496546233793</x:v>
      </x:c>
      <x:c r="AI21" s="12" t="n">
        <x:f>IF(ISNUMBER(Q21),IF($I$184&gt;$H$184,(Q21-$H$184)/($I$184-$H$184),"缺失"),"缺失")</x:f>
        <x:v>0.7447161587821329</x:v>
      </x:c>
      <x:c r="AJ21" s="12" t="n">
        <x:f>IF(ISNUMBER(R21),IF($I$185&gt;$H$185,(R21-$H$185)/($I$185-$H$185),"缺失"),"缺失")</x:f>
        <x:v>0.12550820106983657</x:v>
      </x:c>
      <x:c r="AK21" s="12" t="n">
        <x:f>IF(ISNUMBER(S21),IF($I$186&gt;$H$186,(S21-$H$186)/($I$186-$H$186),"缺失"),"缺失")</x:f>
        <x:v>0.24075959990516616</x:v>
      </x:c>
      <x:c r="AL21" s="12" t="n">
        <x:f>IF(ISNUMBER(T21),IF($I$187&gt;$H$187,(T21-$H$187)/($I$187-$H$187),"缺失"),"缺失")</x:f>
        <x:v>0</x:v>
      </x:c>
      <x:c r="AM21" s="12" t="n">
        <x:f>IF(ISNUMBER(U21),IF($I$188&gt;$H$188,(U21-$H$188)/($I$188-$H$188),"缺失"),"缺失")</x:f>
        <x:v>0</x:v>
      </x:c>
      <x:c r="AN21" s="12" t="n">
        <x:f>IF(ISNUMBER(V21),IF($I$189&gt;$H$189,(V21-$H$189)/($I$189-$H$189),"缺失"),"缺失")</x:f>
        <x:v>1</x:v>
      </x:c>
      <x:c r="AO21" s="23" t="str"/>
      <x:c r="AP21" s="23" t="str">
        <x:v>见指标口径：州级、产业、代表点代理；气候基期待核实</x:v>
      </x:c>
      <x:c r="AQ21" s="15" t="n">
        <x:v>0.9941441189298724</x:v>
      </x:c>
      <x:c r="AR21" s="15" t="n">
        <x:v>0.9940115981280413</x:v>
      </x:c>
      <x:c r="AS21" s="15" t="n">
        <x:v>1</x:v>
      </x:c>
      <x:c r="AT21" s="15" t="n">
        <x:v>1</x:v>
      </x:c>
    </x:row>
    <x:row r="22" ht="24" customHeight="1">
      <x:c r="A22" s="18" t="str">
        <x:v>13031</x:v>
      </x:c>
      <x:c r="B22" s="3" t="str">
        <x:v>Bulloch County</x:v>
      </x:c>
      <x:c r="C22" s="3" t="str">
        <x:v>GA</x:v>
      </x:c>
      <x:c r="D22" s="12" t="n">
        <x:v>1750.735216</x:v>
      </x:c>
      <x:c r="E22" s="12" t="n">
        <x:v>0.515</x:v>
      </x:c>
      <x:c r="F22" s="12" t="n">
        <x:v>0.156559405940594</x:v>
      </x:c>
      <x:c r="G22" s="12" t="n">
        <x:v>0.8207086059047766</x:v>
      </x:c>
      <x:c r="H22" s="12" t="n">
        <x:v>0.630086639</x:v>
      </x:c>
      <x:c r="I22" s="12" t="n">
        <x:v>0.9018797258684289</x:v>
      </x:c>
      <x:c r="J22" s="12" t="n">
        <x:v>0.027970700979506814</x:v>
      </x:c>
      <x:c r="K22" s="12" t="n">
        <x:v>0.3489935552692589</x:v>
      </x:c>
      <x:c r="L22" s="24" t="n">
        <x:v>0.601479131</x:v>
      </x:c>
      <x:c r="M22" s="24" t="n">
        <x:v>0.601479131</x:v>
      </x:c>
      <x:c r="N22" s="13" t="n">
        <x:v>39252</x:v>
      </x:c>
      <x:c r="O22" s="12" t="n">
        <x:v>0.8374</x:v>
      </x:c>
      <x:c r="P22" s="12" t="n">
        <x:v>2198.5204264322915</x:v>
      </x:c>
      <x:c r="Q22" s="12" t="n">
        <x:v>67.07814801534018</x:v>
      </x:c>
      <x:c r="R22" s="12" t="n">
        <x:v>12.893356992713603</x:v>
      </x:c>
      <x:c r="S22" s="12" t="n">
        <x:v>5.5263256568135315</x:v>
      </x:c>
      <x:c r="T22" s="12" t="n">
        <x:v>72.1</x:v>
      </x:c>
      <x:c r="U22" s="12" t="n">
        <x:v>211.4154781728841</x:v>
      </x:c>
      <x:c r="V22" s="12" t="n">
        <x:v>325.42757789465</x:v>
      </x:c>
      <x:c r="W22" s="12" t="n">
        <x:f>IF(ISNUMBER(E22),IF($I$172&gt;$H$172,(E22-$H$172)/($I$172-$H$172),"缺失"),"缺失")</x:f>
        <x:v>0.5405092592592593</x:v>
      </x:c>
      <x:c r="X22" s="12" t="n">
        <x:f>IF(ISNUMBER(F22),IF($I$173&gt;$H$173,(F22-$H$173)/($I$173-$H$173),"缺失"),"缺失")</x:f>
        <x:v>0.15307086614173218</x:v>
      </x:c>
      <x:c r="Y22" s="12" t="n">
        <x:f>IF(ISNUMBER(G22),IF($I$174&gt;$H$174,(G22-$H$174)/($I$174-$H$174),"缺失"),"缺失")</x:f>
        <x:v>0.2155453386745962</x:v>
      </x:c>
      <x:c r="Z22" s="12" t="n">
        <x:f>IF(ISNUMBER(H22),IF($I$175&gt;$H$175,(H22-$H$175)/($I$175-$H$175),"缺失"),"缺失")</x:f>
        <x:v>0.15490752991609966</x:v>
      </x:c>
      <x:c r="AA22" s="12" t="n">
        <x:f>IF(ISNUMBER(I22),IF($I$176&gt;$H$176,(I22-$H$176)/($I$176-$H$176),"缺失"),"缺失")</x:f>
        <x:v>0.9038774732457736</x:v>
      </x:c>
      <x:c r="AB22" s="12" t="n">
        <x:f>IF(ISNUMBER(J22),IF($I$177&gt;$H$177,(J22-$H$177)/($I$177-$H$177),"缺失"),"缺失")</x:f>
        <x:v>0.06861196114915968</x:v>
      </x:c>
      <x:c r="AC22" s="12" t="n">
        <x:f>IF(ISNUMBER(K22),IF($I$178&gt;$H$178,(K22-$H$178)/($I$178-$H$178),"缺失"),"缺失")</x:f>
        <x:v>0.599990157455236</x:v>
      </x:c>
      <x:c r="AD22" s="12" t="n">
        <x:f>IF(ISNUMBER(L22),IF($I$179&gt;$H$179,(L22-$H$179)/($I$179-$H$179),"缺失"),"缺失")</x:f>
        <x:v>0.6013472794032316</x:v>
      </x:c>
      <x:c r="AE22" s="12" t="n">
        <x:f>IF(ISNUMBER(M22),IF($I$180&gt;$H$180,(M22-$H$180)/($I$180-$H$180),"缺失"),"缺失")</x:f>
        <x:v>0.601479131</x:v>
      </x:c>
      <x:c r="AF22" s="12" t="n">
        <x:f>IF(ISNUMBER(N22),IF($I$181&gt;$H$181,(N22-$H$181)/($I$181-$H$181),"缺失"),"缺失")</x:f>
        <x:v>0.059883289388278624</x:v>
      </x:c>
      <x:c r="AG22" s="12" t="n">
        <x:f>IF(ISNUMBER(O22),IF($I$182&gt;$H$182,(O22-$H$182)/($I$182-$H$182),"缺失"),"缺失")</x:f>
        <x:v>0.8443186413263244</x:v>
      </x:c>
      <x:c r="AH22" s="12" t="n">
        <x:f>IF(ISNUMBER(P22),IF($I$183&gt;$H$183,(P22-$H$183)/($I$183-$H$183),"缺失"),"缺失")</x:f>
        <x:v>0.8649601375884425</x:v>
      </x:c>
      <x:c r="AI22" s="12" t="n">
        <x:f>IF(ISNUMBER(Q22),IF($I$184&gt;$H$184,(Q22-$H$184)/($I$184-$H$184),"缺失"),"缺失")</x:f>
        <x:v>0.7845334843690601</x:v>
      </x:c>
      <x:c r="AJ22" s="12" t="n">
        <x:f>IF(ISNUMBER(R22),IF($I$185&gt;$H$185,(R22-$H$185)/($I$185-$H$185),"缺失"),"缺失")</x:f>
        <x:v>0.13397857124494972</x:v>
      </x:c>
      <x:c r="AK22" s="12" t="n">
        <x:f>IF(ISNUMBER(S22),IF($I$186&gt;$H$186,(S22-$H$186)/($I$186-$H$186),"缺失"),"缺失")</x:f>
        <x:v>0.10772364609497213</x:v>
      </x:c>
      <x:c r="AL22" s="12" t="n">
        <x:f>IF(ISNUMBER(T22),IF($I$187&gt;$H$187,(T22-$H$187)/($I$187-$H$187),"缺失"),"缺失")</x:f>
        <x:v>0</x:v>
      </x:c>
      <x:c r="AM22" s="12" t="n">
        <x:f>IF(ISNUMBER(U22),IF($I$188&gt;$H$188,(U22-$H$188)/($I$188-$H$188),"缺失"),"缺失")</x:f>
        <x:v>0</x:v>
      </x:c>
      <x:c r="AN22" s="12" t="n">
        <x:f>IF(ISNUMBER(V22),IF($I$189&gt;$H$189,(V22-$H$189)/($I$189-$H$189),"缺失"),"缺失")</x:f>
        <x:v>1</x:v>
      </x:c>
      <x:c r="AO22" s="23" t="str"/>
      <x:c r="AP22" s="23" t="str">
        <x:v>见指标口径：州级、产业、代表点代理；气候基期待核实</x:v>
      </x:c>
      <x:c r="AQ22" s="15" t="n">
        <x:v>0.9999999999999888</x:v>
      </x:c>
      <x:c r="AR22" s="15" t="n">
        <x:v>0.9999999999999888</x:v>
      </x:c>
      <x:c r="AS22" s="15" t="n">
        <x:v>1</x:v>
      </x:c>
      <x:c r="AT22" s="15" t="n">
        <x:v>1</x:v>
      </x:c>
    </x:row>
    <x:row r="23" ht="24" customHeight="1">
      <x:c r="A23" s="18" t="str">
        <x:v>13033</x:v>
      </x:c>
      <x:c r="B23" s="3" t="str">
        <x:v>Burke County</x:v>
      </x:c>
      <x:c r="C23" s="3" t="str">
        <x:v>GA</x:v>
      </x:c>
      <x:c r="D23" s="12" t="n">
        <x:v>2142.029072</x:v>
      </x:c>
      <x:c r="E23" s="12" t="n">
        <x:v>0.551</x:v>
      </x:c>
      <x:c r="F23" s="12" t="n">
        <x:v>0.110457920792079</x:v>
      </x:c>
      <x:c r="G23" s="12" t="n">
        <x:v>2.1385820429230393</x:v>
      </x:c>
      <x:c r="H23" s="12" t="n">
        <x:v>1.9442198953432213</x:v>
      </x:c>
      <x:c r="I23" s="12" t="n">
        <x:v>0.9426718251019301</x:v>
      </x:c>
      <x:c r="J23" s="12" t="n">
        <x:v>0.041407120923233856</x:v>
      </x:c>
      <x:c r="K23" s="12" t="n">
        <x:v>0.289443116618798</x:v>
      </x:c>
      <x:c r="L23" s="24" t="n">
        <x:v>0.434038581</x:v>
      </x:c>
      <x:c r="M23" s="24" t="n">
        <x:v>0.433105165</x:v>
      </x:c>
      <x:c r="N23" s="13" t="n">
        <x:v>10395</x:v>
      </x:c>
      <x:c r="O23" s="12" t="n">
        <x:v>0.7483</x:v>
      </x:c>
      <x:c r="P23" s="12" t="n">
        <x:v>1925.9469645182292</x:v>
      </x:c>
      <x:c r="Q23" s="12" t="n">
        <x:v>62.03187840779622</x:v>
      </x:c>
      <x:c r="R23" s="12" t="n">
        <x:v>37.74888101826149</x:v>
      </x:c>
      <x:c r="S23" s="12" t="n">
        <x:v>0.30070674016438675</x:v>
      </x:c>
      <x:c r="T23" s="12" t="n">
        <x:v>72.1</x:v>
      </x:c>
      <x:c r="U23" s="12" t="n">
        <x:v>211.4154781728841</x:v>
      </x:c>
      <x:c r="V23" s="12" t="n">
        <x:v>325.42757789465</x:v>
      </x:c>
      <x:c r="W23" s="12" t="n">
        <x:f>IF(ISNUMBER(E23),IF($I$172&gt;$H$172,(E23-$H$172)/($I$172-$H$172),"缺失"),"缺失")</x:f>
        <x:v>0.5821759259259259</x:v>
      </x:c>
      <x:c r="X23" s="12" t="n">
        <x:f>IF(ISNUMBER(F23),IF($I$173&gt;$H$173,(F23-$H$173)/($I$173-$H$173),"缺失"),"缺失")</x:f>
        <x:v>0.10614173228346432</x:v>
      </x:c>
      <x:c r="Y23" s="12" t="n">
        <x:f>IF(ISNUMBER(G23),IF($I$174&gt;$H$174,(G23-$H$174)/($I$174-$H$174),"缺失"),"缺失")</x:f>
        <x:v>0.5622132284389896</x:v>
      </x:c>
      <x:c r="Z23" s="12" t="n">
        <x:f>IF(ISNUMBER(H23),IF($I$175&gt;$H$175,(H23-$H$175)/($I$175-$H$175),"缺失"),"缺失")</x:f>
        <x:v>0.4788777353601415</x:v>
      </x:c>
      <x:c r="AA23" s="12" t="n">
        <x:f>IF(ISNUMBER(I23),IF($I$176&gt;$H$176,(I23-$H$176)/($I$176-$H$176),"缺失"),"缺失")</x:f>
        <x:v>0.9476688668289591</x:v>
      </x:c>
      <x:c r="AB23" s="12" t="n">
        <x:f>IF(ISNUMBER(J23),IF($I$177&gt;$H$177,(J23-$H$177)/($I$177-$H$177),"缺失"),"缺失")</x:f>
        <x:v>0.10157141839830901</x:v>
      </x:c>
      <x:c r="AC23" s="12" t="n">
        <x:f>IF(ISNUMBER(K23),IF($I$178&gt;$H$178,(K23-$H$178)/($I$178-$H$178),"缺失"),"缺失")</x:f>
        <x:v>0.4976109687196391</x:v>
      </x:c>
      <x:c r="AD23" s="12" t="n">
        <x:f>IF(ISNUMBER(L23),IF($I$179&gt;$H$179,(L23-$H$179)/($I$179-$H$179),"缺失"),"缺失")</x:f>
        <x:v>0.4338513312908651</x:v>
      </x:c>
      <x:c r="AE23" s="12" t="n">
        <x:f>IF(ISNUMBER(M23),IF($I$180&gt;$H$180,(M23-$H$180)/($I$180-$H$180),"缺失"),"缺失")</x:f>
        <x:v>0.433105165</x:v>
      </x:c>
      <x:c r="AF23" s="12" t="n">
        <x:f>IF(ISNUMBER(N23),IF($I$181&gt;$H$181,(N23-$H$181)/($I$181-$H$181),"缺失"),"缺失")</x:f>
        <x:v>0.015073309047091086</x:v>
      </x:c>
      <x:c r="AG23" s="12" t="n">
        <x:f>IF(ISNUMBER(O23),IF($I$182&gt;$H$182,(O23-$H$182)/($I$182-$H$182),"缺失"),"缺失")</x:f>
        <x:v>0.7542458552365549</x:v>
      </x:c>
      <x:c r="AH23" s="12" t="n">
        <x:f>IF(ISNUMBER(P23),IF($I$183&gt;$H$183,(P23-$H$183)/($I$183-$H$183),"缺失"),"缺失")</x:f>
        <x:v>0.7423413175530691</x:v>
      </x:c>
      <x:c r="AI23" s="12" t="n">
        <x:f>IF(ISNUMBER(Q23),IF($I$184&gt;$H$184,(Q23-$H$184)/($I$184-$H$184),"缺失"),"缺失")</x:f>
        <x:v>0.7252317645254887</x:v>
      </x:c>
      <x:c r="AJ23" s="12" t="n">
        <x:f>IF(ISNUMBER(R23),IF($I$185&gt;$H$185,(R23-$H$185)/($I$185-$H$185),"缺失"),"缺失")</x:f>
        <x:v>0.3951715712713068</x:v>
      </x:c>
      <x:c r="AK23" s="12" t="n">
        <x:f>IF(ISNUMBER(S23),IF($I$186&gt;$H$186,(S23-$H$186)/($I$186-$H$186),"缺失"),"缺失")</x:f>
        <x:v>0.0057108908335961415</x:v>
      </x:c>
      <x:c r="AL23" s="12" t="n">
        <x:f>IF(ISNUMBER(T23),IF($I$187&gt;$H$187,(T23-$H$187)/($I$187-$H$187),"缺失"),"缺失")</x:f>
        <x:v>0</x:v>
      </x:c>
      <x:c r="AM23" s="12" t="n">
        <x:f>IF(ISNUMBER(U23),IF($I$188&gt;$H$188,(U23-$H$188)/($I$188-$H$188),"缺失"),"缺失")</x:f>
        <x:v>0</x:v>
      </x:c>
      <x:c r="AN23" s="12" t="n">
        <x:f>IF(ISNUMBER(V23),IF($I$189&gt;$H$189,(V23-$H$189)/($I$189-$H$189),"缺失"),"缺失")</x:f>
        <x:v>1</x:v>
      </x:c>
      <x:c r="AO23" s="23" t="str"/>
      <x:c r="AP23" s="23" t="str">
        <x:v>见指标口径：州级、产业、代表点代理；气候基期待核实</x:v>
      </x:c>
      <x:c r="AQ23" s="15" t="n">
        <x:v>0.9999999999999976</x:v>
      </x:c>
      <x:c r="AR23" s="15" t="n">
        <x:v>1</x:v>
      </x:c>
      <x:c r="AS23" s="15" t="n">
        <x:v>1</x:v>
      </x:c>
      <x:c r="AT23" s="15" t="n">
        <x:v>1</x:v>
      </x:c>
    </x:row>
    <x:row r="24" ht="24" customHeight="1">
      <x:c r="A24" s="18" t="str">
        <x:v>13035</x:v>
      </x:c>
      <x:c r="B24" s="3" t="str">
        <x:v>Butts County</x:v>
      </x:c>
      <x:c r="C24" s="3" t="str">
        <x:v>GA</x:v>
      </x:c>
      <x:c r="D24" s="12" t="n">
        <x:v>475.754795</x:v>
      </x:c>
      <x:c r="E24" s="12" t="n">
        <x:v>0.579</x:v>
      </x:c>
      <x:c r="F24" s="12" t="n">
        <x:v>0.35612623762376205</x:v>
      </x:c>
      <x:c r="G24" s="12" t="n">
        <x:v>2.643772465431021</x:v>
      </x:c>
      <x:c r="H24" s="12" t="n">
        <x:v>2.5241025760469675</x:v>
      </x:c>
      <x:c r="I24" s="12" t="n">
        <x:v>0.9049938474159147</x:v>
      </x:c>
      <x:c r="J24" s="12" t="n">
        <x:v>0.011910356481378774</x:v>
      </x:c>
      <x:c r="K24" s="12" t="n">
        <x:v>0.04143689423631999</x:v>
      </x:c>
      <x:c r="L24" s="24" t="n">
        <x:v>0.743446379</x:v>
      </x:c>
      <x:c r="M24" s="24" t="n">
        <x:v>0.743446379</x:v>
      </x:c>
      <x:c r="N24" s="13" t="n">
        <x:v>11299</x:v>
      </x:c>
      <x:c r="O24" s="12" t="n">
        <x:v>0.5565</x:v>
      </x:c>
      <x:c r="P24" s="12" t="n">
        <x:v>1703.044120279948</x:v>
      </x:c>
      <x:c r="Q24" s="12" t="n">
        <x:v>43.91316528320313</x:v>
      </x:c>
      <x:c r="R24" s="12" t="n">
        <x:v>12.78640805292393</x:v>
      </x:c>
      <x:c r="S24" s="12" t="n">
        <x:v>0.6243492862000727</x:v>
      </x:c>
      <x:c r="T24" s="12" t="n">
        <x:v>72.1</x:v>
      </x:c>
      <x:c r="U24" s="12" t="n">
        <x:v>211.4154781728841</x:v>
      </x:c>
      <x:c r="V24" s="12" t="n">
        <x:v>325.42757789465</x:v>
      </x:c>
      <x:c r="W24" s="12" t="n">
        <x:f>IF(ISNUMBER(E24),IF($I$172&gt;$H$172,(E24-$H$172)/($I$172-$H$172),"缺失"),"缺失")</x:f>
        <x:v>0.6145833333333333</x:v>
      </x:c>
      <x:c r="X24" s="12" t="n">
        <x:f>IF(ISNUMBER(F24),IF($I$173&gt;$H$173,(F24-$H$173)/($I$173-$H$173),"缺失"),"缺失")</x:f>
        <x:v>0.35622047244094446</x:v>
      </x:c>
      <x:c r="Y24" s="12" t="n">
        <x:f>IF(ISNUMBER(G24),IF($I$174&gt;$H$174,(G24-$H$174)/($I$174-$H$174),"缺失"),"缺失")</x:f>
        <x:v>0.695104060578584</x:v>
      </x:c>
      <x:c r="Z24" s="12" t="n">
        <x:f>IF(ISNUMBER(H24),IF($I$175&gt;$H$175,(H24-$H$175)/($I$175-$H$175),"缺失"),"缺失")</x:f>
        <x:v>0.6218348596047535</x:v>
      </x:c>
      <x:c r="AA24" s="12" t="n">
        <x:f>IF(ISNUMBER(I24),IF($I$176&gt;$H$176,(I24-$H$176)/($I$176-$H$176),"缺失"),"缺失")</x:f>
        <x:v>0.907220564798165</x:v>
      </x:c>
      <x:c r="AB24" s="12" t="n">
        <x:f>IF(ISNUMBER(J24),IF($I$177&gt;$H$177,(J24-$H$177)/($I$177-$H$177),"缺失"),"缺失")</x:f>
        <x:v>0.029216032761271597</x:v>
      </x:c>
      <x:c r="AC24" s="12" t="n">
        <x:f>IF(ISNUMBER(K24),IF($I$178&gt;$H$178,(K24-$H$178)/($I$178-$H$178),"缺失"),"缺失")</x:f>
        <x:v>0.07123836048526463</x:v>
      </x:c>
      <x:c r="AD24" s="12" t="n">
        <x:f>IF(ISNUMBER(L24),IF($I$179&gt;$H$179,(L24-$H$179)/($I$179-$H$179),"缺失"),"缺失")</x:f>
        <x:v>0.7433614976118046</x:v>
      </x:c>
      <x:c r="AE24" s="12" t="n">
        <x:f>IF(ISNUMBER(M24),IF($I$180&gt;$H$180,(M24-$H$180)/($I$180-$H$180),"缺失"),"缺失")</x:f>
        <x:v>0.743446379</x:v>
      </x:c>
      <x:c r="AF24" s="12" t="n">
        <x:f>IF(ISNUMBER(N24),IF($I$181&gt;$H$181,(N24-$H$181)/($I$181-$H$181),"缺失"),"缺失")</x:f>
        <x:v>0.01647706627162702</x:v>
      </x:c>
      <x:c r="AG24" s="12" t="n">
        <x:f>IF(ISNUMBER(O24),IF($I$182&gt;$H$182,(O24-$H$182)/($I$182-$H$182),"缺失"),"缺失")</x:f>
        <x:v>0.560351799433886</x:v>
      </x:c>
      <x:c r="AH24" s="12" t="n">
        <x:f>IF(ISNUMBER(P24),IF($I$183&gt;$H$183,(P24-$H$183)/($I$183-$H$183),"缺失"),"缺失")</x:f>
        <x:v>0.6420671252267305</x:v>
      </x:c>
      <x:c r="AI24" s="12" t="n">
        <x:f>IF(ISNUMBER(Q24),IF($I$184&gt;$H$184,(Q24-$H$184)/($I$184-$H$184),"缺失"),"缺失")</x:f>
        <x:v>0.5123079746363453</x:v>
      </x:c>
      <x:c r="AJ24" s="12" t="n">
        <x:f>IF(ISNUMBER(R24),IF($I$185&gt;$H$185,(R24-$H$185)/($I$185-$H$185),"缺失"),"缺失")</x:f>
        <x:v>0.13285470379381126</x:v>
      </x:c>
      <x:c r="AK24" s="12" t="n">
        <x:f>IF(ISNUMBER(S24),IF($I$186&gt;$H$186,(S24-$H$186)/($I$186-$H$186),"缺失"),"缺失")</x:f>
        <x:v>0.012028930546694449</x:v>
      </x:c>
      <x:c r="AL24" s="12" t="n">
        <x:f>IF(ISNUMBER(T24),IF($I$187&gt;$H$187,(T24-$H$187)/($I$187-$H$187),"缺失"),"缺失")</x:f>
        <x:v>0</x:v>
      </x:c>
      <x:c r="AM24" s="12" t="n">
        <x:f>IF(ISNUMBER(U24),IF($I$188&gt;$H$188,(U24-$H$188)/($I$188-$H$188),"缺失"),"缺失")</x:f>
        <x:v>0</x:v>
      </x:c>
      <x:c r="AN24" s="12" t="n">
        <x:f>IF(ISNUMBER(V24),IF($I$189&gt;$H$189,(V24-$H$189)/($I$189-$H$189),"缺失"),"缺失")</x:f>
        <x:v>1</x:v>
      </x:c>
      <x:c r="AO24" s="23" t="str"/>
      <x:c r="AP24" s="23" t="str">
        <x:v>见指标口径：州级、产业、代表点代理；气候基期待核实</x:v>
      </x:c>
      <x:c r="AQ24" s="15" t="n">
        <x:v>1.000000000000001</x:v>
      </x:c>
      <x:c r="AR24" s="15" t="n">
        <x:v>1.0000000000000009</x:v>
      </x:c>
      <x:c r="AS24" s="15" t="n">
        <x:v>1</x:v>
      </x:c>
      <x:c r="AT24" s="15" t="n">
        <x:v>1</x:v>
      </x:c>
    </x:row>
    <x:row r="25" ht="24" customHeight="1">
      <x:c r="A25" s="18" t="str">
        <x:v>13037</x:v>
      </x:c>
      <x:c r="B25" s="3" t="str">
        <x:v>Calhoun County</x:v>
      </x:c>
      <x:c r="C25" s="3" t="str">
        <x:v>GA</x:v>
      </x:c>
      <x:c r="D25" s="12" t="n">
        <x:v>726.191507</x:v>
      </x:c>
      <x:c r="E25" s="12" t="n">
        <x:v>0.507</x:v>
      </x:c>
      <x:c r="F25" s="12" t="n">
        <x:v>0.09993811881188121</x:v>
      </x:c>
      <x:c r="G25" s="12" t="n">
        <x:v>1.1652933984148754</x:v>
      </x:c>
      <x:c r="H25" s="12" t="n">
        <x:v>1.134330805</x:v>
      </x:c>
      <x:c r="I25" s="12" t="n">
        <x:v>0.9596018200536733</x:v>
      </x:c>
      <x:c r="J25" s="12" t="n">
        <x:v>0.07996037025687587</x:v>
      </x:c>
      <x:c r="K25" s="12" t="n">
        <x:v>0.28156516715509217</x:v>
      </x:c>
      <x:c r="L25" s="24" t="n">
        <x:v>0.210333605</x:v>
      </x:c>
      <x:c r="M25" s="24" t="n">
        <x:v>0.210333605</x:v>
      </x:c>
      <x:c r="N25" s="13" t="n">
        <x:v>1851</x:v>
      </x:c>
      <x:c r="O25" s="12" t="n">
        <x:v>0.9688</x:v>
      </x:c>
      <x:c r="P25" s="12" t="n">
        <x:v>2217.7035319010415</x:v>
      </x:c>
      <x:c r="Q25" s="12" t="n">
        <x:v>70.01010271708171</x:v>
      </x:c>
      <x:c r="R25" s="12" t="n">
        <x:v>92.88759013708618</x:v>
      </x:c>
      <x:c r="S25" s="12" t="n">
        <x:v>6.851548378484679</x:v>
      </x:c>
      <x:c r="T25" s="12" t="n">
        <x:v>72.1</x:v>
      </x:c>
      <x:c r="U25" s="12" t="n">
        <x:v>211.4154781728841</x:v>
      </x:c>
      <x:c r="V25" s="12" t="n">
        <x:v>325.42757789465</x:v>
      </x:c>
      <x:c r="W25" s="12" t="n">
        <x:f>IF(ISNUMBER(E25),IF($I$172&gt;$H$172,(E25-$H$172)/($I$172-$H$172),"缺失"),"缺失")</x:f>
        <x:v>0.53125</x:v>
      </x:c>
      <x:c r="X25" s="12" t="n">
        <x:f>IF(ISNUMBER(F25),IF($I$173&gt;$H$173,(F25-$H$173)/($I$173-$H$173),"缺失"),"缺失")</x:f>
        <x:v>0.09543307086614172</x:v>
      </x:c>
      <x:c r="Y25" s="12" t="n">
        <x:f>IF(ISNUMBER(G25),IF($I$174&gt;$H$174,(G25-$H$174)/($I$174-$H$174),"缺失"),"缺失")</x:f>
        <x:v>0.3061887035903138</x:v>
      </x:c>
      <x:c r="Z25" s="12" t="n">
        <x:f>IF(ISNUMBER(H25),IF($I$175&gt;$H$175,(H25-$H$175)/($I$175-$H$175),"缺失"),"缺失")</x:f>
        <x:v>0.27921766761671174</x:v>
      </x:c>
      <x:c r="AA25" s="12" t="n">
        <x:f>IF(ISNUMBER(I25),IF($I$176&gt;$H$176,(I25-$H$176)/($I$176-$H$176),"缺失"),"缺失")</x:f>
        <x:v>0.965843662591474</x:v>
      </x:c>
      <x:c r="AB25" s="12" t="n">
        <x:f>IF(ISNUMBER(J25),IF($I$177&gt;$H$177,(J25-$H$177)/($I$177-$H$177),"缺失"),"缺失")</x:f>
        <x:v>0.19614230696459026</x:v>
      </x:c>
      <x:c r="AC25" s="12" t="n">
        <x:f>IF(ISNUMBER(K25),IF($I$178&gt;$H$178,(K25-$H$178)/($I$178-$H$178),"缺失"),"缺失")</x:f>
        <x:v>0.4840671881317527</x:v>
      </x:c>
      <x:c r="AD25" s="12" t="n">
        <x:f>IF(ISNUMBER(L25),IF($I$179&gt;$H$179,(L25-$H$179)/($I$179-$H$179),"缺失"),"缺失")</x:f>
        <x:v>0.21007234195659577</x:v>
      </x:c>
      <x:c r="AE25" s="12" t="n">
        <x:f>IF(ISNUMBER(M25),IF($I$180&gt;$H$180,(M25-$H$180)/($I$180-$H$180),"缺失"),"缺失")</x:f>
        <x:v>0.210333605</x:v>
      </x:c>
      <x:c r="AF25" s="12" t="n">
        <x:f>IF(ISNUMBER(N25),IF($I$181&gt;$H$181,(N25-$H$181)/($I$181-$H$181),"缺失"),"缺失")</x:f>
        <x:v>0.001805939880680636</x:v>
      </x:c>
      <x:c r="AG25" s="12" t="n">
        <x:f>IF(ISNUMBER(O25),IF($I$182&gt;$H$182,(O25-$H$182)/($I$182-$H$182),"缺失"),"缺失")</x:f>
        <x:v>0.9771532551556814</x:v>
      </x:c>
      <x:c r="AH25" s="12" t="n">
        <x:f>IF(ISNUMBER(P25),IF($I$183&gt;$H$183,(P25-$H$183)/($I$183-$H$183),"缺失"),"缺失")</x:f>
        <x:v>0.8735897735796889</x:v>
      </x:c>
      <x:c r="AI25" s="12" t="n">
        <x:f>IF(ISNUMBER(Q25),IF($I$184&gt;$H$184,(Q25-$H$184)/($I$184-$H$184),"缺失"),"缺失")</x:f>
        <x:v>0.8189886304153178</x:v>
      </x:c>
      <x:c r="AJ25" s="12" t="n">
        <x:f>IF(ISNUMBER(R25),IF($I$185&gt;$H$185,(R25-$H$185)/($I$185-$H$185),"缺失"),"缺失")</x:f>
        <x:v>0.974593869410081</x:v>
      </x:c>
      <x:c r="AK25" s="12" t="n">
        <x:f>IF(ISNUMBER(S25),IF($I$186&gt;$H$186,(S25-$H$186)/($I$186-$H$186),"缺失"),"缺失")</x:f>
        <x:v>0.13359419336008765</x:v>
      </x:c>
      <x:c r="AL25" s="12" t="n">
        <x:f>IF(ISNUMBER(T25),IF($I$187&gt;$H$187,(T25-$H$187)/($I$187-$H$187),"缺失"),"缺失")</x:f>
        <x:v>0</x:v>
      </x:c>
      <x:c r="AM25" s="12" t="n">
        <x:f>IF(ISNUMBER(U25),IF($I$188&gt;$H$188,(U25-$H$188)/($I$188-$H$188),"缺失"),"缺失")</x:f>
        <x:v>0</x:v>
      </x:c>
      <x:c r="AN25" s="12" t="n">
        <x:f>IF(ISNUMBER(V25),IF($I$189&gt;$H$189,(V25-$H$189)/($I$189-$H$189),"缺失"),"缺失")</x:f>
        <x:v>1</x:v>
      </x:c>
      <x:c r="AO25" s="23" t="str"/>
      <x:c r="AP25" s="23" t="str">
        <x:v>见指标口径：州级、产业、代表点代理；气候基期待核实</x:v>
      </x:c>
      <x:c r="AQ25" s="15" t="n">
        <x:v>1.0000000000000016</x:v>
      </x:c>
      <x:c r="AR25" s="15" t="n">
        <x:v>1.0000000000000024</x:v>
      </x:c>
      <x:c r="AS25" s="15" t="n">
        <x:v>1</x:v>
      </x:c>
      <x:c r="AT25" s="15" t="n">
        <x:v>1</x:v>
      </x:c>
    </x:row>
    <x:row r="26" ht="24" customHeight="1">
      <x:c r="A26" s="18" t="str">
        <x:v>13039</x:v>
      </x:c>
      <x:c r="B26" s="3" t="str">
        <x:v>Camden County</x:v>
      </x:c>
      <x:c r="C26" s="3" t="str">
        <x:v>GA</x:v>
      </x:c>
      <x:c r="D26" s="12" t="n">
        <x:v>1632.396445</x:v>
      </x:c>
      <x:c r="E26" s="12" t="n">
        <x:v>0.764</x:v>
      </x:c>
      <x:c r="F26" s="12" t="n">
        <x:v>0.09529702970297031</x:v>
      </x:c>
      <x:c r="G26" s="12" t="n">
        <x:v>1.2482862615613577</x:v>
      </x:c>
      <x:c r="H26" s="12" t="n">
        <x:v>1.165489541</x:v>
      </x:c>
      <x:c r="I26" s="12" t="n">
        <x:v>0.9272168231483007</x:v>
      </x:c>
      <x:c r="J26" s="12" t="n">
        <x:v>0.06755659427213236</x:v>
      </x:c>
      <x:c r="K26" s="12" t="n">
        <x:v>0.5027837259100643</x:v>
      </x:c>
      <x:c r="L26" s="24" t="n">
        <x:v>0.837575623</x:v>
      </x:c>
      <x:c r="M26" s="24" t="n">
        <x:v>0.831636417</x:v>
      </x:c>
      <x:c r="N26" s="13" t="n">
        <x:v>24055</x:v>
      </x:c>
      <x:c r="O26" s="12" t="n">
        <x:v>0.6618</x:v>
      </x:c>
      <x:c r="P26" s="12" t="n">
        <x:v>2498.705037434896</x:v>
      </x:c>
      <x:c r="Q26" s="12" t="n">
        <x:v>53.16195564270019</x:v>
      </x:c>
      <x:c r="R26" s="12" t="n">
        <x:v>4.180937672951043</x:v>
      </x:c>
      <x:c r="S26" s="12" t="n">
        <x:v>7.365940072359083</x:v>
      </x:c>
      <x:c r="T26" s="12" t="n">
        <x:v>72.1</x:v>
      </x:c>
      <x:c r="U26" s="12" t="n">
        <x:v>211.4154781728841</x:v>
      </x:c>
      <x:c r="V26" s="12" t="n">
        <x:v>325.42757789465</x:v>
      </x:c>
      <x:c r="W26" s="12" t="n">
        <x:f>IF(ISNUMBER(E26),IF($I$172&gt;$H$172,(E26-$H$172)/($I$172-$H$172),"缺失"),"缺失")</x:f>
        <x:v>0.8287037037037037</x:v>
      </x:c>
      <x:c r="X26" s="12" t="n">
        <x:f>IF(ISNUMBER(F26),IF($I$173&gt;$H$173,(F26-$H$173)/($I$173-$H$173),"缺失"),"缺失")</x:f>
        <x:v>0.09070866141732283</x:v>
      </x:c>
      <x:c r="Y26" s="12" t="n">
        <x:f>IF(ISNUMBER(G26),IF($I$174&gt;$H$174,(G26-$H$174)/($I$174-$H$174),"缺失"),"缺失")</x:f>
        <x:v>0.3280200569846059</x:v>
      </x:c>
      <x:c r="Z26" s="12" t="n">
        <x:f>IF(ISNUMBER(H26),IF($I$175&gt;$H$175,(H26-$H$175)/($I$175-$H$175),"缺失"),"缺失")</x:f>
        <x:v>0.28689915810070277</x:v>
      </x:c>
      <x:c r="AA26" s="12" t="n">
        <x:f>IF(ISNUMBER(I26),IF($I$176&gt;$H$176,(I26-$H$176)/($I$176-$H$176),"缺失"),"缺失")</x:f>
        <x:v>0.9310775149226453</x:v>
      </x:c>
      <x:c r="AB26" s="12" t="n">
        <x:f>IF(ISNUMBER(J26),IF($I$177&gt;$H$177,(J26-$H$177)/($I$177-$H$177),"缺失"),"缺失")</x:f>
        <x:v>0.16571591913142025</x:v>
      </x:c>
      <x:c r="AC26" s="12" t="n">
        <x:f>IF(ISNUMBER(K26),IF($I$178&gt;$H$178,(K26-$H$178)/($I$178-$H$178),"缺失"),"缺失")</x:f>
        <x:v>0.8643864114968138</x:v>
      </x:c>
      <x:c r="AD26" s="12" t="n">
        <x:f>IF(ISNUMBER(L26),IF($I$179&gt;$H$179,(L26-$H$179)/($I$179-$H$179),"缺失"),"缺失")</x:f>
        <x:v>0.8375218845006454</x:v>
      </x:c>
      <x:c r="AE26" s="12" t="n">
        <x:f>IF(ISNUMBER(M26),IF($I$180&gt;$H$180,(M26-$H$180)/($I$180-$H$180),"缺失"),"缺失")</x:f>
        <x:v>0.831636417</x:v>
      </x:c>
      <x:c r="AF26" s="12" t="n">
        <x:f>IF(ISNUMBER(N26),IF($I$181&gt;$H$181,(N26-$H$181)/($I$181-$H$181),"缺失"),"缺失")</x:f>
        <x:v>0.03628495029395049</x:v>
      </x:c>
      <x:c r="AG26" s="12" t="n">
        <x:f>IF(ISNUMBER(O26),IF($I$182&gt;$H$182,(O26-$H$182)/($I$182-$H$182),"缺失"),"缺失")</x:f>
        <x:v>0.6668014557217955</x:v>
      </x:c>
      <x:c r="AH26" s="12" t="n">
        <x:f>IF(ISNUMBER(P26),IF($I$183&gt;$H$183,(P26-$H$183)/($I$183-$H$183),"缺失"),"缺失")</x:f>
        <x:v>1</x:v>
      </x:c>
      <x:c r="AI26" s="12" t="n">
        <x:f>IF(ISNUMBER(Q26),IF($I$184&gt;$H$184,(Q26-$H$184)/($I$184-$H$184),"缺失"),"缺失")</x:f>
        <x:v>0.6209960189633628</x:v>
      </x:c>
      <x:c r="AJ26" s="12" t="n">
        <x:f>IF(ISNUMBER(R26),IF($I$185&gt;$H$185,(R26-$H$185)/($I$185-$H$185),"缺失"),"缺失")</x:f>
        <x:v>0.04242455945757541</x:v>
      </x:c>
      <x:c r="AK26" s="12" t="n">
        <x:f>IF(ISNUMBER(S26),IF($I$186&gt;$H$186,(S26-$H$186)/($I$186-$H$186),"缺失"),"缺失")</x:f>
        <x:v>0.14363597306363762</x:v>
      </x:c>
      <x:c r="AL26" s="12" t="n">
        <x:f>IF(ISNUMBER(T26),IF($I$187&gt;$H$187,(T26-$H$187)/($I$187-$H$187),"缺失"),"缺失")</x:f>
        <x:v>0</x:v>
      </x:c>
      <x:c r="AM26" s="12" t="n">
        <x:f>IF(ISNUMBER(U26),IF($I$188&gt;$H$188,(U26-$H$188)/($I$188-$H$188),"缺失"),"缺失")</x:f>
        <x:v>0</x:v>
      </x:c>
      <x:c r="AN26" s="12" t="n">
        <x:f>IF(ISNUMBER(V26),IF($I$189&gt;$H$189,(V26-$H$189)/($I$189-$H$189),"缺失"),"缺失")</x:f>
        <x:v>1</x:v>
      </x:c>
      <x:c r="AO26" s="23" t="str"/>
      <x:c r="AP26" s="23" t="str">
        <x:v>baseline_water_stress:有效县域面积覆盖&lt;99%（诊断提示，非行业阈值）；water_stress_2050_bau:有效县域面积覆盖&lt;99%（诊断提示，非行业阈值）</x:v>
      </x:c>
      <x:c r="AQ26" s="15" t="n">
        <x:v>0.8732477496961671</x:v>
      </x:c>
      <x:c r="AR26" s="15" t="n">
        <x:v>0.8725837553481414</x:v>
      </x:c>
      <x:c r="AS26" s="15" t="n">
        <x:v>0.999957780930135</x:v>
      </x:c>
      <x:c r="AT26" s="15" t="n">
        <x:v>1</x:v>
      </x:c>
    </x:row>
    <x:row r="27" ht="24" customHeight="1">
      <x:c r="A27" s="18" t="str">
        <x:v>13043</x:v>
      </x:c>
      <x:c r="B27" s="3" t="str">
        <x:v>Candler County</x:v>
      </x:c>
      <x:c r="C27" s="3" t="str">
        <x:v>GA</x:v>
      </x:c>
      <x:c r="D27" s="12" t="n">
        <x:v>629.520842</x:v>
      </x:c>
      <x:c r="E27" s="12" t="n">
        <x:v>0.532</x:v>
      </x:c>
      <x:c r="F27" s="12" t="n">
        <x:v>0.267326732673267</x:v>
      </x:c>
      <x:c r="G27" s="12" t="n">
        <x:v>0.9386943224646344</x:v>
      </x:c>
      <x:c r="H27" s="12" t="n">
        <x:v>0.7526692794208245</x:v>
      </x:c>
      <x:c r="I27" s="12" t="n">
        <x:v>0.9263172952180243</x:v>
      </x:c>
      <x:c r="J27" s="12" t="n">
        <x:v>0.019739354102912256</x:v>
      </x:c>
      <x:c r="K27" s="12" t="n">
        <x:v>0.3100735339938929</x:v>
      </x:c>
      <x:c r="L27" s="24" t="n">
        <x:v>0.997726842</x:v>
      </x:c>
      <x:c r="M27" s="24" t="n">
        <x:v>0.997726842</x:v>
      </x:c>
      <x:c r="N27" s="13" t="n">
        <x:v>4741</x:v>
      </x:c>
      <x:c r="O27" s="12" t="n">
        <x:v>0.916</x:v>
      </x:c>
      <x:c r="P27" s="12" t="n">
        <x:v>2230.991984049479</x:v>
      </x:c>
      <x:c r="Q27" s="12" t="n">
        <x:v>74.20559056599934</x:v>
      </x:c>
      <x:c r="R27" s="12" t="n">
        <x:v>3.2385104239232785</x:v>
      </x:c>
      <x:c r="S27" s="12" t="n">
        <x:v>1.3931514236059273</x:v>
      </x:c>
      <x:c r="T27" s="12" t="n">
        <x:v>72.1</x:v>
      </x:c>
      <x:c r="U27" s="12" t="n">
        <x:v>211.4154781728841</x:v>
      </x:c>
      <x:c r="V27" s="12" t="n">
        <x:v>325.42757789465</x:v>
      </x:c>
      <x:c r="W27" s="12" t="n">
        <x:f>IF(ISNUMBER(E27),IF($I$172&gt;$H$172,(E27-$H$172)/($I$172-$H$172),"缺失"),"缺失")</x:f>
        <x:v>0.5601851851851852</x:v>
      </x:c>
      <x:c r="X27" s="12" t="n">
        <x:f>IF(ISNUMBER(F27),IF($I$173&gt;$H$173,(F27-$H$173)/($I$173-$H$173),"缺失"),"缺失")</x:f>
        <x:v>0.2658267716535429</x:v>
      </x:c>
      <x:c r="Y27" s="12" t="n">
        <x:f>IF(ISNUMBER(G27),IF($I$174&gt;$H$174,(G27-$H$174)/($I$174-$H$174),"缺失"),"缺失")</x:f>
        <x:v>0.24658159620376205</x:v>
      </x:c>
      <x:c r="Z27" s="12" t="n">
        <x:f>IF(ISNUMBER(H27),IF($I$175&gt;$H$175,(H27-$H$175)/($I$175-$H$175),"缺失"),"缺失")</x:f>
        <x:v>0.18512754223929095</x:v>
      </x:c>
      <x:c r="AA27" s="12" t="n">
        <x:f>IF(ISNUMBER(I27),IF($I$176&gt;$H$176,(I27-$H$176)/($I$176-$H$176),"缺失"),"缺失")</x:f>
        <x:v>0.9301118479828707</x:v>
      </x:c>
      <x:c r="AB27" s="12" t="n">
        <x:f>IF(ISNUMBER(J27),IF($I$177&gt;$H$177,(J27-$H$177)/($I$177-$H$177),"缺失"),"缺失")</x:f>
        <x:v>0.04842051680473836</x:v>
      </x:c>
      <x:c r="AC27" s="12" t="n">
        <x:f>IF(ISNUMBER(K27),IF($I$178&gt;$H$178,(K27-$H$178)/($I$178-$H$178),"缺失"),"缺失")</x:f>
        <x:v>0.5330788081177059</x:v>
      </x:c>
      <x:c r="AD27" s="12" t="n">
        <x:f>IF(ISNUMBER(L27),IF($I$179&gt;$H$179,(L27-$H$179)/($I$179-$H$179),"缺失"),"缺失")</x:f>
        <x:v>0.9977260899201584</x:v>
      </x:c>
      <x:c r="AE27" s="12" t="n">
        <x:f>IF(ISNUMBER(M27),IF($I$180&gt;$H$180,(M27-$H$180)/($I$180-$H$180),"缺失"),"缺失")</x:f>
        <x:v>0.997726842</x:v>
      </x:c>
      <x:c r="AF27" s="12" t="n">
        <x:f>IF(ISNUMBER(N27),IF($I$181&gt;$H$181,(N27-$H$181)/($I$181-$H$181),"缺失"),"缺失")</x:f>
        <x:v>0.006293615078588665</x:v>
      </x:c>
      <x:c r="AG27" s="12" t="n">
        <x:f>IF(ISNUMBER(O27),IF($I$182&gt;$H$182,(O27-$H$182)/($I$182-$H$182),"缺失"),"缺失")</x:f>
        <x:v>0.923776789324707</x:v>
      </x:c>
      <x:c r="AH27" s="12" t="n">
        <x:f>IF(ISNUMBER(P27),IF($I$183&gt;$H$183,(P27-$H$183)/($I$183-$H$183),"缺失"),"缺失")</x:f>
        <x:v>0.879567664131087</x:v>
      </x:c>
      <x:c r="AI27" s="12" t="n">
        <x:f>IF(ISNUMBER(Q27),IF($I$184&gt;$H$184,(Q27-$H$184)/($I$184-$H$184),"缺失"),"缺失")</x:f>
        <x:v>0.8682923070662198</x:v>
      </x:c>
      <x:c r="AJ27" s="12" t="n">
        <x:f>IF(ISNUMBER(R27),IF($I$185&gt;$H$185,(R27-$H$185)/($I$185-$H$185),"缺失"),"缺失")</x:f>
        <x:v>0.03252111102385354</x:v>
      </x:c>
      <x:c r="AK27" s="12" t="n">
        <x:f>IF(ISNUMBER(S27),IF($I$186&gt;$H$186,(S27-$H$186)/($I$186-$H$186),"缺失"),"缺失")</x:f>
        <x:v>0.02703722440404615</x:v>
      </x:c>
      <x:c r="AL27" s="12" t="n">
        <x:f>IF(ISNUMBER(T27),IF($I$187&gt;$H$187,(T27-$H$187)/($I$187-$H$187),"缺失"),"缺失")</x:f>
        <x:v>0</x:v>
      </x:c>
      <x:c r="AM27" s="12" t="n">
        <x:f>IF(ISNUMBER(U27),IF($I$188&gt;$H$188,(U27-$H$188)/($I$188-$H$188),"缺失"),"缺失")</x:f>
        <x:v>0</x:v>
      </x:c>
      <x:c r="AN27" s="12" t="n">
        <x:f>IF(ISNUMBER(V27),IF($I$189&gt;$H$189,(V27-$H$189)/($I$189-$H$189),"缺失"),"缺失")</x:f>
        <x:v>1</x:v>
      </x:c>
      <x:c r="AO27" s="23" t="str"/>
      <x:c r="AP27" s="23" t="str">
        <x:v>见指标口径：州级、产业、代表点代理；气候基期待核实</x:v>
      </x:c>
      <x:c r="AQ27" s="15" t="n">
        <x:v>1.0000000000000038</x:v>
      </x:c>
      <x:c r="AR27" s="15" t="n">
        <x:v>1.0000000000000038</x:v>
      </x:c>
      <x:c r="AS27" s="15" t="n">
        <x:v>1</x:v>
      </x:c>
      <x:c r="AT27" s="15" t="n">
        <x:v>1</x:v>
      </x:c>
    </x:row>
    <x:row r="28" ht="24" customHeight="1">
      <x:c r="A28" s="18" t="str">
        <x:v>13045</x:v>
      </x:c>
      <x:c r="B28" s="3" t="str">
        <x:v>Carroll County</x:v>
      </x:c>
      <x:c r="C28" s="3" t="str">
        <x:v>GA</x:v>
      </x:c>
      <x:c r="D28" s="12" t="n">
        <x:v>1292.705389</x:v>
      </x:c>
      <x:c r="E28" s="12" t="n">
        <x:v>0.838</x:v>
      </x:c>
      <x:c r="F28" s="12" t="n">
        <x:v>0.19894801980198001</x:v>
      </x:c>
      <x:c r="G28" s="12" t="n">
        <x:v>2.674351152637184</x:v>
      </x:c>
      <x:c r="H28" s="12" t="n">
        <x:v>2.4422651320300064</x:v>
      </x:c>
      <x:c r="I28" s="12" t="n">
        <x:v>0.8659177897253262</x:v>
      </x:c>
      <x:c r="J28" s="12" t="n">
        <x:v>0.0027474957634338404</x:v>
      </x:c>
      <x:c r="K28" s="12" t="n">
        <x:v>0.025235033548211813</x:v>
      </x:c>
      <x:c r="L28" s="24" t="n">
        <x:v>0.691672595</x:v>
      </x:c>
      <x:c r="M28" s="24" t="n">
        <x:v>0.688920508</x:v>
      </x:c>
      <x:c r="N28" s="13" t="n">
        <x:v>63362</x:v>
      </x:c>
      <x:c r="O28" s="12" t="n">
        <x:v>0.8428</x:v>
      </x:c>
      <x:c r="P28" s="12" t="n">
        <x:v>1349.5863932291666</x:v>
      </x:c>
      <x:c r="Q28" s="12" t="n">
        <x:v>27.73567174275716</x:v>
      </x:c>
      <x:c r="R28" s="12" t="n">
        <x:v>12.100655205212664</x:v>
      </x:c>
      <x:c r="S28" s="12" t="n">
        <x:v>0.6107113781393234</x:v>
      </x:c>
      <x:c r="T28" s="12" t="n">
        <x:v>72.1</x:v>
      </x:c>
      <x:c r="U28" s="12" t="n">
        <x:v>211.4154781728841</x:v>
      </x:c>
      <x:c r="V28" s="12" t="n">
        <x:v>325.42757789465</x:v>
      </x:c>
      <x:c r="W28" s="12" t="n">
        <x:f>IF(ISNUMBER(E28),IF($I$172&gt;$H$172,(E28-$H$172)/($I$172-$H$172),"缺失"),"缺失")</x:f>
        <x:v>0.9143518518518517</x:v>
      </x:c>
      <x:c r="X28" s="12" t="n">
        <x:f>IF(ISNUMBER(F28),IF($I$173&gt;$H$173,(F28-$H$173)/($I$173-$H$173),"缺失"),"缺失")</x:f>
        <x:v>0.19622047244094465</x:v>
      </x:c>
      <x:c r="Y28" s="12" t="n">
        <x:f>IF(ISNUMBER(G28),IF($I$174&gt;$H$174,(G28-$H$174)/($I$174-$H$174),"缺失"),"缺失")</x:f>
        <x:v>0.7031478139981159</x:v>
      </x:c>
      <x:c r="Z28" s="12" t="n">
        <x:f>IF(ISNUMBER(H28),IF($I$175&gt;$H$175,(H28-$H$175)/($I$175-$H$175),"缺失"),"缺失")</x:f>
        <x:v>0.6016596654810111</x:v>
      </x:c>
      <x:c r="AA28" s="12" t="n">
        <x:f>IF(ISNUMBER(I28),IF($I$176&gt;$H$176,(I28-$H$176)/($I$176-$H$176),"缺失"),"缺失")</x:f>
        <x:v>0.8652713870367403</x:v>
      </x:c>
      <x:c r="AB28" s="12" t="n">
        <x:f>IF(ISNUMBER(J28),IF($I$177&gt;$H$177,(J28-$H$177)/($I$177-$H$177),"缺失"),"缺失")</x:f>
        <x:v>0.006739590570730393</x:v>
      </x:c>
      <x:c r="AC28" s="12" t="n">
        <x:f>IF(ISNUMBER(K28),IF($I$178&gt;$H$178,(K28-$H$178)/($I$178-$H$178),"缺失"),"缺失")</x:f>
        <x:v>0.04338410129177948</x:v>
      </x:c>
      <x:c r="AD28" s="12" t="n">
        <x:f>IF(ISNUMBER(L28),IF($I$179&gt;$H$179,(L28-$H$179)/($I$179-$H$179),"缺失"),"缺失")</x:f>
        <x:v>0.6915705841297068</x:v>
      </x:c>
      <x:c r="AE28" s="12" t="n">
        <x:f>IF(ISNUMBER(M28),IF($I$180&gt;$H$180,(M28-$H$180)/($I$180-$H$180),"缺失"),"缺失")</x:f>
        <x:v>0.688920508</x:v>
      </x:c>
      <x:c r="AF28" s="12" t="n">
        <x:f>IF(ISNUMBER(N28),IF($I$181&gt;$H$181,(N28-$H$181)/($I$181-$H$181),"缺失"),"缺失")</x:f>
        <x:v>0.0973219914718643</x:v>
      </x:c>
      <x:c r="AG28" s="12" t="n">
        <x:f>IF(ISNUMBER(O28),IF($I$182&gt;$H$182,(O28-$H$182)/($I$182-$H$182),"缺失"),"缺失")</x:f>
        <x:v>0.8497775980590376</x:v>
      </x:c>
      <x:c r="AH28" s="12" t="n">
        <x:f>IF(ISNUMBER(P28),IF($I$183&gt;$H$183,(P28-$H$183)/($I$183-$H$183),"缺失"),"缺失")</x:f>
        <x:v>0.4830620294297802</x:v>
      </x:c>
      <x:c r="AI28" s="12" t="n">
        <x:f>IF(ISNUMBER(Q28),IF($I$184&gt;$H$184,(Q28-$H$184)/($I$184-$H$184),"缺失"),"缺失")</x:f>
        <x:v>0.32219661231980923</x:v>
      </x:c>
      <x:c r="AJ28" s="12" t="n">
        <x:f>IF(ISNUMBER(R28),IF($I$185&gt;$H$185,(R28-$H$185)/($I$185-$H$185),"缺失"),"缺失")</x:f>
        <x:v>0.1256485051481412</x:v>
      </x:c>
      <x:c r="AK28" s="12" t="n">
        <x:f>IF(ISNUMBER(S28),IF($I$186&gt;$H$186,(S28-$H$186)/($I$186-$H$186),"缺失"),"缺失")</x:f>
        <x:v>0.011762695943775782</x:v>
      </x:c>
      <x:c r="AL28" s="12" t="n">
        <x:f>IF(ISNUMBER(T28),IF($I$187&gt;$H$187,(T28-$H$187)/($I$187-$H$187),"缺失"),"缺失")</x:f>
        <x:v>0</x:v>
      </x:c>
      <x:c r="AM28" s="12" t="n">
        <x:f>IF(ISNUMBER(U28),IF($I$188&gt;$H$188,(U28-$H$188)/($I$188-$H$188),"缺失"),"缺失")</x:f>
        <x:v>0</x:v>
      </x:c>
      <x:c r="AN28" s="12" t="n">
        <x:f>IF(ISNUMBER(V28),IF($I$189&gt;$H$189,(V28-$H$189)/($I$189-$H$189),"缺失"),"缺失")</x:f>
        <x:v>1</x:v>
      </x:c>
      <x:c r="AO28" s="23" t="str"/>
      <x:c r="AP28" s="23" t="str">
        <x:v>见指标口径：州级、产业、代表点代理；气候基期待核实</x:v>
      </x:c>
      <x:c r="AQ28" s="15" t="n">
        <x:v>0.9999999999999983</x:v>
      </x:c>
      <x:c r="AR28" s="15" t="n">
        <x:v>0.9999999999999986</x:v>
      </x:c>
      <x:c r="AS28" s="15" t="n">
        <x:v>1</x:v>
      </x:c>
      <x:c r="AT28" s="15" t="n">
        <x:v>1</x:v>
      </x:c>
    </x:row>
    <x:row r="29" ht="24" customHeight="1">
      <x:c r="A29" s="18" t="str">
        <x:v>13047</x:v>
      </x:c>
      <x:c r="B29" s="3" t="str">
        <x:v>Catoosa County</x:v>
      </x:c>
      <x:c r="C29" s="3" t="str">
        <x:v>GA</x:v>
      </x:c>
      <x:c r="D29" s="12" t="n">
        <x:v>419.998917</x:v>
      </x:c>
      <x:c r="E29" s="12" t="n">
        <x:v>0.702</x:v>
      </x:c>
      <x:c r="F29" s="12" t="n">
        <x:v>0.713180693069307</x:v>
      </x:c>
      <x:c r="G29" s="12" t="n">
        <x:v>0.31236054215276465</x:v>
      </x:c>
      <x:c r="H29" s="12" t="n">
        <x:v>0.280437803</x:v>
      </x:c>
      <x:c r="I29" s="12" t="n">
        <x:v>0.7953112535062662</x:v>
      </x:c>
      <x:c r="J29" s="12" t="n">
        <x:v>0</x:v>
      </x:c>
      <x:c r="K29" s="12" t="n">
        <x:v>0.006506429227034492</x:v>
      </x:c>
      <x:c r="L29" s="24" t="n">
        <x:v>0.58935411</x:v>
      </x:c>
      <x:c r="M29" s="24" t="n">
        <x:v>0.58935411</x:v>
      </x:c>
      <x:c r="N29" s="13" t="n">
        <x:v>34455</x:v>
      </x:c>
      <x:c r="O29" s="12" t="n">
        <x:v>0.3086</x:v>
      </x:c>
      <x:c r="P29" s="12" t="n">
        <x:v>1405.244405110677</x:v>
      </x:c>
      <x:c r="Q29" s="12" t="n">
        <x:v>30.63939514160156</x:v>
      </x:c>
      <x:c r="R29" s="12" t="n">
        <x:v>1.33934659084041</x:v>
      </x:c>
      <x:c r="S29" s="12" t="n">
        <x:v>3.291829700806426</x:v>
      </x:c>
      <x:c r="T29" s="12" t="n">
        <x:v>72.1</x:v>
      </x:c>
      <x:c r="U29" s="12" t="n">
        <x:v>211.4154781728841</x:v>
      </x:c>
      <x:c r="V29" s="12" t="n">
        <x:v>325.42757789465</x:v>
      </x:c>
      <x:c r="W29" s="12" t="n">
        <x:f>IF(ISNUMBER(E29),IF($I$172&gt;$H$172,(E29-$H$172)/($I$172-$H$172),"缺失"),"缺失")</x:f>
        <x:v>0.7569444444444443</x:v>
      </x:c>
      <x:c r="X29" s="12" t="n">
        <x:f>IF(ISNUMBER(F29),IF($I$173&gt;$H$173,(F29-$H$173)/($I$173-$H$173),"缺失"),"缺失")</x:f>
        <x:v>0.7196850393700787</x:v>
      </x:c>
      <x:c r="Y29" s="12" t="n">
        <x:f>IF(ISNUMBER(G29),IF($I$174&gt;$H$174,(G29-$H$174)/($I$174-$H$174),"缺失"),"缺失")</x:f>
        <x:v>0.08182388593369605</x:v>
      </x:c>
      <x:c r="Z29" s="12" t="n">
        <x:f>IF(ISNUMBER(H29),IF($I$175&gt;$H$175,(H29-$H$175)/($I$175-$H$175),"缺失"),"缺失")</x:f>
        <x:v>0.0687094182060304</x:v>
      </x:c>
      <x:c r="AA29" s="12" t="n">
        <x:f>IF(ISNUMBER(I29),IF($I$176&gt;$H$176,(I29-$H$176)/($I$176-$H$176),"缺失"),"缺失")</x:f>
        <x:v>0.7894734096045084</x:v>
      </x:c>
      <x:c r="AB29" s="12" t="n">
        <x:f>IF(ISNUMBER(J29),IF($I$177&gt;$H$177,(J29-$H$177)/($I$177-$H$177),"缺失"),"缺失")</x:f>
        <x:v>0</x:v>
      </x:c>
      <x:c r="AC29" s="12" t="n">
        <x:f>IF(ISNUMBER(K29),IF($I$178&gt;$H$178,(K29-$H$178)/($I$178-$H$178),"缺失"),"缺失")</x:f>
        <x:v>0.0111858612786929</x:v>
      </x:c>
      <x:c r="AD29" s="12" t="n">
        <x:f>IF(ISNUMBER(L29),IF($I$179&gt;$H$179,(L29-$H$179)/($I$179-$H$179),"缺失"),"缺失")</x:f>
        <x:v>0.5892182468106049</x:v>
      </x:c>
      <x:c r="AE29" s="12" t="n">
        <x:f>IF(ISNUMBER(M29),IF($I$180&gt;$H$180,(M29-$H$180)/($I$180-$H$180),"缺失"),"缺失")</x:f>
        <x:v>0.58935411</x:v>
      </x:c>
      <x:c r="AF29" s="12" t="n">
        <x:f>IF(ISNUMBER(N29),IF($I$181&gt;$H$181,(N29-$H$181)/($I$181-$H$181),"缺失"),"缺失")</x:f>
        <x:v>0.05243436969126658</x:v>
      </x:c>
      <x:c r="AG29" s="12" t="n">
        <x:f>IF(ISNUMBER(O29),IF($I$182&gt;$H$182,(O29-$H$182)/($I$182-$H$182),"缺失"),"缺失")</x:f>
        <x:v>0.3097452486858067</x:v>
      </x:c>
      <x:c r="AH29" s="12" t="n">
        <x:f>IF(ISNUMBER(P29),IF($I$183&gt;$H$183,(P29-$H$183)/($I$183-$H$183),"缺失"),"缺失")</x:f>
        <x:v>0.5081001226267522</x:v>
      </x:c>
      <x:c r="AI29" s="12" t="n">
        <x:f>IF(ISNUMBER(Q29),IF($I$184&gt;$H$184,(Q29-$H$184)/($I$184-$H$184),"缺失"),"缺失")</x:f>
        <x:v>0.3563199955104474</x:v>
      </x:c>
      <x:c r="AJ29" s="12" t="n">
        <x:f>IF(ISNUMBER(R29),IF($I$185&gt;$H$185,(R29-$H$185)/($I$185-$H$185),"缺失"),"缺失")</x:f>
        <x:v>0.012563845242830215</x:v>
      </x:c>
      <x:c r="AK29" s="12" t="n">
        <x:f>IF(ISNUMBER(S29),IF($I$186&gt;$H$186,(S29-$H$186)/($I$186-$H$186),"缺失"),"缺失")</x:f>
        <x:v>0.06410257599236023</x:v>
      </x:c>
      <x:c r="AL29" s="12" t="n">
        <x:f>IF(ISNUMBER(T29),IF($I$187&gt;$H$187,(T29-$H$187)/($I$187-$H$187),"缺失"),"缺失")</x:f>
        <x:v>0</x:v>
      </x:c>
      <x:c r="AM29" s="12" t="n">
        <x:f>IF(ISNUMBER(U29),IF($I$188&gt;$H$188,(U29-$H$188)/($I$188-$H$188),"缺失"),"缺失")</x:f>
        <x:v>0</x:v>
      </x:c>
      <x:c r="AN29" s="12" t="n">
        <x:f>IF(ISNUMBER(V29),IF($I$189&gt;$H$189,(V29-$H$189)/($I$189-$H$189),"缺失"),"缺失")</x:f>
        <x:v>1</x:v>
      </x:c>
      <x:c r="AO29" s="23" t="str"/>
      <x:c r="AP29" s="23" t="str">
        <x:v>见指标口径：州级、产业、代表点代理；气候基期待核实</x:v>
      </x:c>
      <x:c r="AQ29" s="15" t="n">
        <x:v>0.9999999999999994</x:v>
      </x:c>
      <x:c r="AR29" s="15" t="n">
        <x:v>1.0000000000000002</x:v>
      </x:c>
      <x:c r="AS29" s="15" t="n">
        <x:v>1</x:v>
      </x:c>
      <x:c r="AT29" s="15" t="n">
        <x:v>1</x:v>
      </x:c>
    </x:row>
    <x:row r="30" ht="24" customHeight="1">
      <x:c r="A30" s="18" t="str">
        <x:v>13049</x:v>
      </x:c>
      <x:c r="B30" s="3" t="str">
        <x:v>Charlton County</x:v>
      </x:c>
      <x:c r="C30" s="3" t="str">
        <x:v>GA</x:v>
      </x:c>
      <x:c r="D30" s="12" t="n">
        <x:v>2020.415649</x:v>
      </x:c>
      <x:c r="E30" s="12" t="n">
        <x:v>0.755</x:v>
      </x:c>
      <x:c r="F30" s="12" t="n">
        <x:v>0.301980198019802</x:v>
      </x:c>
      <x:c r="G30" s="12" t="n">
        <x:v>1.815917442219803</x:v>
      </x:c>
      <x:c r="H30" s="12" t="n">
        <x:v>1.8364463936606963</x:v>
      </x:c>
      <x:c r="I30" s="12" t="n">
        <x:v>0.9574884980955991</x:v>
      </x:c>
      <x:c r="J30" s="12" t="n">
        <x:v>0.4076650850818798</x:v>
      </x:c>
      <x:c r="K30" s="12" t="n">
        <x:v>0.523200462525996</x:v>
      </x:c>
      <x:c r="L30" s="24" t="n">
        <x:v>0.74266448</x:v>
      </x:c>
      <x:c r="M30" s="24" t="n">
        <x:v>0.74266448</x:v>
      </x:c>
      <x:c r="N30" s="13" t="n">
        <x:v>4417</x:v>
      </x:c>
      <x:c r="O30" s="12" t="n">
        <x:v>0.8855</x:v>
      </x:c>
      <x:c r="P30" s="12" t="n">
        <x:v>2427.6681559244794</x:v>
      </x:c>
      <x:c r="Q30" s="12" t="n">
        <x:v>85.41323394775391</x:v>
      </x:c>
      <x:c r="R30" s="12" t="n">
        <x:v>44.704859985018906</x:v>
      </x:c>
      <x:c r="S30" s="12" t="n">
        <x:v>13.09976038540968</x:v>
      </x:c>
      <x:c r="T30" s="12" t="n">
        <x:v>72.1</x:v>
      </x:c>
      <x:c r="U30" s="12" t="n">
        <x:v>211.4154781728841</x:v>
      </x:c>
      <x:c r="V30" s="12" t="n">
        <x:v>325.42757789465</x:v>
      </x:c>
      <x:c r="W30" s="12" t="n">
        <x:f>IF(ISNUMBER(E30),IF($I$172&gt;$H$172,(E30-$H$172)/($I$172-$H$172),"缺失"),"缺失")</x:f>
        <x:v>0.818287037037037</x:v>
      </x:c>
      <x:c r="X30" s="12" t="n">
        <x:f>IF(ISNUMBER(F30),IF($I$173&gt;$H$173,(F30-$H$173)/($I$173-$H$173),"缺失"),"缺失")</x:f>
        <x:v>0.30110236220472436</x:v>
      </x:c>
      <x:c r="Y30" s="12" t="n">
        <x:f>IF(ISNUMBER(G30),IF($I$174&gt;$H$174,(G30-$H$174)/($I$174-$H$174),"缺失"),"缺失")</x:f>
        <x:v>0.4773359913041831</x:v>
      </x:c>
      <x:c r="Z30" s="12" t="n">
        <x:f>IF(ISNUMBER(H30),IF($I$175&gt;$H$175,(H30-$H$175)/($I$175-$H$175),"缺失"),"缺失")</x:f>
        <x:v>0.4523085854562201</x:v>
      </x:c>
      <x:c r="AA30" s="12" t="n">
        <x:f>IF(ISNUMBER(I30),IF($I$176&gt;$H$176,(I30-$H$176)/($I$176-$H$176),"缺失"),"缺失")</x:f>
        <x:v>0.9635749557739045</x:v>
      </x:c>
      <x:c r="AB30" s="12" t="n">
        <x:f>IF(ISNUMBER(J30),IF($I$177&gt;$H$177,(J30-$H$177)/($I$177-$H$177),"缺失"),"缺失")</x:f>
        <x:v>1</x:v>
      </x:c>
      <x:c r="AC30" s="12" t="n">
        <x:f>IF(ISNUMBER(K30),IF($I$178&gt;$H$178,(K30-$H$178)/($I$178-$H$178),"缺失"),"缺失")</x:f>
        <x:v>0.8994868906660174</x:v>
      </x:c>
      <x:c r="AD30" s="12" t="n">
        <x:f>IF(ISNUMBER(L30),IF($I$179&gt;$H$179,(L30-$H$179)/($I$179-$H$179),"缺失"),"缺失")</x:f>
        <x:v>0.7425793399186227</x:v>
      </x:c>
      <x:c r="AE30" s="12" t="n">
        <x:f>IF(ISNUMBER(M30),IF($I$180&gt;$H$180,(M30-$H$180)/($I$180-$H$180),"缺失"),"缺失")</x:f>
        <x:v>0.74266448</x:v>
      </x:c>
      <x:c r="AF30" s="12" t="n">
        <x:f>IF(ISNUMBER(N30),IF($I$181&gt;$H$181,(N30-$H$181)/($I$181-$H$181),"缺失"),"缺失")</x:f>
        <x:v>0.005790498551210741</x:v>
      </x:c>
      <x:c r="AG30" s="12" t="n">
        <x:f>IF(ISNUMBER(O30),IF($I$182&gt;$H$182,(O30-$H$182)/($I$182-$H$182),"缺失"),"缺失")</x:f>
        <x:v>0.8929437929640113</x:v>
      </x:c>
      <x:c r="AH30" s="12" t="n">
        <x:f>IF(ISNUMBER(P30),IF($I$183&gt;$H$183,(P30-$H$183)/($I$183-$H$183),"缺失"),"缺失")</x:f>
        <x:v>0.9680436293077345</x:v>
      </x:c>
      <x:c r="AI30" s="12" t="n">
        <x:f>IF(ISNUMBER(Q30),IF($I$184&gt;$H$184,(Q30-$H$184)/($I$184-$H$184),"缺失"),"缺失")</x:f>
        <x:v>1</x:v>
      </x:c>
      <x:c r="AJ30" s="12" t="n">
        <x:f>IF(ISNUMBER(R30),IF($I$185&gt;$H$185,(R30-$H$185)/($I$185-$H$185),"缺失"),"缺失")</x:f>
        <x:v>0.46826811965146353</x:v>
      </x:c>
      <x:c r="AK30" s="12" t="n">
        <x:f>IF(ISNUMBER(S30),IF($I$186&gt;$H$186,(S30-$H$186)/($I$186-$H$186),"缺失"),"缺失")</x:f>
        <x:v>0.2555696631466126</x:v>
      </x:c>
      <x:c r="AL30" s="12" t="n">
        <x:f>IF(ISNUMBER(T30),IF($I$187&gt;$H$187,(T30-$H$187)/($I$187-$H$187),"缺失"),"缺失")</x:f>
        <x:v>0</x:v>
      </x:c>
      <x:c r="AM30" s="12" t="n">
        <x:f>IF(ISNUMBER(U30),IF($I$188&gt;$H$188,(U30-$H$188)/($I$188-$H$188),"缺失"),"缺失")</x:f>
        <x:v>0</x:v>
      </x:c>
      <x:c r="AN30" s="12" t="n">
        <x:f>IF(ISNUMBER(V30),IF($I$189&gt;$H$189,(V30-$H$189)/($I$189-$H$189),"缺失"),"缺失")</x:f>
        <x:v>1</x:v>
      </x:c>
      <x:c r="AO30" s="23" t="str"/>
      <x:c r="AP30" s="23" t="str">
        <x:v>见指标口径：州级、产业、代表点代理；气候基期待核实</x:v>
      </x:c>
      <x:c r="AQ30" s="15" t="n">
        <x:v>1.000000000000006</x:v>
      </x:c>
      <x:c r="AR30" s="15" t="n">
        <x:v>1.000000000000004</x:v>
      </x:c>
      <x:c r="AS30" s="15" t="n">
        <x:v>1</x:v>
      </x:c>
      <x:c r="AT30" s="15" t="n">
        <x:v>1</x:v>
      </x:c>
    </x:row>
    <x:row r="31" ht="24" customHeight="1">
      <x:c r="A31" s="18" t="str">
        <x:v>13051</x:v>
      </x:c>
      <x:c r="B31" s="3" t="str">
        <x:v>Chatham County</x:v>
      </x:c>
      <x:c r="C31" s="3" t="str">
        <x:v>GA</x:v>
      </x:c>
      <x:c r="D31" s="12" t="n">
        <x:v>1120.736307</x:v>
      </x:c>
      <x:c r="E31" s="12" t="n">
        <x:v>0.754</x:v>
      </x:c>
      <x:c r="F31" s="12" t="n">
        <x:v>0.29548267326732697</x:v>
      </x:c>
      <x:c r="G31" s="12" t="n">
        <x:v>1.3092848812324227</x:v>
      </x:c>
      <x:c r="H31" s="12" t="n">
        <x:v>1.1166436468840895</x:v>
      </x:c>
      <x:c r="I31" s="12" t="n">
        <x:v>0.6943776115434734</x:v>
      </x:c>
      <x:c r="J31" s="12" t="n">
        <x:v>0.22104811638347563</x:v>
      </x:c>
      <x:c r="K31" s="12" t="n">
        <x:v>0.5099480727506671</x:v>
      </x:c>
      <x:c r="L31" s="24" t="n">
        <x:v>0.633356167</x:v>
      </x:c>
      <x:c r="M31" s="24" t="n">
        <x:v>0.630909743</x:v>
      </x:c>
      <x:c r="N31" s="13" t="n">
        <x:v>156394</x:v>
      </x:c>
      <x:c r="O31" s="12" t="n">
        <x:v>0.805</x:v>
      </x:c>
      <x:c r="P31" s="12" t="n">
        <x:v>2278.2927408854166</x:v>
      </x:c>
      <x:c r="Q31" s="12" t="n">
        <x:v>54.37187207539876</x:v>
      </x:c>
      <x:c r="R31" s="12" t="n">
        <x:v>6.200173524998914</x:v>
      </x:c>
      <x:c r="S31" s="12" t="n">
        <x:v>7.096754425291738</x:v>
      </x:c>
      <x:c r="T31" s="12" t="n">
        <x:v>72.1</x:v>
      </x:c>
      <x:c r="U31" s="12" t="n">
        <x:v>211.4154781728841</x:v>
      </x:c>
      <x:c r="V31" s="12" t="n">
        <x:v>325.42757789465</x:v>
      </x:c>
      <x:c r="W31" s="12" t="n">
        <x:f>IF(ISNUMBER(E31),IF($I$172&gt;$H$172,(E31-$H$172)/($I$172-$H$172),"缺失"),"缺失")</x:f>
        <x:v>0.8171296296296295</x:v>
      </x:c>
      <x:c r="X31" s="12" t="n">
        <x:f>IF(ISNUMBER(F31),IF($I$173&gt;$H$173,(F31-$H$173)/($I$173-$H$173),"缺失"),"缺失")</x:f>
        <x:v>0.29448818897637813</x:v>
      </x:c>
      <x:c r="Y31" s="12" t="n">
        <x:f>IF(ISNUMBER(G31),IF($I$174&gt;$H$174,(G31-$H$174)/($I$174-$H$174),"缺失"),"缺失")</x:f>
        <x:v>0.3440658032345289</x:v>
      </x:c>
      <x:c r="Z31" s="12" t="n">
        <x:f>IF(ISNUMBER(H31),IF($I$175&gt;$H$175,(H31-$H$175)/($I$175-$H$175),"缺失"),"缺失")</x:f>
        <x:v>0.2748572937955075</x:v>
      </x:c>
      <x:c r="AA31" s="12" t="n">
        <x:f>IF(ISNUMBER(I31),IF($I$176&gt;$H$176,(I31-$H$176)/($I$176-$H$176),"缺失"),"缺失")</x:f>
        <x:v>0.6811184849001932</x:v>
      </x:c>
      <x:c r="AB31" s="12" t="n">
        <x:f>IF(ISNUMBER(J31),IF($I$177&gt;$H$177,(J31-$H$177)/($I$177-$H$177),"缺失"),"缺失")</x:f>
        <x:v>0.5422296990164805</x:v>
      </x:c>
      <x:c r="AC31" s="12" t="n">
        <x:f>IF(ISNUMBER(K31),IF($I$178&gt;$H$178,(K31-$H$178)/($I$178-$H$178),"缺失"),"缺失")</x:f>
        <x:v>0.876703365561025</x:v>
      </x:c>
      <x:c r="AD31" s="12" t="n">
        <x:f>IF(ISNUMBER(L31),IF($I$179&gt;$H$179,(L31-$H$179)/($I$179-$H$179),"缺失"),"缺失")</x:f>
        <x:v>0.6332348619979618</x:v>
      </x:c>
      <x:c r="AE31" s="12" t="n">
        <x:f>IF(ISNUMBER(M31),IF($I$180&gt;$H$180,(M31-$H$180)/($I$180-$H$180),"缺失"),"缺失")</x:f>
        <x:v>0.630909743</x:v>
      </x:c>
      <x:c r="AF31" s="12" t="n">
        <x:f>IF(ISNUMBER(N31),IF($I$181&gt;$H$181,(N31-$H$181)/($I$181-$H$181),"缺失"),"缺失")</x:f>
        <x:v>0.24178475929600954</x:v>
      </x:c>
      <x:c r="AG31" s="12" t="n">
        <x:f>IF(ISNUMBER(O31),IF($I$182&gt;$H$182,(O31-$H$182)/($I$182-$H$182),"缺失"),"缺失")</x:f>
        <x:v>0.8115649009300446</x:v>
      </x:c>
      <x:c r="AH31" s="12" t="n">
        <x:f>IF(ISNUMBER(P31),IF($I$183&gt;$H$183,(P31-$H$183)/($I$183-$H$183),"缺失"),"缺失")</x:f>
        <x:v>0.9008461956112771</x:v>
      </x:c>
      <x:c r="AI31" s="12" t="n">
        <x:f>IF(ISNUMBER(Q31),IF($I$184&gt;$H$184,(Q31-$H$184)/($I$184-$H$184),"缺失"),"缺失")</x:f>
        <x:v>0.6352144676207157</x:v>
      </x:c>
      <x:c r="AJ31" s="12" t="n">
        <x:f>IF(ISNUMBER(R31),IF($I$185&gt;$H$185,(R31-$H$185)/($I$185-$H$185),"缺失"),"缺失")</x:f>
        <x:v>0.06364359589450827</x:v>
      </x:c>
      <x:c r="AK31" s="12" t="n">
        <x:f>IF(ISNUMBER(S31),IF($I$186&gt;$H$186,(S31-$H$186)/($I$186-$H$186),"缺失"),"缺失")</x:f>
        <x:v>0.13838102241144487</x:v>
      </x:c>
      <x:c r="AL31" s="12" t="n">
        <x:f>IF(ISNUMBER(T31),IF($I$187&gt;$H$187,(T31-$H$187)/($I$187-$H$187),"缺失"),"缺失")</x:f>
        <x:v>0</x:v>
      </x:c>
      <x:c r="AM31" s="12" t="n">
        <x:f>IF(ISNUMBER(U31),IF($I$188&gt;$H$188,(U31-$H$188)/($I$188-$H$188),"缺失"),"缺失")</x:f>
        <x:v>0</x:v>
      </x:c>
      <x:c r="AN31" s="12" t="n">
        <x:f>IF(ISNUMBER(V31),IF($I$189&gt;$H$189,(V31-$H$189)/($I$189-$H$189),"缺失"),"缺失")</x:f>
        <x:v>1</x:v>
      </x:c>
      <x:c r="AO31" s="23" t="str"/>
      <x:c r="AP31" s="23" t="str">
        <x:v>baseline_water_stress:有效县域面积覆盖&lt;99%（诊断提示，非行业阈值）；water_stress_2050_bau:有效县域面积覆盖&lt;99%（诊断提示，非行业阈值）</x:v>
      </x:c>
      <x:c r="AQ31" s="15" t="n">
        <x:v>0.7828774162277583</x:v>
      </x:c>
      <x:c r="AR31" s="15" t="n">
        <x:v>0.7826698221490265</x:v>
      </x:c>
      <x:c r="AS31" s="15" t="n">
        <x:v>1</x:v>
      </x:c>
      <x:c r="AT31" s="15" t="n">
        <x:v>1</x:v>
      </x:c>
    </x:row>
    <x:row r="32" ht="24" customHeight="1">
      <x:c r="A32" s="18" t="str">
        <x:v>13053</x:v>
      </x:c>
      <x:c r="B32" s="3" t="str">
        <x:v>Chattahoochee County</x:v>
      </x:c>
      <x:c r="C32" s="3" t="str">
        <x:v>GA</x:v>
      </x:c>
      <x:c r="D32" s="12" t="n">
        <x:v>644.225832</x:v>
      </x:c>
      <x:c r="E32" s="12" t="n">
        <x:v>0.586</x:v>
      </x:c>
      <x:c r="F32" s="12" t="n">
        <x:v>0.111076732673267</x:v>
      </x:c>
      <x:c r="G32" s="12" t="n">
        <x:v>0.02673397358246516</x:v>
      </x:c>
      <x:c r="H32" s="12" t="n">
        <x:v>0.026579610830519188</x:v>
      </x:c>
      <x:c r="I32" s="12" t="n">
        <x:v>0.9021762025189325</x:v>
      </x:c>
      <x:c r="J32" s="12" t="n">
        <x:v>0.0001619977655632816</x:v>
      </x:c>
      <x:c r="K32" s="12" t="n">
        <x:v>0.0801084125759704</x:v>
      </x:c>
      <x:c r="L32" s="24" t="n">
        <x:v>0.186491333</x:v>
      </x:c>
      <x:c r="M32" s="24" t="n">
        <x:v>0.186491333</x:v>
      </x:c>
      <x:c r="N32" s="13" t="n">
        <x:v>1213</x:v>
      </x:c>
      <x:c r="O32" s="12" t="n">
        <x:v>0.6554</x:v>
      </x:c>
      <x:c r="P32" s="12" t="n">
        <x:v>2039.6608927408856</x:v>
      </x:c>
      <x:c r="Q32" s="12" t="n">
        <x:v>61.17493120829264</x:v>
      </x:c>
      <x:c r="R32" s="12" t="n">
        <x:v>14.326327675767022</x:v>
      </x:c>
      <x:c r="S32" s="12" t="n">
        <x:v>0.12356380293806463</x:v>
      </x:c>
      <x:c r="T32" s="12" t="n">
        <x:v>72.1</x:v>
      </x:c>
      <x:c r="U32" s="12" t="n">
        <x:v>211.4154781728841</x:v>
      </x:c>
      <x:c r="V32" s="12" t="n">
        <x:v>325.42757789465</x:v>
      </x:c>
      <x:c r="W32" s="12" t="n">
        <x:f>IF(ISNUMBER(E32),IF($I$172&gt;$H$172,(E32-$H$172)/($I$172-$H$172),"缺失"),"缺失")</x:f>
        <x:v>0.6226851851851851</x:v>
      </x:c>
      <x:c r="X32" s="12" t="n">
        <x:f>IF(ISNUMBER(F32),IF($I$173&gt;$H$173,(F32-$H$173)/($I$173-$H$173),"缺失"),"缺失")</x:f>
        <x:v>0.10677165354330671</x:v>
      </x:c>
      <x:c r="Y32" s="12" t="n">
        <x:f>IF(ISNUMBER(G32),IF($I$174&gt;$H$174,(G32-$H$174)/($I$174-$H$174),"缺失"),"缺失")</x:f>
        <x:v>0.006689539185694671</x:v>
      </x:c>
      <x:c r="Z32" s="12" t="n">
        <x:f>IF(ISNUMBER(H32),IF($I$175&gt;$H$175,(H32-$H$175)/($I$175-$H$175),"缺失"),"缺失")</x:f>
        <x:v>0.006126350413002947</x:v>
      </x:c>
      <x:c r="AA32" s="12" t="n">
        <x:f>IF(ISNUMBER(I32),IF($I$176&gt;$H$176,(I32-$H$176)/($I$176-$H$176),"缺失"),"缺失")</x:f>
        <x:v>0.9041957487435878</x:v>
      </x:c>
      <x:c r="AB32" s="12" t="n">
        <x:f>IF(ISNUMBER(J32),IF($I$177&gt;$H$177,(J32-$H$177)/($I$177-$H$177),"缺失"),"缺失")</x:f>
        <x:v>0.0003973795438742178</x:v>
      </x:c>
      <x:c r="AC32" s="12" t="n">
        <x:f>IF(ISNUMBER(K32),IF($I$178&gt;$H$178,(K32-$H$178)/($I$178-$H$178),"缺失"),"缺失")</x:f>
        <x:v>0.1377224832643757</x:v>
      </x:c>
      <x:c r="AD32" s="12" t="n">
        <x:f>IF(ISNUMBER(L32),IF($I$179&gt;$H$179,(L32-$H$179)/($I$179-$H$179),"缺失"),"缺失")</x:f>
        <x:v>0.18622218168303642</x:v>
      </x:c>
      <x:c r="AE32" s="12" t="n">
        <x:f>IF(ISNUMBER(M32),IF($I$180&gt;$H$180,(M32-$H$180)/($I$180-$H$180),"缺失"),"缺失")</x:f>
        <x:v>0.186491333</x:v>
      </x:c>
      <x:c r="AF32" s="12" t="n">
        <x:f>IF(ISNUMBER(N32),IF($I$181&gt;$H$181,(N32-$H$181)/($I$181-$H$181),"缺失"),"缺失")</x:f>
        <x:v>0.0008152351138068219</x:v>
      </x:c>
      <x:c r="AG32" s="12" t="n">
        <x:f>IF(ISNUMBER(O32),IF($I$182&gt;$H$182,(O32-$H$182)/($I$182-$H$182),"缺失"),"缺失")</x:f>
        <x:v>0.6603315810756167</x:v>
      </x:c>
      <x:c r="AH32" s="12" t="n">
        <x:f>IF(ISNUMBER(P32),IF($I$183&gt;$H$183,(P32-$H$183)/($I$183-$H$183),"缺失"),"缺失")</x:f>
        <x:v>0.7934962157677949</x:v>
      </x:c>
      <x:c r="AI32" s="12" t="n">
        <x:f>IF(ISNUMBER(Q32),IF($I$184&gt;$H$184,(Q32-$H$184)/($I$184-$H$184),"缺失"),"缺失")</x:f>
        <x:v>0.7151612675647787</x:v>
      </x:c>
      <x:c r="AJ32" s="12" t="n">
        <x:f>IF(ISNUMBER(R32),IF($I$185&gt;$H$185,(R32-$H$185)/($I$185-$H$185),"缺失"),"缺失")</x:f>
        <x:v>0.14903687020786166</x:v>
      </x:c>
      <x:c r="AK32" s="12" t="n">
        <x:f>IF(ISNUMBER(S32),IF($I$186&gt;$H$186,(S32-$H$186)/($I$186-$H$186),"缺失"),"缺失")</x:f>
        <x:v>0.0022527666592566616</x:v>
      </x:c>
      <x:c r="AL32" s="12" t="n">
        <x:f>IF(ISNUMBER(T32),IF($I$187&gt;$H$187,(T32-$H$187)/($I$187-$H$187),"缺失"),"缺失")</x:f>
        <x:v>0</x:v>
      </x:c>
      <x:c r="AM32" s="12" t="n">
        <x:f>IF(ISNUMBER(U32),IF($I$188&gt;$H$188,(U32-$H$188)/($I$188-$H$188),"缺失"),"缺失")</x:f>
        <x:v>0</x:v>
      </x:c>
      <x:c r="AN32" s="12" t="n">
        <x:f>IF(ISNUMBER(V32),IF($I$189&gt;$H$189,(V32-$H$189)/($I$189-$H$189),"缺失"),"缺失")</x:f>
        <x:v>1</x:v>
      </x:c>
      <x:c r="AO32" s="23" t="str"/>
      <x:c r="AP32" s="23" t="str">
        <x:v>见指标口径：州级、产业、代表点代理；气候基期待核实</x:v>
      </x:c>
      <x:c r="AQ32" s="15" t="n">
        <x:v>0.9999999999999998</x:v>
      </x:c>
      <x:c r="AR32" s="15" t="n">
        <x:v>1.0000000000000004</x:v>
      </x:c>
      <x:c r="AS32" s="15" t="n">
        <x:v>1</x:v>
      </x:c>
      <x:c r="AT32" s="15" t="n">
        <x:v>1</x:v>
      </x:c>
    </x:row>
    <x:row r="33" ht="24" customHeight="1">
      <x:c r="A33" s="18" t="str">
        <x:v>13055</x:v>
      </x:c>
      <x:c r="B33" s="3" t="str">
        <x:v>Chattooga County</x:v>
      </x:c>
      <x:c r="C33" s="3" t="str">
        <x:v>GA</x:v>
      </x:c>
      <x:c r="D33" s="12" t="n">
        <x:v>811.512397</x:v>
      </x:c>
      <x:c r="E33" s="12" t="n">
        <x:v>0.785</x:v>
      </x:c>
      <x:c r="F33" s="12" t="n">
        <x:v>0.80259900990099</x:v>
      </x:c>
      <x:c r="G33" s="12" t="n">
        <x:v>1.838064287550523</x:v>
      </x:c>
      <x:c r="H33" s="12" t="n">
        <x:v>1.5400199899032252</x:v>
      </x:c>
      <x:c r="I33" s="12" t="n">
        <x:v>0.9483934263756068</x:v>
      </x:c>
      <x:c r="J33" s="12" t="n">
        <x:v>0.015883602508480508</x:v>
      </x:c>
      <x:c r="K33" s="12" t="n">
        <x:v>0.006284297810828858</x:v>
      </x:c>
      <x:c r="L33" s="24" t="n">
        <x:v>0.694976783</x:v>
      </x:c>
      <x:c r="M33" s="24" t="n">
        <x:v>0.694976783</x:v>
      </x:c>
      <x:c r="N33" s="13" t="n">
        <x:v>9029</x:v>
      </x:c>
      <x:c r="O33" s="12" t="n">
        <x:v>0.9481</x:v>
      </x:c>
      <x:c r="P33" s="12" t="n">
        <x:v>1331.7098103841147</x:v>
      </x:c>
      <x:c r="Q33" s="12" t="n">
        <x:v>32.2814640045166</x:v>
      </x:c>
      <x:c r="R33" s="12" t="n">
        <x:v>30.287495868596707</x:v>
      </x:c>
      <x:c r="S33" s="12" t="n">
        <x:v>0.46766000811526637</x:v>
      </x:c>
      <x:c r="T33" s="12" t="n">
        <x:v>72.1</x:v>
      </x:c>
      <x:c r="U33" s="12" t="n">
        <x:v>211.4154781728841</x:v>
      </x:c>
      <x:c r="V33" s="12" t="n">
        <x:v>325.42757789465</x:v>
      </x:c>
      <x:c r="W33" s="12" t="n">
        <x:f>IF(ISNUMBER(E33),IF($I$172&gt;$H$172,(E33-$H$172)/($I$172-$H$172),"缺失"),"缺失")</x:f>
        <x:v>0.8530092592592593</x:v>
      </x:c>
      <x:c r="X33" s="12" t="n">
        <x:f>IF(ISNUMBER(F33),IF($I$173&gt;$H$173,(F33-$H$173)/($I$173-$H$173),"缺失"),"缺失")</x:f>
        <x:v>0.8107086614173226</x:v>
      </x:c>
      <x:c r="Y33" s="12" t="n">
        <x:f>IF(ISNUMBER(G33),IF($I$174&gt;$H$174,(G33-$H$174)/($I$174-$H$174),"缺失"),"缺失")</x:f>
        <x:v>0.4831617405150557</x:v>
      </x:c>
      <x:c r="Z33" s="12" t="n">
        <x:f>IF(ISNUMBER(H33),IF($I$175&gt;$H$175,(H33-$H$175)/($I$175-$H$175),"缺失"),"缺失")</x:f>
        <x:v>0.3792312757840077</x:v>
      </x:c>
      <x:c r="AA33" s="12" t="n">
        <x:f>IF(ISNUMBER(I33),IF($I$176&gt;$H$176,(I33-$H$176)/($I$176-$H$176),"缺失"),"缺失")</x:f>
        <x:v>0.9538111565862818</x:v>
      </x:c>
      <x:c r="AB33" s="12" t="n">
        <x:f>IF(ISNUMBER(J33),IF($I$177&gt;$H$177,(J33-$H$177)/($I$177-$H$177),"缺失"),"缺失")</x:f>
        <x:v>0.038962381351079586</x:v>
      </x:c>
      <x:c r="AC33" s="12" t="n">
        <x:f>IF(ISNUMBER(K33),IF($I$178&gt;$H$178,(K33-$H$178)/($I$178-$H$178),"缺失"),"缺失")</x:f>
        <x:v>0.01080397266965499</x:v>
      </x:c>
      <x:c r="AD33" s="12" t="n">
        <x:f>IF(ISNUMBER(L33),IF($I$179&gt;$H$179,(L33-$H$179)/($I$179-$H$179),"缺失"),"缺失")</x:f>
        <x:v>0.6948758653283262</x:v>
      </x:c>
      <x:c r="AE33" s="12" t="n">
        <x:f>IF(ISNUMBER(M33),IF($I$180&gt;$H$180,(M33-$H$180)/($I$180-$H$180),"缺失"),"缺失")</x:f>
        <x:v>0.694976783</x:v>
      </x:c>
      <x:c r="AF33" s="12" t="n">
        <x:f>IF(ISNUMBER(N33),IF($I$181&gt;$H$181,(N33-$H$181)/($I$181-$H$181),"缺失"),"缺失")</x:f>
        <x:v>0.012952144922405146</x:v>
      </x:c>
      <x:c r="AG33" s="12" t="n">
        <x:f>IF(ISNUMBER(O33),IF($I$182&gt;$H$182,(O33-$H$182)/($I$182-$H$182),"缺失"),"缺失")</x:f>
        <x:v>0.9562272543469471</x:v>
      </x:c>
      <x:c r="AH33" s="12" t="n">
        <x:f>IF(ISNUMBER(P33),IF($I$183&gt;$H$183,(P33-$H$183)/($I$183-$H$183),"缺失"),"缺失")</x:f>
        <x:v>0.4750201405410668</x:v>
      </x:c>
      <x:c r="AI33" s="12" t="n">
        <x:f>IF(ISNUMBER(Q33),IF($I$184&gt;$H$184,(Q33-$H$184)/($I$184-$H$184),"缺失"),"缺失")</x:f>
        <x:v>0.37561692477614983</x:v>
      </x:c>
      <x:c r="AJ33" s="12" t="n">
        <x:f>IF(ISNUMBER(R33),IF($I$185&gt;$H$185,(R33-$H$185)/($I$185-$H$185),"缺失"),"缺失")</x:f>
        <x:v>0.316763987927262</x:v>
      </x:c>
      <x:c r="AK33" s="12" t="n">
        <x:f>IF(ISNUMBER(S33),IF($I$186&gt;$H$186,(S33-$H$186)/($I$186-$H$186),"缺失"),"缺失")</x:f>
        <x:v>0.008970095749840042</x:v>
      </x:c>
      <x:c r="AL33" s="12" t="n">
        <x:f>IF(ISNUMBER(T33),IF($I$187&gt;$H$187,(T33-$H$187)/($I$187-$H$187),"缺失"),"缺失")</x:f>
        <x:v>0</x:v>
      </x:c>
      <x:c r="AM33" s="12" t="n">
        <x:f>IF(ISNUMBER(U33),IF($I$188&gt;$H$188,(U33-$H$188)/($I$188-$H$188),"缺失"),"缺失")</x:f>
        <x:v>0</x:v>
      </x:c>
      <x:c r="AN33" s="12" t="n">
        <x:f>IF(ISNUMBER(V33),IF($I$189&gt;$H$189,(V33-$H$189)/($I$189-$H$189),"缺失"),"缺失")</x:f>
        <x:v>1</x:v>
      </x:c>
      <x:c r="AO33" s="23" t="str"/>
      <x:c r="AP33" s="23" t="str">
        <x:v>见指标口径：州级、产业、代表点代理；气候基期待核实</x:v>
      </x:c>
      <x:c r="AQ33" s="15" t="n">
        <x:v>1.0000000000000004</x:v>
      </x:c>
      <x:c r="AR33" s="15" t="n">
        <x:v>0.9999999999999994</x:v>
      </x:c>
      <x:c r="AS33" s="15" t="n">
        <x:v>1</x:v>
      </x:c>
      <x:c r="AT33" s="15" t="n">
        <x:v>1</x:v>
      </x:c>
    </x:row>
    <x:row r="34" ht="24" customHeight="1">
      <x:c r="A34" s="18" t="str">
        <x:v>13057</x:v>
      </x:c>
      <x:c r="B34" s="3" t="str">
        <x:v>Cherokee County</x:v>
      </x:c>
      <x:c r="C34" s="3" t="str">
        <x:v>GA</x:v>
      </x:c>
      <x:c r="D34" s="12" t="n">
        <x:v>1090.268755</x:v>
      </x:c>
      <x:c r="E34" s="12" t="n">
        <x:v>0.587</x:v>
      </x:c>
      <x:c r="F34" s="12" t="n">
        <x:v>0.594678217821782</x:v>
      </x:c>
      <x:c r="G34" s="12" t="n">
        <x:v>3.6346924349863228</x:v>
      </x:c>
      <x:c r="H34" s="12" t="n">
        <x:v>3.3471402177167597</x:v>
      </x:c>
      <x:c r="I34" s="12" t="n">
        <x:v>0.7736034851224725</x:v>
      </x:c>
      <x:c r="J34" s="12" t="n">
        <x:v>0.01683001877925518</x:v>
      </x:c>
      <x:c r="K34" s="12" t="n">
        <x:v>0.005337004767384514</x:v>
      </x:c>
      <x:c r="L34" s="24" t="n">
        <x:v>0.726359685</x:v>
      </x:c>
      <x:c r="M34" s="24" t="n">
        <x:v>0.722063734</x:v>
      </x:c>
      <x:c r="N34" s="13" t="n">
        <x:v>153630</x:v>
      </x:c>
      <x:c r="O34" s="12" t="n">
        <x:v>0.1969</x:v>
      </x:c>
      <x:c r="P34" s="12" t="n">
        <x:v>1357.469950358073</x:v>
      </x:c>
      <x:c r="Q34" s="12" t="n">
        <x:v>25.476819610595705</x:v>
      </x:c>
      <x:c r="R34" s="12" t="n">
        <x:v>0.7019213221753118</x:v>
      </x:c>
      <x:c r="S34" s="12" t="n">
        <x:v>0.14783001583257094</x:v>
      </x:c>
      <x:c r="T34" s="12" t="n">
        <x:v>72.1</x:v>
      </x:c>
      <x:c r="U34" s="12" t="n">
        <x:v>211.4154781728841</x:v>
      </x:c>
      <x:c r="V34" s="12" t="n">
        <x:v>325.42757789465</x:v>
      </x:c>
      <x:c r="W34" s="12" t="n">
        <x:f>IF(ISNUMBER(E34),IF($I$172&gt;$H$172,(E34-$H$172)/($I$172-$H$172),"缺失"),"缺失")</x:f>
        <x:v>0.6238425925925926</x:v>
      </x:c>
      <x:c r="X34" s="12" t="n">
        <x:f>IF(ISNUMBER(F34),IF($I$173&gt;$H$173,(F34-$H$173)/($I$173-$H$173),"缺失"),"缺失")</x:f>
        <x:v>0.5990551181102359</x:v>
      </x:c>
      <x:c r="Y34" s="12" t="n">
        <x:f>IF(ISNUMBER(G34),IF($I$174&gt;$H$174,(G34-$H$174)/($I$174-$H$174),"缺失"),"缺失")</x:f>
        <x:v>0.9557665226343943</x:v>
      </x:c>
      <x:c r="Z34" s="12" t="n">
        <x:f>IF(ISNUMBER(H34),IF($I$175&gt;$H$175,(H34-$H$175)/($I$175-$H$175),"缺失"),"缺失")</x:f>
        <x:v>0.8247364090274568</x:v>
      </x:c>
      <x:c r="AA34" s="12" t="n">
        <x:f>IF(ISNUMBER(I34),IF($I$176&gt;$H$176,(I34-$H$176)/($I$176-$H$176),"缺失"),"缺失")</x:f>
        <x:v>0.766169548146782</x:v>
      </x:c>
      <x:c r="AB34" s="12" t="n">
        <x:f>IF(ISNUMBER(J34),IF($I$177&gt;$H$177,(J34-$H$177)/($I$177-$H$177),"缺失"),"缺失")</x:f>
        <x:v>0.04128393476688066</x:v>
      </x:c>
      <x:c r="AC34" s="12" t="n">
        <x:f>IF(ISNUMBER(K34),IF($I$178&gt;$H$178,(K34-$H$178)/($I$178-$H$178),"缺失"),"缺失")</x:f>
        <x:v>0.009175385282550061</x:v>
      </x:c>
      <x:c r="AD34" s="12" t="n">
        <x:f>IF(ISNUMBER(L34),IF($I$179&gt;$H$179,(L34-$H$179)/($I$179-$H$179),"缺失"),"缺失")</x:f>
        <x:v>0.7262691504376232</x:v>
      </x:c>
      <x:c r="AE34" s="12" t="n">
        <x:f>IF(ISNUMBER(M34),IF($I$180&gt;$H$180,(M34-$H$180)/($I$180-$H$180),"缺失"),"缺失")</x:f>
        <x:v>0.722063734</x:v>
      </x:c>
      <x:c r="AF34" s="12" t="n">
        <x:f>IF(ISNUMBER(N34),IF($I$181&gt;$H$181,(N34-$H$181)/($I$181-$H$181),"缺失"),"缺失")</x:f>
        <x:v>0.23749274052541514</x:v>
      </x:c>
      <x:c r="AG34" s="12" t="n">
        <x:f>IF(ISNUMBER(O34),IF($I$182&gt;$H$182,(O34-$H$182)/($I$182-$H$182),"缺失"),"缺失")</x:f>
        <x:v>0.19682571775171856</x:v>
      </x:c>
      <x:c r="AH34" s="12" t="n">
        <x:f>IF(ISNUMBER(P34),IF($I$183&gt;$H$183,(P34-$H$183)/($I$183-$H$183),"缺失"),"缺失")</x:f>
        <x:v>0.48660849527439987</x:v>
      </x:c>
      <x:c r="AI34" s="12" t="n">
        <x:f>IF(ISNUMBER(Q34),IF($I$184&gt;$H$184,(Q34-$H$184)/($I$184-$H$184),"缺失"),"缺失")</x:f>
        <x:v>0.2956514954855368</x:v>
      </x:c>
      <x:c r="AJ34" s="12" t="n">
        <x:f>IF(ISNUMBER(R34),IF($I$185&gt;$H$185,(R34-$H$185)/($I$185-$H$185),"缺失"),"缺失")</x:f>
        <x:v>0.005865494484096866</x:v>
      </x:c>
      <x:c r="AK34" s="12" t="n">
        <x:f>IF(ISNUMBER(S34),IF($I$186&gt;$H$186,(S34-$H$186)/($I$186-$H$186),"缺失"),"缺失")</x:f>
        <x:v>0.0027264834144606702</x:v>
      </x:c>
      <x:c r="AL34" s="12" t="n">
        <x:f>IF(ISNUMBER(T34),IF($I$187&gt;$H$187,(T34-$H$187)/($I$187-$H$187),"缺失"),"缺失")</x:f>
        <x:v>0</x:v>
      </x:c>
      <x:c r="AM34" s="12" t="n">
        <x:f>IF(ISNUMBER(U34),IF($I$188&gt;$H$188,(U34-$H$188)/($I$188-$H$188),"缺失"),"缺失")</x:f>
        <x:v>0</x:v>
      </x:c>
      <x:c r="AN34" s="12" t="n">
        <x:f>IF(ISNUMBER(V34),IF($I$189&gt;$H$189,(V34-$H$189)/($I$189-$H$189),"缺失"),"缺失")</x:f>
        <x:v>1</x:v>
      </x:c>
      <x:c r="AO34" s="23" t="str"/>
      <x:c r="AP34" s="23" t="str">
        <x:v>见指标口径：州级、产业、代表点代理；气候基期待核实</x:v>
      </x:c>
      <x:c r="AQ34" s="15" t="n">
        <x:v>1.000000000000001</x:v>
      </x:c>
      <x:c r="AR34" s="15" t="n">
        <x:v>1.0000000000000013</x:v>
      </x:c>
      <x:c r="AS34" s="15" t="n">
        <x:v>1</x:v>
      </x:c>
      <x:c r="AT34" s="15" t="n">
        <x:v>1</x:v>
      </x:c>
    </x:row>
    <x:row r="35" ht="24" customHeight="1">
      <x:c r="A35" s="18" t="str">
        <x:v>13059</x:v>
      </x:c>
      <x:c r="B35" s="3" t="str">
        <x:v>Clarke County</x:v>
      </x:c>
      <x:c r="C35" s="3" t="str">
        <x:v>GA</x:v>
      </x:c>
      <x:c r="D35" s="12" t="n">
        <x:v>308.985565</x:v>
      </x:c>
      <x:c r="E35" s="12" t="n">
        <x:v>0.509</x:v>
      </x:c>
      <x:c r="F35" s="12" t="n">
        <x:v>0.25247524752475203</x:v>
      </x:c>
      <x:c r="G35" s="12" t="n">
        <x:v>2.135617565802507</x:v>
      </x:c>
      <x:c r="H35" s="12" t="n">
        <x:v>1.9427972855223674</x:v>
      </x:c>
      <x:c r="I35" s="12" t="n">
        <x:v>0.6556309762208178</x:v>
      </x:c>
      <x:c r="J35" s="12" t="n">
        <x:v>0.031471790152983604</x:v>
      </x:c>
      <x:c r="K35" s="12" t="n">
        <x:v>0.03538125001806051</x:v>
      </x:c>
      <x:c r="L35" s="24" t="n">
        <x:v>0.42881644</x:v>
      </x:c>
      <x:c r="M35" s="24" t="n">
        <x:v>0.428043881</x:v>
      </x:c>
      <x:c r="N35" s="13" t="n">
        <x:v>65916</x:v>
      </x:c>
      <x:c r="O35" s="12" t="n">
        <x:v>0.7502</x:v>
      </x:c>
      <x:c r="P35" s="12" t="n">
        <x:v>1682.6774454752604</x:v>
      </x:c>
      <x:c r="Q35" s="12" t="n">
        <x:v>44.86087659200032</x:v>
      </x:c>
      <x:c r="R35" s="12" t="n">
        <x:v>32.65175172117717</x:v>
      </x:c>
      <x:c r="S35" s="12" t="n">
        <x:v>0.33839310120131316</x:v>
      </x:c>
      <x:c r="T35" s="12" t="n">
        <x:v>72.1</x:v>
      </x:c>
      <x:c r="U35" s="12" t="n">
        <x:v>211.4154781728841</x:v>
      </x:c>
      <x:c r="V35" s="12" t="n">
        <x:v>325.42757789465</x:v>
      </x:c>
      <x:c r="W35" s="12" t="n">
        <x:f>IF(ISNUMBER(E35),IF($I$172&gt;$H$172,(E35-$H$172)/($I$172-$H$172),"缺失"),"缺失")</x:f>
        <x:v>0.5335648148148149</x:v>
      </x:c>
      <x:c r="X35" s="12" t="n">
        <x:f>IF(ISNUMBER(F35),IF($I$173&gt;$H$173,(F35-$H$173)/($I$173-$H$173),"缺失"),"缺失")</x:f>
        <x:v>0.25070866141732234</x:v>
      </x:c>
      <x:c r="Y35" s="12" t="n">
        <x:f>IF(ISNUMBER(G35),IF($I$174&gt;$H$174,(G35-$H$174)/($I$174-$H$174),"缺失"),"缺失")</x:f>
        <x:v>0.561433419848299</x:v>
      </x:c>
      <x:c r="Z35" s="12" t="n">
        <x:f>IF(ISNUMBER(H35),IF($I$175&gt;$H$175,(H35-$H$175)/($I$175-$H$175),"缺失"),"缺失")</x:f>
        <x:v>0.47852702268035496</x:v>
      </x:c>
      <x:c r="AA35" s="12" t="n">
        <x:f>IF(ISNUMBER(I35),IF($I$176&gt;$H$176,(I35-$H$176)/($I$176-$H$176),"缺失"),"缺失")</x:f>
        <x:v>0.6395229507325114</x:v>
      </x:c>
      <x:c r="AB35" s="12" t="n">
        <x:f>IF(ISNUMBER(J35),IF($I$177&gt;$H$177,(J35-$H$177)/($I$177-$H$177),"缺失"),"缺失")</x:f>
        <x:v>0.0772001118189027</x:v>
      </x:c>
      <x:c r="AC35" s="12" t="n">
        <x:f>IF(ISNUMBER(K35),IF($I$178&gt;$H$178,(K35-$H$178)/($I$178-$H$178),"缺失"),"缺失")</x:f>
        <x:v>0.060827489358423394</x:v>
      </x:c>
      <x:c r="AD35" s="12" t="n">
        <x:f>IF(ISNUMBER(L35),IF($I$179&gt;$H$179,(L35-$H$179)/($I$179-$H$179),"缺失"),"缺失")</x:f>
        <x:v>0.4286274625328405</x:v>
      </x:c>
      <x:c r="AE35" s="12" t="n">
        <x:f>IF(ISNUMBER(M35),IF($I$180&gt;$H$180,(M35-$H$180)/($I$180-$H$180),"缺失"),"缺失")</x:f>
        <x:v>0.428043881</x:v>
      </x:c>
      <x:c r="AF35" s="12" t="n">
        <x:f>IF(ISNUMBER(N35),IF($I$181&gt;$H$181,(N35-$H$181)/($I$181-$H$181),"缺失"),"缺失")</x:f>
        <x:v>0.10128791619693596</x:v>
      </x:c>
      <x:c r="AG35" s="12" t="n">
        <x:f>IF(ISNUMBER(O35),IF($I$182&gt;$H$182,(O35-$H$182)/($I$182-$H$182),"缺失"),"缺失")</x:f>
        <x:v>0.7561665992721391</x:v>
      </x:c>
      <x:c r="AH35" s="12" t="n">
        <x:f>IF(ISNUMBER(P35),IF($I$183&gt;$H$183,(P35-$H$183)/($I$183-$H$183),"缺失"),"缺失")</x:f>
        <x:v>0.6329050534129224</x:v>
      </x:c>
      <x:c r="AI35" s="12" t="n">
        <x:f>IF(ISNUMBER(Q35),IF($I$184&gt;$H$184,(Q35-$H$184)/($I$184-$H$184),"缺失"),"缺失")</x:f>
        <x:v>0.5234450947067547</x:v>
      </x:c>
      <x:c r="AJ35" s="12" t="n">
        <x:f>IF(ISNUMBER(R35),IF($I$185&gt;$H$185,(R35-$H$185)/($I$185-$H$185),"缺失"),"缺失")</x:f>
        <x:v>0.3416086493526512</x:v>
      </x:c>
      <x:c r="AK35" s="12" t="n">
        <x:f>IF(ISNUMBER(S35),IF($I$186&gt;$H$186,(S35-$H$186)/($I$186-$H$186),"缺失"),"缺失")</x:f>
        <x:v>0.006446591156653196</x:v>
      </x:c>
      <x:c r="AL35" s="12" t="n">
        <x:f>IF(ISNUMBER(T35),IF($I$187&gt;$H$187,(T35-$H$187)/($I$187-$H$187),"缺失"),"缺失")</x:f>
        <x:v>0</x:v>
      </x:c>
      <x:c r="AM35" s="12" t="n">
        <x:f>IF(ISNUMBER(U35),IF($I$188&gt;$H$188,(U35-$H$188)/($I$188-$H$188),"缺失"),"缺失")</x:f>
        <x:v>0</x:v>
      </x:c>
      <x:c r="AN35" s="12" t="n">
        <x:f>IF(ISNUMBER(V35),IF($I$189&gt;$H$189,(V35-$H$189)/($I$189-$H$189),"缺失"),"缺失")</x:f>
        <x:v>1</x:v>
      </x:c>
      <x:c r="AO35" s="23" t="str"/>
      <x:c r="AP35" s="23" t="str">
        <x:v>见指标口径：州级、产业、代表点代理；气候基期待核实</x:v>
      </x:c>
      <x:c r="AQ35" s="15" t="n">
        <x:v>0.9999999999999966</x:v>
      </x:c>
      <x:c r="AR35" s="15" t="n">
        <x:v>0.9999999999999966</x:v>
      </x:c>
      <x:c r="AS35" s="15" t="n">
        <x:v>1</x:v>
      </x:c>
      <x:c r="AT35" s="15" t="n">
        <x:v>1</x:v>
      </x:c>
    </x:row>
    <x:row r="36" ht="24" customHeight="1">
      <x:c r="A36" s="18" t="str">
        <x:v>13061</x:v>
      </x:c>
      <x:c r="B36" s="3" t="str">
        <x:v>Clay County</x:v>
      </x:c>
      <x:c r="C36" s="3" t="str">
        <x:v>GA</x:v>
      </x:c>
      <x:c r="D36" s="12" t="n">
        <x:v>506.093893</x:v>
      </x:c>
      <x:c r="E36" s="12" t="n">
        <x:v>0.527</x:v>
      </x:c>
      <x:c r="F36" s="12" t="n">
        <x:v>0.544554455445545</x:v>
      </x:c>
      <x:c r="G36" s="12" t="n">
        <x:v>0.10867839886895356</x:v>
      </x:c>
      <x:c r="H36" s="12" t="n">
        <x:v>0.10610634496106934</x:v>
      </x:c>
      <x:c r="I36" s="12" t="n">
        <x:v>0.9553585388387463</x:v>
      </x:c>
      <x:c r="J36" s="12" t="n">
        <x:v>0.011207479986023674</x:v>
      </x:c>
      <x:c r="K36" s="12" t="n">
        <x:v>0.08527290171274252</x:v>
      </x:c>
      <x:c r="L36" s="24" t="n">
        <x:v>0.72976559</x:v>
      </x:c>
      <x:c r="M36" s="24" t="n">
        <x:v>0.72976559</x:v>
      </x:c>
      <x:c r="N36" s="13" t="n">
        <x:v>929</x:v>
      </x:c>
      <x:c r="O36" s="12" t="n">
        <x:v>0.9061</x:v>
      </x:c>
      <x:c r="P36" s="12" t="n">
        <x:v>2188.622843424479</x:v>
      </x:c>
      <x:c r="Q36" s="12" t="n">
        <x:v>67.52021764119466</x:v>
      </x:c>
      <x:c r="R36" s="12" t="n">
        <x:v>87.36823101044189</x:v>
      </x:c>
      <x:c r="S36" s="12" t="n">
        <x:v>19.142248111925653</x:v>
      </x:c>
      <x:c r="T36" s="12" t="n">
        <x:v>72.1</x:v>
      </x:c>
      <x:c r="U36" s="12" t="n">
        <x:v>211.4154781728841</x:v>
      </x:c>
      <x:c r="V36" s="12" t="n">
        <x:v>325.42757789465</x:v>
      </x:c>
      <x:c r="W36" s="12" t="n">
        <x:f>IF(ISNUMBER(E36),IF($I$172&gt;$H$172,(E36-$H$172)/($I$172-$H$172),"缺失"),"缺失")</x:f>
        <x:v>0.5543981481481483</x:v>
      </x:c>
      <x:c r="X36" s="12" t="n">
        <x:f>IF(ISNUMBER(F36),IF($I$173&gt;$H$173,(F36-$H$173)/($I$173-$H$173),"缺失"),"缺失")</x:f>
        <x:v>0.5480314960629925</x:v>
      </x:c>
      <x:c r="Y36" s="12" t="n">
        <x:f>IF(ISNUMBER(G36),IF($I$174&gt;$H$174,(G36-$H$174)/($I$174-$H$174),"缺失"),"缺失")</x:f>
        <x:v>0.028245099980892082</x:v>
      </x:c>
      <x:c r="Z36" s="12" t="n">
        <x:f>IF(ISNUMBER(H36),IF($I$175&gt;$H$175,(H36-$H$175)/($I$175-$H$175),"缺失"),"缺失")</x:f>
        <x:v>0.025731890619984047</x:v>
      </x:c>
      <x:c r="AA36" s="12" t="n">
        <x:f>IF(ISNUMBER(I36),IF($I$176&gt;$H$176,(I36-$H$176)/($I$176-$H$176),"缺失"),"缺失")</x:f>
        <x:v>0.9612883883776283</x:v>
      </x:c>
      <x:c r="AB36" s="12" t="n">
        <x:f>IF(ISNUMBER(J36),IF($I$177&gt;$H$177,(J36-$H$177)/($I$177-$H$177),"缺失"),"缺失")</x:f>
        <x:v>0.027491880948726927</x:v>
      </x:c>
      <x:c r="AC36" s="12" t="n">
        <x:f>IF(ISNUMBER(K36),IF($I$178&gt;$H$178,(K36-$H$178)/($I$178-$H$178),"缺失"),"缺失")</x:f>
        <x:v>0.14660127945864085</x:v>
      </x:c>
      <x:c r="AD36" s="12" t="n">
        <x:f>IF(ISNUMBER(L36),IF($I$179&gt;$H$179,(L36-$H$179)/($I$179-$H$179),"缺失"),"缺失")</x:f>
        <x:v>0.729676182289559</x:v>
      </x:c>
      <x:c r="AE36" s="12" t="n">
        <x:f>IF(ISNUMBER(M36),IF($I$180&gt;$H$180,(M36-$H$180)/($I$180-$H$180),"缺失"),"缺失")</x:f>
        <x:v>0.72976559</x:v>
      </x:c>
      <x:c r="AF36" s="12" t="n">
        <x:f>IF(ISNUMBER(N36),IF($I$181&gt;$H$181,(N36-$H$181)/($I$181-$H$181),"缺失"),"缺失")</x:f>
        <x:v>0.00037423173795703634</x:v>
      </x:c>
      <x:c r="AG36" s="12" t="n">
        <x:f>IF(ISNUMBER(O36),IF($I$182&gt;$H$182,(O36-$H$182)/($I$182-$H$182),"缺失"),"缺失")</x:f>
        <x:v>0.9137687019813991</x:v>
      </x:c>
      <x:c r="AH36" s="12" t="n">
        <x:f>IF(ISNUMBER(P36),IF($I$183&gt;$H$183,(P36-$H$183)/($I$183-$H$183),"缺失"),"缺失")</x:f>
        <x:v>0.8605076500238139</x:v>
      </x:c>
      <x:c r="AI36" s="12" t="n">
        <x:f>IF(ISNUMBER(Q36),IF($I$184&gt;$H$184,(Q36-$H$184)/($I$184-$H$184),"缺失"),"缺失")</x:f>
        <x:v>0.7897285078502836</x:v>
      </x:c>
      <x:c r="AJ36" s="12" t="n">
        <x:f>IF(ISNUMBER(R36),IF($I$185&gt;$H$185,(R36-$H$185)/($I$185-$H$185),"缺失"),"缺失")</x:f>
        <x:v>0.9165939669727274</x:v>
      </x:c>
      <x:c r="AK36" s="12" t="n">
        <x:f>IF(ISNUMBER(S36),IF($I$186&gt;$H$186,(S36-$H$186)/($I$186-$H$186),"缺失"),"缺失")</x:f>
        <x:v>0.3735290534976808</x:v>
      </x:c>
      <x:c r="AL36" s="12" t="n">
        <x:f>IF(ISNUMBER(T36),IF($I$187&gt;$H$187,(T36-$H$187)/($I$187-$H$187),"缺失"),"缺失")</x:f>
        <x:v>0</x:v>
      </x:c>
      <x:c r="AM36" s="12" t="n">
        <x:f>IF(ISNUMBER(U36),IF($I$188&gt;$H$188,(U36-$H$188)/($I$188-$H$188),"缺失"),"缺失")</x:f>
        <x:v>0</x:v>
      </x:c>
      <x:c r="AN36" s="12" t="n">
        <x:f>IF(ISNUMBER(V36),IF($I$189&gt;$H$189,(V36-$H$189)/($I$189-$H$189),"缺失"),"缺失")</x:f>
        <x:v>1</x:v>
      </x:c>
      <x:c r="AO36" s="23" t="str"/>
      <x:c r="AP36" s="23" t="str">
        <x:v>见指标口径：州级、产业、代表点代理；气候基期待核实</x:v>
      </x:c>
      <x:c r="AQ36" s="15" t="n">
        <x:v>0.9999999999999974</x:v>
      </x:c>
      <x:c r="AR36" s="15" t="n">
        <x:v>0.9999999999999974</x:v>
      </x:c>
      <x:c r="AS36" s="15" t="n">
        <x:v>1</x:v>
      </x:c>
      <x:c r="AT36" s="15" t="n">
        <x:v>1</x:v>
      </x:c>
    </x:row>
    <x:row r="37" ht="24" customHeight="1">
      <x:c r="A37" s="18" t="str">
        <x:v>13063</x:v>
      </x:c>
      <x:c r="B37" s="3" t="str">
        <x:v>Clayton County</x:v>
      </x:c>
      <x:c r="C37" s="3" t="str">
        <x:v>GA</x:v>
      </x:c>
      <x:c r="D37" s="12" t="n">
        <x:v>367.009134</x:v>
      </x:c>
      <x:c r="E37" s="12" t="n">
        <x:v>0.466</x:v>
      </x:c>
      <x:c r="F37" s="12" t="n">
        <x:v>0.21844059405940602</x:v>
      </x:c>
      <x:c r="G37" s="12" t="n">
        <x:v>2.1681031137152362</x:v>
      </x:c>
      <x:c r="H37" s="12" t="n">
        <x:v>2.1337675021030376</x:v>
      </x:c>
      <x:c r="I37" s="12" t="n">
        <x:v>0.3330237207147907</x:v>
      </x:c>
      <x:c r="J37" s="12" t="n">
        <x:v>0.04635176408009723</x:v>
      </x:c>
      <x:c r="K37" s="12" t="n">
        <x:v>0.0445549623345279</x:v>
      </x:c>
      <x:c r="L37" s="24" t="n">
        <x:v>0.587777248</x:v>
      </x:c>
      <x:c r="M37" s="24" t="n">
        <x:v>0.582222186</x:v>
      </x:c>
      <x:c r="N37" s="13" t="n">
        <x:v>145119</x:v>
      </x:c>
      <x:c r="O37" s="12" t="n">
        <x:v>0.9488</x:v>
      </x:c>
      <x:c r="P37" s="12" t="n">
        <x:v>1719.8891560872396</x:v>
      </x:c>
      <x:c r="Q37" s="12" t="n">
        <x:v>32.648726081848146</x:v>
      </x:c>
      <x:c r="R37" s="12" t="n">
        <x:v>4.783718821582419</x:v>
      </x:c>
      <x:c r="S37" s="12" t="n">
        <x:v>5.395216049324842</x:v>
      </x:c>
      <x:c r="T37" s="12" t="n">
        <x:v>72.1</x:v>
      </x:c>
      <x:c r="U37" s="12" t="n">
        <x:v>211.4154781728841</x:v>
      </x:c>
      <x:c r="V37" s="12" t="n">
        <x:v>325.42757789465</x:v>
      </x:c>
      <x:c r="W37" s="12" t="n">
        <x:f>IF(ISNUMBER(E37),IF($I$172&gt;$H$172,(E37-$H$172)/($I$172-$H$172),"缺失"),"缺失")</x:f>
        <x:v>0.48379629629629634</x:v>
      </x:c>
      <x:c r="X37" s="12" t="n">
        <x:f>IF(ISNUMBER(F37),IF($I$173&gt;$H$173,(F37-$H$173)/($I$173-$H$173),"缺失"),"缺失")</x:f>
        <x:v>0.2160629921259843</x:v>
      </x:c>
      <x:c r="Y37" s="12" t="n">
        <x:f>IF(ISNUMBER(G37),IF($I$174&gt;$H$174,(G37-$H$174)/($I$174-$H$174),"缺失"),"缺失")</x:f>
        <x:v>0.5699787748318746</x:v>
      </x:c>
      <x:c r="Z37" s="12" t="n">
        <x:f>IF(ISNUMBER(H37),IF($I$175&gt;$H$175,(H37-$H$175)/($I$175-$H$175),"缺失"),"缺失")</x:f>
        <x:v>0.5256064645867959</x:v>
      </x:c>
      <x:c r="AA37" s="12" t="n">
        <x:f>IF(ISNUMBER(I37),IF($I$176&gt;$H$176,(I37-$H$176)/($I$176-$H$176),"缺失"),"缺失")</x:f>
        <x:v>0.29319555978879414</x:v>
      </x:c>
      <x:c r="AB37" s="12" t="n">
        <x:f>IF(ISNUMBER(J37),IF($I$177&gt;$H$177,(J37-$H$177)/($I$177-$H$177),"缺失"),"缺失")</x:f>
        <x:v>0.11370059830065517</x:v>
      </x:c>
      <x:c r="AC37" s="12" t="n">
        <x:f>IF(ISNUMBER(K37),IF($I$178&gt;$H$178,(K37-$H$178)/($I$178-$H$178),"缺失"),"缺失")</x:f>
        <x:v>0.07659894706617305</x:v>
      </x:c>
      <x:c r="AD37" s="12" t="n">
        <x:f>IF(ISNUMBER(L37),IF($I$179&gt;$H$179,(L37-$H$179)/($I$179-$H$179),"缺失"),"缺失")</x:f>
        <x:v>0.5876408631019849</x:v>
      </x:c>
      <x:c r="AE37" s="12" t="n">
        <x:f>IF(ISNUMBER(M37),IF($I$180&gt;$H$180,(M37-$H$180)/($I$180-$H$180),"缺失"),"缺失")</x:f>
        <x:v>0.582222186</x:v>
      </x:c>
      <x:c r="AF37" s="12" t="n">
        <x:f>IF(ISNUMBER(N37),IF($I$181&gt;$H$181,(N37-$H$181)/($I$181-$H$181),"缺失"),"缺失")</x:f>
        <x:v>0.22427661470901541</x:v>
      </x:c>
      <x:c r="AG37" s="12" t="n">
        <x:f>IF(ISNUMBER(O37),IF($I$182&gt;$H$182,(O37-$H$182)/($I$182-$H$182),"缺失"),"缺失")</x:f>
        <x:v>0.9569348968863729</x:v>
      </x:c>
      <x:c r="AH37" s="12" t="n">
        <x:f>IF(ISNUMBER(P37),IF($I$183&gt;$H$183,(P37-$H$183)/($I$183-$H$183),"缺失"),"缺失")</x:f>
        <x:v>0.6496449664429635</x:v>
      </x:c>
      <x:c r="AI37" s="12" t="n">
        <x:f>IF(ISNUMBER(Q37),IF($I$184&gt;$H$184,(Q37-$H$184)/($I$184-$H$184),"缺失"),"缺失")</x:f>
        <x:v>0.3799328401974194</x:v>
      </x:c>
      <x:c r="AJ37" s="12" t="n">
        <x:f>IF(ISNUMBER(R37),IF($I$185&gt;$H$185,(R37-$H$185)/($I$185-$H$185),"缺失"),"缺失")</x:f>
        <x:v>0.04875885425693409</x:v>
      </x:c>
      <x:c r="AK37" s="12" t="n">
        <x:f>IF(ISNUMBER(S37),IF($I$186&gt;$H$186,(S37-$H$186)/($I$186-$H$186),"缺失"),"缺失")</x:f>
        <x:v>0.1051641689278665</x:v>
      </x:c>
      <x:c r="AL37" s="12" t="n">
        <x:f>IF(ISNUMBER(T37),IF($I$187&gt;$H$187,(T37-$H$187)/($I$187-$H$187),"缺失"),"缺失")</x:f>
        <x:v>0</x:v>
      </x:c>
      <x:c r="AM37" s="12" t="n">
        <x:f>IF(ISNUMBER(U37),IF($I$188&gt;$H$188,(U37-$H$188)/($I$188-$H$188),"缺失"),"缺失")</x:f>
        <x:v>0</x:v>
      </x:c>
      <x:c r="AN37" s="12" t="n">
        <x:f>IF(ISNUMBER(V37),IF($I$189&gt;$H$189,(V37-$H$189)/($I$189-$H$189),"缺失"),"缺失")</x:f>
        <x:v>1</x:v>
      </x:c>
      <x:c r="AO37" s="23" t="str"/>
      <x:c r="AP37" s="23" t="str">
        <x:v>见指标口径：州级、产业、代表点代理；气候基期待核实</x:v>
      </x:c>
      <x:c r="AQ37" s="15" t="n">
        <x:v>0.999999999999999</x:v>
      </x:c>
      <x:c r="AR37" s="15" t="n">
        <x:v>0.9999999999999992</x:v>
      </x:c>
      <x:c r="AS37" s="15" t="n">
        <x:v>1</x:v>
      </x:c>
      <x:c r="AT37" s="15" t="n">
        <x:v>1</x:v>
      </x:c>
    </x:row>
    <x:row r="38" ht="24" customHeight="1">
      <x:c r="A38" s="18" t="str">
        <x:v>13065</x:v>
      </x:c>
      <x:c r="B38" s="3" t="str">
        <x:v>Clinch County</x:v>
      </x:c>
      <x:c r="C38" s="3" t="str">
        <x:v>GA</x:v>
      </x:c>
      <x:c r="D38" s="12" t="n">
        <x:v>2110.841411</x:v>
      </x:c>
      <x:c r="E38" s="12" t="n">
        <x:v>0.711</x:v>
      </x:c>
      <x:c r="F38" s="12" t="n">
        <x:v>0.86509900990099</x:v>
      </x:c>
      <x:c r="G38" s="12" t="n">
        <x:v>2.8100064229312376</x:v>
      </x:c>
      <x:c r="H38" s="12" t="n">
        <x:v>3.0119492143406634</x:v>
      </x:c>
      <x:c r="I38" s="12" t="n">
        <x:v>0.9460114192736849</x:v>
      </x:c>
      <x:c r="J38" s="12" t="n">
        <x:v>0.07437527766624749</x:v>
      </x:c>
      <x:c r="K38" s="12" t="n">
        <x:v>0.4550868766965715</x:v>
      </x:c>
      <x:c r="L38" s="24" t="n">
        <x:v>0.266460326</x:v>
      </x:c>
      <x:c r="M38" s="24" t="n">
        <x:v>0.266460326</x:v>
      </x:c>
      <x:c r="N38" s="13" t="n">
        <x:v>2472</x:v>
      </x:c>
      <x:c r="O38" s="12" t="n">
        <x:v>0.9348</x:v>
      </x:c>
      <x:c r="P38" s="12" t="n">
        <x:v>2233.02705078125</x:v>
      </x:c>
      <x:c r="Q38" s="12" t="n">
        <x:v>80.03414840698242</x:v>
      </x:c>
      <x:c r="R38" s="12" t="n">
        <x:v>53.63540038772967</x:v>
      </x:c>
      <x:c r="S38" s="12" t="n">
        <x:v>10.66393201418755</x:v>
      </x:c>
      <x:c r="T38" s="12" t="n">
        <x:v>72.1</x:v>
      </x:c>
      <x:c r="U38" s="12" t="n">
        <x:v>211.4154781728841</x:v>
      </x:c>
      <x:c r="V38" s="12" t="n">
        <x:v>325.42757789465</x:v>
      </x:c>
      <x:c r="W38" s="12" t="n">
        <x:f>IF(ISNUMBER(E38),IF($I$172&gt;$H$172,(E38-$H$172)/($I$172-$H$172),"缺失"),"缺失")</x:f>
        <x:v>0.767361111111111</x:v>
      </x:c>
      <x:c r="X38" s="12" t="n">
        <x:f>IF(ISNUMBER(F38),IF($I$173&gt;$H$173,(F38-$H$173)/($I$173-$H$173),"缺失"),"缺失")</x:f>
        <x:v>0.8743307086614169</x:v>
      </x:c>
      <x:c r="Y38" s="12" t="n">
        <x:f>IF(ISNUMBER(G38),IF($I$174&gt;$H$174,(G38-$H$174)/($I$174-$H$174),"缺失"),"缺失")</x:f>
        <x:v>0.7388320648277396</x:v>
      </x:c>
      <x:c r="Z38" s="12" t="n">
        <x:f>IF(ISNUMBER(H38),IF($I$175&gt;$H$175,(H38-$H$175)/($I$175-$H$175),"缺失"),"缺失")</x:f>
        <x:v>0.7421025530599713</x:v>
      </x:c>
      <x:c r="AA38" s="12" t="n">
        <x:f>IF(ISNUMBER(I38),IF($I$176&gt;$H$176,(I38-$H$176)/($I$176-$H$176),"缺失"),"缺失")</x:f>
        <x:v>0.951254009185725</x:v>
      </x:c>
      <x:c r="AB38" s="12" t="n">
        <x:f>IF(ISNUMBER(J38),IF($I$177&gt;$H$177,(J38-$H$177)/($I$177-$H$177),"缺失"),"缺失")</x:f>
        <x:v>0.18244210845603606</x:v>
      </x:c>
      <x:c r="AC38" s="12" t="n">
        <x:f>IF(ISNUMBER(K38),IF($I$178&gt;$H$178,(K38-$H$178)/($I$178-$H$178),"缺失"),"缺失")</x:f>
        <x:v>0.7823859285720136</x:v>
      </x:c>
      <x:c r="AD38" s="12" t="n">
        <x:f>IF(ISNUMBER(L38),IF($I$179&gt;$H$179,(L38-$H$179)/($I$179-$H$179),"缺失"),"缺失")</x:f>
        <x:v>0.26621763261846515</x:v>
      </x:c>
      <x:c r="AE38" s="12" t="n">
        <x:f>IF(ISNUMBER(M38),IF($I$180&gt;$H$180,(M38-$H$180)/($I$180-$H$180),"缺失"),"缺失")</x:f>
        <x:v>0.266460326</x:v>
      </x:c>
      <x:c r="AF38" s="12" t="n">
        <x:f>IF(ISNUMBER(N38),IF($I$181&gt;$H$181,(N38-$H$181)/($I$181-$H$181),"缺失"),"缺失")</x:f>
        <x:v>0.002770246558154991</x:v>
      </x:c>
      <x:c r="AG38" s="12" t="n">
        <x:f>IF(ISNUMBER(O38),IF($I$182&gt;$H$182,(O38-$H$182)/($I$182-$H$182),"缺失"),"缺失")</x:f>
        <x:v>0.9427820460978569</x:v>
      </x:c>
      <x:c r="AH38" s="12" t="n">
        <x:f>IF(ISNUMBER(P38),IF($I$183&gt;$H$183,(P38-$H$183)/($I$183-$H$183),"缺失"),"缺失")</x:f>
        <x:v>0.8804831512059869</x:v>
      </x:c>
      <x:c r="AI38" s="12" t="n">
        <x:f>IF(ISNUMBER(Q38),IF($I$184&gt;$H$184,(Q38-$H$184)/($I$184-$H$184),"缺失"),"缺失")</x:f>
        <x:v>0.9367871618915166</x:v>
      </x:c>
      <x:c r="AJ38" s="12" t="n">
        <x:f>IF(ISNUMBER(R38),IF($I$185&gt;$H$185,(R38-$H$185)/($I$185-$H$185),"缺失"),"缺失")</x:f>
        <x:v>0.5621142456572176</x:v>
      </x:c>
      <x:c r="AK38" s="12" t="n">
        <x:f>IF(ISNUMBER(S38),IF($I$186&gt;$H$186,(S38-$H$186)/($I$186-$H$186),"缺失"),"缺失")</x:f>
        <x:v>0.20801825010719086</x:v>
      </x:c>
      <x:c r="AL38" s="12" t="n">
        <x:f>IF(ISNUMBER(T38),IF($I$187&gt;$H$187,(T38-$H$187)/($I$187-$H$187),"缺失"),"缺失")</x:f>
        <x:v>0</x:v>
      </x:c>
      <x:c r="AM38" s="12" t="n">
        <x:f>IF(ISNUMBER(U38),IF($I$188&gt;$H$188,(U38-$H$188)/($I$188-$H$188),"缺失"),"缺失")</x:f>
        <x:v>0</x:v>
      </x:c>
      <x:c r="AN38" s="12" t="n">
        <x:f>IF(ISNUMBER(V38),IF($I$189&gt;$H$189,(V38-$H$189)/($I$189-$H$189),"缺失"),"缺失")</x:f>
        <x:v>1</x:v>
      </x:c>
      <x:c r="AO38" s="23" t="str"/>
      <x:c r="AP38" s="23" t="str">
        <x:v>见指标口径：州级、产业、代表点代理；气候基期待核实</x:v>
      </x:c>
      <x:c r="AQ38" s="15" t="n">
        <x:v>0.9999999999999966</x:v>
      </x:c>
      <x:c r="AR38" s="15" t="n">
        <x:v>0.9999999999999966</x:v>
      </x:c>
      <x:c r="AS38" s="15" t="n">
        <x:v>1</x:v>
      </x:c>
      <x:c r="AT38" s="15" t="n">
        <x:v>1</x:v>
      </x:c>
    </x:row>
    <x:row r="39" ht="24" customHeight="1">
      <x:c r="A39" s="18" t="str">
        <x:v>13067</x:v>
      </x:c>
      <x:c r="B39" s="3" t="str">
        <x:v>Cobb County</x:v>
      </x:c>
      <x:c r="C39" s="3" t="str">
        <x:v>GA</x:v>
      </x:c>
      <x:c r="D39" s="12" t="n">
        <x:v>879.793162</x:v>
      </x:c>
      <x:c r="E39" s="12" t="n">
        <x:v>0.517</x:v>
      </x:c>
      <x:c r="F39" s="12" t="n">
        <x:v>0.39108910891089105</x:v>
      </x:c>
      <x:c r="G39" s="12" t="n">
        <x:v>2.83418257231322</x:v>
      </x:c>
      <x:c r="H39" s="12" t="n">
        <x:v>2.6211896659765554</x:v>
      </x:c>
      <x:c r="I39" s="12" t="n">
        <x:v>0.3218290495992888</x:v>
      </x:c>
      <x:c r="J39" s="12" t="n">
        <x:v>0.0027342172194286837</x:v>
      </x:c>
      <x:c r="K39" s="12" t="n">
        <x:v>0.016498433551062768</x:v>
      </x:c>
      <x:c r="L39" s="24" t="n">
        <x:v>0.509102486</x:v>
      </x:c>
      <x:c r="M39" s="24" t="n">
        <x:v>0.505201007</x:v>
      </x:c>
      <x:c r="N39" s="13" t="n">
        <x:v>420742</x:v>
      </x:c>
      <x:c r="O39" s="12" t="n">
        <x:v>0.3993</x:v>
      </x:c>
      <x:c r="P39" s="12" t="n">
        <x:v>1451.740360514323</x:v>
      </x:c>
      <x:c r="Q39" s="12" t="n">
        <x:v>32.11747252146403</x:v>
      </x:c>
      <x:c r="R39" s="12" t="n">
        <x:v>5.41065377927693</x:v>
      </x:c>
      <x:c r="S39" s="12" t="n">
        <x:v>2.4712496669880126</x:v>
      </x:c>
      <x:c r="T39" s="12" t="n">
        <x:v>72.1</x:v>
      </x:c>
      <x:c r="U39" s="12" t="n">
        <x:v>211.4154781728841</x:v>
      </x:c>
      <x:c r="V39" s="12" t="n">
        <x:v>325.42757789465</x:v>
      </x:c>
      <x:c r="W39" s="12" t="n">
        <x:f>IF(ISNUMBER(E39),IF($I$172&gt;$H$172,(E39-$H$172)/($I$172-$H$172),"缺失"),"缺失")</x:f>
        <x:v>0.5428240740740741</x:v>
      </x:c>
      <x:c r="X39" s="12" t="n">
        <x:f>IF(ISNUMBER(F39),IF($I$173&gt;$H$173,(F39-$H$173)/($I$173-$H$173),"缺失"),"缺失")</x:f>
        <x:v>0.3918110236220471</x:v>
      </x:c>
      <x:c r="Y39" s="12" t="n">
        <x:f>IF(ISNUMBER(G39),IF($I$174&gt;$H$174,(G39-$H$174)/($I$174-$H$174),"缺失"),"缺失")</x:f>
        <x:v>0.7451916244436031</x:v>
      </x:c>
      <x:c r="Z39" s="12" t="n">
        <x:f>IF(ISNUMBER(H39),IF($I$175&gt;$H$175,(H39-$H$175)/($I$175-$H$175),"缺失"),"缺失")</x:f>
        <x:v>0.6457695133536255</x:v>
      </x:c>
      <x:c r="AA39" s="12" t="n">
        <x:f>IF(ISNUMBER(I39),IF($I$176&gt;$H$176,(I39-$H$176)/($I$176-$H$176),"缺失"),"缺失")</x:f>
        <x:v>0.2811777853161666</x:v>
      </x:c>
      <x:c r="AB39" s="12" t="n">
        <x:f>IF(ISNUMBER(J39),IF($I$177&gt;$H$177,(J39-$H$177)/($I$177-$H$177),"缺失"),"缺失")</x:f>
        <x:v>0.006707018382208312</x:v>
      </x:c>
      <x:c r="AC39" s="12" t="n">
        <x:f>IF(ISNUMBER(K39),IF($I$178&gt;$H$178,(K39-$H$178)/($I$178-$H$178),"缺失"),"缺失")</x:f>
        <x:v>0.02836412763103778</x:v>
      </x:c>
      <x:c r="AD39" s="12" t="n">
        <x:f>IF(ISNUMBER(L39),IF($I$179&gt;$H$179,(L39-$H$179)/($I$179-$H$179),"缺失"),"缺失")</x:f>
        <x:v>0.5089400713660238</x:v>
      </x:c>
      <x:c r="AE39" s="12" t="n">
        <x:f>IF(ISNUMBER(M39),IF($I$180&gt;$H$180,(M39-$H$180)/($I$180-$H$180),"缺失"),"缺失")</x:f>
        <x:v>0.505201007</x:v>
      </x:c>
      <x:c r="AF39" s="12" t="n">
        <x:f>IF(ISNUMBER(N39),IF($I$181&gt;$H$181,(N39-$H$181)/($I$181-$H$181),"缺失"),"缺失")</x:f>
        <x:v>0.6522719438000205</x:v>
      </x:c>
      <x:c r="AG39" s="12" t="n">
        <x:f>IF(ISNUMBER(O39),IF($I$182&gt;$H$182,(O39-$H$182)/($I$182-$H$182),"缺失"),"缺失")</x:f>
        <x:v>0.4014355034371209</x:v>
      </x:c>
      <x:c r="AH39" s="12" t="n">
        <x:f>IF(ISNUMBER(P39),IF($I$183&gt;$H$183,(P39-$H$183)/($I$183-$H$183),"缺失"),"缺失")</x:f>
        <x:v>0.5290166093161641</x:v>
      </x:c>
      <x:c r="AI39" s="12" t="n">
        <x:f>IF(ISNUMBER(Q39),IF($I$184&gt;$H$184,(Q39-$H$184)/($I$184-$H$184),"缺失"),"缺失")</x:f>
        <x:v>0.3736897631813399</x:v>
      </x:c>
      <x:c r="AJ39" s="12" t="n">
        <x:f>IF(ISNUMBER(R39),IF($I$185&gt;$H$185,(R39-$H$185)/($I$185-$H$185),"缺失"),"缺失")</x:f>
        <x:v>0.055346968120609394</x:v>
      </x:c>
      <x:c r="AK39" s="12" t="n">
        <x:f>IF(ISNUMBER(S39),IF($I$186&gt;$H$186,(S39-$H$186)/($I$186-$H$186),"缺失"),"缺失")</x:f>
        <x:v>0.04808349165087</x:v>
      </x:c>
      <x:c r="AL39" s="12" t="n">
        <x:f>IF(ISNUMBER(T39),IF($I$187&gt;$H$187,(T39-$H$187)/($I$187-$H$187),"缺失"),"缺失")</x:f>
        <x:v>0</x:v>
      </x:c>
      <x:c r="AM39" s="12" t="n">
        <x:f>IF(ISNUMBER(U39),IF($I$188&gt;$H$188,(U39-$H$188)/($I$188-$H$188),"缺失"),"缺失")</x:f>
        <x:v>0</x:v>
      </x:c>
      <x:c r="AN39" s="12" t="n">
        <x:f>IF(ISNUMBER(V39),IF($I$189&gt;$H$189,(V39-$H$189)/($I$189-$H$189),"缺失"),"缺失")</x:f>
        <x:v>1</x:v>
      </x:c>
      <x:c r="AO39" s="23" t="str"/>
      <x:c r="AP39" s="23" t="str">
        <x:v>见指标口径：州级、产业、代表点代理；气候基期待核实</x:v>
      </x:c>
      <x:c r="AQ39" s="15" t="n">
        <x:v>0.9999999999999988</x:v>
      </x:c>
      <x:c r="AR39" s="15" t="n">
        <x:v>0.9999999999999988</x:v>
      </x:c>
      <x:c r="AS39" s="15" t="n">
        <x:v>1</x:v>
      </x:c>
      <x:c r="AT39" s="15" t="n">
        <x:v>1</x:v>
      </x:c>
    </x:row>
    <x:row r="40" ht="24" customHeight="1">
      <x:c r="A40" s="18" t="str">
        <x:v>13069</x:v>
      </x:c>
      <x:c r="B40" s="3" t="str">
        <x:v>Coffee County</x:v>
      </x:c>
      <x:c r="C40" s="3" t="str">
        <x:v>GA</x:v>
      </x:c>
      <x:c r="D40" s="12" t="n">
        <x:v>1533.916511</x:v>
      </x:c>
      <x:c r="E40" s="12" t="n">
        <x:v>0.53</x:v>
      </x:c>
      <x:c r="F40" s="12" t="n">
        <x:v>0.0931311881188119</x:v>
      </x:c>
      <x:c r="G40" s="12" t="n">
        <x:v>1.3966526102197216</x:v>
      </x:c>
      <x:c r="H40" s="12" t="n">
        <x:v>1.315207910673089</x:v>
      </x:c>
      <x:c r="I40" s="12" t="n">
        <x:v>0.9179100816483863</x:v>
      </x:c>
      <x:c r="J40" s="12" t="n">
        <x:v>0.01822253065694086</x:v>
      </x:c>
      <x:c r="K40" s="12" t="n">
        <x:v>0.25370688346123743</x:v>
      </x:c>
      <x:c r="L40" s="24" t="n">
        <x:v>0.710607263</x:v>
      </x:c>
      <x:c r="M40" s="24" t="n">
        <x:v>0.710607263</x:v>
      </x:c>
      <x:c r="N40" s="13" t="n">
        <x:v>18325</x:v>
      </x:c>
      <x:c r="O40" s="12" t="n">
        <x:v>0.9609</x:v>
      </x:c>
      <x:c r="P40" s="12" t="n">
        <x:v>2203.380118815104</x:v>
      </x:c>
      <x:c r="Q40" s="12" t="n">
        <x:v>77.47298126220703</x:v>
      </x:c>
      <x:c r="R40" s="12" t="n">
        <x:v>63.770044689852135</x:v>
      </x:c>
      <x:c r="S40" s="12" t="n">
        <x:v>2.741047977767156</x:v>
      </x:c>
      <x:c r="T40" s="12" t="n">
        <x:v>72.1</x:v>
      </x:c>
      <x:c r="U40" s="12" t="n">
        <x:v>211.4154781728841</x:v>
      </x:c>
      <x:c r="V40" s="12" t="n">
        <x:v>325.42757789465</x:v>
      </x:c>
      <x:c r="W40" s="12" t="n">
        <x:f>IF(ISNUMBER(E40),IF($I$172&gt;$H$172,(E40-$H$172)/($I$172-$H$172),"缺失"),"缺失")</x:f>
        <x:v>0.5578703703703705</x:v>
      </x:c>
      <x:c r="X40" s="12" t="n">
        <x:f>IF(ISNUMBER(F40),IF($I$173&gt;$H$173,(F40-$H$173)/($I$173-$H$173),"缺失"),"缺失")</x:f>
        <x:v>0.088503937007874</x:v>
      </x:c>
      <x:c r="Y40" s="12" t="n">
        <x:f>IF(ISNUMBER(G40),IF($I$174&gt;$H$174,(G40-$H$174)/($I$174-$H$174),"缺失"),"缺失")</x:f>
        <x:v>0.36704796934454714</x:v>
      </x:c>
      <x:c r="Z40" s="12" t="n">
        <x:f>IF(ISNUMBER(H40),IF($I$175&gt;$H$175,(H40-$H$175)/($I$175-$H$175),"缺失"),"缺失")</x:f>
        <x:v>0.3238088784411714</x:v>
      </x:c>
      <x:c r="AA40" s="12" t="n">
        <x:f>IF(ISNUMBER(I40),IF($I$176&gt;$H$176,(I40-$H$176)/($I$176-$H$176),"缺失"),"缺失")</x:f>
        <x:v>0.9210864826478218</x:v>
      </x:c>
      <x:c r="AB40" s="12" t="n">
        <x:f>IF(ISNUMBER(J40),IF($I$177&gt;$H$177,(J40-$H$177)/($I$177-$H$177),"缺失"),"缺失")</x:f>
        <x:v>0.04469975802141812</x:v>
      </x:c>
      <x:c r="AC40" s="12" t="n">
        <x:f>IF(ISNUMBER(K40),IF($I$178&gt;$H$178,(K40-$H$178)/($I$178-$H$178),"缺失"),"缺失")</x:f>
        <x:v>0.4361731919030468</x:v>
      </x:c>
      <x:c r="AD40" s="12" t="n">
        <x:f>IF(ISNUMBER(L40),IF($I$179&gt;$H$179,(L40-$H$179)/($I$179-$H$179),"缺失"),"缺失")</x:f>
        <x:v>0.7105115167105713</x:v>
      </x:c>
      <x:c r="AE40" s="12" t="n">
        <x:f>IF(ISNUMBER(M40),IF($I$180&gt;$H$180,(M40-$H$180)/($I$180-$H$180),"缺失"),"缺失")</x:f>
        <x:v>0.710607263</x:v>
      </x:c>
      <x:c r="AF40" s="12" t="n">
        <x:f>IF(ISNUMBER(N40),IF($I$181&gt;$H$181,(N40-$H$181)/($I$181-$H$181),"缺失"),"缺失")</x:f>
        <x:v>0.027387241337544607</x:v>
      </x:c>
      <x:c r="AG40" s="12" t="n">
        <x:f>IF(ISNUMBER(O40),IF($I$182&gt;$H$182,(O40-$H$182)/($I$182-$H$182),"缺失"),"缺失")</x:f>
        <x:v>0.9691670036393045</x:v>
      </x:c>
      <x:c r="AH40" s="12" t="n">
        <x:f>IF(ISNUMBER(P40),IF($I$183&gt;$H$183,(P40-$H$183)/($I$183-$H$183),"缺失"),"缺失")</x:f>
        <x:v>0.8671462995923696</x:v>
      </x:c>
      <x:c r="AI40" s="12" t="n">
        <x:f>IF(ISNUMBER(Q40),IF($I$184&gt;$H$184,(Q40-$H$184)/($I$184-$H$184),"缺失"),"缺失")</x:f>
        <x:v>0.9066893612775792</x:v>
      </x:c>
      <x:c r="AJ40" s="12" t="n">
        <x:f>IF(ISNUMBER(R40),IF($I$185&gt;$H$185,(R40-$H$185)/($I$185-$H$185),"缺失"),"缺失")</x:f>
        <x:v>0.6686136357626348</x:v>
      </x:c>
      <x:c r="AK40" s="12" t="n">
        <x:f>IF(ISNUMBER(S40),IF($I$186&gt;$H$186,(S40-$H$186)/($I$186-$H$186),"缺失"),"缺失")</x:f>
        <x:v>0.05335040251567798</x:v>
      </x:c>
      <x:c r="AL40" s="12" t="n">
        <x:f>IF(ISNUMBER(T40),IF($I$187&gt;$H$187,(T40-$H$187)/($I$187-$H$187),"缺失"),"缺失")</x:f>
        <x:v>0</x:v>
      </x:c>
      <x:c r="AM40" s="12" t="n">
        <x:f>IF(ISNUMBER(U40),IF($I$188&gt;$H$188,(U40-$H$188)/($I$188-$H$188),"缺失"),"缺失")</x:f>
        <x:v>0</x:v>
      </x:c>
      <x:c r="AN40" s="12" t="n">
        <x:f>IF(ISNUMBER(V40),IF($I$189&gt;$H$189,(V40-$H$189)/($I$189-$H$189),"缺失"),"缺失")</x:f>
        <x:v>1</x:v>
      </x:c>
      <x:c r="AO40" s="23" t="str"/>
      <x:c r="AP40" s="23" t="str">
        <x:v>见指标口径：州级、产业、代表点代理；气候基期待核实</x:v>
      </x:c>
      <x:c r="AQ40" s="15" t="n">
        <x:v>0.9999999999999964</x:v>
      </x:c>
      <x:c r="AR40" s="15" t="n">
        <x:v>0.9999999999999963</x:v>
      </x:c>
      <x:c r="AS40" s="15" t="n">
        <x:v>1</x:v>
      </x:c>
      <x:c r="AT40" s="15" t="n">
        <x:v>1</x:v>
      </x:c>
    </x:row>
    <x:row r="41" ht="24" customHeight="1">
      <x:c r="A41" s="18" t="str">
        <x:v>13071</x:v>
      </x:c>
      <x:c r="B41" s="3" t="str">
        <x:v>Colquitt County</x:v>
      </x:c>
      <x:c r="C41" s="3" t="str">
        <x:v>GA</x:v>
      </x:c>
      <x:c r="D41" s="12" t="n">
        <x:v>1416.897182</x:v>
      </x:c>
      <x:c r="E41" s="12" t="n">
        <x:v>0.485</x:v>
      </x:c>
      <x:c r="F41" s="12" t="n">
        <x:v>0.168007425742574</x:v>
      </x:c>
      <x:c r="G41" s="12" t="n">
        <x:v>2.7823417471811625</x:v>
      </x:c>
      <x:c r="H41" s="12" t="n">
        <x:v>2.9385799333576905</x:v>
      </x:c>
      <x:c r="I41" s="12" t="n">
        <x:v>0.9094257979671474</x:v>
      </x:c>
      <x:c r="J41" s="12" t="n">
        <x:v>0.007309913618705441</x:v>
      </x:c>
      <x:c r="K41" s="12" t="n">
        <x:v>0.19913357144711424</x:v>
      </x:c>
      <x:c r="L41" s="24" t="n">
        <x:v>0.716349879</x:v>
      </x:c>
      <x:c r="M41" s="24" t="n">
        <x:v>0.705866266</x:v>
      </x:c>
      <x:c r="N41" s="13" t="n">
        <x:v>21472</x:v>
      </x:c>
      <x:c r="O41" s="12" t="n">
        <x:v>0.9847</x:v>
      </x:c>
      <x:c r="P41" s="12" t="n">
        <x:v>2295.207763671875</x:v>
      </x:c>
      <x:c r="Q41" s="12" t="n">
        <x:v>73.61512285868326</x:v>
      </x:c>
      <x:c r="R41" s="12" t="n">
        <x:v>29.52853121829435</x:v>
      </x:c>
      <x:c r="S41" s="12" t="n">
        <x:v>0.9963905229312676</x:v>
      </x:c>
      <x:c r="T41" s="12" t="n">
        <x:v>72.1</x:v>
      </x:c>
      <x:c r="U41" s="12" t="n">
        <x:v>211.4154781728841</x:v>
      </x:c>
      <x:c r="V41" s="12" t="n">
        <x:v>325.42757789465</x:v>
      </x:c>
      <x:c r="W41" s="12" t="n">
        <x:f>IF(ISNUMBER(E41),IF($I$172&gt;$H$172,(E41-$H$172)/($I$172-$H$172),"缺失"),"缺失")</x:f>
        <x:v>0.5057870370370371</x:v>
      </x:c>
      <x:c r="X41" s="12" t="n">
        <x:f>IF(ISNUMBER(F41),IF($I$173&gt;$H$173,(F41-$H$173)/($I$173-$H$173),"缺失"),"缺失")</x:f>
        <x:v>0.16472440944881858</x:v>
      </x:c>
      <x:c r="Y41" s="12" t="n">
        <x:f>IF(ISNUMBER(G41),IF($I$174&gt;$H$174,(G41-$H$174)/($I$174-$H$174),"缺失"),"缺失")</x:f>
        <x:v>0.7315548449567681</x:v>
      </x:c>
      <x:c r="Z41" s="12" t="n">
        <x:f>IF(ISNUMBER(H41),IF($I$175&gt;$H$175,(H41-$H$175)/($I$175-$H$175),"缺失"),"缺失")</x:f>
        <x:v>0.7240149954103936</x:v>
      </x:c>
      <x:c r="AA41" s="12" t="n">
        <x:f>IF(ISNUMBER(I41),IF($I$176&gt;$H$176,(I41-$H$176)/($I$176-$H$176),"缺失"),"缺失")</x:f>
        <x:v>0.911978380516824</x:v>
      </x:c>
      <x:c r="AB41" s="12" t="n">
        <x:f>IF(ISNUMBER(J41),IF($I$177&gt;$H$177,(J41-$H$177)/($I$177-$H$177),"缺失"),"缺失")</x:f>
        <x:v>0.01793117410885762</x:v>
      </x:c>
      <x:c r="AC41" s="12" t="n">
        <x:f>IF(ISNUMBER(K41),IF($I$178&gt;$H$178,(K41-$H$178)/($I$178-$H$178),"缺失"),"缺失")</x:f>
        <x:v>0.3423506855162313</x:v>
      </x:c>
      <x:c r="AD41" s="12" t="n">
        <x:f>IF(ISNUMBER(L41),IF($I$179&gt;$H$179,(L41-$H$179)/($I$179-$H$179),"缺失"),"缺失")</x:f>
        <x:v>0.716256032669013</x:v>
      </x:c>
      <x:c r="AE41" s="12" t="n">
        <x:f>IF(ISNUMBER(M41),IF($I$180&gt;$H$180,(M41-$H$180)/($I$180-$H$180),"缺失"),"缺失")</x:f>
        <x:v>0.705866266</x:v>
      </x:c>
      <x:c r="AF41" s="12" t="n">
        <x:f>IF(ISNUMBER(N41),IF($I$181&gt;$H$181,(N41-$H$181)/($I$181-$H$181),"缺失"),"缺失")</x:f>
        <x:v>0.032273993534020926</x:v>
      </x:c>
      <x:c r="AG41" s="12" t="n">
        <x:f>IF(ISNUMBER(O41),IF($I$182&gt;$H$182,(O41-$H$182)/($I$182-$H$182),"缺失"),"缺失")</x:f>
        <x:v>0.9932268499797817</x:v>
      </x:c>
      <x:c r="AH41" s="12" t="n">
        <x:f>IF(ISNUMBER(P41),IF($I$183&gt;$H$183,(P41-$H$183)/($I$183-$H$183),"缺失"),"缺失")</x:f>
        <x:v>0.9084555208932846</x:v>
      </x:c>
      <x:c r="AI41" s="12" t="n">
        <x:f>IF(ISNUMBER(Q41),IF($I$184&gt;$H$184,(Q41-$H$184)/($I$184-$H$184),"缺失"),"缺失")</x:f>
        <x:v>0.861353369340105</x:v>
      </x:c>
      <x:c r="AJ41" s="12" t="n">
        <x:f>IF(ISNUMBER(R41),IF($I$185&gt;$H$185,(R41-$H$185)/($I$185-$H$185),"缺失"),"缺失")</x:f>
        <x:v>0.30878844680720074</x:v>
      </x:c>
      <x:c r="AK41" s="12" t="n">
        <x:f>IF(ISNUMBER(S41),IF($I$186&gt;$H$186,(S41-$H$186)/($I$186-$H$186),"缺失"),"缺失")</x:f>
        <x:v>0.01929179303918861</x:v>
      </x:c>
      <x:c r="AL41" s="12" t="n">
        <x:f>IF(ISNUMBER(T41),IF($I$187&gt;$H$187,(T41-$H$187)/($I$187-$H$187),"缺失"),"缺失")</x:f>
        <x:v>0</x:v>
      </x:c>
      <x:c r="AM41" s="12" t="n">
        <x:f>IF(ISNUMBER(U41),IF($I$188&gt;$H$188,(U41-$H$188)/($I$188-$H$188),"缺失"),"缺失")</x:f>
        <x:v>0</x:v>
      </x:c>
      <x:c r="AN41" s="12" t="n">
        <x:f>IF(ISNUMBER(V41),IF($I$189&gt;$H$189,(V41-$H$189)/($I$189-$H$189),"缺失"),"缺失")</x:f>
        <x:v>1</x:v>
      </x:c>
      <x:c r="AO41" s="23" t="str"/>
      <x:c r="AP41" s="23" t="str">
        <x:v>见指标口径：州级、产业、代表点代理；气候基期待核实</x:v>
      </x:c>
      <x:c r="AQ41" s="15" t="n">
        <x:v>0.9999999999999983</x:v>
      </x:c>
      <x:c r="AR41" s="15" t="n">
        <x:v>0.9999999999999986</x:v>
      </x:c>
      <x:c r="AS41" s="15" t="n">
        <x:v>1</x:v>
      </x:c>
      <x:c r="AT41" s="15" t="n">
        <x:v>1</x:v>
      </x:c>
    </x:row>
    <x:row r="42" ht="24" customHeight="1">
      <x:c r="A42" s="18" t="str">
        <x:v>13073</x:v>
      </x:c>
      <x:c r="B42" s="3" t="str">
        <x:v>Columbia County</x:v>
      </x:c>
      <x:c r="C42" s="3" t="str">
        <x:v>GA</x:v>
      </x:c>
      <x:c r="D42" s="12" t="n">
        <x:v>751.599702</x:v>
      </x:c>
      <x:c r="E42" s="12" t="n">
        <x:v>0.623</x:v>
      </x:c>
      <x:c r="F42" s="12" t="n">
        <x:v>0.646658415841584</x:v>
      </x:c>
      <x:c r="G42" s="12" t="n">
        <x:v>2.931926380780837</x:v>
      </x:c>
      <x:c r="H42" s="12" t="n">
        <x:v>2.735302759</x:v>
      </x:c>
      <x:c r="I42" s="12" t="n">
        <x:v>0.7706804918590429</x:v>
      </x:c>
      <x:c r="J42" s="12" t="n">
        <x:v>0.012217903661102756</x:v>
      </x:c>
      <x:c r="K42" s="12" t="n">
        <x:v>0.04431628746299839</x:v>
      </x:c>
      <x:c r="L42" s="24" t="n">
        <x:v>0.499100496</x:v>
      </x:c>
      <x:c r="M42" s="24" t="n">
        <x:v>0.498135174</x:v>
      </x:c>
      <x:c r="N42" s="13" t="n">
        <x:v>75299</x:v>
      </x:c>
      <x:c r="O42" s="12" t="n">
        <x:v>0.23</x:v>
      </x:c>
      <x:c r="P42" s="12" t="n">
        <x:v>1727.334785970052</x:v>
      </x:c>
      <x:c r="Q42" s="12" t="n">
        <x:v>57.015149688720705</x:v>
      </x:c>
      <x:c r="R42" s="12" t="n">
        <x:v>6.904872616866323</x:v>
      </x:c>
      <x:c r="S42" s="12" t="n">
        <x:v>10.61210036942745</x:v>
      </x:c>
      <x:c r="T42" s="12" t="n">
        <x:v>72.1</x:v>
      </x:c>
      <x:c r="U42" s="12" t="n">
        <x:v>211.4154781728841</x:v>
      </x:c>
      <x:c r="V42" s="12" t="n">
        <x:v>325.42757789465</x:v>
      </x:c>
      <x:c r="W42" s="12" t="n">
        <x:f>IF(ISNUMBER(E42),IF($I$172&gt;$H$172,(E42-$H$172)/($I$172-$H$172),"缺失"),"缺失")</x:f>
        <x:v>0.6655092592592592</x:v>
      </x:c>
      <x:c r="X42" s="12" t="n">
        <x:f>IF(ISNUMBER(F42),IF($I$173&gt;$H$173,(F42-$H$173)/($I$173-$H$173),"缺失"),"缺失")</x:f>
        <x:v>0.6519685039370076</x:v>
      </x:c>
      <x:c r="Y42" s="12" t="n">
        <x:f>IF(ISNUMBER(G42),IF($I$174&gt;$H$174,(G42-$H$174)/($I$174-$H$174),"缺失"),"缺失")</x:f>
        <x:v>0.7709032283557884</x:v>
      </x:c>
      <x:c r="Z42" s="12" t="n">
        <x:f>IF(ISNUMBER(H42),IF($I$175&gt;$H$175,(H42-$H$175)/($I$175-$H$175),"缺失"),"缺失")</x:f>
        <x:v>0.6739015479187753</x:v>
      </x:c>
      <x:c r="AA42" s="12" t="n">
        <x:f>IF(ISNUMBER(I42),IF($I$176&gt;$H$176,(I42-$H$176)/($I$176-$H$176),"缺失"),"缺失")</x:f>
        <x:v>0.7630316378444183</x:v>
      </x:c>
      <x:c r="AB42" s="12" t="n">
        <x:f>IF(ISNUMBER(J42),IF($I$177&gt;$H$177,(J42-$H$177)/($I$177-$H$177),"缺失"),"缺失")</x:f>
        <x:v>0.029970444142030907</x:v>
      </x:c>
      <x:c r="AC42" s="12" t="n">
        <x:f>IF(ISNUMBER(K42),IF($I$178&gt;$H$178,(K42-$H$178)/($I$178-$H$178),"缺失"),"缺失")</x:f>
        <x:v>0.07618861692801587</x:v>
      </x:c>
      <x:c r="AD42" s="12" t="n">
        <x:f>IF(ISNUMBER(L42),IF($I$179&gt;$H$179,(L42-$H$179)/($I$179-$H$179),"缺失"),"缺失")</x:f>
        <x:v>0.49893477218335625</x:v>
      </x:c>
      <x:c r="AE42" s="12" t="n">
        <x:f>IF(ISNUMBER(M42),IF($I$180&gt;$H$180,(M42-$H$180)/($I$180-$H$180),"缺失"),"缺失")</x:f>
        <x:v>0.498135174</x:v>
      </x:c>
      <x:c r="AF42" s="12" t="n">
        <x:f>IF(ISNUMBER(N42),IF($I$181&gt;$H$181,(N42-$H$181)/($I$181-$H$181),"缺失"),"缺失")</x:f>
        <x:v>0.11585810871664912</x:v>
      </x:c>
      <x:c r="AG42" s="12" t="n">
        <x:f>IF(ISNUMBER(O42),IF($I$182&gt;$H$182,(O42-$H$182)/($I$182-$H$182),"缺失"),"缺失")</x:f>
        <x:v>0.2302871006874242</x:v>
      </x:c>
      <x:c r="AH42" s="12" t="n">
        <x:f>IF(ISNUMBER(P42),IF($I$183&gt;$H$183,(P42-$H$183)/($I$183-$H$183),"缺失"),"缺失")</x:f>
        <x:v>0.6529944280678757</x:v>
      </x:c>
      <x:c r="AI42" s="12" t="n">
        <x:f>IF(ISNUMBER(Q42),IF($I$184&gt;$H$184,(Q42-$H$184)/($I$184-$H$184),"缺失"),"缺失")</x:f>
        <x:v>0.6662771972576074</x:v>
      </x:c>
      <x:c r="AJ42" s="12" t="n">
        <x:f>IF(ISNUMBER(R42),IF($I$185&gt;$H$185,(R42-$H$185)/($I$185-$H$185),"缺失"),"缺失")</x:f>
        <x:v>0.07104889017563099</x:v>
      </x:c>
      <x:c r="AK42" s="12" t="n">
        <x:f>IF(ISNUMBER(S42),IF($I$186&gt;$H$186,(S42-$H$186)/($I$186-$H$186),"缺失"),"缺失")</x:f>
        <x:v>0.2070064103660914</x:v>
      </x:c>
      <x:c r="AL42" s="12" t="n">
        <x:f>IF(ISNUMBER(T42),IF($I$187&gt;$H$187,(T42-$H$187)/($I$187-$H$187),"缺失"),"缺失")</x:f>
        <x:v>0</x:v>
      </x:c>
      <x:c r="AM42" s="12" t="n">
        <x:f>IF(ISNUMBER(U42),IF($I$188&gt;$H$188,(U42-$H$188)/($I$188-$H$188),"缺失"),"缺失")</x:f>
        <x:v>0</x:v>
      </x:c>
      <x:c r="AN42" s="12" t="n">
        <x:f>IF(ISNUMBER(V42),IF($I$189&gt;$H$189,(V42-$H$189)/($I$189-$H$189),"缺失"),"缺失")</x:f>
        <x:v>1</x:v>
      </x:c>
      <x:c r="AO42" s="23" t="str"/>
      <x:c r="AP42" s="23" t="str">
        <x:v>见指标口径：州级、产业、代表点代理；气候基期待核实</x:v>
      </x:c>
      <x:c r="AQ42" s="15" t="n">
        <x:v>1.0000000000000004</x:v>
      </x:c>
      <x:c r="AR42" s="15" t="n">
        <x:v>0.999999999999996</x:v>
      </x:c>
      <x:c r="AS42" s="15" t="n">
        <x:v>1</x:v>
      </x:c>
      <x:c r="AT42" s="15" t="n">
        <x:v>1</x:v>
      </x:c>
    </x:row>
    <x:row r="43" ht="24" customHeight="1">
      <x:c r="A43" s="18" t="str">
        <x:v>13075</x:v>
      </x:c>
      <x:c r="B43" s="3" t="str">
        <x:v>Cook County</x:v>
      </x:c>
      <x:c r="C43" s="3" t="str">
        <x:v>GA</x:v>
      </x:c>
      <x:c r="D43" s="12" t="n">
        <x:v>591.694198</x:v>
      </x:c>
      <x:c r="E43" s="12" t="n">
        <x:v>0.499</x:v>
      </x:c>
      <x:c r="F43" s="12" t="n">
        <x:v>0.225866336633663</x:v>
      </x:c>
      <x:c r="G43" s="12" t="n">
        <x:v>2.8615833765292407</x:v>
      </x:c>
      <x:c r="H43" s="12" t="n">
        <x:v>3.072920026</x:v>
      </x:c>
      <x:c r="I43" s="12" t="n">
        <x:v>0.9024384381858248</x:v>
      </x:c>
      <x:c r="J43" s="12" t="n">
        <x:v>0.004465155109666866</x:v>
      </x:c>
      <x:c r="K43" s="12" t="n">
        <x:v>0.27444559442282185</x:v>
      </x:c>
      <x:c r="L43" s="24" t="n">
        <x:v>0.741780273</x:v>
      </x:c>
      <x:c r="M43" s="24" t="n">
        <x:v>0.733417344</x:v>
      </x:c>
      <x:c r="N43" s="13" t="n">
        <x:v>7902</x:v>
      </x:c>
      <x:c r="O43" s="12" t="n">
        <x:v>0.9338</x:v>
      </x:c>
      <x:c r="P43" s="12" t="n">
        <x:v>2257.7932698567706</x:v>
      </x:c>
      <x:c r="Q43" s="12" t="n">
        <x:v>73.77168769836426</x:v>
      </x:c>
      <x:c r="R43" s="12" t="n">
        <x:v>1.4070442416438826</x:v>
      </x:c>
      <x:c r="S43" s="12" t="n">
        <x:v>0.08991112305477474</x:v>
      </x:c>
      <x:c r="T43" s="12" t="n">
        <x:v>72.1</x:v>
      </x:c>
      <x:c r="U43" s="12" t="n">
        <x:v>211.4154781728841</x:v>
      </x:c>
      <x:c r="V43" s="12" t="n">
        <x:v>325.42757789465</x:v>
      </x:c>
      <x:c r="W43" s="12" t="n">
        <x:f>IF(ISNUMBER(E43),IF($I$172&gt;$H$172,(E43-$H$172)/($I$172-$H$172),"缺失"),"缺失")</x:f>
        <x:v>0.5219907407407408</x:v>
      </x:c>
      <x:c r="X43" s="12" t="n">
        <x:f>IF(ISNUMBER(F43),IF($I$173&gt;$H$173,(F43-$H$173)/($I$173-$H$173),"缺失"),"缺失")</x:f>
        <x:v>0.22362204724409407</x:v>
      </x:c>
      <x:c r="Y43" s="12" t="n">
        <x:f>IF(ISNUMBER(G43),IF($I$174&gt;$H$174,(G43-$H$174)/($I$174-$H$174),"缺失"),"缺失")</x:f>
        <x:v>0.7523994326508213</x:v>
      </x:c>
      <x:c r="Z43" s="12" t="n">
        <x:f>IF(ISNUMBER(H43),IF($I$175&gt;$H$175,(H43-$H$175)/($I$175-$H$175),"缺失"),"缺失")</x:f>
        <x:v>0.7571335449963068</x:v>
      </x:c>
      <x:c r="AA43" s="12" t="n">
        <x:f>IF(ISNUMBER(I43),IF($I$176&gt;$H$176,(I43-$H$176)/($I$176-$H$176),"缺失"),"缺失")</x:f>
        <x:v>0.9044772656430907</x:v>
      </x:c>
      <x:c r="AB43" s="12" t="n">
        <x:f>IF(ISNUMBER(J43),IF($I$177&gt;$H$177,(J43-$H$177)/($I$177-$H$177),"缺失"),"缺失")</x:f>
        <x:v>0.01095299860857605</x:v>
      </x:c>
      <x:c r="AC43" s="12" t="n">
        <x:f>IF(ISNUMBER(K43),IF($I$178&gt;$H$178,(K43-$H$178)/($I$178-$H$178),"缺失"),"缺失")</x:f>
        <x:v>0.47182720977068193</x:v>
      </x:c>
      <x:c r="AD43" s="12" t="n">
        <x:f>IF(ISNUMBER(L43),IF($I$179&gt;$H$179,(L43-$H$179)/($I$179-$H$179),"缺失"),"缺失")</x:f>
        <x:v>0.7416948403765907</x:v>
      </x:c>
      <x:c r="AE43" s="12" t="n">
        <x:f>IF(ISNUMBER(M43),IF($I$180&gt;$H$180,(M43-$H$180)/($I$180-$H$180),"缺失"),"缺失")</x:f>
        <x:v>0.733417344</x:v>
      </x:c>
      <x:c r="AF43" s="12" t="n">
        <x:f>IF(ISNUMBER(N43),IF($I$181&gt;$H$181,(N43-$H$181)/($I$181-$H$181),"缺失"),"缺失")</x:f>
        <x:v>0.011202106878099834</x:v>
      </x:c>
      <x:c r="AG43" s="12" t="n">
        <x:f>IF(ISNUMBER(O43),IF($I$182&gt;$H$182,(O43-$H$182)/($I$182-$H$182),"缺失"),"缺失")</x:f>
        <x:v>0.9417711281843915</x:v>
      </x:c>
      <x:c r="AH43" s="12" t="n">
        <x:f>IF(ISNUMBER(P43),IF($I$183&gt;$H$183,(P43-$H$183)/($I$183-$H$183),"缺失"),"缺失")</x:f>
        <x:v>0.891624384613131</x:v>
      </x:c>
      <x:c r="AI43" s="12" t="n">
        <x:f>IF(ISNUMBER(Q43),IF($I$184&gt;$H$184,(Q43-$H$184)/($I$184-$H$184),"缺失"),"缺失")</x:f>
        <x:v>0.8631932560251596</x:v>
      </x:c>
      <x:c r="AJ43" s="12" t="n">
        <x:f>IF(ISNUMBER(R43),IF($I$185&gt;$H$185,(R43-$H$185)/($I$185-$H$185),"缺失"),"缺失")</x:f>
        <x:v>0.013275242535839246</x:v>
      </x:c>
      <x:c r="AK43" s="12" t="n">
        <x:f>IF(ISNUMBER(S43),IF($I$186&gt;$H$186,(S43-$H$186)/($I$186-$H$186),"缺失"),"缺失")</x:f>
        <x:v>0.0015958104878286755</x:v>
      </x:c>
      <x:c r="AL43" s="12" t="n">
        <x:f>IF(ISNUMBER(T43),IF($I$187&gt;$H$187,(T43-$H$187)/($I$187-$H$187),"缺失"),"缺失")</x:f>
        <x:v>0</x:v>
      </x:c>
      <x:c r="AM43" s="12" t="n">
        <x:f>IF(ISNUMBER(U43),IF($I$188&gt;$H$188,(U43-$H$188)/($I$188-$H$188),"缺失"),"缺失")</x:f>
        <x:v>0</x:v>
      </x:c>
      <x:c r="AN43" s="12" t="n">
        <x:f>IF(ISNUMBER(V43),IF($I$189&gt;$H$189,(V43-$H$189)/($I$189-$H$189),"缺失"),"缺失")</x:f>
        <x:v>1</x:v>
      </x:c>
      <x:c r="AO43" s="23" t="str"/>
      <x:c r="AP43" s="23" t="str">
        <x:v>见指标口径：州级、产业、代表点代理；气候基期待核实</x:v>
      </x:c>
      <x:c r="AQ43" s="15" t="n">
        <x:v>0.9999999999999967</x:v>
      </x:c>
      <x:c r="AR43" s="15" t="n">
        <x:v>0.9999999999999967</x:v>
      </x:c>
      <x:c r="AS43" s="15" t="n">
        <x:v>1</x:v>
      </x:c>
      <x:c r="AT43" s="15" t="n">
        <x:v>1</x:v>
      </x:c>
    </x:row>
    <x:row r="44" ht="24" customHeight="1">
      <x:c r="A44" s="18" t="str">
        <x:v>13077</x:v>
      </x:c>
      <x:c r="B44" s="3" t="str">
        <x:v>Coweta County</x:v>
      </x:c>
      <x:c r="C44" s="3" t="str">
        <x:v>GA</x:v>
      </x:c>
      <x:c r="D44" s="12" t="n">
        <x:v>1142.174889</x:v>
      </x:c>
      <x:c r="E44" s="12" t="n">
        <x:v>0.632</x:v>
      </x:c>
      <x:c r="F44" s="12" t="n">
        <x:v>0.192759900990099</x:v>
      </x:c>
      <x:c r="G44" s="12" t="n">
        <x:v>1.8500681955268017</x:v>
      </x:c>
      <x:c r="H44" s="12" t="n">
        <x:v>1.741073715173898</x:v>
      </x:c>
      <x:c r="I44" s="12" t="n">
        <x:v>0.8252593429977391</x:v>
      </x:c>
      <x:c r="J44" s="12" t="n">
        <x:v>0.01139717907384606</x:v>
      </x:c>
      <x:c r="K44" s="12" t="n">
        <x:v>0.05688921399122224</x:v>
      </x:c>
      <x:c r="L44" s="24" t="n">
        <x:v>0.467404674</x:v>
      </x:c>
      <x:c r="M44" s="24" t="n">
        <x:v>0.459348093</x:v>
      </x:c>
      <x:c r="N44" s="13" t="n">
        <x:v>80512</x:v>
      </x:c>
      <x:c r="O44" s="12" t="n">
        <x:v>0.2402</x:v>
      </x:c>
      <x:c r="P44" s="12" t="n">
        <x:v>1597.12724609375</x:v>
      </x:c>
      <x:c r="Q44" s="12" t="n">
        <x:v>36.913720703125</x:v>
      </x:c>
      <x:c r="R44" s="12" t="n">
        <x:v>0.1437519261483259</x:v>
      </x:c>
      <x:c r="S44" s="12" t="n">
        <x:v>0.10613334915219225</x:v>
      </x:c>
      <x:c r="T44" s="12" t="n">
        <x:v>72.1</x:v>
      </x:c>
      <x:c r="U44" s="12" t="n">
        <x:v>211.4154781728841</x:v>
      </x:c>
      <x:c r="V44" s="12" t="n">
        <x:v>325.42757789465</x:v>
      </x:c>
      <x:c r="W44" s="12" t="n">
        <x:f>IF(ISNUMBER(E44),IF($I$172&gt;$H$172,(E44-$H$172)/($I$172-$H$172),"缺失"),"缺失")</x:f>
        <x:v>0.6759259259259259</x:v>
      </x:c>
      <x:c r="X44" s="12" t="n">
        <x:f>IF(ISNUMBER(F44),IF($I$173&gt;$H$173,(F44-$H$173)/($I$173-$H$173),"缺失"),"缺失")</x:f>
        <x:v>0.18992125984251962</x:v>
      </x:c>
      <x:c r="Y44" s="12" t="n">
        <x:f>IF(ISNUMBER(G44),IF($I$174&gt;$H$174,(G44-$H$174)/($I$174-$H$174),"缺失"),"缺失")</x:f>
        <x:v>0.48631938018679666</x:v>
      </x:c>
      <x:c r="Z44" s="12" t="n">
        <x:f>IF(ISNUMBER(H44),IF($I$175&gt;$H$175,(H44-$H$175)/($I$175-$H$175),"缺失"),"缺失")</x:f>
        <x:v>0.42879658156013517</x:v>
      </x:c>
      <x:c r="AA44" s="12" t="n">
        <x:f>IF(ISNUMBER(I44),IF($I$176&gt;$H$176,(I44-$H$176)/($I$176-$H$176),"缺失"),"缺失")</x:f>
        <x:v>0.8216234729410008</x:v>
      </x:c>
      <x:c r="AB44" s="12" t="n">
        <x:f>IF(ISNUMBER(J44),IF($I$177&gt;$H$177,(J44-$H$177)/($I$177-$H$177),"缺失"),"缺失")</x:f>
        <x:v>0.027957211669370527</x:v>
      </x:c>
      <x:c r="AC44" s="12" t="n">
        <x:f>IF(ISNUMBER(K44),IF($I$178&gt;$H$178,(K44-$H$178)/($I$178-$H$178),"缺失"),"缺失")</x:f>
        <x:v>0.09780400796732032</x:v>
      </x:c>
      <x:c r="AD44" s="12" t="n">
        <x:f>IF(ISNUMBER(L44),IF($I$179&gt;$H$179,(L44-$H$179)/($I$179-$H$179),"缺失"),"缺失")</x:f>
        <x:v>0.46722846354371783</x:v>
      </x:c>
      <x:c r="AE44" s="12" t="n">
        <x:f>IF(ISNUMBER(M44),IF($I$180&gt;$H$180,(M44-$H$180)/($I$180-$H$180),"缺失"),"缺失")</x:f>
        <x:v>0.459348093</x:v>
      </x:c>
      <x:c r="AF44" s="12" t="n">
        <x:f>IF(ISNUMBER(N44),IF($I$181&gt;$H$181,(N44-$H$181)/($I$181-$H$181),"缺失"),"缺失")</x:f>
        <x:v>0.12395300518955381</x:v>
      </x:c>
      <x:c r="AG44" s="12" t="n">
        <x:f>IF(ISNUMBER(O44),IF($I$182&gt;$H$182,(O44-$H$182)/($I$182-$H$182),"缺失"),"缺失")</x:f>
        <x:v>0.24059846340477153</x:v>
      </x:c>
      <x:c r="AH44" s="12" t="n">
        <x:f>IF(ISNUMBER(P44),IF($I$183&gt;$H$183,(P44-$H$183)/($I$183-$H$183),"缺失"),"缺失")</x:f>
        <x:v>0.594419778917421</x:v>
      </x:c>
      <x:c r="AI44" s="12" t="n">
        <x:f>IF(ISNUMBER(Q44),IF($I$184&gt;$H$184,(Q44-$H$184)/($I$184-$H$184),"缺失"),"缺失")</x:f>
        <x:v>0.4300533323302996</x:v>
      </x:c>
      <x:c r="AJ44" s="12" t="n">
        <x:f>IF(ISNUMBER(R44),IF($I$185&gt;$H$185,(R44-$H$185)/($I$185-$H$185),"缺失"),"缺失")</x:f>
        <x:v>0</x:v>
      </x:c>
      <x:c r="AK44" s="12" t="n">
        <x:f>IF(ISNUMBER(S44),IF($I$186&gt;$H$186,(S44-$H$186)/($I$186-$H$186),"缺失"),"缺失")</x:f>
        <x:v>0.0019124952685343692</x:v>
      </x:c>
      <x:c r="AL44" s="12" t="n">
        <x:f>IF(ISNUMBER(T44),IF($I$187&gt;$H$187,(T44-$H$187)/($I$187-$H$187),"缺失"),"缺失")</x:f>
        <x:v>0</x:v>
      </x:c>
      <x:c r="AM44" s="12" t="n">
        <x:f>IF(ISNUMBER(U44),IF($I$188&gt;$H$188,(U44-$H$188)/($I$188-$H$188),"缺失"),"缺失")</x:f>
        <x:v>0</x:v>
      </x:c>
      <x:c r="AN44" s="12" t="n">
        <x:f>IF(ISNUMBER(V44),IF($I$189&gt;$H$189,(V44-$H$189)/($I$189-$H$189),"缺失"),"缺失")</x:f>
        <x:v>1</x:v>
      </x:c>
      <x:c r="AO44" s="23" t="str"/>
      <x:c r="AP44" s="23" t="str">
        <x:v>见指标口径：州级、产业、代表点代理；气候基期待核实</x:v>
      </x:c>
      <x:c r="AQ44" s="15" t="n">
        <x:v>1.0000000000000064</x:v>
      </x:c>
      <x:c r="AR44" s="15" t="n">
        <x:v>1.0000000000000064</x:v>
      </x:c>
      <x:c r="AS44" s="15" t="n">
        <x:v>1</x:v>
      </x:c>
      <x:c r="AT44" s="15" t="n">
        <x:v>1</x:v>
      </x:c>
    </x:row>
    <x:row r="45" ht="24" customHeight="1">
      <x:c r="A45" s="18" t="str">
        <x:v>13079</x:v>
      </x:c>
      <x:c r="B45" s="3" t="str">
        <x:v>Crawford County</x:v>
      </x:c>
      <x:c r="C45" s="3" t="str">
        <x:v>GA</x:v>
      </x:c>
      <x:c r="D45" s="12" t="n">
        <x:v>841.524046</x:v>
      </x:c>
      <x:c r="E45" s="12" t="n">
        <x:v>0.64</x:v>
      </x:c>
      <x:c r="F45" s="12" t="n">
        <x:v>0.379950495049505</x:v>
      </x:c>
      <x:c r="G45" s="12" t="n">
        <x:v>1.799194256201691</x:v>
      </x:c>
      <x:c r="H45" s="12" t="n">
        <x:v>1.7274985222954222</x:v>
      </x:c>
      <x:c r="I45" s="12" t="n">
        <x:v>0.9442125741318432</x:v>
      </x:c>
      <x:c r="J45" s="12" t="n">
        <x:v>0.004708260210184618</x:v>
      </x:c>
      <x:c r="K45" s="12" t="n">
        <x:v>0.11118062459291762</x:v>
      </x:c>
      <x:c r="L45" s="24" t="n">
        <x:v>0.975506757</x:v>
      </x:c>
      <x:c r="M45" s="24" t="n">
        <x:v>0.975506757</x:v>
      </x:c>
      <x:c r="N45" s="13" t="n">
        <x:v>5292</x:v>
      </x:c>
      <x:c r="O45" s="12" t="n">
        <x:v>0.6837</x:v>
      </x:c>
      <x:c r="P45" s="12" t="n">
        <x:v>1890.646337890625</x:v>
      </x:c>
      <x:c r="Q45" s="12" t="n">
        <x:v>59.046179580688474</x:v>
      </x:c>
      <x:c r="R45" s="12" t="n">
        <x:v>22.345050613504</x:v>
      </x:c>
      <x:c r="S45" s="12" t="n">
        <x:v>7.585514949974193</x:v>
      </x:c>
      <x:c r="T45" s="12" t="n">
        <x:v>72.1</x:v>
      </x:c>
      <x:c r="U45" s="12" t="n">
        <x:v>211.4154781728841</x:v>
      </x:c>
      <x:c r="V45" s="12" t="n">
        <x:v>325.42757789465</x:v>
      </x:c>
      <x:c r="W45" s="12" t="n">
        <x:f>IF(ISNUMBER(E45),IF($I$172&gt;$H$172,(E45-$H$172)/($I$172-$H$172),"缺失"),"缺失")</x:f>
        <x:v>0.6851851851851851</x:v>
      </x:c>
      <x:c r="X45" s="12" t="n">
        <x:f>IF(ISNUMBER(F45),IF($I$173&gt;$H$173,(F45-$H$173)/($I$173-$H$173),"缺失"),"缺失")</x:f>
        <x:v>0.38047244094488186</x:v>
      </x:c>
      <x:c r="Y45" s="12" t="n">
        <x:f>IF(ISNUMBER(G45),IF($I$174&gt;$H$174,(G45-$H$174)/($I$174-$H$174),"缺失"),"缺失")</x:f>
        <x:v>0.4729369409521606</x:v>
      </x:c>
      <x:c r="Z45" s="12" t="n">
        <x:f>IF(ISNUMBER(H45),IF($I$175&gt;$H$175,(H45-$H$175)/($I$175-$H$175),"缺失"),"缺失")</x:f>
        <x:v>0.42544992093454514</x:v>
      </x:c>
      <x:c r="AA45" s="12" t="n">
        <x:f>IF(ISNUMBER(I45),IF($I$176&gt;$H$176,(I45-$H$176)/($I$176-$H$176),"缺失"),"缺失")</x:f>
        <x:v>0.9493229015182654</x:v>
      </x:c>
      <x:c r="AB45" s="12" t="n">
        <x:f>IF(ISNUMBER(J45),IF($I$177&gt;$H$177,(J45-$H$177)/($I$177-$H$177),"缺失"),"缺失")</x:f>
        <x:v>0.01154933395691456</x:v>
      </x:c>
      <x:c r="AC45" s="12" t="n">
        <x:f>IF(ISNUMBER(K45),IF($I$178&gt;$H$178,(K45-$H$178)/($I$178-$H$178),"缺失"),"缺失")</x:f>
        <x:v>0.19114186909270997</x:v>
      </x:c>
      <x:c r="AD45" s="12" t="n">
        <x:f>IF(ISNUMBER(L45),IF($I$179&gt;$H$179,(L45-$H$179)/($I$179-$H$179),"缺失"),"缺失")</x:f>
        <x:v>0.9754986533511053</x:v>
      </x:c>
      <x:c r="AE45" s="12" t="n">
        <x:f>IF(ISNUMBER(M45),IF($I$180&gt;$H$180,(M45-$H$180)/($I$180-$H$180),"缺失"),"缺失")</x:f>
        <x:v>0.975506757</x:v>
      </x:c>
      <x:c r="AF45" s="12" t="n">
        <x:f>IF(ISNUMBER(N45),IF($I$181&gt;$H$181,(N45-$H$181)/($I$181-$H$181),"缺失"),"缺失")</x:f>
        <x:v>0.007149223740888777</x:v>
      </x:c>
      <x:c r="AG45" s="12" t="n">
        <x:f>IF(ISNUMBER(O45),IF($I$182&gt;$H$182,(O45-$H$182)/($I$182-$H$182),"缺失"),"缺失")</x:f>
        <x:v>0.6889405580266883</x:v>
      </x:c>
      <x:c r="AH45" s="12" t="n">
        <x:f>IF(ISNUMBER(P45),IF($I$183&gt;$H$183,(P45-$H$183)/($I$183-$H$183),"缺失"),"缺失")</x:f>
        <x:v>0.7264611172093146</x:v>
      </x:c>
      <x:c r="AI45" s="12" t="n">
        <x:f>IF(ISNUMBER(Q45),IF($I$184&gt;$H$184,(Q45-$H$184)/($I$184-$H$184),"缺失"),"缺失")</x:f>
        <x:v>0.6901450392506975</x:v>
      </x:c>
      <x:c r="AJ45" s="12" t="n">
        <x:f>IF(ISNUMBER(R45),IF($I$185&gt;$H$185,(R45-$H$185)/($I$185-$H$185),"缺失"),"缺失")</x:f>
        <x:v>0.23330120912644203</x:v>
      </x:c>
      <x:c r="AK45" s="12" t="n">
        <x:f>IF(ISNUMBER(S45),IF($I$186&gt;$H$186,(S45-$H$186)/($I$186-$H$186),"缺失"),"缺失")</x:f>
        <x:v>0.1479224391471729</x:v>
      </x:c>
      <x:c r="AL45" s="12" t="n">
        <x:f>IF(ISNUMBER(T45),IF($I$187&gt;$H$187,(T45-$H$187)/($I$187-$H$187),"缺失"),"缺失")</x:f>
        <x:v>0</x:v>
      </x:c>
      <x:c r="AM45" s="12" t="n">
        <x:f>IF(ISNUMBER(U45),IF($I$188&gt;$H$188,(U45-$H$188)/($I$188-$H$188),"缺失"),"缺失")</x:f>
        <x:v>0</x:v>
      </x:c>
      <x:c r="AN45" s="12" t="n">
        <x:f>IF(ISNUMBER(V45),IF($I$189&gt;$H$189,(V45-$H$189)/($I$189-$H$189),"缺失"),"缺失")</x:f>
        <x:v>1</x:v>
      </x:c>
      <x:c r="AO45" s="23" t="str"/>
      <x:c r="AP45" s="23" t="str">
        <x:v>见指标口径：州级、产业、代表点代理；气候基期待核实</x:v>
      </x:c>
      <x:c r="AQ45" s="15" t="n">
        <x:v>1.0000000000000007</x:v>
      </x:c>
      <x:c r="AR45" s="15" t="n">
        <x:v>0.9999999999999997</x:v>
      </x:c>
      <x:c r="AS45" s="15" t="n">
        <x:v>1</x:v>
      </x:c>
      <x:c r="AT45" s="15" t="n">
        <x:v>1</x:v>
      </x:c>
    </x:row>
    <x:row r="46" ht="24" customHeight="1">
      <x:c r="A46" s="18" t="str">
        <x:v>13081</x:v>
      </x:c>
      <x:c r="B46" s="3" t="str">
        <x:v>Crisp County</x:v>
      </x:c>
      <x:c r="C46" s="3" t="str">
        <x:v>GA</x:v>
      </x:c>
      <x:c r="D46" s="12" t="n">
        <x:v>706.237949</x:v>
      </x:c>
      <x:c r="E46" s="12" t="n">
        <x:v>0.478</x:v>
      </x:c>
      <x:c r="F46" s="12" t="n">
        <x:v>0.656559405940594</x:v>
      </x:c>
      <x:c r="G46" s="12" t="n">
        <x:v>1.7001656942400494</x:v>
      </x:c>
      <x:c r="H46" s="12" t="n">
        <x:v>1.7455198790481</x:v>
      </x:c>
      <x:c r="I46" s="12" t="n">
        <x:v>0.8885609193533638</x:v>
      </x:c>
      <x:c r="J46" s="12" t="n">
        <x:v>0.008437378184025728</x:v>
      </x:c>
      <x:c r="K46" s="12" t="n">
        <x:v>0.17765096477234624</x:v>
      </x:c>
      <x:c r="L46" s="24" t="n">
        <x:v>0.505662021</x:v>
      </x:c>
      <x:c r="M46" s="24" t="n">
        <x:v>0.500174216</x:v>
      </x:c>
      <x:c r="N46" s="13" t="n">
        <x:v>9116</x:v>
      </x:c>
      <x:c r="O46" s="12" t="n">
        <x:v>0.978</x:v>
      </x:c>
      <x:c r="P46" s="12" t="n">
        <x:v>2269.278141276042</x:v>
      </x:c>
      <x:c r="Q46" s="12" t="n">
        <x:v>78.02267990112304</x:v>
      </x:c>
      <x:c r="R46" s="12" t="n">
        <x:v>1.1842628497360703</x:v>
      </x:c>
      <x:c r="S46" s="12" t="n">
        <x:v>1.0098458920017688</x:v>
      </x:c>
      <x:c r="T46" s="12" t="n">
        <x:v>72.1</x:v>
      </x:c>
      <x:c r="U46" s="12" t="n">
        <x:v>211.4154781728841</x:v>
      </x:c>
      <x:c r="V46" s="12" t="n">
        <x:v>325.42757789465</x:v>
      </x:c>
      <x:c r="W46" s="12" t="n">
        <x:f>IF(ISNUMBER(E46),IF($I$172&gt;$H$172,(E46-$H$172)/($I$172-$H$172),"缺失"),"缺失")</x:f>
        <x:v>0.4976851851851852</x:v>
      </x:c>
      <x:c r="X46" s="12" t="n">
        <x:f>IF(ISNUMBER(F46),IF($I$173&gt;$H$173,(F46-$H$173)/($I$173-$H$173),"缺失"),"缺失")</x:f>
        <x:v>0.662047244094488</x:v>
      </x:c>
      <x:c r="Y46" s="12" t="n">
        <x:f>IF(ISNUMBER(G46),IF($I$174&gt;$H$174,(G46-$H$174)/($I$174-$H$174),"缺失"),"缺失")</x:f>
        <x:v>0.44688738138343775</x:v>
      </x:c>
      <x:c r="Z46" s="12" t="n">
        <x:f>IF(ISNUMBER(H46),IF($I$175&gt;$H$175,(H46-$H$175)/($I$175-$H$175),"缺失"),"缺失")</x:f>
        <x:v>0.42989268396589214</x:v>
      </x:c>
      <x:c r="AA46" s="12" t="n">
        <x:f>IF(ISNUMBER(I46),IF($I$176&gt;$H$176,(I46-$H$176)/($I$176-$H$176),"缺失"),"缺失")</x:f>
        <x:v>0.8895793834411552</x:v>
      </x:c>
      <x:c r="AB46" s="12" t="n">
        <x:f>IF(ISNUMBER(J46),IF($I$177&gt;$H$177,(J46-$H$177)/($I$177-$H$177),"缺失"),"缺失")</x:f>
        <x:v>0.020696837901462848</x:v>
      </x:c>
      <x:c r="AC46" s="12" t="n">
        <x:f>IF(ISNUMBER(K46),IF($I$178&gt;$H$178,(K46-$H$178)/($I$178-$H$178),"缺失"),"缺失")</x:f>
        <x:v>0.30541776120650177</x:v>
      </x:c>
      <x:c r="AD46" s="12" t="n">
        <x:f>IF(ISNUMBER(L46),IF($I$179&gt;$H$179,(L46-$H$179)/($I$179-$H$179),"缺失"),"缺失")</x:f>
        <x:v>0.5054984680798281</x:v>
      </x:c>
      <x:c r="AE46" s="12" t="n">
        <x:f>IF(ISNUMBER(M46),IF($I$180&gt;$H$180,(M46-$H$180)/($I$180-$H$180),"缺失"),"缺失")</x:f>
        <x:v>0.500174216</x:v>
      </x:c>
      <x:c r="AF46" s="12" t="n">
        <x:f>IF(ISNUMBER(N46),IF($I$181&gt;$H$181,(N46-$H$181)/($I$181-$H$181),"缺失"),"缺失")</x:f>
        <x:v>0.013087241026978847</x:v>
      </x:c>
      <x:c r="AG46" s="12" t="n">
        <x:f>IF(ISNUMBER(O46),IF($I$182&gt;$H$182,(O46-$H$182)/($I$182-$H$182),"缺失"),"缺失")</x:f>
        <x:v>0.9864536999595633</x:v>
      </x:c>
      <x:c r="AH46" s="12" t="n">
        <x:f>IF(ISNUMBER(P46),IF($I$183&gt;$H$183,(P46-$H$183)/($I$183-$H$183),"缺失"),"缺失")</x:f>
        <x:v>0.8967909234676472</x:v>
      </x:c>
      <x:c r="AI46" s="12" t="n">
        <x:f>IF(ISNUMBER(Q46),IF($I$184&gt;$H$184,(Q46-$H$184)/($I$184-$H$184),"缺失"),"缺失")</x:f>
        <x:v>0.9131491973978406</x:v>
      </x:c>
      <x:c r="AJ46" s="12" t="n">
        <x:f>IF(ISNUMBER(R46),IF($I$185&gt;$H$185,(R46-$H$185)/($I$185-$H$185),"缺失"),"缺失")</x:f>
        <x:v>0.010934155699663944</x:v>
      </x:c>
      <x:c r="AK46" s="12" t="n">
        <x:f>IF(ISNUMBER(S46),IF($I$186&gt;$H$186,(S46-$H$186)/($I$186-$H$186),"缺失"),"缺失")</x:f>
        <x:v>0.01955446417802104</x:v>
      </x:c>
      <x:c r="AL46" s="12" t="n">
        <x:f>IF(ISNUMBER(T46),IF($I$187&gt;$H$187,(T46-$H$187)/($I$187-$H$187),"缺失"),"缺失")</x:f>
        <x:v>0</x:v>
      </x:c>
      <x:c r="AM46" s="12" t="n">
        <x:f>IF(ISNUMBER(U46),IF($I$188&gt;$H$188,(U46-$H$188)/($I$188-$H$188),"缺失"),"缺失")</x:f>
        <x:v>0</x:v>
      </x:c>
      <x:c r="AN46" s="12" t="n">
        <x:f>IF(ISNUMBER(V46),IF($I$189&gt;$H$189,(V46-$H$189)/($I$189-$H$189),"缺失"),"缺失")</x:f>
        <x:v>1</x:v>
      </x:c>
      <x:c r="AO46" s="23" t="str"/>
      <x:c r="AP46" s="23" t="str">
        <x:v>见指标口径：州级、产业、代表点代理；气候基期待核实</x:v>
      </x:c>
      <x:c r="AQ46" s="15" t="n">
        <x:v>1.0000000000000024</x:v>
      </x:c>
      <x:c r="AR46" s="15" t="n">
        <x:v>1.0000000000000024</x:v>
      </x:c>
      <x:c r="AS46" s="15" t="n">
        <x:v>1</x:v>
      </x:c>
      <x:c r="AT46" s="15" t="n">
        <x:v>1</x:v>
      </x:c>
    </x:row>
    <x:row r="47" ht="24" customHeight="1">
      <x:c r="A47" s="18" t="str">
        <x:v>13083</x:v>
      </x:c>
      <x:c r="B47" s="3" t="str">
        <x:v>Dade County</x:v>
      </x:c>
      <x:c r="C47" s="3" t="str">
        <x:v>GA</x:v>
      </x:c>
      <x:c r="D47" s="12" t="n">
        <x:v>450.855119</x:v>
      </x:c>
      <x:c r="E47" s="12" t="n">
        <x:v>0.779</x:v>
      </x:c>
      <x:c r="F47" s="12" t="n">
        <x:v>0.7611386138613859</x:v>
      </x:c>
      <x:c r="G47" s="12" t="n">
        <x:v>0.36800309843004714</x:v>
      </x:c>
      <x:c r="H47" s="12" t="n">
        <x:v>0.3218472875790615</x:v>
      </x:c>
      <x:c r="I47" s="12" t="n">
        <x:v>0.9240915445492673</x:v>
      </x:c>
      <x:c r="J47" s="12" t="n">
        <x:v>0.05609039518490801</x:v>
      </x:c>
      <x:c r="K47" s="12" t="n">
        <x:v>0.0021460128760772564</x:v>
      </x:c>
      <x:c r="L47" s="24" t="n">
        <x:v>0.987699259</x:v>
      </x:c>
      <x:c r="M47" s="24" t="n">
        <x:v>0.987699259</x:v>
      </x:c>
      <x:c r="N47" s="13" t="n">
        <x:v>7449</x:v>
      </x:c>
      <x:c r="O47" s="12" t="n">
        <x:v>0.4388</x:v>
      </x:c>
      <x:c r="P47" s="12" t="n">
        <x:v>1110.4251708984375</x:v>
      </x:c>
      <x:c r="Q47" s="12" t="n">
        <x:v>19.0670134862264</x:v>
      </x:c>
      <x:c r="R47" s="12" t="n">
        <x:v>1.556626345502701</x:v>
      </x:c>
      <x:c r="S47" s="12" t="n">
        <x:v>0.5397568939245759</x:v>
      </x:c>
      <x:c r="T47" s="12" t="n">
        <x:v>72.1</x:v>
      </x:c>
      <x:c r="U47" s="12" t="n">
        <x:v>211.4154781728841</x:v>
      </x:c>
      <x:c r="V47" s="12" t="n">
        <x:v>325.42757789465</x:v>
      </x:c>
      <x:c r="W47" s="12" t="n">
        <x:f>IF(ISNUMBER(E47),IF($I$172&gt;$H$172,(E47-$H$172)/($I$172-$H$172),"缺失"),"缺失")</x:f>
        <x:v>0.8460648148148148</x:v>
      </x:c>
      <x:c r="X47" s="12" t="n">
        <x:f>IF(ISNUMBER(F47),IF($I$173&gt;$H$173,(F47-$H$173)/($I$173-$H$173),"缺失"),"缺失")</x:f>
        <x:v>0.7685039370078736</x:v>
      </x:c>
      <x:c r="Y47" s="12" t="n">
        <x:f>IF(ISNUMBER(G47),IF($I$174&gt;$H$174,(G47-$H$174)/($I$174-$H$174),"缺失"),"缺失")</x:f>
        <x:v>0.09646071449697993</x:v>
      </x:c>
      <x:c r="Z47" s="12" t="n">
        <x:f>IF(ISNUMBER(H47),IF($I$175&gt;$H$175,(H47-$H$175)/($I$175-$H$175),"缺失"),"缺失")</x:f>
        <x:v>0.07891800181933988</x:v>
      </x:c>
      <x:c r="AA47" s="12" t="n">
        <x:f>IF(ISNUMBER(I47),IF($I$176&gt;$H$176,(I47-$H$176)/($I$176-$H$176),"缺失"),"缺失")</x:f>
        <x:v>0.927722445981379</x:v>
      </x:c>
      <x:c r="AB47" s="12" t="n">
        <x:f>IF(ISNUMBER(J47),IF($I$177&gt;$H$177,(J47-$H$177)/($I$177-$H$177),"缺失"),"缺失")</x:f>
        <x:v>0.13758940178465912</x:v>
      </x:c>
      <x:c r="AC47" s="12" t="n">
        <x:f>IF(ISNUMBER(K47),IF($I$178&gt;$H$178,(K47-$H$178)/($I$178-$H$178),"缺失"),"缺失")</x:f>
        <x:v>0.0036894280251827155</x:v>
      </x:c>
      <x:c r="AD47" s="12" t="n">
        <x:f>IF(ISNUMBER(L47),IF($I$179&gt;$H$179,(L47-$H$179)/($I$179-$H$179),"缺失"),"缺失")</x:f>
        <x:v>0.9876951892699847</x:v>
      </x:c>
      <x:c r="AE47" s="12" t="n">
        <x:f>IF(ISNUMBER(M47),IF($I$180&gt;$H$180,(M47-$H$180)/($I$180-$H$180),"缺失"),"缺失")</x:f>
        <x:v>0.987699259</x:v>
      </x:c>
      <x:c r="AF47" s="12" t="n">
        <x:f>IF(ISNUMBER(N47),IF($I$181&gt;$H$181,(N47-$H$181)/($I$181-$H$181),"缺失"),"缺失")</x:f>
        <x:v>0.010498675437043662</x:v>
      </x:c>
      <x:c r="AG47" s="12" t="n">
        <x:f>IF(ISNUMBER(O47),IF($I$182&gt;$H$182,(O47-$H$182)/($I$182-$H$182),"缺失"),"缺失")</x:f>
        <x:v>0.4413667610190053</x:v>
      </x:c>
      <x:c r="AH47" s="12" t="n">
        <x:f>IF(ISNUMBER(P47),IF($I$183&gt;$H$183,(P47-$H$183)/($I$183-$H$183),"缺失"),"缺失")</x:f>
        <x:v>0.37547390740762454</x:v>
      </x:c>
      <x:c r="AI47" s="12" t="n">
        <x:f>IF(ISNUMBER(Q47),IF($I$184&gt;$H$184,(Q47-$H$184)/($I$184-$H$184),"缺失"),"缺失")</x:f>
        <x:v>0.2203260458760461</x:v>
      </x:c>
      <x:c r="AJ47" s="12" t="n">
        <x:f>IF(ISNUMBER(R47),IF($I$185&gt;$H$185,(R47-$H$185)/($I$185-$H$185),"缺失"),"缺失")</x:f>
        <x:v>0.014847118406047445</x:v>
      </x:c>
      <x:c r="AK47" s="12" t="n">
        <x:f>IF(ISNUMBER(S47),IF($I$186&gt;$H$186,(S47-$H$186)/($I$186-$H$186),"缺失"),"缺失")</x:f>
        <x:v>0.010377546634507427</x:v>
      </x:c>
      <x:c r="AL47" s="12" t="n">
        <x:f>IF(ISNUMBER(T47),IF($I$187&gt;$H$187,(T47-$H$187)/($I$187-$H$187),"缺失"),"缺失")</x:f>
        <x:v>0</x:v>
      </x:c>
      <x:c r="AM47" s="12" t="n">
        <x:f>IF(ISNUMBER(U47),IF($I$188&gt;$H$188,(U47-$H$188)/($I$188-$H$188),"缺失"),"缺失")</x:f>
        <x:v>0</x:v>
      </x:c>
      <x:c r="AN47" s="12" t="n">
        <x:f>IF(ISNUMBER(V47),IF($I$189&gt;$H$189,(V47-$H$189)/($I$189-$H$189),"缺失"),"缺失")</x:f>
        <x:v>1</x:v>
      </x:c>
      <x:c r="AO47" s="23" t="str"/>
      <x:c r="AP47" s="23" t="str">
        <x:v>见指标口径：州级、产业、代表点代理；气候基期待核实</x:v>
      </x:c>
      <x:c r="AQ47" s="15" t="n">
        <x:v>0.9999999999999996</x:v>
      </x:c>
      <x:c r="AR47" s="15" t="n">
        <x:v>0.9999999999999993</x:v>
      </x:c>
      <x:c r="AS47" s="15" t="n">
        <x:v>1</x:v>
      </x:c>
      <x:c r="AT47" s="15" t="n">
        <x:v>1</x:v>
      </x:c>
    </x:row>
    <x:row r="48" ht="24" customHeight="1">
      <x:c r="A48" s="18" t="str">
        <x:v>13085</x:v>
      </x:c>
      <x:c r="B48" s="3" t="str">
        <x:v>Dawson County</x:v>
      </x:c>
      <x:c r="C48" s="3" t="str">
        <x:v>GA</x:v>
      </x:c>
      <x:c r="D48" s="12" t="n">
        <x:v>546.042252</x:v>
      </x:c>
      <x:c r="E48" s="12" t="n">
        <x:v>0.677</x:v>
      </x:c>
      <x:c r="F48" s="12" t="n">
        <x:v>0.543935643564356</x:v>
      </x:c>
      <x:c r="G48" s="12" t="n">
        <x:v>3.583708945904366</x:v>
      </x:c>
      <x:c r="H48" s="12" t="n">
        <x:v>3.300675767225076</x:v>
      </x:c>
      <x:c r="I48" s="12" t="n">
        <x:v>0.9147645973336491</x:v>
      </x:c>
      <x:c r="J48" s="12" t="n">
        <x:v>0.19885893875378496</x:v>
      </x:c>
      <x:c r="K48" s="12" t="n">
        <x:v>0.004716934584603847</x:v>
      </x:c>
      <x:c r="L48" s="24" t="n">
        <x:v>0.497816594</x:v>
      </x:c>
      <x:c r="M48" s="24" t="n">
        <x:v>0.497816594</x:v>
      </x:c>
      <x:c r="N48" s="13" t="n">
        <x:v>16781</x:v>
      </x:c>
      <x:c r="O48" s="12" t="n">
        <x:v>0.1861</x:v>
      </x:c>
      <x:c r="P48" s="12" t="n">
        <x:v>1131.3368611653646</x:v>
      </x:c>
      <x:c r="Q48" s="12" t="n">
        <x:v>16.084179083506267</x:v>
      </x:c>
      <x:c r="R48" s="12" t="n">
        <x:v>21.37959478011754</x:v>
      </x:c>
      <x:c r="S48" s="12" t="n">
        <x:v>15.398765415009276</x:v>
      </x:c>
      <x:c r="T48" s="12" t="n">
        <x:v>72.1</x:v>
      </x:c>
      <x:c r="U48" s="12" t="n">
        <x:v>211.4154781728841</x:v>
      </x:c>
      <x:c r="V48" s="12" t="n">
        <x:v>325.42757789465</x:v>
      </x:c>
      <x:c r="W48" s="12" t="n">
        <x:f>IF(ISNUMBER(E48),IF($I$172&gt;$H$172,(E48-$H$172)/($I$172-$H$172),"缺失"),"缺失")</x:f>
        <x:v>0.7280092592592593</x:v>
      </x:c>
      <x:c r="X48" s="12" t="n">
        <x:f>IF(ISNUMBER(F48),IF($I$173&gt;$H$173,(F48-$H$173)/($I$173-$H$173),"缺失"),"缺失")</x:f>
        <x:v>0.547401574803149</x:v>
      </x:c>
      <x:c r="Y48" s="12" t="n">
        <x:f>IF(ISNUMBER(G48),IF($I$174&gt;$H$174,(G48-$H$174)/($I$174-$H$174),"缺失"),"缺失")</x:f>
        <x:v>0.9423552662296392</x:v>
      </x:c>
      <x:c r="Z48" s="12" t="n">
        <x:f>IF(ISNUMBER(H48),IF($I$175&gt;$H$175,(H48-$H$175)/($I$175-$H$175),"缺失"),"缺失")</x:f>
        <x:v>0.8132816364623648</x:v>
      </x:c>
      <x:c r="AA48" s="12" t="n">
        <x:f>IF(ISNUMBER(I48),IF($I$176&gt;$H$176,(I48-$H$176)/($I$176-$H$176),"缺失"),"缺失")</x:f>
        <x:v>0.9177097223382356</x:v>
      </x:c>
      <x:c r="AB48" s="12" t="n">
        <x:f>IF(ISNUMBER(J48),IF($I$177&gt;$H$177,(J48-$H$177)/($I$177-$H$177),"缺失"),"缺失")</x:f>
        <x:v>0.4877997798458605</x:v>
      </x:c>
      <x:c r="AC48" s="12" t="n">
        <x:f>IF(ISNUMBER(K48),IF($I$178&gt;$H$178,(K48-$H$178)/($I$178-$H$178),"缺失"),"缺失")</x:f>
        <x:v>0.008109359847459053</x:v>
      </x:c>
      <x:c r="AD48" s="12" t="n">
        <x:f>IF(ISNUMBER(L48),IF($I$179&gt;$H$179,(L48-$H$179)/($I$179-$H$179),"缺失"),"缺失")</x:f>
        <x:v>0.49765044540126335</x:v>
      </x:c>
      <x:c r="AE48" s="12" t="n">
        <x:f>IF(ISNUMBER(M48),IF($I$180&gt;$H$180,(M48-$H$180)/($I$180-$H$180),"缺失"),"缺失")</x:f>
        <x:v>0.497816594</x:v>
      </x:c>
      <x:c r="AF48" s="12" t="n">
        <x:f>IF(ISNUMBER(N48),IF($I$181&gt;$H$181,(N48-$H$181)/($I$181-$H$181),"缺失"),"缺失")</x:f>
        <x:v>0.024989673688558447</x:v>
      </x:c>
      <x:c r="AG48" s="12" t="n">
        <x:f>IF(ISNUMBER(O48),IF($I$182&gt;$H$182,(O48-$H$182)/($I$182-$H$182),"缺失"),"缺失")</x:f>
        <x:v>0.18590780428629194</x:v>
      </x:c>
      <x:c r="AH48" s="12" t="n">
        <x:f>IF(ISNUMBER(P48),IF($I$183&gt;$H$183,(P48-$H$183)/($I$183-$H$183),"缺失"),"缺失")</x:f>
        <x:v>0.3848811577227129</x:v>
      </x:c>
      <x:c r="AI48" s="12" t="n">
        <x:f>IF(ISNUMBER(Q48),IF($I$184&gt;$H$184,(Q48-$H$184)/($I$184-$H$184),"缺失"),"缺失")</x:f>
        <x:v>0.18527298215835702</x:v>
      </x:c>
      <x:c r="AJ48" s="12" t="n">
        <x:f>IF(ISNUMBER(R48),IF($I$185&gt;$H$185,(R48-$H$185)/($I$185-$H$185),"缺失"),"缺失")</x:f>
        <x:v>0.22315576599452652</x:v>
      </x:c>
      <x:c r="AK48" s="12" t="n">
        <x:f>IF(ISNUMBER(S48),IF($I$186&gt;$H$186,(S48-$H$186)/($I$186-$H$186),"缺失"),"缺失")</x:f>
        <x:v>0.30045005744440495</x:v>
      </x:c>
      <x:c r="AL48" s="12" t="n">
        <x:f>IF(ISNUMBER(T48),IF($I$187&gt;$H$187,(T48-$H$187)/($I$187-$H$187),"缺失"),"缺失")</x:f>
        <x:v>0</x:v>
      </x:c>
      <x:c r="AM48" s="12" t="n">
        <x:f>IF(ISNUMBER(U48),IF($I$188&gt;$H$188,(U48-$H$188)/($I$188-$H$188),"缺失"),"缺失")</x:f>
        <x:v>0</x:v>
      </x:c>
      <x:c r="AN48" s="12" t="n">
        <x:f>IF(ISNUMBER(V48),IF($I$189&gt;$H$189,(V48-$H$189)/($I$189-$H$189),"缺失"),"缺失")</x:f>
        <x:v>1</x:v>
      </x:c>
      <x:c r="AO48" s="23" t="str"/>
      <x:c r="AP48" s="23" t="str">
        <x:v>见指标口径：州级、产业、代表点代理；气候基期待核实</x:v>
      </x:c>
      <x:c r="AQ48" s="15" t="n">
        <x:v>0.9999999999999981</x:v>
      </x:c>
      <x:c r="AR48" s="15" t="n">
        <x:v>0.9999999999999996</x:v>
      </x:c>
      <x:c r="AS48" s="15" t="n">
        <x:v>1</x:v>
      </x:c>
      <x:c r="AT48" s="15" t="n">
        <x:v>1</x:v>
      </x:c>
    </x:row>
    <x:row r="49" ht="24" customHeight="1">
      <x:c r="A49" s="18" t="str">
        <x:v>13087</x:v>
      </x:c>
      <x:c r="B49" s="3" t="str">
        <x:v>Decatur County</x:v>
      </x:c>
      <x:c r="C49" s="3" t="str">
        <x:v>GA</x:v>
      </x:c>
      <x:c r="D49" s="12" t="n">
        <x:v>1546.842847</x:v>
      </x:c>
      <x:c r="E49" s="12" t="n">
        <x:v>0.54</x:v>
      </x:c>
      <x:c r="F49" s="12" t="n">
        <x:v>0.962871287128713</x:v>
      </x:c>
      <x:c r="G49" s="12" t="n">
        <x:v>1.4503219759903994</x:v>
      </x:c>
      <x:c r="H49" s="12" t="n">
        <x:v>1.4487019016453258</x:v>
      </x:c>
      <x:c r="I49" s="12" t="n">
        <x:v>0.9277591969390965</x:v>
      </x:c>
      <x:c r="J49" s="12" t="n">
        <x:v>0.0380891490879645</x:v>
      </x:c>
      <x:c r="K49" s="12" t="n">
        <x:v>0.1593489012983033</x:v>
      </x:c>
      <x:c r="L49" s="24" t="n">
        <x:v>0.491375905</x:v>
      </x:c>
      <x:c r="M49" s="24" t="n">
        <x:v>0.400394997</x:v>
      </x:c>
      <x:c r="N49" s="13" t="n">
        <x:v>11938</x:v>
      </x:c>
      <x:c r="O49" s="12" t="n">
        <x:v>0.9679</x:v>
      </x:c>
      <x:c r="P49" s="12" t="n">
        <x:v>2337.2658935546874</x:v>
      </x:c>
      <x:c r="Q49" s="12" t="n">
        <x:v>77.88280995686848</x:v>
      </x:c>
      <x:c r="R49" s="12" t="n">
        <x:v>33.79467428592054</x:v>
      </x:c>
      <x:c r="S49" s="12" t="n">
        <x:v>0.7629870235584567</x:v>
      </x:c>
      <x:c r="T49" s="12" t="n">
        <x:v>72.1</x:v>
      </x:c>
      <x:c r="U49" s="12" t="n">
        <x:v>211.4154781728841</x:v>
      </x:c>
      <x:c r="V49" s="12" t="n">
        <x:v>325.42757789465</x:v>
      </x:c>
      <x:c r="W49" s="12" t="n">
        <x:f>IF(ISNUMBER(E49),IF($I$172&gt;$H$172,(E49-$H$172)/($I$172-$H$172),"缺失"),"缺失")</x:f>
        <x:v>0.5694444444444445</x:v>
      </x:c>
      <x:c r="X49" s="12" t="n">
        <x:f>IF(ISNUMBER(F49),IF($I$173&gt;$H$173,(F49-$H$173)/($I$173-$H$173),"缺失"),"缺失")</x:f>
        <x:v>0.9738582677165353</x:v>
      </x:c>
      <x:c r="Y49" s="12" t="n">
        <x:f>IF(ISNUMBER(G49),IF($I$174&gt;$H$174,(G49-$H$174)/($I$174-$H$174),"缺失"),"缺失")</x:f>
        <x:v>0.3811657482253551</x:v>
      </x:c>
      <x:c r="Z49" s="12" t="n">
        <x:f>IF(ISNUMBER(H49),IF($I$175&gt;$H$175,(H49-$H$175)/($I$175-$H$175),"缺失"),"缺失")</x:f>
        <x:v>0.3567188405565546</x:v>
      </x:c>
      <x:c r="AA49" s="12" t="n">
        <x:f>IF(ISNUMBER(I49),IF($I$176&gt;$H$176,(I49-$H$176)/($I$176-$H$176),"缺失"),"缺失")</x:f>
        <x:v>0.9316597674810633</x:v>
      </x:c>
      <x:c r="AB49" s="12" t="n">
        <x:f>IF(ISNUMBER(J49),IF($I$177&gt;$H$177,(J49-$H$177)/($I$177-$H$177),"缺失"),"缺失")</x:f>
        <x:v>0.09343245345701919</x:v>
      </x:c>
      <x:c r="AC49" s="12" t="n">
        <x:f>IF(ISNUMBER(K49),IF($I$178&gt;$H$178,(K49-$H$178)/($I$178-$H$178),"缺失"),"缺失")</x:f>
        <x:v>0.27395283075220006</x:v>
      </x:c>
      <x:c r="AD49" s="12" t="n">
        <x:f>IF(ISNUMBER(L49),IF($I$179&gt;$H$179,(L49-$H$179)/($I$179-$H$179),"缺失"),"缺失")</x:f>
        <x:v>0.49120762548367536</x:v>
      </x:c>
      <x:c r="AE49" s="12" t="n">
        <x:f>IF(ISNUMBER(M49),IF($I$180&gt;$H$180,(M49-$H$180)/($I$180-$H$180),"缺失"),"缺失")</x:f>
        <x:v>0.400394997</x:v>
      </x:c>
      <x:c r="AF49" s="12" t="n">
        <x:f>IF(ISNUMBER(N49),IF($I$181&gt;$H$181,(N49-$H$181)/($I$181-$H$181),"缺失"),"缺失")</x:f>
        <x:v>0.01746932386728904</x:v>
      </x:c>
      <x:c r="AG49" s="12" t="n">
        <x:f>IF(ISNUMBER(O49),IF($I$182&gt;$H$182,(O49-$H$182)/($I$182-$H$182),"缺失"),"缺失")</x:f>
        <x:v>0.9762434290335625</x:v>
      </x:c>
      <x:c r="AH49" s="12" t="n">
        <x:f>IF(ISNUMBER(P49),IF($I$183&gt;$H$183,(P49-$H$183)/($I$183-$H$183),"缺失"),"缺失")</x:f>
        <x:v>0.9273756249375693</x:v>
      </x:c>
      <x:c r="AI49" s="12" t="n">
        <x:f>IF(ISNUMBER(Q49),IF($I$184&gt;$H$184,(Q49-$H$184)/($I$184-$H$184),"缺失"),"缺失")</x:f>
        <x:v>0.9115055023728423</x:v>
      </x:c>
      <x:c r="AJ49" s="12" t="n">
        <x:f>IF(ISNUMBER(R49),IF($I$185&gt;$H$185,(R49-$H$185)/($I$185-$H$185),"缺失"),"缺失")</x:f>
        <x:v>0.35361899253335827</x:v>
      </x:c>
      <x:c r="AK49" s="12" t="n">
        <x:f>IF(ISNUMBER(S49),IF($I$186&gt;$H$186,(S49-$H$186)/($I$186-$H$186),"缺失"),"缺失")</x:f>
        <x:v>0.014735369304804395</x:v>
      </x:c>
      <x:c r="AL49" s="12" t="n">
        <x:f>IF(ISNUMBER(T49),IF($I$187&gt;$H$187,(T49-$H$187)/($I$187-$H$187),"缺失"),"缺失")</x:f>
        <x:v>0</x:v>
      </x:c>
      <x:c r="AM49" s="12" t="n">
        <x:f>IF(ISNUMBER(U49),IF($I$188&gt;$H$188,(U49-$H$188)/($I$188-$H$188),"缺失"),"缺失")</x:f>
        <x:v>0</x:v>
      </x:c>
      <x:c r="AN49" s="12" t="n">
        <x:f>IF(ISNUMBER(V49),IF($I$189&gt;$H$189,(V49-$H$189)/($I$189-$H$189),"缺失"),"缺失")</x:f>
        <x:v>1</x:v>
      </x:c>
      <x:c r="AO49" s="23" t="str"/>
      <x:c r="AP49" s="23" t="str">
        <x:v>见指标口径：州级、产业、代表点代理；气候基期待核实</x:v>
      </x:c>
      <x:c r="AQ49" s="15" t="n">
        <x:v>0.9999999999999977</x:v>
      </x:c>
      <x:c r="AR49" s="15" t="n">
        <x:v>0.9999999999999972</x:v>
      </x:c>
      <x:c r="AS49" s="15" t="n">
        <x:v>1</x:v>
      </x:c>
      <x:c r="AT49" s="15" t="n">
        <x:v>1</x:v>
      </x:c>
    </x:row>
    <x:row r="50" ht="24" customHeight="1">
      <x:c r="A50" s="18" t="str">
        <x:v>13089</x:v>
      </x:c>
      <x:c r="B50" s="3" t="str">
        <x:v>DeKalb County</x:v>
      </x:c>
      <x:c r="C50" s="3" t="str">
        <x:v>GA</x:v>
      </x:c>
      <x:c r="D50" s="12" t="n">
        <x:v>693.251647</x:v>
      </x:c>
      <x:c r="E50" s="12" t="n">
        <x:v>0.387</x:v>
      </x:c>
      <x:c r="F50" s="12" t="n">
        <x:v>0.312190594059406</x:v>
      </x:c>
      <x:c r="G50" s="12" t="n">
        <x:v>3.172049455819984</x:v>
      </x:c>
      <x:c r="H50" s="12" t="n">
        <x:v>3.0803540763493626</x:v>
      </x:c>
      <x:c r="I50" s="12" t="n">
        <x:v>0.3217347720440914</x:v>
      </x:c>
      <x:c r="J50" s="12" t="n">
        <x:v>0.03116157334305546</x:v>
      </x:c>
      <x:c r="K50" s="12" t="n">
        <x:v>0.015347769528974228</x:v>
      </x:c>
      <x:c r="L50" s="24" t="n">
        <x:v>0.606447408</x:v>
      </x:c>
      <x:c r="M50" s="24" t="n">
        <x:v>0.599244199</x:v>
      </x:c>
      <x:c r="N50" s="13" t="n">
        <x:v>402796</x:v>
      </x:c>
      <x:c r="O50" s="12" t="n">
        <x:v>0.7903</x:v>
      </x:c>
      <x:c r="P50" s="12" t="n">
        <x:v>1587.7737630208333</x:v>
      </x:c>
      <x:c r="Q50" s="12" t="n">
        <x:v>31.47008934020996</x:v>
      </x:c>
      <x:c r="R50" s="12" t="n">
        <x:v>0.5926811913762783</x:v>
      </x:c>
      <x:c r="S50" s="12" t="n">
        <x:v>3.8154950061874193</x:v>
      </x:c>
      <x:c r="T50" s="12" t="n">
        <x:v>72.1</x:v>
      </x:c>
      <x:c r="U50" s="12" t="n">
        <x:v>211.4154781728841</x:v>
      </x:c>
      <x:c r="V50" s="12" t="n">
        <x:v>325.42757789465</x:v>
      </x:c>
      <x:c r="W50" s="12" t="n">
        <x:f>IF(ISNUMBER(E50),IF($I$172&gt;$H$172,(E50-$H$172)/($I$172-$H$172),"缺失"),"缺失")</x:f>
        <x:v>0.39236111111111116</x:v>
      </x:c>
      <x:c r="X50" s="12" t="n">
        <x:f>IF(ISNUMBER(F50),IF($I$173&gt;$H$173,(F50-$H$173)/($I$173-$H$173),"缺失"),"缺失")</x:f>
        <x:v>0.311496062992126</x:v>
      </x:c>
      <x:c r="Y50" s="12" t="n">
        <x:f>IF(ISNUMBER(G50),IF($I$174&gt;$H$174,(G50-$H$174)/($I$174-$H$174),"缺失"),"缺失")</x:f>
        <x:v>0.8340678368601516</x:v>
      </x:c>
      <x:c r="Z50" s="12" t="n">
        <x:f>IF(ISNUMBER(H50),IF($I$175&gt;$H$175,(H50-$H$175)/($I$175-$H$175),"缺失"),"缺失")</x:f>
        <x:v>0.7589662440832062</x:v>
      </x:c>
      <x:c r="AA50" s="12" t="n">
        <x:f>IF(ISNUMBER(I50),IF($I$176&gt;$H$176,(I50-$H$176)/($I$176-$H$176),"缺失"),"缺失")</x:f>
        <x:v>0.28107657587602286</x:v>
      </x:c>
      <x:c r="AB50" s="12" t="n">
        <x:f>IF(ISNUMBER(J50),IF($I$177&gt;$H$177,(J50-$H$177)/($I$177-$H$177),"缺失"),"缺失")</x:f>
        <x:v>0.07643915185132089</x:v>
      </x:c>
      <x:c r="AC50" s="12" t="n">
        <x:f>IF(ISNUMBER(K50),IF($I$178&gt;$H$178,(K50-$H$178)/($I$178-$H$178),"缺失"),"缺失")</x:f>
        <x:v>0.026385904602654567</x:v>
      </x:c>
      <x:c r="AD50" s="12" t="n">
        <x:f>IF(ISNUMBER(L50),IF($I$179&gt;$H$179,(L50-$H$179)/($I$179-$H$179),"缺失"),"缺失")</x:f>
        <x:v>0.6063172001697357</x:v>
      </x:c>
      <x:c r="AE50" s="12" t="n">
        <x:f>IF(ISNUMBER(M50),IF($I$180&gt;$H$180,(M50-$H$180)/($I$180-$H$180),"缺失"),"缺失")</x:f>
        <x:v>0.599244199</x:v>
      </x:c>
      <x:c r="AF50" s="12" t="n">
        <x:f>IF(ISNUMBER(N50),IF($I$181&gt;$H$181,(N50-$H$181)/($I$181-$H$181),"缺失"),"缺失")</x:f>
        <x:v>0.624404878366921</x:v>
      </x:c>
      <x:c r="AG50" s="12" t="n">
        <x:f>IF(ISNUMBER(O50),IF($I$182&gt;$H$182,(O50-$H$182)/($I$182-$H$182),"缺失"),"缺失")</x:f>
        <x:v>0.7967044076021027</x:v>
      </x:c>
      <x:c r="AH50" s="12" t="n">
        <x:f>IF(ISNUMBER(P50),IF($I$183&gt;$H$183,(P50-$H$183)/($I$183-$H$183),"缺失"),"缺失")</x:f>
        <x:v>0.590212057998561</x:v>
      </x:c>
      <x:c r="AI50" s="12" t="n">
        <x:f>IF(ISNUMBER(Q50),IF($I$184&gt;$H$184,(Q50-$H$184)/($I$184-$H$184),"缺失"),"缺失")</x:f>
        <x:v>0.3660819778206893</x:v>
      </x:c>
      <x:c r="AJ50" s="12" t="n">
        <x:f>IF(ISNUMBER(R50),IF($I$185&gt;$H$185,(R50-$H$185)/($I$185-$H$185),"缺失"),"缺失")</x:f>
        <x:v>0.004717550169692403</x:v>
      </x:c>
      <x:c r="AK50" s="12" t="n">
        <x:f>IF(ISNUMBER(S50),IF($I$186&gt;$H$186,(S50-$H$186)/($I$186-$H$186),"缺失"),"缺失")</x:f>
        <x:v>0.07432539198579287</x:v>
      </x:c>
      <x:c r="AL50" s="12" t="n">
        <x:f>IF(ISNUMBER(T50),IF($I$187&gt;$H$187,(T50-$H$187)/($I$187-$H$187),"缺失"),"缺失")</x:f>
        <x:v>0</x:v>
      </x:c>
      <x:c r="AM50" s="12" t="n">
        <x:f>IF(ISNUMBER(U50),IF($I$188&gt;$H$188,(U50-$H$188)/($I$188-$H$188),"缺失"),"缺失")</x:f>
        <x:v>0</x:v>
      </x:c>
      <x:c r="AN50" s="12" t="n">
        <x:f>IF(ISNUMBER(V50),IF($I$189&gt;$H$189,(V50-$H$189)/($I$189-$H$189),"缺失"),"缺失")</x:f>
        <x:v>1</x:v>
      </x:c>
      <x:c r="AO50" s="23" t="str"/>
      <x:c r="AP50" s="23" t="str">
        <x:v>见指标口径：州级、产业、代表点代理；气候基期待核实</x:v>
      </x:c>
      <x:c r="AQ50" s="15" t="n">
        <x:v>1.0000000000000027</x:v>
      </x:c>
      <x:c r="AR50" s="15" t="n">
        <x:v>1.0000000000000027</x:v>
      </x:c>
      <x:c r="AS50" s="15" t="n">
        <x:v>1</x:v>
      </x:c>
      <x:c r="AT50" s="15" t="n">
        <x:v>1</x:v>
      </x:c>
    </x:row>
    <x:row r="51" ht="24" customHeight="1">
      <x:c r="A51" s="18" t="str">
        <x:v>13091</x:v>
      </x:c>
      <x:c r="B51" s="3" t="str">
        <x:v>Dodge County</x:v>
      </x:c>
      <x:c r="C51" s="3" t="str">
        <x:v>GA</x:v>
      </x:c>
      <x:c r="D51" s="12" t="n">
        <x:v>1284.55487</x:v>
      </x:c>
      <x:c r="E51" s="12" t="n">
        <x:v>0.545</x:v>
      </x:c>
      <x:c r="F51" s="12" t="n">
        <x:v>0.265779702970297</x:v>
      </x:c>
      <x:c r="G51" s="12" t="n">
        <x:v>2.5018170263070596</x:v>
      </x:c>
      <x:c r="H51" s="12" t="n">
        <x:v>2.356824039722772</x:v>
      </x:c>
      <x:c r="I51" s="12" t="n">
        <x:v>0.9287717561371699</x:v>
      </x:c>
      <x:c r="J51" s="12" t="n">
        <x:v>0</x:v>
      </x:c>
      <x:c r="K51" s="12" t="n">
        <x:v>0.23923110919034252</x:v>
      </x:c>
      <x:c r="L51" s="24" t="n">
        <x:v>0.694769549</x:v>
      </x:c>
      <x:c r="M51" s="24" t="n">
        <x:v>0.689798032</x:v>
      </x:c>
      <x:c r="N51" s="13" t="n">
        <x:v>8091</x:v>
      </x:c>
      <x:c r="O51" s="12" t="n">
        <x:v>0.8559</x:v>
      </x:c>
      <x:c r="P51" s="12" t="n">
        <x:v>2204.7614501953126</x:v>
      </x:c>
      <x:c r="Q51" s="12" t="n">
        <x:v>76.10488306681314</x:v>
      </x:c>
      <x:c r="R51" s="12" t="n">
        <x:v>39.70630004553085</x:v>
      </x:c>
      <x:c r="S51" s="12" t="n">
        <x:v>1.2513124020287172</x:v>
      </x:c>
      <x:c r="T51" s="12" t="n">
        <x:v>72.1</x:v>
      </x:c>
      <x:c r="U51" s="12" t="n">
        <x:v>211.4154781728841</x:v>
      </x:c>
      <x:c r="V51" s="12" t="n">
        <x:v>325.42757789465</x:v>
      </x:c>
      <x:c r="W51" s="12" t="n">
        <x:f>IF(ISNUMBER(E51),IF($I$172&gt;$H$172,(E51-$H$172)/($I$172-$H$172),"缺失"),"缺失")</x:f>
        <x:v>0.5752314814814815</x:v>
      </x:c>
      <x:c r="X51" s="12" t="n">
        <x:f>IF(ISNUMBER(F51),IF($I$173&gt;$H$173,(F51-$H$173)/($I$173-$H$173),"缺失"),"缺失")</x:f>
        <x:v>0.26425196850393695</x:v>
      </x:c>
      <x:c r="Y51" s="12" t="n">
        <x:f>IF(ISNUMBER(G51),IF($I$174&gt;$H$174,(G51-$H$174)/($I$174-$H$174),"缺失"),"缺失")</x:f>
        <x:v>0.65776254420883</x:v>
      </x:c>
      <x:c r="Z51" s="12" t="n">
        <x:f>IF(ISNUMBER(H51),IF($I$175&gt;$H$175,(H51-$H$175)/($I$175-$H$175),"缺失"),"缺失")</x:f>
        <x:v>0.580596072352592</x:v>
      </x:c>
      <x:c r="AA51" s="12" t="n">
        <x:f>IF(ISNUMBER(I51),IF($I$176&gt;$H$176,(I51-$H$176)/($I$176-$H$176),"缺失"),"缺失")</x:f>
        <x:v>0.9327467764657025</x:v>
      </x:c>
      <x:c r="AB51" s="12" t="n">
        <x:f>IF(ISNUMBER(J51),IF($I$177&gt;$H$177,(J51-$H$177)/($I$177-$H$177),"缺失"),"缺失")</x:f>
        <x:v>0</x:v>
      </x:c>
      <x:c r="AC51" s="12" t="n">
        <x:f>IF(ISNUMBER(K51),IF($I$178&gt;$H$178,(K51-$H$178)/($I$178-$H$178),"缺失"),"缺失")</x:f>
        <x:v>0.41128642264056087</x:v>
      </x:c>
      <x:c r="AD51" s="12" t="n">
        <x:f>IF(ISNUMBER(L51),IF($I$179&gt;$H$179,(L51-$H$179)/($I$179-$H$179),"缺失"),"缺失")</x:f>
        <x:v>0.6946685627644544</x:v>
      </x:c>
      <x:c r="AE51" s="12" t="n">
        <x:f>IF(ISNUMBER(M51),IF($I$180&gt;$H$180,(M51-$H$180)/($I$180-$H$180),"缺失"),"缺失")</x:f>
        <x:v>0.689798032</x:v>
      </x:c>
      <x:c r="AF51" s="12" t="n">
        <x:f>IF(ISNUMBER(N51),IF($I$181&gt;$H$181,(N51-$H$181)/($I$181-$H$181),"缺失"),"缺失")</x:f>
        <x:v>0.01149559151907029</x:v>
      </x:c>
      <x:c r="AG51" s="12" t="n">
        <x:f>IF(ISNUMBER(O51),IF($I$182&gt;$H$182,(O51-$H$182)/($I$182-$H$182),"缺失"),"缺失")</x:f>
        <x:v>0.8630206227254348</x:v>
      </x:c>
      <x:c r="AH51" s="12" t="n">
        <x:f>IF(ISNUMBER(P51),IF($I$183&gt;$H$183,(P51-$H$183)/($I$183-$H$183),"缺失"),"缺失")</x:f>
        <x:v>0.8677676998663713</x:v>
      </x:c>
      <x:c r="AI51" s="12" t="n">
        <x:f>IF(ISNUMBER(Q51),IF($I$184&gt;$H$184,(Q51-$H$184)/($I$184-$H$184),"缺失"),"缺失")</x:f>
        <x:v>0.8906120245097503</x:v>
      </x:c>
      <x:c r="AJ51" s="12" t="n">
        <x:f>IF(ISNUMBER(R51),IF($I$185&gt;$H$185,(R51-$H$185)/($I$185-$H$185),"缺失"),"缺失")</x:f>
        <x:v>0.4157410087740387</x:v>
      </x:c>
      <x:c r="AK51" s="12" t="n">
        <x:f>IF(ISNUMBER(S51),IF($I$186&gt;$H$186,(S51-$H$186)/($I$186-$H$186),"缺失"),"缺失")</x:f>
        <x:v>0.024268291264170874</x:v>
      </x:c>
      <x:c r="AL51" s="12" t="n">
        <x:f>IF(ISNUMBER(T51),IF($I$187&gt;$H$187,(T51-$H$187)/($I$187-$H$187),"缺失"),"缺失")</x:f>
        <x:v>0</x:v>
      </x:c>
      <x:c r="AM51" s="12" t="n">
        <x:f>IF(ISNUMBER(U51),IF($I$188&gt;$H$188,(U51-$H$188)/($I$188-$H$188),"缺失"),"缺失")</x:f>
        <x:v>0</x:v>
      </x:c>
      <x:c r="AN51" s="12" t="n">
        <x:f>IF(ISNUMBER(V51),IF($I$189&gt;$H$189,(V51-$H$189)/($I$189-$H$189),"缺失"),"缺失")</x:f>
        <x:v>1</x:v>
      </x:c>
      <x:c r="AO51" s="23" t="str"/>
      <x:c r="AP51" s="23" t="str">
        <x:v>见指标口径：州级、产业、代表点代理；气候基期待核实</x:v>
      </x:c>
      <x:c r="AQ51" s="15" t="n">
        <x:v>1.0000000000000016</x:v>
      </x:c>
      <x:c r="AR51" s="15" t="n">
        <x:v>0.9999999999999986</x:v>
      </x:c>
      <x:c r="AS51" s="15" t="n">
        <x:v>1</x:v>
      </x:c>
      <x:c r="AT51" s="15" t="n">
        <x:v>1</x:v>
      </x:c>
    </x:row>
    <x:row r="52" ht="24" customHeight="1">
      <x:c r="A52" s="18" t="str">
        <x:v>13093</x:v>
      </x:c>
      <x:c r="B52" s="3" t="str">
        <x:v>Dooly County</x:v>
      </x:c>
      <x:c r="C52" s="3" t="str">
        <x:v>GA</x:v>
      </x:c>
      <x:c r="D52" s="12" t="n">
        <x:v>1016.908643</x:v>
      </x:c>
      <x:c r="E52" s="12" t="n">
        <x:v>0.445</x:v>
      </x:c>
      <x:c r="F52" s="12" t="n">
        <x:v>0.436262376237624</x:v>
      </x:c>
      <x:c r="G52" s="12" t="n">
        <x:v>1.6081599877808328</x:v>
      </x:c>
      <x:c r="H52" s="12" t="n">
        <x:v>1.5525399260643384</x:v>
      </x:c>
      <x:c r="I52" s="12" t="n">
        <x:v>0.9317614560978891</x:v>
      </x:c>
      <x:c r="J52" s="12" t="n">
        <x:v>0.013222434374790485</x:v>
      </x:c>
      <x:c r="K52" s="12" t="n">
        <x:v>0.16633156065623925</x:v>
      </x:c>
      <x:c r="L52" s="24" t="n">
        <x:v>0.88271824</x:v>
      </x:c>
      <x:c r="M52" s="24" t="n">
        <x:v>0.88271824</x:v>
      </x:c>
      <x:c r="N52" s="13" t="n">
        <x:v>3950</x:v>
      </x:c>
      <x:c r="O52" s="12" t="n">
        <x:v>0.9313</x:v>
      </x:c>
      <x:c r="P52" s="12" t="n">
        <x:v>2171.769970703125</x:v>
      </x:c>
      <x:c r="Q52" s="12" t="n">
        <x:v>73.29885711669922</x:v>
      </x:c>
      <x:c r="R52" s="12" t="n">
        <x:v>4.766621519486076</x:v>
      </x:c>
      <x:c r="S52" s="12" t="n">
        <x:v>3.191547165909338</x:v>
      </x:c>
      <x:c r="T52" s="12" t="n">
        <x:v>72.1</x:v>
      </x:c>
      <x:c r="U52" s="12" t="n">
        <x:v>211.4154781728841</x:v>
      </x:c>
      <x:c r="V52" s="12" t="n">
        <x:v>325.42757789465</x:v>
      </x:c>
      <x:c r="W52" s="12" t="n">
        <x:f>IF(ISNUMBER(E52),IF($I$172&gt;$H$172,(E52-$H$172)/($I$172-$H$172),"缺失"),"缺失")</x:f>
        <x:v>0.45949074074074076</x:v>
      </x:c>
      <x:c r="X52" s="12" t="n">
        <x:f>IF(ISNUMBER(F52),IF($I$173&gt;$H$173,(F52-$H$173)/($I$173-$H$173),"缺失"),"缺失")</x:f>
        <x:v>0.4377952755905513</x:v>
      </x:c>
      <x:c r="Y52" s="12" t="n">
        <x:f>IF(ISNUMBER(G52),IF($I$174&gt;$H$174,(G52-$H$174)/($I$174-$H$174),"缺失"),"缺失")</x:f>
        <x:v>0.4226851907871515</x:v>
      </x:c>
      <x:c r="Z52" s="12" t="n">
        <x:f>IF(ISNUMBER(H52),IF($I$175&gt;$H$175,(H52-$H$175)/($I$175-$H$175),"缺失"),"缺失")</x:f>
        <x:v>0.3823177864332769</x:v>
      </x:c>
      <x:c r="AA52" s="12" t="n">
        <x:f>IF(ISNUMBER(I52),IF($I$176&gt;$H$176,(I52-$H$176)/($I$176-$H$176),"缺失"),"缺失")</x:f>
        <x:v>0.9359562981656292</x:v>
      </x:c>
      <x:c r="AB52" s="12" t="n">
        <x:f>IF(ISNUMBER(J52),IF($I$177&gt;$H$177,(J52-$H$177)/($I$177-$H$177),"缺失"),"缺失")</x:f>
        <x:v>0.032434551936511194</x:v>
      </x:c>
      <x:c r="AC52" s="12" t="n">
        <x:f>IF(ISNUMBER(K52),IF($I$178&gt;$H$178,(K52-$H$178)/($I$178-$H$178),"缺失"),"缺失")</x:f>
        <x:v>0.28595742746858327</x:v>
      </x:c>
      <x:c r="AD52" s="12" t="n">
        <x:f>IF(ISNUMBER(L52),IF($I$179&gt;$H$179,(L52-$H$179)/($I$179-$H$179),"缺失"),"缺失")</x:f>
        <x:v>0.8826794370450466</x:v>
      </x:c>
      <x:c r="AE52" s="12" t="n">
        <x:f>IF(ISNUMBER(M52),IF($I$180&gt;$H$180,(M52-$H$180)/($I$180-$H$180),"缺失"),"缺失")</x:f>
        <x:v>0.88271824</x:v>
      </x:c>
      <x:c r="AF52" s="12" t="n">
        <x:f>IF(ISNUMBER(N52),IF($I$181&gt;$H$181,(N52-$H$181)/($I$181-$H$181),"缺失"),"缺失")</x:f>
        <x:v>0.00506532750711972</x:v>
      </x:c>
      <x:c r="AG52" s="12" t="n">
        <x:f>IF(ISNUMBER(O52),IF($I$182&gt;$H$182,(O52-$H$182)/($I$182-$H$182),"缺失"),"缺失")</x:f>
        <x:v>0.9392438334007279</x:v>
      </x:c>
      <x:c r="AH52" s="12" t="n">
        <x:f>IF(ISNUMBER(P52),IF($I$183&gt;$H$183,(P52-$H$183)/($I$183-$H$183),"缺失"),"缺失")</x:f>
        <x:v>0.8529262833244018</x:v>
      </x:c>
      <x:c r="AI52" s="12" t="n">
        <x:f>IF(ISNUMBER(Q52),IF($I$184&gt;$H$184,(Q52-$H$184)/($I$184-$H$184),"缺失"),"缺失")</x:f>
        <x:v>0.857636742230206</x:v>
      </x:c>
      <x:c r="AJ52" s="12" t="n">
        <x:f>IF(ISNUMBER(R52),IF($I$185&gt;$H$185,(R52-$H$185)/($I$185-$H$185),"缺失"),"缺失")</x:f>
        <x:v>0.048579188134332506</x:v>
      </x:c>
      <x:c r="AK52" s="12" t="n">
        <x:f>IF(ISNUMBER(S52),IF($I$186&gt;$H$186,(S52-$H$186)/($I$186-$H$186),"缺失"),"缺失")</x:f>
        <x:v>0.062144894452121374</x:v>
      </x:c>
      <x:c r="AL52" s="12" t="n">
        <x:f>IF(ISNUMBER(T52),IF($I$187&gt;$H$187,(T52-$H$187)/($I$187-$H$187),"缺失"),"缺失")</x:f>
        <x:v>0</x:v>
      </x:c>
      <x:c r="AM52" s="12" t="n">
        <x:f>IF(ISNUMBER(U52),IF($I$188&gt;$H$188,(U52-$H$188)/($I$188-$H$188),"缺失"),"缺失")</x:f>
        <x:v>0</x:v>
      </x:c>
      <x:c r="AN52" s="12" t="n">
        <x:f>IF(ISNUMBER(V52),IF($I$189&gt;$H$189,(V52-$H$189)/($I$189-$H$189),"缺失"),"缺失")</x:f>
        <x:v>1</x:v>
      </x:c>
      <x:c r="AO52" s="23" t="str"/>
      <x:c r="AP52" s="23" t="str">
        <x:v>见指标口径：州级、产业、代表点代理；气候基期待核实</x:v>
      </x:c>
      <x:c r="AQ52" s="15" t="n">
        <x:v>1.0000000000000016</x:v>
      </x:c>
      <x:c r="AR52" s="15" t="n">
        <x:v>1.0000000000000016</x:v>
      </x:c>
      <x:c r="AS52" s="15" t="n">
        <x:v>1</x:v>
      </x:c>
      <x:c r="AT52" s="15" t="n">
        <x:v>1</x:v>
      </x:c>
    </x:row>
    <x:row r="53" ht="24" customHeight="1">
      <x:c r="A53" s="18" t="str">
        <x:v>13095</x:v>
      </x:c>
      <x:c r="B53" s="3" t="str">
        <x:v>Dougherty County</x:v>
      </x:c>
      <x:c r="C53" s="3" t="str">
        <x:v>GA</x:v>
      </x:c>
      <x:c r="D53" s="12" t="n">
        <x:v>851.183382</x:v>
      </x:c>
      <x:c r="E53" s="12" t="n">
        <x:v>0.561</x:v>
      </x:c>
      <x:c r="F53" s="12" t="n">
        <x:v>0.703589108910891</x:v>
      </x:c>
      <x:c r="G53" s="12" t="n">
        <x:v>1.1652933984148754</x:v>
      </x:c>
      <x:c r="H53" s="12" t="n">
        <x:v>1.134330805</x:v>
      </x:c>
      <x:c r="I53" s="12" t="n">
        <x:v>0.819325252063721</x:v>
      </x:c>
      <x:c r="J53" s="12" t="n">
        <x:v>0.05667547562103595</x:v>
      </x:c>
      <x:c r="K53" s="12" t="n">
        <x:v>0.2357467803647575</x:v>
      </x:c>
      <x:c r="L53" s="24" t="n">
        <x:v>0.478248426</x:v>
      </x:c>
      <x:c r="M53" s="24" t="n">
        <x:v>0.448527145</x:v>
      </x:c>
      <x:c r="N53" s="13" t="n">
        <x:v>32613</x:v>
      </x:c>
      <x:c r="O53" s="12" t="n">
        <x:v>0.9761</x:v>
      </x:c>
      <x:c r="P53" s="12" t="n">
        <x:v>2238.0760579427083</x:v>
      </x:c>
      <x:c r="Q53" s="12" t="n">
        <x:v>76.10166625976562</x:v>
      </x:c>
      <x:c r="R53" s="12" t="n">
        <x:v>56.5900465470188</x:v>
      </x:c>
      <x:c r="S53" s="12" t="n">
        <x:v>2.9210732046214014</x:v>
      </x:c>
      <x:c r="T53" s="12" t="n">
        <x:v>72.1</x:v>
      </x:c>
      <x:c r="U53" s="12" t="n">
        <x:v>211.4154781728841</x:v>
      </x:c>
      <x:c r="V53" s="12" t="n">
        <x:v>325.42757789465</x:v>
      </x:c>
      <x:c r="W53" s="12" t="n">
        <x:f>IF(ISNUMBER(E53),IF($I$172&gt;$H$172,(E53-$H$172)/($I$172-$H$172),"缺失"),"缺失")</x:f>
        <x:v>0.59375</x:v>
      </x:c>
      <x:c r="X53" s="12" t="n">
        <x:f>IF(ISNUMBER(F53),IF($I$173&gt;$H$173,(F53-$H$173)/($I$173-$H$173),"缺失"),"缺失")</x:f>
        <x:v>0.7099212598425194</x:v>
      </x:c>
      <x:c r="Y53" s="12" t="n">
        <x:f>IF(ISNUMBER(G53),IF($I$174&gt;$H$174,(G53-$H$174)/($I$174-$H$174),"缺失"),"缺失")</x:f>
        <x:v>0.3061887035903138</x:v>
      </x:c>
      <x:c r="Z53" s="12" t="n">
        <x:f>IF(ISNUMBER(H53),IF($I$175&gt;$H$175,(H53-$H$175)/($I$175-$H$175),"缺失"),"缺失")</x:f>
        <x:v>0.27921766761671174</x:v>
      </x:c>
      <x:c r="AA53" s="12" t="n">
        <x:f>IF(ISNUMBER(I53),IF($I$176&gt;$H$176,(I53-$H$176)/($I$176-$H$176),"缺失"),"缺失")</x:f>
        <x:v>0.8152530699332393</x:v>
      </x:c>
      <x:c r="AB53" s="12" t="n">
        <x:f>IF(ISNUMBER(J53),IF($I$177&gt;$H$177,(J53-$H$177)/($I$177-$H$177),"缺失"),"缺失")</x:f>
        <x:v>0.1390246005729253</x:v>
      </x:c>
      <x:c r="AC53" s="12" t="n">
        <x:f>IF(ISNUMBER(K53),IF($I$178&gt;$H$178,(K53-$H$178)/($I$178-$H$178),"缺失"),"缺失")</x:f>
        <x:v>0.4052961601582762</x:v>
      </x:c>
      <x:c r="AD53" s="12" t="n">
        <x:f>IF(ISNUMBER(L53),IF($I$179&gt;$H$179,(L53-$H$179)/($I$179-$H$179),"缺失"),"缺失")</x:f>
        <x:v>0.4780758032253862</x:v>
      </x:c>
      <x:c r="AE53" s="12" t="n">
        <x:f>IF(ISNUMBER(M53),IF($I$180&gt;$H$180,(M53-$H$180)/($I$180-$H$180),"缺失"),"缺失")</x:f>
        <x:v>0.448527145</x:v>
      </x:c>
      <x:c r="AF53" s="12" t="n">
        <x:f>IF(ISNUMBER(N53),IF($I$181&gt;$H$181,(N53-$H$181)/($I$181-$H$181),"缺失"),"缺失")</x:f>
        <x:v>0.049574059063395785</x:v>
      </x:c>
      <x:c r="AG53" s="12" t="n">
        <x:f>IF(ISNUMBER(O53),IF($I$182&gt;$H$182,(O53-$H$182)/($I$182-$H$182),"缺失"),"缺失")</x:f>
        <x:v>0.984532955923979</x:v>
      </x:c>
      <x:c r="AH53" s="12" t="n">
        <x:f>IF(ISNUMBER(P53),IF($I$183&gt;$H$183,(P53-$H$183)/($I$183-$H$183),"缺失"),"缺失")</x:f>
        <x:v>0.8827544776078334</x:v>
      </x:c>
      <x:c r="AI53" s="12" t="n">
        <x:f>IF(ISNUMBER(Q53),IF($I$184&gt;$H$184,(Q53-$H$184)/($I$184-$H$184),"缺失"),"缺失")</x:f>
        <x:v>0.8905742218941235</x:v>
      </x:c>
      <x:c r="AJ53" s="12" t="n">
        <x:f>IF(ISNUMBER(R53),IF($I$185&gt;$H$185,(R53-$H$185)/($I$185-$H$185),"缺失"),"缺失")</x:f>
        <x:v>0.5931629933548261</x:v>
      </x:c>
      <x:c r="AK53" s="12" t="n">
        <x:f>IF(ISNUMBER(S53),IF($I$186&gt;$H$186,(S53-$H$186)/($I$186-$H$186),"缺失"),"缺失")</x:f>
        <x:v>0.05686479376786902</x:v>
      </x:c>
      <x:c r="AL53" s="12" t="n">
        <x:f>IF(ISNUMBER(T53),IF($I$187&gt;$H$187,(T53-$H$187)/($I$187-$H$187),"缺失"),"缺失")</x:f>
        <x:v>0</x:v>
      </x:c>
      <x:c r="AM53" s="12" t="n">
        <x:f>IF(ISNUMBER(U53),IF($I$188&gt;$H$188,(U53-$H$188)/($I$188-$H$188),"缺失"),"缺失")</x:f>
        <x:v>0</x:v>
      </x:c>
      <x:c r="AN53" s="12" t="n">
        <x:f>IF(ISNUMBER(V53),IF($I$189&gt;$H$189,(V53-$H$189)/($I$189-$H$189),"缺失"),"缺失")</x:f>
        <x:v>1</x:v>
      </x:c>
      <x:c r="AO53" s="23" t="str"/>
      <x:c r="AP53" s="23" t="str">
        <x:v>见指标口径：州级、产业、代表点代理；气候基期待核实</x:v>
      </x:c>
      <x:c r="AQ53" s="15" t="n">
        <x:v>1.0000000000000027</x:v>
      </x:c>
      <x:c r="AR53" s="15" t="n">
        <x:v>1.0000000000000002</x:v>
      </x:c>
      <x:c r="AS53" s="15" t="n">
        <x:v>1</x:v>
      </x:c>
      <x:c r="AT53" s="15" t="n">
        <x:v>1</x:v>
      </x:c>
    </x:row>
    <x:row r="54" ht="24" customHeight="1">
      <x:c r="A54" s="18" t="str">
        <x:v>13097</x:v>
      </x:c>
      <x:c r="B54" s="3" t="str">
        <x:v>Douglas County</x:v>
      </x:c>
      <x:c r="C54" s="3" t="str">
        <x:v>GA</x:v>
      </x:c>
      <x:c r="D54" s="12" t="n">
        <x:v>518.35001</x:v>
      </x:c>
      <x:c r="E54" s="12" t="n">
        <x:v>0.67</x:v>
      </x:c>
      <x:c r="F54" s="12" t="n">
        <x:v>0.160272277227723</x:v>
      </x:c>
      <x:c r="G54" s="12" t="n">
        <x:v>2.4115917257827646</x:v>
      </x:c>
      <x:c r="H54" s="12" t="n">
        <x:v>2.238973366</x:v>
      </x:c>
      <x:c r="I54" s="12" t="n">
        <x:v>0.6811356897320843</x:v>
      </x:c>
      <x:c r="J54" s="12" t="n">
        <x:v>0.032397871041348246</x:v>
      </x:c>
      <x:c r="K54" s="12" t="n">
        <x:v>0.01785055148827486</x:v>
      </x:c>
      <x:c r="L54" s="24" t="n">
        <x:v>0.72373324</x:v>
      </x:c>
      <x:c r="M54" s="24" t="n">
        <x:v>0.722905188</x:v>
      </x:c>
      <x:c r="N54" s="13" t="n">
        <x:v>76333</x:v>
      </x:c>
      <x:c r="O54" s="12" t="n">
        <x:v>0.7012</x:v>
      </x:c>
      <x:c r="P54" s="12" t="n">
        <x:v>1493.1599446614584</x:v>
      </x:c>
      <x:c r="Q54" s="12" t="n">
        <x:v>30.84349708557129</x:v>
      </x:c>
      <x:c r="R54" s="12" t="n">
        <x:v>2.5919288512739995</x:v>
      </x:c>
      <x:c r="S54" s="12" t="n">
        <x:v>4.71093106588416</x:v>
      </x:c>
      <x:c r="T54" s="12" t="n">
        <x:v>72.1</x:v>
      </x:c>
      <x:c r="U54" s="12" t="n">
        <x:v>211.4154781728841</x:v>
      </x:c>
      <x:c r="V54" s="12" t="n">
        <x:v>325.42757789465</x:v>
      </x:c>
      <x:c r="W54" s="12" t="n">
        <x:f>IF(ISNUMBER(E54),IF($I$172&gt;$H$172,(E54-$H$172)/($I$172-$H$172),"缺失"),"缺失")</x:f>
        <x:v>0.7199074074074074</x:v>
      </x:c>
      <x:c r="X54" s="12" t="n">
        <x:f>IF(ISNUMBER(F54),IF($I$173&gt;$H$173,(F54-$H$173)/($I$173-$H$173),"缺失"),"缺失")</x:f>
        <x:v>0.1568503937007876</x:v>
      </x:c>
      <x:c r="Y54" s="12" t="n">
        <x:f>IF(ISNUMBER(G54),IF($I$174&gt;$H$174,(G54-$H$174)/($I$174-$H$174),"缺失"),"缺失")</x:f>
        <x:v>0.6340286911258786</x:v>
      </x:c>
      <x:c r="Z54" s="12" t="n">
        <x:f>IF(ISNUMBER(H54),IF($I$175&gt;$H$175,(H54-$H$175)/($I$175-$H$175),"缺失"),"缺失")</x:f>
        <x:v>0.5515426207384634</x:v>
      </x:c>
      <x:c r="AA54" s="12" t="n">
        <x:f>IF(ISNUMBER(I54),IF($I$176&gt;$H$176,(I54-$H$176)/($I$176-$H$176),"缺失"),"缺失")</x:f>
        <x:v>0.66690293285123</x:v>
      </x:c>
      <x:c r="AB54" s="12" t="n">
        <x:f>IF(ISNUMBER(J54),IF($I$177&gt;$H$177,(J54-$H$177)/($I$177-$H$177),"缺失"),"缺失")</x:f>
        <x:v>0.07947178266404913</x:v>
      </x:c>
      <x:c r="AC54" s="12" t="n">
        <x:f>IF(ISNUMBER(K54),IF($I$178&gt;$H$178,(K54-$H$178)/($I$178-$H$178),"缺失"),"缺失")</x:f>
        <x:v>0.030688690482692804</x:v>
      </x:c>
      <x:c r="AD54" s="12" t="n">
        <x:f>IF(ISNUMBER(L54),IF($I$179&gt;$H$179,(L54-$H$179)/($I$179-$H$179),"缺失"),"缺失")</x:f>
        <x:v>0.7236418364719203</x:v>
      </x:c>
      <x:c r="AE54" s="12" t="n">
        <x:f>IF(ISNUMBER(M54),IF($I$180&gt;$H$180,(M54-$H$180)/($I$180-$H$180),"缺失"),"缺失")</x:f>
        <x:v>0.722905188</x:v>
      </x:c>
      <x:c r="AF54" s="12" t="n">
        <x:f>IF(ISNUMBER(N54),IF($I$181&gt;$H$181,(N54-$H$181)/($I$181-$H$181),"缺失"),"缺失")</x:f>
        <x:v>0.11746373368365151</x:v>
      </x:c>
      <x:c r="AG54" s="12" t="n">
        <x:f>IF(ISNUMBER(O54),IF($I$182&gt;$H$182,(O54-$H$182)/($I$182-$H$182),"缺失"),"缺失")</x:f>
        <x:v>0.7066316215123333</x:v>
      </x:c>
      <x:c r="AH54" s="12" t="n">
        <x:f>IF(ISNUMBER(P54),IF($I$183&gt;$H$183,(P54-$H$183)/($I$183-$H$183),"缺失"),"缺失")</x:f>
        <x:v>0.5476494597001053</x:v>
      </x:c>
      <x:c r="AI54" s="12" t="n">
        <x:f>IF(ISNUMBER(Q54),IF($I$184&gt;$H$184,(Q54-$H$184)/($I$184-$H$184),"缺失"),"缺失")</x:f>
        <x:v>0.358718519022296</x:v>
      </x:c>
      <x:c r="AJ54" s="12" t="n">
        <x:f>IF(ISNUMBER(R54),IF($I$185&gt;$H$185,(R54-$H$185)/($I$185-$H$185),"缺失"),"缺失")</x:f>
        <x:v>0.02572654171409213</x:v>
      </x:c>
      <x:c r="AK54" s="12" t="n">
        <x:f>IF(ISNUMBER(S54),IF($I$186&gt;$H$186,(S54-$H$186)/($I$186-$H$186),"缺失"),"缺失")</x:f>
        <x:v>0.09180579020599618</x:v>
      </x:c>
      <x:c r="AL54" s="12" t="n">
        <x:f>IF(ISNUMBER(T54),IF($I$187&gt;$H$187,(T54-$H$187)/($I$187-$H$187),"缺失"),"缺失")</x:f>
        <x:v>0</x:v>
      </x:c>
      <x:c r="AM54" s="12" t="n">
        <x:f>IF(ISNUMBER(U54),IF($I$188&gt;$H$188,(U54-$H$188)/($I$188-$H$188),"缺失"),"缺失")</x:f>
        <x:v>0</x:v>
      </x:c>
      <x:c r="AN54" s="12" t="n">
        <x:f>IF(ISNUMBER(V54),IF($I$189&gt;$H$189,(V54-$H$189)/($I$189-$H$189),"缺失"),"缺失")</x:f>
        <x:v>1</x:v>
      </x:c>
      <x:c r="AO54" s="23" t="str"/>
      <x:c r="AP54" s="23" t="str">
        <x:v>见指标口径：州级、产业、代表点代理；气候基期待核实</x:v>
      </x:c>
      <x:c r="AQ54" s="15" t="n">
        <x:v>0.9999999999999987</x:v>
      </x:c>
      <x:c r="AR54" s="15" t="n">
        <x:v>0.9999999999999987</x:v>
      </x:c>
      <x:c r="AS54" s="15" t="n">
        <x:v>1</x:v>
      </x:c>
      <x:c r="AT54" s="15" t="n">
        <x:v>1</x:v>
      </x:c>
    </x:row>
    <x:row r="55" ht="24" customHeight="1">
      <x:c r="A55" s="18" t="str">
        <x:v>13099</x:v>
      </x:c>
      <x:c r="B55" s="3" t="str">
        <x:v>Early County</x:v>
      </x:c>
      <x:c r="C55" s="3" t="str">
        <x:v>GA</x:v>
      </x:c>
      <x:c r="D55" s="12" t="n">
        <x:v>1327.626624</x:v>
      </x:c>
      <x:c r="E55" s="12" t="n">
        <x:v>0.501</x:v>
      </x:c>
      <x:c r="F55" s="12" t="n">
        <x:v>0.43935643564356397</x:v>
      </x:c>
      <x:c r="G55" s="12" t="n">
        <x:v>0.6190411351461493</x:v>
      </x:c>
      <x:c r="H55" s="12" t="n">
        <x:v>0.6027513536949357</x:v>
      </x:c>
      <x:c r="I55" s="12" t="n">
        <x:v>0.9509260308321896</x:v>
      </x:c>
      <x:c r="J55" s="12" t="n">
        <x:v>0.017010954001655556</x:v>
      </x:c>
      <x:c r="K55" s="12" t="n">
        <x:v>0.19995400205837396</x:v>
      </x:c>
      <x:c r="L55" s="24" t="n">
        <x:v>0.543959732</x:v>
      </x:c>
      <x:c r="M55" s="24" t="n">
        <x:v>0.543959732</x:v>
      </x:c>
      <x:c r="N55" s="13" t="n">
        <x:v>3540</x:v>
      </x:c>
      <x:c r="O55" s="12" t="n">
        <x:v>0.9357</x:v>
      </x:c>
      <x:c r="P55" s="12" t="n">
        <x:v>2234.7774251302085</x:v>
      </x:c>
      <x:c r="Q55" s="12" t="n">
        <x:v>74.15402259826661</x:v>
      </x:c>
      <x:c r="R55" s="12" t="n">
        <x:v>71.80599060301233</x:v>
      </x:c>
      <x:c r="S55" s="12" t="n">
        <x:v>6.64501235582381</x:v>
      </x:c>
      <x:c r="T55" s="12" t="n">
        <x:v>72.1</x:v>
      </x:c>
      <x:c r="U55" s="12" t="n">
        <x:v>211.4154781728841</x:v>
      </x:c>
      <x:c r="V55" s="12" t="n">
        <x:v>325.42757789465</x:v>
      </x:c>
      <x:c r="W55" s="12" t="n">
        <x:f>IF(ISNUMBER(E55),IF($I$172&gt;$H$172,(E55-$H$172)/($I$172-$H$172),"缺失"),"缺失")</x:f>
        <x:v>0.5243055555555556</x:v>
      </x:c>
      <x:c r="X55" s="12" t="n">
        <x:f>IF(ISNUMBER(F55),IF($I$173&gt;$H$173,(F55-$H$173)/($I$173-$H$173),"缺失"),"缺失")</x:f>
        <x:v>0.4409448818897633</x:v>
      </x:c>
      <x:c r="Y55" s="12" t="n">
        <x:f>IF(ISNUMBER(G55),IF($I$174&gt;$H$174,(G55-$H$174)/($I$174-$H$174),"缺失"),"缺失")</x:f>
        <x:v>0.16249651428961318</x:v>
      </x:c>
      <x:c r="Z55" s="12" t="n">
        <x:f>IF(ISNUMBER(H55),IF($I$175&gt;$H$175,(H55-$H$175)/($I$175-$H$175),"缺失"),"缺失")</x:f>
        <x:v>0.14816862581074597</x:v>
      </x:c>
      <x:c r="AA55" s="12" t="n">
        <x:f>IF(ISNUMBER(I55),IF($I$176&gt;$H$176,(I55-$H$176)/($I$176-$H$176),"缺失"),"缺失")</x:f>
        <x:v>0.9565299742159876</x:v>
      </x:c>
      <x:c r="AB55" s="12" t="n">
        <x:f>IF(ISNUMBER(J55),IF($I$177&gt;$H$177,(J55-$H$177)/($I$177-$H$177),"缺失"),"缺失")</x:f>
        <x:v>0.04172776777839313</x:v>
      </x:c>
      <x:c r="AC55" s="12" t="n">
        <x:f>IF(ISNUMBER(K55),IF($I$178&gt;$H$178,(K55-$H$178)/($I$178-$H$178),"缺失"),"缺失")</x:f>
        <x:v>0.34376117085098495</x:v>
      </x:c>
      <x:c r="AD55" s="12" t="n">
        <x:f>IF(ISNUMBER(L55),IF($I$179&gt;$H$179,(L55-$H$179)/($I$179-$H$179),"缺失"),"缺失")</x:f>
        <x:v>0.5438088499704657</x:v>
      </x:c>
      <x:c r="AE55" s="12" t="n">
        <x:f>IF(ISNUMBER(M55),IF($I$180&gt;$H$180,(M55-$H$180)/($I$180-$H$180),"缺失"),"缺失")</x:f>
        <x:v>0.543959732</x:v>
      </x:c>
      <x:c r="AF55" s="12" t="n">
        <x:f>IF(ISNUMBER(N55),IF($I$181&gt;$H$181,(N55-$H$181)/($I$181-$H$181),"缺失"),"缺失")</x:f>
        <x:v>0.004428667703956298</x:v>
      </x:c>
      <x:c r="AG55" s="12" t="n">
        <x:f>IF(ISNUMBER(O55),IF($I$182&gt;$H$182,(O55-$H$182)/($I$182-$H$182),"缺失"),"缺失")</x:f>
        <x:v>0.9436918722199757</x:v>
      </x:c>
      <x:c r="AH55" s="12" t="n">
        <x:f>IF(ISNUMBER(P55),IF($I$183&gt;$H$183,(P55-$H$183)/($I$183-$H$183),"缺失"),"缺失")</x:f>
        <x:v>0.8812705676910044</x:v>
      </x:c>
      <x:c r="AI55" s="12" t="n">
        <x:f>IF(ISNUMBER(Q55),IF($I$184&gt;$H$184,(Q55-$H$184)/($I$184-$H$184),"缺失"),"缺失")</x:f>
        <x:v>0.8676863011622117</x:v>
      </x:c>
      <x:c r="AJ55" s="12" t="n">
        <x:f>IF(ISNUMBER(R55),IF($I$185&gt;$H$185,(R55-$H$185)/($I$185-$H$185),"缺失"),"缺失")</x:f>
        <x:v>0.7530589614355298</x:v>
      </x:c>
      <x:c r="AK55" s="12" t="n">
        <x:f>IF(ISNUMBER(S55),IF($I$186&gt;$H$186,(S55-$H$186)/($I$186-$H$186),"缺失"),"缺失")</x:f>
        <x:v>0.12956226736846335</x:v>
      </x:c>
      <x:c r="AL55" s="12" t="n">
        <x:f>IF(ISNUMBER(T55),IF($I$187&gt;$H$187,(T55-$H$187)/($I$187-$H$187),"缺失"),"缺失")</x:f>
        <x:v>0</x:v>
      </x:c>
      <x:c r="AM55" s="12" t="n">
        <x:f>IF(ISNUMBER(U55),IF($I$188&gt;$H$188,(U55-$H$188)/($I$188-$H$188),"缺失"),"缺失")</x:f>
        <x:v>0</x:v>
      </x:c>
      <x:c r="AN55" s="12" t="n">
        <x:f>IF(ISNUMBER(V55),IF($I$189&gt;$H$189,(V55-$H$189)/($I$189-$H$189),"缺失"),"缺失")</x:f>
        <x:v>1</x:v>
      </x:c>
      <x:c r="AO55" s="23" t="str"/>
      <x:c r="AP55" s="23" t="str">
        <x:v>见指标口径：州级、产业、代表点代理；气候基期待核实</x:v>
      </x:c>
      <x:c r="AQ55" s="15" t="n">
        <x:v>1.000000000000001</x:v>
      </x:c>
      <x:c r="AR55" s="15" t="n">
        <x:v>1.0000000000000002</x:v>
      </x:c>
      <x:c r="AS55" s="15" t="n">
        <x:v>1</x:v>
      </x:c>
      <x:c r="AT55" s="15" t="n">
        <x:v>1</x:v>
      </x:c>
    </x:row>
    <x:row r="56" ht="24" customHeight="1">
      <x:c r="A56" s="18" t="str">
        <x:v>13101</x:v>
      </x:c>
      <x:c r="B56" s="3" t="str">
        <x:v>Echols County</x:v>
      </x:c>
      <x:c r="C56" s="3" t="str">
        <x:v>GA</x:v>
      </x:c>
      <x:c r="D56" s="12" t="n">
        <x:v>1088.84947</x:v>
      </x:c>
      <x:c r="E56" s="12" t="n">
        <x:v>0.681</x:v>
      </x:c>
      <x:c r="F56" s="12" t="n">
        <x:v>0.45884900990099</x:v>
      </x:c>
      <x:c r="G56" s="12" t="n">
        <x:v>2.8615833765292407</x:v>
      </x:c>
      <x:c r="H56" s="12" t="n">
        <x:v>3.072920026</x:v>
      </x:c>
      <x:c r="I56" s="12" t="n">
        <x:v>0.9495218591663923</x:v>
      </x:c>
      <x:c r="J56" s="12" t="n">
        <x:v>0</x:v>
      </x:c>
      <x:c r="K56" s="12" t="n">
        <x:v>0.4253203733815913</x:v>
      </x:c>
      <x:c r="L56" s="24" t="n">
        <x:v>0.220869565</x:v>
      </x:c>
      <x:c r="M56" s="24" t="n">
        <x:v>0.220869565</x:v>
      </x:c>
      <x:c r="N56" s="13" t="n">
        <x:v>1785</x:v>
      </x:c>
      <x:c r="O56" s="12" t="n">
        <x:v>0.4623</x:v>
      </x:c>
      <x:c r="P56" s="12" t="n">
        <x:v>2306.42822265625</x:v>
      </x:c>
      <x:c r="Q56" s="12" t="n">
        <x:v>80.1769276936849</x:v>
      </x:c>
      <x:c r="R56" s="12" t="n">
        <x:v>24.80069324264903</x:v>
      </x:c>
      <x:c r="S56" s="12" t="n">
        <x:v>12.298869669975595</x:v>
      </x:c>
      <x:c r="T56" s="12" t="n">
        <x:v>72.1</x:v>
      </x:c>
      <x:c r="U56" s="12" t="n">
        <x:v>211.4154781728841</x:v>
      </x:c>
      <x:c r="V56" s="12" t="n">
        <x:v>325.42757789465</x:v>
      </x:c>
      <x:c r="W56" s="12" t="n">
        <x:f>IF(ISNUMBER(E56),IF($I$172&gt;$H$172,(E56-$H$172)/($I$172-$H$172),"缺失"),"缺失")</x:f>
        <x:v>0.732638888888889</x:v>
      </x:c>
      <x:c r="X56" s="12" t="n">
        <x:f>IF(ISNUMBER(F56),IF($I$173&gt;$H$173,(F56-$H$173)/($I$173-$H$173),"缺失"),"缺失")</x:f>
        <x:v>0.4607874015748029</x:v>
      </x:c>
      <x:c r="Y56" s="12" t="n">
        <x:f>IF(ISNUMBER(G56),IF($I$174&gt;$H$174,(G56-$H$174)/($I$174-$H$174),"缺失"),"缺失")</x:f>
        <x:v>0.7523994326508213</x:v>
      </x:c>
      <x:c r="Z56" s="12" t="n">
        <x:f>IF(ISNUMBER(H56),IF($I$175&gt;$H$175,(H56-$H$175)/($I$175-$H$175),"缺失"),"缺失")</x:f>
        <x:v>0.7571335449963068</x:v>
      </x:c>
      <x:c r="AA56" s="12" t="n">
        <x:f>IF(ISNUMBER(I56),IF($I$176&gt;$H$176,(I56-$H$176)/($I$176-$H$176),"缺失"),"缺失")</x:f>
        <x:v>0.9550225589264899</x:v>
      </x:c>
      <x:c r="AB56" s="12" t="n">
        <x:f>IF(ISNUMBER(J56),IF($I$177&gt;$H$177,(J56-$H$177)/($I$177-$H$177),"缺失"),"缺失")</x:f>
        <x:v>0</x:v>
      </x:c>
      <x:c r="AC56" s="12" t="n">
        <x:f>IF(ISNUMBER(K56),IF($I$178&gt;$H$178,(K56-$H$178)/($I$178-$H$178),"缺失"),"缺失")</x:f>
        <x:v>0.7312113187799573</x:v>
      </x:c>
      <x:c r="AD56" s="12" t="n">
        <x:f>IF(ISNUMBER(L56),IF($I$179&gt;$H$179,(L56-$H$179)/($I$179-$H$179),"缺失"),"缺失")</x:f>
        <x:v>0.22061178780453383</x:v>
      </x:c>
      <x:c r="AE56" s="12" t="n">
        <x:f>IF(ISNUMBER(M56),IF($I$180&gt;$H$180,(M56-$H$180)/($I$180-$H$180),"缺失"),"缺失")</x:f>
        <x:v>0.220869565</x:v>
      </x:c>
      <x:c r="AF56" s="12" t="n">
        <x:f>IF(ISNUMBER(N56),IF($I$181&gt;$H$181,(N56-$H$181)/($I$181-$H$181),"缺失"),"缺失")</x:f>
        <x:v>0.001703453180659207</x:v>
      </x:c>
      <x:c r="AG56" s="12" t="n">
        <x:f>IF(ISNUMBER(O56),IF($I$182&gt;$H$182,(O56-$H$182)/($I$182-$H$182),"缺失"),"缺失")</x:f>
        <x:v>0.4651233319854428</x:v>
      </x:c>
      <x:c r="AH56" s="12" t="n">
        <x:f>IF(ISNUMBER(P56),IF($I$183&gt;$H$183,(P56-$H$183)/($I$183-$H$183),"缺失"),"缺失")</x:f>
        <x:v>0.9135031122151175</x:v>
      </x:c>
      <x:c r="AI56" s="12" t="n">
        <x:f>IF(ISNUMBER(Q56),IF($I$184&gt;$H$184,(Q56-$H$184)/($I$184-$H$184),"缺失"),"缺失")</x:f>
        <x:v>0.9384650463324979</x:v>
      </x:c>
      <x:c r="AJ56" s="12" t="n">
        <x:f>IF(ISNUMBER(R56),IF($I$185&gt;$H$185,(R56-$H$185)/($I$185-$H$185),"缺失"),"缺失")</x:f>
        <x:v>0.25910620380849897</x:v>
      </x:c>
      <x:c r="AK56" s="12" t="n">
        <x:f>IF(ISNUMBER(S56),IF($I$186&gt;$H$186,(S56-$H$186)/($I$186-$H$186),"缺失"),"缺失")</x:f>
        <x:v>0.23993494698229745</x:v>
      </x:c>
      <x:c r="AL56" s="12" t="n">
        <x:f>IF(ISNUMBER(T56),IF($I$187&gt;$H$187,(T56-$H$187)/($I$187-$H$187),"缺失"),"缺失")</x:f>
        <x:v>0</x:v>
      </x:c>
      <x:c r="AM56" s="12" t="n">
        <x:f>IF(ISNUMBER(U56),IF($I$188&gt;$H$188,(U56-$H$188)/($I$188-$H$188),"缺失"),"缺失")</x:f>
        <x:v>0</x:v>
      </x:c>
      <x:c r="AN56" s="12" t="n">
        <x:f>IF(ISNUMBER(V56),IF($I$189&gt;$H$189,(V56-$H$189)/($I$189-$H$189),"缺失"),"缺失")</x:f>
        <x:v>1</x:v>
      </x:c>
      <x:c r="AO56" s="23" t="str"/>
      <x:c r="AP56" s="23" t="str">
        <x:v>见指标口径：州级、产业、代表点代理；气候基期待核实</x:v>
      </x:c>
      <x:c r="AQ56" s="15" t="n">
        <x:v>1.0000000000000018</x:v>
      </x:c>
      <x:c r="AR56" s="15" t="n">
        <x:v>1.0000000000000018</x:v>
      </x:c>
      <x:c r="AS56" s="15" t="n">
        <x:v>1</x:v>
      </x:c>
      <x:c r="AT56" s="15" t="n">
        <x:v>1</x:v>
      </x:c>
    </x:row>
    <x:row r="57" ht="24" customHeight="1">
      <x:c r="A57" s="18" t="str">
        <x:v>13103</x:v>
      </x:c>
      <x:c r="B57" s="3" t="str">
        <x:v>Effingham County</x:v>
      </x:c>
      <x:c r="C57" s="3" t="str">
        <x:v>GA</x:v>
      </x:c>
      <x:c r="D57" s="12" t="n">
        <x:v>1240.163625</x:v>
      </x:c>
      <x:c r="E57" s="12" t="n">
        <x:v>0.548</x:v>
      </x:c>
      <x:c r="F57" s="12" t="n">
        <x:v>0.451732673267327</x:v>
      </x:c>
      <x:c r="G57" s="12" t="n">
        <x:v>2.077444130333897</x:v>
      </x:c>
      <x:c r="H57" s="12" t="n">
        <x:v>1.8830344054232628</x:v>
      </x:c>
      <x:c r="I57" s="12" t="n">
        <x:v>0.8892998648241622</x:v>
      </x:c>
      <x:c r="J57" s="12" t="n">
        <x:v>0.04556814149155849</x:v>
      </x:c>
      <x:c r="K57" s="12" t="n">
        <x:v>0.4293142408981845</x:v>
      </x:c>
      <x:c r="L57" s="24" t="n">
        <x:v>0.28550492</x:v>
      </x:c>
      <x:c r="M57" s="24" t="n">
        <x:v>0.285190872</x:v>
      </x:c>
      <x:c r="N57" s="13" t="n">
        <x:v>36576</x:v>
      </x:c>
      <x:c r="O57" s="12" t="n">
        <x:v>0.2851</x:v>
      </x:c>
      <x:c r="P57" s="12" t="n">
        <x:v>2232.722420247396</x:v>
      </x:c>
      <x:c r="Q57" s="12" t="n">
        <x:v>62.613263575236</x:v>
      </x:c>
      <x:c r="R57" s="12" t="n">
        <x:v>22.257026782051714</x:v>
      </x:c>
      <x:c r="S57" s="12" t="n">
        <x:v>2.7663552062636056</x:v>
      </x:c>
      <x:c r="T57" s="12" t="n">
        <x:v>72.1</x:v>
      </x:c>
      <x:c r="U57" s="12" t="n">
        <x:v>211.4154781728841</x:v>
      </x:c>
      <x:c r="V57" s="12" t="n">
        <x:v>325.42757789465</x:v>
      </x:c>
      <x:c r="W57" s="12" t="n">
        <x:f>IF(ISNUMBER(E57),IF($I$172&gt;$H$172,(E57-$H$172)/($I$172-$H$172),"缺失"),"缺失")</x:f>
        <x:v>0.5787037037037037</x:v>
      </x:c>
      <x:c r="X57" s="12" t="n">
        <x:f>IF(ISNUMBER(F57),IF($I$173&gt;$H$173,(F57-$H$173)/($I$173-$H$173),"缺失"),"缺失")</x:f>
        <x:v>0.45354330708661433</x:v>
      </x:c>
      <x:c r="Y57" s="12" t="n">
        <x:f>IF(ISNUMBER(G57),IF($I$174&gt;$H$174,(G57-$H$174)/($I$174-$H$174),"缺失"),"缺失")</x:f>
        <x:v>0.5461308410514485</x:v>
      </x:c>
      <x:c r="Z57" s="12" t="n">
        <x:f>IF(ISNUMBER(H57),IF($I$175&gt;$H$175,(H57-$H$175)/($I$175-$H$175),"缺失"),"缺失")</x:f>
        <x:v>0.46379381929311964</x:v>
      </x:c>
      <x:c r="AA57" s="12" t="n">
        <x:f>IF(ISNUMBER(I57),IF($I$176&gt;$H$176,(I57-$H$176)/($I$176-$H$176),"缺失"),"缺失")</x:f>
        <x:v>0.8903726608786073</x:v>
      </x:c>
      <x:c r="AB57" s="12" t="n">
        <x:f>IF(ISNUMBER(J57),IF($I$177&gt;$H$177,(J57-$H$177)/($I$177-$H$177),"缺失"),"缺失")</x:f>
        <x:v>0.11177837680753576</x:v>
      </x:c>
      <x:c r="AC57" s="12" t="n">
        <x:f>IF(ISNUMBER(K57),IF($I$178&gt;$H$178,(K57-$H$178)/($I$178-$H$178),"缺失"),"缺失")</x:f>
        <x:v>0.7380775808181983</x:v>
      </x:c>
      <x:c r="AD57" s="12" t="n">
        <x:f>IF(ISNUMBER(L57),IF($I$179&gt;$H$179,(L57-$H$179)/($I$179-$H$179),"缺失"),"缺失")</x:f>
        <x:v>0.2852685275686136</x:v>
      </x:c>
      <x:c r="AE57" s="12" t="n">
        <x:f>IF(ISNUMBER(M57),IF($I$180&gt;$H$180,(M57-$H$180)/($I$180-$H$180),"缺失"),"缺失")</x:f>
        <x:v>0.285190872</x:v>
      </x:c>
      <x:c r="AF57" s="12" t="n">
        <x:f>IF(ISNUMBER(N57),IF($I$181&gt;$H$181,(N57-$H$181)/($I$181-$H$181),"缺失"),"缺失")</x:f>
        <x:v>0.05572791955104614</x:v>
      </x:c>
      <x:c r="AG57" s="12" t="n">
        <x:f>IF(ISNUMBER(O57),IF($I$182&gt;$H$182,(O57-$H$182)/($I$182-$H$182),"缺失"),"缺失")</x:f>
        <x:v>0.28598867771936926</x:v>
      </x:c>
      <x:c r="AH57" s="12" t="n">
        <x:f>IF(ISNUMBER(P57),IF($I$183&gt;$H$183,(P57-$H$183)/($I$183-$H$183),"缺失"),"缺失")</x:f>
        <x:v>0.8803461113182969</x:v>
      </x:c>
      <x:c r="AI57" s="12" t="n">
        <x:f>IF(ISNUMBER(Q57),IF($I$184&gt;$H$184,(Q57-$H$184)/($I$184-$H$184),"缺失"),"缺失")</x:f>
        <x:v>0.7320639679157276</x:v>
      </x:c>
      <x:c r="AJ57" s="12" t="n">
        <x:f>IF(ISNUMBER(R57),IF($I$185&gt;$H$185,(R57-$H$185)/($I$185-$H$185),"缺失"),"缺失")</x:f>
        <x:v>0.23237621520608834</x:v>
      </x:c>
      <x:c r="AK57" s="12" t="n">
        <x:f>IF(ISNUMBER(S57),IF($I$186&gt;$H$186,(S57-$H$186)/($I$186-$H$186),"缺失"),"缺失")</x:f>
        <x:v>0.05384444162341442</x:v>
      </x:c>
      <x:c r="AL57" s="12" t="n">
        <x:f>IF(ISNUMBER(T57),IF($I$187&gt;$H$187,(T57-$H$187)/($I$187-$H$187),"缺失"),"缺失")</x:f>
        <x:v>0</x:v>
      </x:c>
      <x:c r="AM57" s="12" t="n">
        <x:f>IF(ISNUMBER(U57),IF($I$188&gt;$H$188,(U57-$H$188)/($I$188-$H$188),"缺失"),"缺失")</x:f>
        <x:v>0</x:v>
      </x:c>
      <x:c r="AN57" s="12" t="n">
        <x:f>IF(ISNUMBER(V57),IF($I$189&gt;$H$189,(V57-$H$189)/($I$189-$H$189),"缺失"),"缺失")</x:f>
        <x:v>1</x:v>
      </x:c>
      <x:c r="AO57" s="23" t="str"/>
      <x:c r="AP57" s="23" t="str">
        <x:v>见指标口径：州级、产业、代表点代理；气候基期待核实</x:v>
      </x:c>
      <x:c r="AQ57" s="15" t="n">
        <x:v>0.9999999999999997</x:v>
      </x:c>
      <x:c r="AR57" s="15" t="n">
        <x:v>1.0000000000000069</x:v>
      </x:c>
      <x:c r="AS57" s="15" t="n">
        <x:v>1</x:v>
      </x:c>
      <x:c r="AT57" s="15" t="n">
        <x:v>1</x:v>
      </x:c>
    </x:row>
    <x:row r="58" ht="24" customHeight="1">
      <x:c r="A58" s="18" t="str">
        <x:v>13105</x:v>
      </x:c>
      <x:c r="B58" s="3" t="str">
        <x:v>Elbert County</x:v>
      </x:c>
      <x:c r="C58" s="3" t="str">
        <x:v>GA</x:v>
      </x:c>
      <x:c r="D58" s="12" t="n">
        <x:v>909.35214</x:v>
      </x:c>
      <x:c r="E58" s="12" t="n">
        <x:v>0.58</x:v>
      </x:c>
      <x:c r="F58" s="12" t="n">
        <x:v>0.18873762376237602</x:v>
      </x:c>
      <x:c r="G58" s="12" t="n">
        <x:v>2.931926380780837</x:v>
      </x:c>
      <x:c r="H58" s="12" t="n">
        <x:v>2.735302759</x:v>
      </x:c>
      <x:c r="I58" s="12" t="n">
        <x:v>0.928242189046846</x:v>
      </x:c>
      <x:c r="J58" s="12" t="n">
        <x:v>0.024660285315146788</x:v>
      </x:c>
      <x:c r="K58" s="12" t="n">
        <x:v>0.024462440106126006</x:v>
      </x:c>
      <x:c r="L58" s="24" t="n">
        <x:v>0.310938215</x:v>
      </x:c>
      <x:c r="M58" s="24" t="n">
        <x:v>0.005125858</x:v>
      </x:c>
      <x:c r="N58" s="13" t="n">
        <x:v>8738</x:v>
      </x:c>
      <x:c r="O58" s="12" t="n">
        <x:v>0.9224</x:v>
      </x:c>
      <x:c r="P58" s="12" t="n">
        <x:v>1519.6598592122396</x:v>
      </x:c>
      <x:c r="Q58" s="12" t="n">
        <x:v>40.93811111450195</x:v>
      </x:c>
      <x:c r="R58" s="12" t="n">
        <x:v>43.931550209007995</x:v>
      </x:c>
      <x:c r="S58" s="12" t="n">
        <x:v>1.5804643371462135</x:v>
      </x:c>
      <x:c r="T58" s="12" t="n">
        <x:v>72.1</x:v>
      </x:c>
      <x:c r="U58" s="12" t="n">
        <x:v>211.4154781728841</x:v>
      </x:c>
      <x:c r="V58" s="12" t="n">
        <x:v>325.42757789465</x:v>
      </x:c>
      <x:c r="W58" s="12" t="n">
        <x:f>IF(ISNUMBER(E58),IF($I$172&gt;$H$172,(E58-$H$172)/($I$172-$H$172),"缺失"),"缺失")</x:f>
        <x:v>0.6157407407407407</x:v>
      </x:c>
      <x:c r="X58" s="12" t="n">
        <x:f>IF(ISNUMBER(F58),IF($I$173&gt;$H$173,(F58-$H$173)/($I$173-$H$173),"缺失"),"缺失")</x:f>
        <x:v>0.18582677165354303</x:v>
      </x:c>
      <x:c r="Y58" s="12" t="n">
        <x:f>IF(ISNUMBER(G58),IF($I$174&gt;$H$174,(G58-$H$174)/($I$174-$H$174),"缺失"),"缺失")</x:f>
        <x:v>0.7709032283557884</x:v>
      </x:c>
      <x:c r="Z58" s="12" t="n">
        <x:f>IF(ISNUMBER(H58),IF($I$175&gt;$H$175,(H58-$H$175)/($I$175-$H$175),"缺失"),"缺失")</x:f>
        <x:v>0.6739015479187753</x:v>
      </x:c>
      <x:c r="AA58" s="12" t="n">
        <x:f>IF(ISNUMBER(I58),IF($I$176&gt;$H$176,(I58-$H$176)/($I$176-$H$176),"缺失"),"缺失")</x:f>
        <x:v>0.9321782722377555</x:v>
      </x:c>
      <x:c r="AB58" s="12" t="n">
        <x:f>IF(ISNUMBER(J58),IF($I$177&gt;$H$177,(J58-$H$177)/($I$177-$H$177),"缺失"),"缺失")</x:f>
        <x:v>0.060491531449630404</x:v>
      </x:c>
      <x:c r="AC58" s="12" t="n">
        <x:f>IF(ISNUMBER(K58),IF($I$178&gt;$H$178,(K58-$H$178)/($I$178-$H$178),"缺失"),"缺失")</x:f>
        <x:v>0.04205585767820241</x:v>
      </x:c>
      <x:c r="AD58" s="12" t="n">
        <x:f>IF(ISNUMBER(L58),IF($I$179&gt;$H$179,(L58-$H$179)/($I$179-$H$179),"缺失"),"缺失")</x:f>
        <x:v>0.31071023723599417</x:v>
      </x:c>
      <x:c r="AE58" s="12" t="n">
        <x:f>IF(ISNUMBER(M58),IF($I$180&gt;$H$180,(M58-$H$180)/($I$180-$H$180),"缺失"),"缺失")</x:f>
        <x:v>0.005125858</x:v>
      </x:c>
      <x:c r="AF58" s="12" t="n">
        <x:f>IF(ISNUMBER(N58),IF($I$181&gt;$H$181,(N58-$H$181)/($I$181-$H$181),"缺失"),"缺失")</x:f>
        <x:v>0.012500271745037936</x:v>
      </x:c>
      <x:c r="AG58" s="12" t="n">
        <x:f>IF(ISNUMBER(O58),IF($I$182&gt;$H$182,(O58-$H$182)/($I$182-$H$182),"缺失"),"缺失")</x:f>
        <x:v>0.9302466639708856</x:v>
      </x:c>
      <x:c r="AH58" s="12" t="n">
        <x:f>IF(ISNUMBER(P58),IF($I$183&gt;$H$183,(P58-$H$183)/($I$183-$H$183),"缺失"),"缺失")</x:f>
        <x:v>0.5595706065000806</x:v>
      </x:c>
      <x:c r="AI58" s="12" t="n">
        <x:f>IF(ISNUMBER(Q58),IF($I$184&gt;$H$184,(Q58-$H$184)/($I$184-$H$184),"缺失"),"缺失")</x:f>
        <x:v>0.4773463410827163</x:v>
      </x:c>
      <x:c r="AJ58" s="12" t="n">
        <x:f>IF(ISNUMBER(R58),IF($I$185&gt;$H$185,(R58-$H$185)/($I$185-$H$185),"缺失"),"缺失")</x:f>
        <x:v>0.4601418335132839</x:v>
      </x:c>
      <x:c r="AK58" s="12" t="n">
        <x:f>IF(ISNUMBER(S58),IF($I$186&gt;$H$186,(S58-$H$186)/($I$186-$H$186),"缺失"),"缺失")</x:f>
        <x:v>0.03069388339718479</x:v>
      </x:c>
      <x:c r="AL58" s="12" t="n">
        <x:f>IF(ISNUMBER(T58),IF($I$187&gt;$H$187,(T58-$H$187)/($I$187-$H$187),"缺失"),"缺失")</x:f>
        <x:v>0</x:v>
      </x:c>
      <x:c r="AM58" s="12" t="n">
        <x:f>IF(ISNUMBER(U58),IF($I$188&gt;$H$188,(U58-$H$188)/($I$188-$H$188),"缺失"),"缺失")</x:f>
        <x:v>0</x:v>
      </x:c>
      <x:c r="AN58" s="12" t="n">
        <x:f>IF(ISNUMBER(V58),IF($I$189&gt;$H$189,(V58-$H$189)/($I$189-$H$189),"缺失"),"缺失")</x:f>
        <x:v>1</x:v>
      </x:c>
      <x:c r="AO58" s="23" t="str"/>
      <x:c r="AP58" s="23" t="str">
        <x:v>见指标口径：州级、产业、代表点代理；气候基期待核实</x:v>
      </x:c>
      <x:c r="AQ58" s="15" t="n">
        <x:v>1.0000000000000042</x:v>
      </x:c>
      <x:c r="AR58" s="15" t="n">
        <x:v>1.0000000000000038</x:v>
      </x:c>
      <x:c r="AS58" s="15" t="n">
        <x:v>1</x:v>
      </x:c>
      <x:c r="AT58" s="15" t="n">
        <x:v>1</x:v>
      </x:c>
    </x:row>
    <x:row r="59" ht="24" customHeight="1">
      <x:c r="A59" s="18" t="str">
        <x:v>13107</x:v>
      </x:c>
      <x:c r="B59" s="3" t="str">
        <x:v>Emanuel County</x:v>
      </x:c>
      <x:c r="C59" s="3" t="str">
        <x:v>GA</x:v>
      </x:c>
      <x:c r="D59" s="12" t="n">
        <x:v>1762.679432</x:v>
      </x:c>
      <x:c r="E59" s="12" t="n">
        <x:v>0.547</x:v>
      </x:c>
      <x:c r="F59" s="12" t="n">
        <x:v>0.13861386138613901</x:v>
      </x:c>
      <x:c r="G59" s="12" t="n">
        <x:v>1.410200843271213</x:v>
      </x:c>
      <x:c r="H59" s="12" t="n">
        <x:v>1.2430649536867935</x:v>
      </x:c>
      <x:c r="I59" s="12" t="n">
        <x:v>0.931517573692406</x:v>
      </x:c>
      <x:c r="J59" s="12" t="n">
        <x:v>0.027096642150668114</x:v>
      </x:c>
      <x:c r="K59" s="12" t="n">
        <x:v>0.25773683374692846</x:v>
      </x:c>
      <x:c r="L59" s="24" t="n">
        <x:v>0.99982678</x:v>
      </x:c>
      <x:c r="M59" s="24" t="n">
        <x:v>0.99982678</x:v>
      </x:c>
      <x:c r="N59" s="13" t="n">
        <x:v>9870</x:v>
      </x:c>
      <x:c r="O59" s="12" t="n">
        <x:v>0.9494</x:v>
      </x:c>
      <x:c r="P59" s="12" t="n">
        <x:v>2126.059855143229</x:v>
      </x:c>
      <x:c r="Q59" s="12" t="n">
        <x:v>71.30938873291015</x:v>
      </x:c>
      <x:c r="R59" s="12" t="n">
        <x:v>20.37225277889497</x:v>
      </x:c>
      <x:c r="S59" s="12" t="n">
        <x:v>2.9257154521154796</x:v>
      </x:c>
      <x:c r="T59" s="12" t="n">
        <x:v>72.1</x:v>
      </x:c>
      <x:c r="U59" s="12" t="n">
        <x:v>211.4154781728841</x:v>
      </x:c>
      <x:c r="V59" s="12" t="n">
        <x:v>325.42757789465</x:v>
      </x:c>
      <x:c r="W59" s="12" t="n">
        <x:f>IF(ISNUMBER(E59),IF($I$172&gt;$H$172,(E59-$H$172)/($I$172-$H$172),"缺失"),"缺失")</x:f>
        <x:v>0.5775462962962964</x:v>
      </x:c>
      <x:c r="X59" s="12" t="n">
        <x:f>IF(ISNUMBER(F59),IF($I$173&gt;$H$173,(F59-$H$173)/($I$173-$H$173),"缺失"),"缺失")</x:f>
        <x:v>0.13480314960629958</x:v>
      </x:c>
      <x:c r="Y59" s="12" t="n">
        <x:f>IF(ISNUMBER(G59),IF($I$174&gt;$H$174,(G59-$H$174)/($I$174-$H$174),"缺失"),"缺失")</x:f>
        <x:v>0.37061184522979396</x:v>
      </x:c>
      <x:c r="Z59" s="12" t="n">
        <x:f>IF(ISNUMBER(H59),IF($I$175&gt;$H$175,(H59-$H$175)/($I$175-$H$175),"缺失"),"缺失")</x:f>
        <x:v>0.30602364358513595</x:v>
      </x:c>
      <x:c r="AA59" s="12" t="n">
        <x:f>IF(ISNUMBER(I59),IF($I$176&gt;$H$176,(I59-$H$176)/($I$176-$H$176),"缺失"),"缺失")</x:f>
        <x:v>0.9356944839759403</x:v>
      </x:c>
      <x:c r="AB59" s="12" t="n">
        <x:f>IF(ISNUMBER(J59),IF($I$177&gt;$H$177,(J59-$H$177)/($I$177-$H$177),"缺失"),"缺失")</x:f>
        <x:v>0.06646790010291348</x:v>
      </x:c>
      <x:c r="AC59" s="12" t="n">
        <x:f>IF(ISNUMBER(K59),IF($I$178&gt;$H$178,(K59-$H$178)/($I$178-$H$178),"缺失"),"缺失")</x:f>
        <x:v>0.44310148748312717</x:v>
      </x:c>
      <x:c r="AD59" s="12" t="n">
        <x:f>IF(ISNUMBER(L59),IF($I$179&gt;$H$179,(L59-$H$179)/($I$179-$H$179),"缺失"),"缺失")</x:f>
        <x:v>0.9998267226897426</x:v>
      </x:c>
      <x:c r="AE59" s="12" t="n">
        <x:f>IF(ISNUMBER(M59),IF($I$180&gt;$H$180,(M59-$H$180)/($I$180-$H$180),"缺失"),"缺失")</x:f>
        <x:v>0.99982678</x:v>
      </x:c>
      <x:c r="AF59" s="12" t="n">
        <x:f>IF(ISNUMBER(N59),IF($I$181&gt;$H$181,(N59-$H$181)/($I$181-$H$181),"缺失"),"缺失")</x:f>
        <x:v>0.014258073933284264</x:v>
      </x:c>
      <x:c r="AG59" s="12" t="n">
        <x:f>IF(ISNUMBER(O59),IF($I$182&gt;$H$182,(O59-$H$182)/($I$182-$H$182),"缺失"),"缺失")</x:f>
        <x:v>0.9575414476344521</x:v>
      </x:c>
      <x:c r="AH59" s="12" t="n">
        <x:f>IF(ISNUMBER(P59),IF($I$183&gt;$H$183,(P59-$H$183)/($I$183-$H$183),"缺失"),"缺失")</x:f>
        <x:v>0.832363311440506</x:v>
      </x:c>
      <x:c r="AI59" s="12" t="n">
        <x:f>IF(ISNUMBER(Q59),IF($I$184&gt;$H$184,(Q59-$H$184)/($I$184-$H$184),"缺失"),"缺失")</x:f>
        <x:v>0.8342573142748052</x:v>
      </x:c>
      <x:c r="AJ59" s="12" t="n">
        <x:f>IF(ISNUMBER(R59),IF($I$185&gt;$H$185,(R59-$H$185)/($I$185-$H$185),"缺失"),"缺失")</x:f>
        <x:v>0.212570164215162</x:v>
      </x:c>
      <x:c r="AK59" s="12" t="n">
        <x:f>IF(ISNUMBER(S59),IF($I$186&gt;$H$186,(S59-$H$186)/($I$186-$H$186),"缺失"),"缺失")</x:f>
        <x:v>0.056955418144623196</x:v>
      </x:c>
      <x:c r="AL59" s="12" t="n">
        <x:f>IF(ISNUMBER(T59),IF($I$187&gt;$H$187,(T59-$H$187)/($I$187-$H$187),"缺失"),"缺失")</x:f>
        <x:v>0</x:v>
      </x:c>
      <x:c r="AM59" s="12" t="n">
        <x:f>IF(ISNUMBER(U59),IF($I$188&gt;$H$188,(U59-$H$188)/($I$188-$H$188),"缺失"),"缺失")</x:f>
        <x:v>0</x:v>
      </x:c>
      <x:c r="AN59" s="12" t="n">
        <x:f>IF(ISNUMBER(V59),IF($I$189&gt;$H$189,(V59-$H$189)/($I$189-$H$189),"缺失"),"缺失")</x:f>
        <x:v>1</x:v>
      </x:c>
      <x:c r="AO59" s="23" t="str"/>
      <x:c r="AP59" s="23" t="str">
        <x:v>见指标口径：州级、产业、代表点代理；气候基期待核实</x:v>
      </x:c>
      <x:c r="AQ59" s="15" t="n">
        <x:v>0.9999999999999938</x:v>
      </x:c>
      <x:c r="AR59" s="15" t="n">
        <x:v>0.9999999999999938</x:v>
      </x:c>
      <x:c r="AS59" s="15" t="n">
        <x:v>1</x:v>
      </x:c>
      <x:c r="AT59" s="15" t="n">
        <x:v>1</x:v>
      </x:c>
    </x:row>
    <x:row r="60" ht="24" customHeight="1">
      <x:c r="A60" s="18" t="str">
        <x:v>13109</x:v>
      </x:c>
      <x:c r="B60" s="3" t="str">
        <x:v>Evans County</x:v>
      </x:c>
      <x:c r="C60" s="3" t="str">
        <x:v>GA</x:v>
      </x:c>
      <x:c r="D60" s="12" t="n">
        <x:v>473.690212</x:v>
      </x:c>
      <x:c r="E60" s="12" t="n">
        <x:v>0.568</x:v>
      </x:c>
      <x:c r="F60" s="12" t="n">
        <x:v>0.401608910891089</x:v>
      </x:c>
      <x:c r="G60" s="12" t="n">
        <x:v>0.806921346324734</x:v>
      </x:c>
      <x:c r="H60" s="12" t="n">
        <x:v>0.6195925129101186</x:v>
      </x:c>
      <x:c r="I60" s="12" t="n">
        <x:v>0.9176092289083307</x:v>
      </x:c>
      <x:c r="J60" s="12" t="n">
        <x:v>0.00003924115582226239</x:v>
      </x:c>
      <x:c r="K60" s="12" t="n">
        <x:v>0.30402280931756115</x:v>
      </x:c>
      <x:c r="L60" s="24" t="n">
        <x:v>0.851496121</x:v>
      </x:c>
      <x:c r="M60" s="24" t="n">
        <x:v>0.851496121</x:v>
      </x:c>
      <x:c r="N60" s="13" t="n">
        <x:v>4900</x:v>
      </x:c>
      <x:c r="O60" s="12" t="n">
        <x:v>0.9784</x:v>
      </x:c>
      <x:c r="P60" s="12" t="n">
        <x:v>2246.2558430989584</x:v>
      </x:c>
      <x:c r="Q60" s="12" t="n">
        <x:v>71.0933671315511</x:v>
      </x:c>
      <x:c r="R60" s="12" t="n">
        <x:v>17.046720073165893</x:v>
      </x:c>
      <x:c r="S60" s="12" t="n">
        <x:v>0.9098507290676416</x:v>
      </x:c>
      <x:c r="T60" s="12" t="n">
        <x:v>72.1</x:v>
      </x:c>
      <x:c r="U60" s="12" t="n">
        <x:v>211.4154781728841</x:v>
      </x:c>
      <x:c r="V60" s="12" t="n">
        <x:v>325.42757789465</x:v>
      </x:c>
      <x:c r="W60" s="12" t="n">
        <x:f>IF(ISNUMBER(E60),IF($I$172&gt;$H$172,(E60-$H$172)/($I$172-$H$172),"缺失"),"缺失")</x:f>
        <x:v>0.6018518518518517</x:v>
      </x:c>
      <x:c r="X60" s="12" t="n">
        <x:f>IF(ISNUMBER(F60),IF($I$173&gt;$H$173,(F60-$H$173)/($I$173-$H$173),"缺失"),"缺失")</x:f>
        <x:v>0.4025196850393699</x:v>
      </x:c>
      <x:c r="Y60" s="12" t="n">
        <x:f>IF(ISNUMBER(G60),IF($I$174&gt;$H$174,(G60-$H$174)/($I$174-$H$174),"缺失"),"缺失")</x:f>
        <x:v>0.2119185866284655</x:v>
      </x:c>
      <x:c r="Z60" s="12" t="n">
        <x:f>IF(ISNUMBER(H60),IF($I$175&gt;$H$175,(H60-$H$175)/($I$175-$H$175),"缺失"),"缺失")</x:f>
        <x:v>0.152320437496907</x:v>
      </x:c>
      <x:c r="AA60" s="12" t="n">
        <x:f>IF(ISNUMBER(I60),IF($I$176&gt;$H$176,(I60-$H$176)/($I$176-$H$176),"缺失"),"缺失")</x:f>
        <x:v>0.9207635093025439</x:v>
      </x:c>
      <x:c r="AB60" s="12" t="n">
        <x:f>IF(ISNUMBER(J60),IF($I$177&gt;$H$177,(J60-$H$177)/($I$177-$H$177),"缺失"),"缺失")</x:f>
        <x:v>0.00009625831904240897</x:v>
      </x:c>
      <x:c r="AC60" s="12" t="n">
        <x:f>IF(ISNUMBER(K60),IF($I$178&gt;$H$178,(K60-$H$178)/($I$178-$H$178),"缺失"),"缺失")</x:f>
        <x:v>0.5226763946735102</x:v>
      </x:c>
      <x:c r="AD60" s="12" t="n">
        <x:f>IF(ISNUMBER(L60),IF($I$179&gt;$H$179,(L60-$H$179)/($I$179-$H$179),"缺失"),"缺失")</x:f>
        <x:v>0.8514469881311956</x:v>
      </x:c>
      <x:c r="AE60" s="12" t="n">
        <x:f>IF(ISNUMBER(M60),IF($I$180&gt;$H$180,(M60-$H$180)/($I$180-$H$180),"缺失"),"缺失")</x:f>
        <x:v>0.851496121</x:v>
      </x:c>
      <x:c r="AF60" s="12" t="n">
        <x:f>IF(ISNUMBER(N60),IF($I$181&gt;$H$181,(N60-$H$181)/($I$181-$H$181),"缺失"),"缺失")</x:f>
        <x:v>0.0065405148559130166</x:v>
      </x:c>
      <x:c r="AG60" s="12" t="n">
        <x:f>IF(ISNUMBER(O60),IF($I$182&gt;$H$182,(O60-$H$182)/($I$182-$H$182),"缺失"),"缺失")</x:f>
        <x:v>0.9868580671249495</x:v>
      </x:c>
      <x:c r="AH60" s="12" t="n">
        <x:f>IF(ISNUMBER(P60),IF($I$183&gt;$H$183,(P60-$H$183)/($I$183-$H$183),"缺失"),"缺失")</x:f>
        <x:v>0.8864342034217811</x:v>
      </x:c>
      <x:c r="AI60" s="12" t="n">
        <x:f>IF(ISNUMBER(Q60),IF($I$184&gt;$H$184,(Q60-$H$184)/($I$184-$H$184),"缺失"),"缺失")</x:f>
        <x:v>0.8317187157693265</x:v>
      </x:c>
      <x:c r="AJ60" s="12" t="n">
        <x:f>IF(ISNUMBER(R60),IF($I$185&gt;$H$185,(R60-$H$185)/($I$185-$H$185),"缺失"),"缺失")</x:f>
        <x:v>0.17762397425745502</x:v>
      </x:c>
      <x:c r="AK60" s="12" t="n">
        <x:f>IF(ISNUMBER(S60),IF($I$186&gt;$H$186,(S60-$H$186)/($I$186-$H$186),"缺失"),"缺失")</x:f>
        <x:v>0.017602392615508087</x:v>
      </x:c>
      <x:c r="AL60" s="12" t="n">
        <x:f>IF(ISNUMBER(T60),IF($I$187&gt;$H$187,(T60-$H$187)/($I$187-$H$187),"缺失"),"缺失")</x:f>
        <x:v>0</x:v>
      </x:c>
      <x:c r="AM60" s="12" t="n">
        <x:f>IF(ISNUMBER(U60),IF($I$188&gt;$H$188,(U60-$H$188)/($I$188-$H$188),"缺失"),"缺失")</x:f>
        <x:v>0</x:v>
      </x:c>
      <x:c r="AN60" s="12" t="n">
        <x:f>IF(ISNUMBER(V60),IF($I$189&gt;$H$189,(V60-$H$189)/($I$189-$H$189),"缺失"),"缺失")</x:f>
        <x:v>1</x:v>
      </x:c>
      <x:c r="AO60" s="23" t="str"/>
      <x:c r="AP60" s="23" t="str">
        <x:v>见指标口径：州级、产业、代表点代理；气候基期待核实</x:v>
      </x:c>
      <x:c r="AQ60" s="15" t="n">
        <x:v>1.0000000000000042</x:v>
      </x:c>
      <x:c r="AR60" s="15" t="n">
        <x:v>1.0000000000000042</x:v>
      </x:c>
      <x:c r="AS60" s="15" t="n">
        <x:v>1</x:v>
      </x:c>
      <x:c r="AT60" s="15" t="n">
        <x:v>1</x:v>
      </x:c>
    </x:row>
    <x:row r="61" ht="24" customHeight="1">
      <x:c r="A61" s="18" t="str">
        <x:v>13111</x:v>
      </x:c>
      <x:c r="B61" s="3" t="str">
        <x:v>Fannin County</x:v>
      </x:c>
      <x:c r="C61" s="3" t="str">
        <x:v>GA</x:v>
      </x:c>
      <x:c r="D61" s="12" t="n">
        <x:v>1002.600783</x:v>
      </x:c>
      <x:c r="E61" s="12" t="n">
        <x:v>0.752</x:v>
      </x:c>
      <x:c r="F61" s="12" t="n">
        <x:v>0.8233292079207919</x:v>
      </x:c>
      <x:c r="G61" s="12" t="n">
        <x:v>0.440935588670593</x:v>
      </x:c>
      <x:c r="H61" s="12" t="n">
        <x:v>0.40894887067343544</x:v>
      </x:c>
      <x:c r="I61" s="12" t="n">
        <x:v>0.9564572273875414</x:v>
      </x:c>
      <x:c r="J61" s="12" t="n">
        <x:v>0.27419272115124516</x:v>
      </x:c>
      <x:c r="K61" s="12" t="n">
        <x:v>0.00021004367831361855</x:v>
      </x:c>
      <x:c r="L61" s="24" t="n">
        <x:v>0.362969044</x:v>
      </x:c>
      <x:c r="M61" s="24" t="n">
        <x:v>0.36272758</x:v>
      </x:c>
      <x:c r="N61" s="13" t="n">
        <x:v>11123</x:v>
      </x:c>
      <x:c r="O61" s="12" t="n">
        <x:v>0.6172</x:v>
      </x:c>
      <x:c r="P61" s="12" t="n">
        <x:v>708.5736287434896</x:v>
      </x:c>
      <x:c r="Q61" s="12" t="n">
        <x:v>6.025788577397664</x:v>
      </x:c>
      <x:c r="R61" s="12" t="n">
        <x:v>54.324152388042215</x:v>
      </x:c>
      <x:c r="S61" s="12" t="n">
        <x:v>0.520140126975239</x:v>
      </x:c>
      <x:c r="T61" s="12" t="n">
        <x:v>72.1</x:v>
      </x:c>
      <x:c r="U61" s="12" t="n">
        <x:v>211.4154781728841</x:v>
      </x:c>
      <x:c r="V61" s="12" t="n">
        <x:v>325.42757789465</x:v>
      </x:c>
      <x:c r="W61" s="12" t="n">
        <x:f>IF(ISNUMBER(E61),IF($I$172&gt;$H$172,(E61-$H$172)/($I$172-$H$172),"缺失"),"缺失")</x:f>
        <x:v>0.8148148148148148</x:v>
      </x:c>
      <x:c r="X61" s="12" t="n">
        <x:f>IF(ISNUMBER(F61),IF($I$173&gt;$H$173,(F61-$H$173)/($I$173-$H$173),"缺失"),"缺失")</x:f>
        <x:v>0.8318110236220468</x:v>
      </x:c>
      <x:c r="Y61" s="12" t="n">
        <x:f>IF(ISNUMBER(G61),IF($I$174&gt;$H$174,(G61-$H$174)/($I$174-$H$174),"缺失"),"缺失")</x:f>
        <x:v>0.11564567701064647</x:v>
      </x:c>
      <x:c r="Z61" s="12" t="n">
        <x:f>IF(ISNUMBER(H61),IF($I$175&gt;$H$175,(H61-$H$175)/($I$175-$H$175),"缺失"),"缺失")</x:f>
        <x:v>0.10039095186712074</x:v>
      </x:c>
      <x:c r="AA61" s="12" t="n">
        <x:f>IF(ISNUMBER(I61),IF($I$176&gt;$H$176,(I61-$H$176)/($I$176-$H$176),"缺失"),"缺失")</x:f>
        <x:v>0.9624678594901644</x:v>
      </x:c>
      <x:c r="AB61" s="12" t="n">
        <x:f>IF(ISNUMBER(J61),IF($I$177&gt;$H$177,(J61-$H$177)/($I$177-$H$177),"缺失"),"缺失")</x:f>
        <x:v>0.6725930946383926</x:v>
      </x:c>
      <x:c r="AC61" s="12" t="n">
        <x:f>IF(ISNUMBER(K61),IF($I$178&gt;$H$178,(K61-$H$178)/($I$178-$H$178),"缺失"),"缺失")</x:f>
        <x:v>0.0003611073549098451</x:v>
      </x:c>
      <x:c r="AD61" s="12" t="n">
        <x:f>IF(ISNUMBER(L61),IF($I$179&gt;$H$179,(L61-$H$179)/($I$179-$H$179),"缺失"),"缺失")</x:f>
        <x:v>0.3627582807620541</x:v>
      </x:c>
      <x:c r="AE61" s="12" t="n">
        <x:f>IF(ISNUMBER(M61),IF($I$180&gt;$H$180,(M61-$H$180)/($I$180-$H$180),"缺失"),"缺失")</x:f>
        <x:v>0.36272758</x:v>
      </x:c>
      <x:c r="AF61" s="12" t="n">
        <x:f>IF(ISNUMBER(N61),IF($I$181&gt;$H$181,(N61-$H$181)/($I$181-$H$181),"缺失"),"缺失")</x:f>
        <x:v>0.016203768404903212</x:v>
      </x:c>
      <x:c r="AG61" s="12" t="n">
        <x:f>IF(ISNUMBER(O61),IF($I$182&gt;$H$182,(O61-$H$182)/($I$182-$H$182),"缺失"),"缺失")</x:f>
        <x:v>0.6217145167812373</x:v>
      </x:c>
      <x:c r="AH61" s="12" t="n">
        <x:f>IF(ISNUMBER(P61),IF($I$183&gt;$H$183,(P61-$H$183)/($I$183-$H$183),"缺失"),"缺失")</x:f>
        <x:v>0.1946985612590322</x:v>
      </x:c>
      <x:c r="AI61" s="12" t="n">
        <x:f>IF(ISNUMBER(Q61),IF($I$184&gt;$H$184,(Q61-$H$184)/($I$184-$H$184),"缺失"),"缺失")</x:f>
        <x:v>0.06707084429026156</x:v>
      </x:c>
      <x:c r="AJ61" s="12" t="n">
        <x:f>IF(ISNUMBER(R61),IF($I$185&gt;$H$185,(R61-$H$185)/($I$185-$H$185),"缺失"),"缺失")</x:f>
        <x:v>0.5693519607442494</x:v>
      </x:c>
      <x:c r="AK61" s="12" t="n">
        <x:f>IF(ISNUMBER(S61),IF($I$186&gt;$H$186,(S61-$H$186)/($I$186-$H$186),"缺失"),"缺失")</x:f>
        <x:v>0.009994594781771605</x:v>
      </x:c>
      <x:c r="AL61" s="12" t="n">
        <x:f>IF(ISNUMBER(T61),IF($I$187&gt;$H$187,(T61-$H$187)/($I$187-$H$187),"缺失"),"缺失")</x:f>
        <x:v>0</x:v>
      </x:c>
      <x:c r="AM61" s="12" t="n">
        <x:f>IF(ISNUMBER(U61),IF($I$188&gt;$H$188,(U61-$H$188)/($I$188-$H$188),"缺失"),"缺失")</x:f>
        <x:v>0</x:v>
      </x:c>
      <x:c r="AN61" s="12" t="n">
        <x:f>IF(ISNUMBER(V61),IF($I$189&gt;$H$189,(V61-$H$189)/($I$189-$H$189),"缺失"),"缺失")</x:f>
        <x:v>1</x:v>
      </x:c>
      <x:c r="AO61" s="23" t="str"/>
      <x:c r="AP61" s="23" t="str">
        <x:v>见指标口径：州级、产业、代表点代理；气候基期待核实</x:v>
      </x:c>
      <x:c r="AQ61" s="15" t="n">
        <x:v>1.0000000000000004</x:v>
      </x:c>
      <x:c r="AR61" s="15" t="n">
        <x:v>1.000000000000001</x:v>
      </x:c>
      <x:c r="AS61" s="15" t="n">
        <x:v>1</x:v>
      </x:c>
      <x:c r="AT61" s="15" t="n">
        <x:v>1</x:v>
      </x:c>
    </x:row>
    <x:row r="62" ht="24" customHeight="1">
      <x:c r="A62" s="18" t="str">
        <x:v>13113</x:v>
      </x:c>
      <x:c r="B62" s="3" t="str">
        <x:v>Fayette County</x:v>
      </x:c>
      <x:c r="C62" s="3" t="str">
        <x:v>GA</x:v>
      </x:c>
      <x:c r="D62" s="12" t="n">
        <x:v>504.256682</x:v>
      </x:c>
      <x:c r="E62" s="12" t="n">
        <x:v>0.545</x:v>
      </x:c>
      <x:c r="F62" s="12" t="n">
        <x:v>0.296101485148515</x:v>
      </x:c>
      <x:c r="G62" s="12" t="n">
        <x:v>1.1652933984148754</x:v>
      </x:c>
      <x:c r="H62" s="12" t="n">
        <x:v>1.134330805</x:v>
      </x:c>
      <x:c r="I62" s="12" t="n">
        <x:v>0.6879149189742748</x:v>
      </x:c>
      <x:c r="J62" s="12" t="n">
        <x:v>0.01325192784824109</x:v>
      </x:c>
      <x:c r="K62" s="12" t="n">
        <x:v>0.08372331182281566</x:v>
      </x:c>
      <x:c r="L62" s="24" t="n">
        <x:v>0.641568929</x:v>
      </x:c>
      <x:c r="M62" s="24" t="n">
        <x:v>0.627783119</x:v>
      </x:c>
      <x:c r="N62" s="13" t="n">
        <x:v>59323</x:v>
      </x:c>
      <x:c r="O62" s="12" t="n">
        <x:v>0.1686</x:v>
      </x:c>
      <x:c r="P62" s="12" t="n">
        <x:v>1669.0053304036458</x:v>
      </x:c>
      <x:c r="Q62" s="12" t="n">
        <x:v>33.77586994171143</x:v>
      </x:c>
      <x:c r="R62" s="12" t="n">
        <x:v>16.58748392500004</x:v>
      </x:c>
      <x:c r="S62" s="12" t="n">
        <x:v>8.63657746919564</x:v>
      </x:c>
      <x:c r="T62" s="12" t="n">
        <x:v>72.1</x:v>
      </x:c>
      <x:c r="U62" s="12" t="n">
        <x:v>211.4154781728841</x:v>
      </x:c>
      <x:c r="V62" s="12" t="n">
        <x:v>325.42757789465</x:v>
      </x:c>
      <x:c r="W62" s="12" t="n">
        <x:f>IF(ISNUMBER(E62),IF($I$172&gt;$H$172,(E62-$H$172)/($I$172-$H$172),"缺失"),"缺失")</x:f>
        <x:v>0.5752314814814815</x:v>
      </x:c>
      <x:c r="X62" s="12" t="n">
        <x:f>IF(ISNUMBER(F62),IF($I$173&gt;$H$173,(F62-$H$173)/($I$173-$H$173),"缺失"),"缺失")</x:f>
        <x:v>0.29511811023622053</x:v>
      </x:c>
      <x:c r="Y62" s="12" t="n">
        <x:f>IF(ISNUMBER(G62),IF($I$174&gt;$H$174,(G62-$H$174)/($I$174-$H$174),"缺失"),"缺失")</x:f>
        <x:v>0.3061887035903138</x:v>
      </x:c>
      <x:c r="Z62" s="12" t="n">
        <x:f>IF(ISNUMBER(H62),IF($I$175&gt;$H$175,(H62-$H$175)/($I$175-$H$175),"缺失"),"缺失")</x:f>
        <x:v>0.27921766761671174</x:v>
      </x:c>
      <x:c r="AA62" s="12" t="n">
        <x:f>IF(ISNUMBER(I62),IF($I$176&gt;$H$176,(I62-$H$176)/($I$176-$H$176),"缺失"),"缺失")</x:f>
        <x:v>0.6741806141060254</x:v>
      </x:c>
      <x:c r="AB62" s="12" t="n">
        <x:f>IF(ISNUMBER(J62),IF($I$177&gt;$H$177,(J62-$H$177)/($I$177-$H$177),"缺失"),"缺失")</x:f>
        <x:v>0.032506899249366505</x:v>
      </x:c>
      <x:c r="AC62" s="12" t="n">
        <x:f>IF(ISNUMBER(K62),IF($I$178&gt;$H$178,(K62-$H$178)/($I$178-$H$178),"缺失"),"缺失")</x:f>
        <x:v>0.143937222578476</x:v>
      </x:c>
      <x:c r="AD62" s="12" t="n">
        <x:f>IF(ISNUMBER(L62),IF($I$179&gt;$H$179,(L62-$H$179)/($I$179-$H$179),"缺失"),"缺失")</x:f>
        <x:v>0.6414503412102028</x:v>
      </x:c>
      <x:c r="AE62" s="12" t="n">
        <x:f>IF(ISNUMBER(M62),IF($I$180&gt;$H$180,(M62-$H$180)/($I$180-$H$180),"缺失"),"缺失")</x:f>
        <x:v>0.627783119</x:v>
      </x:c>
      <x:c r="AF62" s="12" t="n">
        <x:f>IF(ISNUMBER(N62),IF($I$181&gt;$H$181,(N62-$H$181)/($I$181-$H$181),"缺失"),"缺失")</x:f>
        <x:v>0.09105011599631048</x:v>
      </x:c>
      <x:c r="AG62" s="12" t="n">
        <x:f>IF(ISNUMBER(O62),IF($I$182&gt;$H$182,(O62-$H$182)/($I$182-$H$182),"缺失"),"缺失")</x:f>
        <x:v>0.168216740800647</x:v>
      </x:c>
      <x:c r="AH62" s="12" t="n">
        <x:f>IF(ISNUMBER(P62),IF($I$183&gt;$H$183,(P62-$H$183)/($I$183-$H$183),"缺失"),"缺失")</x:f>
        <x:v>0.6267545697756054</x:v>
      </x:c>
      <x:c r="AI62" s="12" t="n">
        <x:f>IF(ISNUMBER(Q62),IF($I$184&gt;$H$184,(Q62-$H$184)/($I$184-$H$184),"缺失"),"缺失")</x:f>
        <x:v>0.3931785790499549</x:v>
      </x:c>
      <x:c r="AJ62" s="12" t="n">
        <x:f>IF(ISNUMBER(R62),IF($I$185&gt;$H$185,(R62-$H$185)/($I$185-$H$185),"缺失"),"缺失")</x:f>
        <x:v>0.17279811473678278</x:v>
      </x:c>
      <x:c r="AK62" s="12" t="n">
        <x:f>IF(ISNUMBER(S62),IF($I$186&gt;$H$186,(S62-$H$186)/($I$186-$H$186),"缺失"),"缺失")</x:f>
        <x:v>0.1684409241817642</x:v>
      </x:c>
      <x:c r="AL62" s="12" t="n">
        <x:f>IF(ISNUMBER(T62),IF($I$187&gt;$H$187,(T62-$H$187)/($I$187-$H$187),"缺失"),"缺失")</x:f>
        <x:v>0</x:v>
      </x:c>
      <x:c r="AM62" s="12" t="n">
        <x:f>IF(ISNUMBER(U62),IF($I$188&gt;$H$188,(U62-$H$188)/($I$188-$H$188),"缺失"),"缺失")</x:f>
        <x:v>0</x:v>
      </x:c>
      <x:c r="AN62" s="12" t="n">
        <x:f>IF(ISNUMBER(V62),IF($I$189&gt;$H$189,(V62-$H$189)/($I$189-$H$189),"缺失"),"缺失")</x:f>
        <x:v>1</x:v>
      </x:c>
      <x:c r="AO62" s="23" t="str"/>
      <x:c r="AP62" s="23" t="str">
        <x:v>见指标口径：州级、产业、代表点代理；气候基期待核实</x:v>
      </x:c>
      <x:c r="AQ62" s="15" t="n">
        <x:v>0.9999999999999964</x:v>
      </x:c>
      <x:c r="AR62" s="15" t="n">
        <x:v>0.9999999999999964</x:v>
      </x:c>
      <x:c r="AS62" s="15" t="n">
        <x:v>1</x:v>
      </x:c>
      <x:c r="AT62" s="15" t="n">
        <x:v>1</x:v>
      </x:c>
    </x:row>
    <x:row r="63" ht="24" customHeight="1">
      <x:c r="A63" s="18" t="str">
        <x:v>13115</x:v>
      </x:c>
      <x:c r="B63" s="3" t="str">
        <x:v>Floyd County</x:v>
      </x:c>
      <x:c r="C63" s="3" t="str">
        <x:v>GA</x:v>
      </x:c>
      <x:c r="D63" s="12" t="n">
        <x:v>1320.461793</x:v>
      </x:c>
      <x:c r="E63" s="12" t="n">
        <x:v>0.787</x:v>
      </x:c>
      <x:c r="F63" s="12" t="n">
        <x:v>0.499071782178218</x:v>
      </x:c>
      <x:c r="G63" s="12" t="n">
        <x:v>2.4512971137673114</x:v>
      </x:c>
      <x:c r="H63" s="12" t="n">
        <x:v>2.176128921179449</x:v>
      </x:c>
      <x:c r="I63" s="12" t="n">
        <x:v>0.8857148501416227</x:v>
      </x:c>
      <x:c r="J63" s="12" t="n">
        <x:v>0.0640738338103896</x:v>
      </x:c>
      <x:c r="K63" s="12" t="n">
        <x:v>0.01361729607775551</x:v>
      </x:c>
      <x:c r="L63" s="24" t="n">
        <x:v>0.517723185</x:v>
      </x:c>
      <x:c r="M63" s="24" t="n">
        <x:v>0.51381882</x:v>
      </x:c>
      <x:c r="N63" s="13" t="n">
        <x:v>48038</x:v>
      </x:c>
      <x:c r="O63" s="12" t="n">
        <x:v>0.9284</x:v>
      </x:c>
      <x:c r="P63" s="12" t="n">
        <x:v>1446.0132771809897</x:v>
      </x:c>
      <x:c r="Q63" s="12" t="n">
        <x:v>35.526956176757814</x:v>
      </x:c>
      <x:c r="R63" s="12" t="n">
        <x:v>30.42243771266966</x:v>
      </x:c>
      <x:c r="S63" s="12" t="n">
        <x:v>0.5965964397570399</x:v>
      </x:c>
      <x:c r="T63" s="12" t="n">
        <x:v>72.1</x:v>
      </x:c>
      <x:c r="U63" s="12" t="n">
        <x:v>211.4154781728841</x:v>
      </x:c>
      <x:c r="V63" s="12" t="n">
        <x:v>325.42757789465</x:v>
      </x:c>
      <x:c r="W63" s="12" t="n">
        <x:f>IF(ISNUMBER(E63),IF($I$172&gt;$H$172,(E63-$H$172)/($I$172-$H$172),"缺失"),"缺失")</x:f>
        <x:v>0.8553240740740741</x:v>
      </x:c>
      <x:c r="X63" s="12" t="n">
        <x:f>IF(ISNUMBER(F63),IF($I$173&gt;$H$173,(F63-$H$173)/($I$173-$H$173),"缺失"),"缺失")</x:f>
        <x:v>0.501732283464567</x:v>
      </x:c>
      <x:c r="Y63" s="12" t="n">
        <x:f>IF(ISNUMBER(G63),IF($I$174&gt;$H$174,(G63-$H$174)/($I$174-$H$174),"缺失"),"缺失")</x:f>
        <x:v>0.6444732320645155</x:v>
      </x:c>
      <x:c r="Z63" s="12" t="n">
        <x:f>IF(ISNUMBER(H63),IF($I$175&gt;$H$175,(H63-$H$175)/($I$175-$H$175),"缺失"),"缺失")</x:f>
        <x:v>0.5360497263906064</x:v>
      </x:c>
      <x:c r="AA63" s="12" t="n">
        <x:f>IF(ISNUMBER(I63),IF($I$176&gt;$H$176,(I63-$H$176)/($I$176-$H$176),"缺失"),"缺失")</x:f>
        <x:v>0.8865240531355751</x:v>
      </x:c>
      <x:c r="AB63" s="12" t="n">
        <x:f>IF(ISNUMBER(J63),IF($I$177&gt;$H$177,(J63-$H$177)/($I$177-$H$177),"缺失"),"缺失")</x:f>
        <x:v>0.15717272868124169</x:v>
      </x:c>
      <x:c r="AC63" s="12" t="n">
        <x:f>IF(ISNUMBER(K63),IF($I$178&gt;$H$178,(K63-$H$178)/($I$178-$H$178),"缺失"),"缺失")</x:f>
        <x:v>0.02341087247729692</x:v>
      </x:c>
      <x:c r="AD63" s="12" t="n">
        <x:f>IF(ISNUMBER(L63),IF($I$179&gt;$H$179,(L63-$H$179)/($I$179-$H$179),"缺失"),"缺失")</x:f>
        <x:v>0.5175636225452115</x:v>
      </x:c>
      <x:c r="AE63" s="12" t="n">
        <x:f>IF(ISNUMBER(M63),IF($I$180&gt;$H$180,(M63-$H$180)/($I$180-$H$180),"缺失"),"缺失")</x:f>
        <x:v>0.51381882</x:v>
      </x:c>
      <x:c r="AF63" s="12" t="n">
        <x:f>IF(ISNUMBER(N63),IF($I$181&gt;$H$181,(N63-$H$181)/($I$181-$H$181),"缺失"),"缺失")</x:f>
        <x:v>0.07352644312143432</x:v>
      </x:c>
      <x:c r="AG63" s="12" t="n">
        <x:f>IF(ISNUMBER(O63),IF($I$182&gt;$H$182,(O63-$H$182)/($I$182-$H$182),"缺失"),"缺失")</x:f>
        <x:v>0.9363121714516782</x:v>
      </x:c>
      <x:c r="AH63" s="12" t="n">
        <x:f>IF(ISNUMBER(P63),IF($I$183&gt;$H$183,(P63-$H$183)/($I$183-$H$183),"缺失"),"缺失")</x:f>
        <x:v>0.5264402462482181</x:v>
      </x:c>
      <x:c r="AI63" s="12" t="n">
        <x:f>IF(ISNUMBER(Q63),IF($I$184&gt;$H$184,(Q63-$H$184)/($I$184-$H$184),"缺失"),"缺失")</x:f>
        <x:v>0.4137566363890664</x:v>
      </x:c>
      <x:c r="AJ63" s="12" t="n">
        <x:f>IF(ISNUMBER(R63),IF($I$185&gt;$H$185,(R63-$H$185)/($I$185-$H$185),"缺失"),"缺失")</x:f>
        <x:v>0.3181820173780302</x:v>
      </x:c>
      <x:c r="AK63" s="12" t="n">
        <x:f>IF(ISNUMBER(S63),IF($I$186&gt;$H$186,(S63-$H$186)/($I$186-$H$186),"缺失"),"缺失")</x:f>
        <x:v>0.01148714891715781</x:v>
      </x:c>
      <x:c r="AL63" s="12" t="n">
        <x:f>IF(ISNUMBER(T63),IF($I$187&gt;$H$187,(T63-$H$187)/($I$187-$H$187),"缺失"),"缺失")</x:f>
        <x:v>0</x:v>
      </x:c>
      <x:c r="AM63" s="12" t="n">
        <x:f>IF(ISNUMBER(U63),IF($I$188&gt;$H$188,(U63-$H$188)/($I$188-$H$188),"缺失"),"缺失")</x:f>
        <x:v>0</x:v>
      </x:c>
      <x:c r="AN63" s="12" t="n">
        <x:f>IF(ISNUMBER(V63),IF($I$189&gt;$H$189,(V63-$H$189)/($I$189-$H$189),"缺失"),"缺失")</x:f>
        <x:v>1</x:v>
      </x:c>
      <x:c r="AO63" s="23" t="str"/>
      <x:c r="AP63" s="23" t="str">
        <x:v>见指标口径：州级、产业、代表点代理；气候基期待核实</x:v>
      </x:c>
      <x:c r="AQ63" s="15" t="n">
        <x:v>1.0000000000000022</x:v>
      </x:c>
      <x:c r="AR63" s="15" t="n">
        <x:v>1.000000000000003</x:v>
      </x:c>
      <x:c r="AS63" s="15" t="n">
        <x:v>1</x:v>
      </x:c>
      <x:c r="AT63" s="15" t="n">
        <x:v>1</x:v>
      </x:c>
    </x:row>
    <x:row r="64" ht="24" customHeight="1">
      <x:c r="A64" s="18" t="str">
        <x:v>13117</x:v>
      </x:c>
      <x:c r="B64" s="3" t="str">
        <x:v>Forsyth County</x:v>
      </x:c>
      <x:c r="C64" s="3" t="str">
        <x:v>GA</x:v>
      </x:c>
      <x:c r="D64" s="12" t="n">
        <x:v>581.754407</x:v>
      </x:c>
      <x:c r="E64" s="12" t="n">
        <x:v>0.56</x:v>
      </x:c>
      <x:c r="F64" s="12" t="n">
        <x:v>0.622215346534653</x:v>
      </x:c>
      <x:c r="G64" s="12" t="n">
        <x:v>2.7878724568238606</x:v>
      </x:c>
      <x:c r="H64" s="12" t="n">
        <x:v>2.5797737576963</x:v>
      </x:c>
      <x:c r="I64" s="12" t="n">
        <x:v>0.5985869956800064</x:v>
      </x:c>
      <x:c r="J64" s="12" t="n">
        <x:v>0.005552211620753493</x:v>
      </x:c>
      <x:c r="K64" s="12" t="n">
        <x:v>0.013500364874726344</x:v>
      </x:c>
      <x:c r="L64" s="24" t="n">
        <x:v>0.701523552</x:v>
      </x:c>
      <x:c r="M64" s="24" t="n">
        <x:v>0.693154069</x:v>
      </x:c>
      <x:c r="N64" s="13" t="n">
        <x:v>148478</x:v>
      </x:c>
      <x:c r="O64" s="12" t="n">
        <x:v>0.07</x:v>
      </x:c>
      <x:c r="P64" s="12" t="n">
        <x:v>1293.3383911132812</x:v>
      </x:c>
      <x:c r="Q64" s="12" t="n">
        <x:v>22.745748202006023</x:v>
      </x:c>
      <x:c r="R64" s="12" t="n">
        <x:v>18.545951176140786</x:v>
      </x:c>
      <x:c r="S64" s="12" t="n">
        <x:v>15.597353916555212</x:v>
      </x:c>
      <x:c r="T64" s="12" t="n">
        <x:v>72.1</x:v>
      </x:c>
      <x:c r="U64" s="12" t="n">
        <x:v>211.4154781728841</x:v>
      </x:c>
      <x:c r="V64" s="12" t="n">
        <x:v>325.42757789465</x:v>
      </x:c>
      <x:c r="W64" s="12" t="n">
        <x:f>IF(ISNUMBER(E64),IF($I$172&gt;$H$172,(E64-$H$172)/($I$172-$H$172),"缺失"),"缺失")</x:f>
        <x:v>0.5925925925925926</x:v>
      </x:c>
      <x:c r="X64" s="12" t="n">
        <x:f>IF(ISNUMBER(F64),IF($I$173&gt;$H$173,(F64-$H$173)/($I$173-$H$173),"缺失"),"缺失")</x:f>
        <x:v>0.6270866141732278</x:v>
      </x:c>
      <x:c r="Y64" s="12" t="n">
        <x:f>IF(ISNUMBER(G64),IF($I$174&gt;$H$174,(G64-$H$174)/($I$174-$H$174),"缺失"),"缺失")</x:f>
        <x:v>0.7330097035090976</x:v>
      </x:c>
      <x:c r="Z64" s="12" t="n">
        <x:f>IF(ISNUMBER(H64),IF($I$175&gt;$H$175,(H64-$H$175)/($I$175-$H$175),"缺失"),"缺失")</x:f>
        <x:v>0.635559346120249</x:v>
      </x:c>
      <x:c r="AA64" s="12" t="n">
        <x:f>IF(ISNUMBER(I64),IF($I$176&gt;$H$176,(I64-$H$176)/($I$176-$H$176),"缺失"),"缺失")</x:f>
        <x:v>0.5782847342554667</x:v>
      </x:c>
      <x:c r="AB64" s="12" t="n">
        <x:f>IF(ISNUMBER(J64),IF($I$177&gt;$H$177,(J64-$H$177)/($I$177-$H$177),"缺失"),"缺失")</x:f>
        <x:v>0.013619541687359191</x:v>
      </x:c>
      <x:c r="AC64" s="12" t="n">
        <x:f>IF(ISNUMBER(K64),IF($I$178&gt;$H$178,(K64-$H$178)/($I$178-$H$178),"缺失"),"缺失")</x:f>
        <x:v>0.023209844206552005</x:v>
      </x:c>
      <x:c r="AD64" s="12" t="n">
        <x:f>IF(ISNUMBER(L64),IF($I$179&gt;$H$179,(L64-$H$179)/($I$179-$H$179),"缺失"),"缺失")</x:f>
        <x:v>0.7014248003427398</x:v>
      </x:c>
      <x:c r="AE64" s="12" t="n">
        <x:f>IF(ISNUMBER(M64),IF($I$180&gt;$H$180,(M64-$H$180)/($I$180-$H$180),"缺失"),"缺失")</x:f>
        <x:v>0.693154069</x:v>
      </x:c>
      <x:c r="AF64" s="12" t="n">
        <x:f>IF(ISNUMBER(N64),IF($I$181&gt;$H$181,(N64-$H$181)/($I$181-$H$181),"缺失"),"缺失")</x:f>
        <x:v>0.22949256660859088</x:v>
      </x:c>
      <x:c r="AG64" s="12" t="n">
        <x:f>IF(ISNUMBER(O64),IF($I$182&gt;$H$182,(O64-$H$182)/($I$182-$H$182),"缺失"),"缺失")</x:f>
        <x:v>0.06854023453295593</x:v>
      </x:c>
      <x:c r="AH64" s="12" t="n">
        <x:f>IF(ISNUMBER(P64),IF($I$183&gt;$H$183,(P64-$H$183)/($I$183-$H$183),"缺失"),"缺失")</x:f>
        <x:v>0.45775852555833013</x:v>
      </x:c>
      <x:c r="AI64" s="12" t="n">
        <x:f>IF(ISNUMBER(Q64),IF($I$184&gt;$H$184,(Q64-$H$184)/($I$184-$H$184),"缺失"),"缺失")</x:f>
        <x:v>0.26355704866825735</x:v>
      </x:c>
      <x:c r="AJ64" s="12" t="n">
        <x:f>IF(ISNUMBER(R64),IF($I$185&gt;$H$185,(R64-$H$185)/($I$185-$H$185),"缺失"),"缺失")</x:f>
        <x:v>0.19337856744633086</x:v>
      </x:c>
      <x:c r="AK64" s="12" t="n">
        <x:f>IF(ISNUMBER(S64),IF($I$186&gt;$H$186,(S64-$H$186)/($I$186-$H$186),"缺失"),"缺失")</x:f>
        <x:v>0.30432683463177007</x:v>
      </x:c>
      <x:c r="AL64" s="12" t="n">
        <x:f>IF(ISNUMBER(T64),IF($I$187&gt;$H$187,(T64-$H$187)/($I$187-$H$187),"缺失"),"缺失")</x:f>
        <x:v>0</x:v>
      </x:c>
      <x:c r="AM64" s="12" t="n">
        <x:f>IF(ISNUMBER(U64),IF($I$188&gt;$H$188,(U64-$H$188)/($I$188-$H$188),"缺失"),"缺失")</x:f>
        <x:v>0</x:v>
      </x:c>
      <x:c r="AN64" s="12" t="n">
        <x:f>IF(ISNUMBER(V64),IF($I$189&gt;$H$189,(V64-$H$189)/($I$189-$H$189),"缺失"),"缺失")</x:f>
        <x:v>1</x:v>
      </x:c>
      <x:c r="AO64" s="23" t="str"/>
      <x:c r="AP64" s="23" t="str">
        <x:v>见指标口径：州级、产业、代表点代理；气候基期待核实</x:v>
      </x:c>
      <x:c r="AQ64" s="15" t="n">
        <x:v>0.999999999999998</x:v>
      </x:c>
      <x:c r="AR64" s="15" t="n">
        <x:v>0.9999999999999983</x:v>
      </x:c>
      <x:c r="AS64" s="15" t="n">
        <x:v>1</x:v>
      </x:c>
      <x:c r="AT64" s="15" t="n">
        <x:v>1</x:v>
      </x:c>
    </x:row>
    <x:row r="65" ht="24" customHeight="1">
      <x:c r="A65" s="18" t="str">
        <x:v>13119</x:v>
      </x:c>
      <x:c r="B65" s="3" t="str">
        <x:v>Franklin County</x:v>
      </x:c>
      <x:c r="C65" s="3" t="str">
        <x:v>GA</x:v>
      </x:c>
      <x:c r="D65" s="12" t="n">
        <x:v>676.873326</x:v>
      </x:c>
      <x:c r="E65" s="12" t="n">
        <x:v>0.566</x:v>
      </x:c>
      <x:c r="F65" s="12" t="n">
        <x:v>0.43811881188118795</x:v>
      </x:c>
      <x:c r="G65" s="12" t="n">
        <x:v>2.9319263807808364</x:v>
      </x:c>
      <x:c r="H65" s="12" t="n">
        <x:v>2.735302759</x:v>
      </x:c>
      <x:c r="I65" s="12" t="n">
        <x:v>0.9187664958241433</x:v>
      </x:c>
      <x:c r="J65" s="12" t="n">
        <x:v>0.003013384461236741</x:v>
      </x:c>
      <x:c r="K65" s="12" t="n">
        <x:v>0.03535726186509259</x:v>
      </x:c>
      <x:c r="L65" s="24" t="n">
        <x:v>0.198730662</x:v>
      </x:c>
      <x:c r="M65" s="24" t="n">
        <x:v>0.198730662</x:v>
      </x:c>
      <x:c r="N65" s="13" t="n">
        <x:v>10089</x:v>
      </x:c>
      <x:c r="O65" s="12" t="n">
        <x:v>0.8314</x:v>
      </x:c>
      <x:c r="P65" s="12" t="n">
        <x:v>1520.7092244466146</x:v>
      </x:c>
      <x:c r="Q65" s="12" t="n">
        <x:v>35.5015308380127</x:v>
      </x:c>
      <x:c r="R65" s="12" t="n">
        <x:v>1.6349095195804424</x:v>
      </x:c>
      <x:c r="S65" s="12" t="n">
        <x:v>10.97260550985208</x:v>
      </x:c>
      <x:c r="T65" s="12" t="n">
        <x:v>72.1</x:v>
      </x:c>
      <x:c r="U65" s="12" t="n">
        <x:v>211.4154781728841</x:v>
      </x:c>
      <x:c r="V65" s="12" t="n">
        <x:v>325.42757789465</x:v>
      </x:c>
      <x:c r="W65" s="12" t="n">
        <x:f>IF(ISNUMBER(E65),IF($I$172&gt;$H$172,(E65-$H$172)/($I$172-$H$172),"缺失"),"缺失")</x:f>
        <x:v>0.599537037037037</x:v>
      </x:c>
      <x:c r="X65" s="12" t="n">
        <x:f>IF(ISNUMBER(F65),IF($I$173&gt;$H$173,(F65-$H$173)/($I$173-$H$173),"缺失"),"缺失")</x:f>
        <x:v>0.43968503937007847</x:v>
      </x:c>
      <x:c r="Y65" s="12" t="n">
        <x:f>IF(ISNUMBER(G65),IF($I$174&gt;$H$174,(G65-$H$174)/($I$174-$H$174),"缺失"),"缺失")</x:f>
        <x:v>0.7709032283557883</x:v>
      </x:c>
      <x:c r="Z65" s="12" t="n">
        <x:f>IF(ISNUMBER(H65),IF($I$175&gt;$H$175,(H65-$H$175)/($I$175-$H$175),"缺失"),"缺失")</x:f>
        <x:v>0.6739015479187753</x:v>
      </x:c>
      <x:c r="AA65" s="12" t="n">
        <x:f>IF(ISNUMBER(I65),IF($I$176&gt;$H$176,(I65-$H$176)/($I$176-$H$176),"缺失"),"缺失")</x:f>
        <x:v>0.9220058658358778</x:v>
      </x:c>
      <x:c r="AB65" s="12" t="n">
        <x:f>IF(ISNUMBER(J65),IF($I$177&gt;$H$177,(J65-$H$177)/($I$177-$H$177),"缺失"),"缺失")</x:f>
        <x:v>0.007391813946076595</x:v>
      </x:c>
      <x:c r="AC65" s="12" t="n">
        <x:f>IF(ISNUMBER(K65),IF($I$178&gt;$H$178,(K65-$H$178)/($I$178-$H$178),"缺失"),"缺失")</x:f>
        <x:v>0.06078624889578741</x:v>
      </x:c>
      <x:c r="AD65" s="12" t="n">
        <x:f>IF(ISNUMBER(L65),IF($I$179&gt;$H$179,(L65-$H$179)/($I$179-$H$179),"缺失"),"缺失")</x:f>
        <x:v>0.19846556009474242</x:v>
      </x:c>
      <x:c r="AE65" s="12" t="n">
        <x:f>IF(ISNUMBER(M65),IF($I$180&gt;$H$180,(M65-$H$180)/($I$180-$H$180),"缺失"),"缺失")</x:f>
        <x:v>0.198730662</x:v>
      </x:c>
      <x:c r="AF65" s="12" t="n">
        <x:f>IF(ISNUMBER(N65),IF($I$181&gt;$H$181,(N65-$H$181)/($I$181-$H$181),"缺失"),"缺失")</x:f>
        <x:v>0.014598143437900824</x:v>
      </x:c>
      <x:c r="AG65" s="12" t="n">
        <x:f>IF(ISNUMBER(O65),IF($I$182&gt;$H$182,(O65-$H$182)/($I$182-$H$182),"缺失"),"缺失")</x:f>
        <x:v>0.8382531338455318</x:v>
      </x:c>
      <x:c r="AH65" s="12" t="n">
        <x:f>IF(ISNUMBER(P65),IF($I$183&gt;$H$183,(P65-$H$183)/($I$183-$H$183),"缺失"),"缺失")</x:f>
        <x:v>0.5600426697960509</x:v>
      </x:c>
      <x:c r="AI65" s="12" t="n">
        <x:f>IF(ISNUMBER(Q65),IF($I$184&gt;$H$184,(Q65-$H$184)/($I$184-$H$184),"缺失"),"缺失")</x:f>
        <x:v>0.41345784808950015</x:v>
      </x:c>
      <x:c r="AJ65" s="12" t="n">
        <x:f>IF(ISNUMBER(R65),IF($I$185&gt;$H$185,(R65-$H$185)/($I$185-$H$185),"缺失"),"缺失")</x:f>
        <x:v>0.01566975312772679</x:v>
      </x:c>
      <x:c r="AK65" s="12" t="n">
        <x:f>IF(ISNUMBER(S65),IF($I$186&gt;$H$186,(S65-$H$186)/($I$186-$H$186),"缺失"),"缺失")</x:f>
        <x:v>0.21404406910990734</x:v>
      </x:c>
      <x:c r="AL65" s="12" t="n">
        <x:f>IF(ISNUMBER(T65),IF($I$187&gt;$H$187,(T65-$H$187)/($I$187-$H$187),"缺失"),"缺失")</x:f>
        <x:v>0</x:v>
      </x:c>
      <x:c r="AM65" s="12" t="n">
        <x:f>IF(ISNUMBER(U65),IF($I$188&gt;$H$188,(U65-$H$188)/($I$188-$H$188),"缺失"),"缺失")</x:f>
        <x:v>0</x:v>
      </x:c>
      <x:c r="AN65" s="12" t="n">
        <x:f>IF(ISNUMBER(V65),IF($I$189&gt;$H$189,(V65-$H$189)/($I$189-$H$189),"缺失"),"缺失")</x:f>
        <x:v>1</x:v>
      </x:c>
      <x:c r="AO65" s="23" t="str"/>
      <x:c r="AP65" s="23" t="str">
        <x:v>见指标口径：州级、产业、代表点代理；气候基期待核实</x:v>
      </x:c>
      <x:c r="AQ65" s="15" t="n">
        <x:v>1.0000000000000004</x:v>
      </x:c>
      <x:c r="AR65" s="15" t="n">
        <x:v>1.0000000000000004</x:v>
      </x:c>
      <x:c r="AS65" s="15" t="n">
        <x:v>1</x:v>
      </x:c>
      <x:c r="AT65" s="15" t="n">
        <x:v>1</x:v>
      </x:c>
    </x:row>
    <x:row r="66" ht="24" customHeight="1">
      <x:c r="A66" s="18" t="str">
        <x:v>13121</x:v>
      </x:c>
      <x:c r="B66" s="3" t="str">
        <x:v>Fulton County</x:v>
      </x:c>
      <x:c r="C66" s="3" t="str">
        <x:v>GA</x:v>
      </x:c>
      <x:c r="D66" s="12" t="n">
        <x:v>1364.484194</x:v>
      </x:c>
      <x:c r="E66" s="12" t="n">
        <x:v>0.497</x:v>
      </x:c>
      <x:c r="F66" s="12" t="n">
        <x:v>0.262376237623762</x:v>
      </x:c>
      <x:c r="G66" s="12" t="n">
        <x:v>2.4836400983057607</x:v>
      </x:c>
      <x:c r="H66" s="12" t="n">
        <x:v>2.3205530871099476</x:v>
      </x:c>
      <x:c r="I66" s="12" t="n">
        <x:v>0.4504857774837587</x:v>
      </x:c>
      <x:c r="J66" s="12" t="n">
        <x:v>0.00610807798119222</x:v>
      </x:c>
      <x:c r="K66" s="12" t="n">
        <x:v>0.016997120613007892</x:v>
      </x:c>
      <x:c r="L66" s="24" t="n">
        <x:v>0.618450363</x:v>
      </x:c>
      <x:c r="M66" s="24" t="n">
        <x:v>0.600084115</x:v>
      </x:c>
      <x:c r="N66" s="13" t="n">
        <x:v>598999</x:v>
      </x:c>
      <x:c r="O66" s="12" t="n">
        <x:v>0.6599</x:v>
      </x:c>
      <x:c r="P66" s="12" t="n">
        <x:v>1549.4467610677084</x:v>
      </x:c>
      <x:c r="Q66" s="12" t="n">
        <x:v>30.74096450805664</x:v>
      </x:c>
      <x:c r="R66" s="12" t="n">
        <x:v>1.8556666732837332</x:v>
      </x:c>
      <x:c r="S66" s="12" t="n">
        <x:v>1.6671767063276282</x:v>
      </x:c>
      <x:c r="T66" s="12" t="n">
        <x:v>72.1</x:v>
      </x:c>
      <x:c r="U66" s="12" t="n">
        <x:v>211.4154781728841</x:v>
      </x:c>
      <x:c r="V66" s="12" t="n">
        <x:v>325.42757789465</x:v>
      </x:c>
      <x:c r="W66" s="12" t="n">
        <x:f>IF(ISNUMBER(E66),IF($I$172&gt;$H$172,(E66-$H$172)/($I$172-$H$172),"缺失"),"缺失")</x:f>
        <x:v>0.5196759259259259</x:v>
      </x:c>
      <x:c r="X66" s="12" t="n">
        <x:f>IF(ISNUMBER(F66),IF($I$173&gt;$H$173,(F66-$H$173)/($I$173-$H$173),"缺失"),"缺失")</x:f>
        <x:v>0.2607874015748027</x:v>
      </x:c>
      <x:c r="Y66" s="12" t="n">
        <x:f>IF(ISNUMBER(G66),IF($I$174&gt;$H$174,(G66-$H$174)/($I$174-$H$174),"缺失"),"缺失")</x:f>
        <x:v>0.6529810856137871</x:v>
      </x:c>
      <x:c r="Z66" s="12" t="n">
        <x:f>IF(ISNUMBER(H66),IF($I$175&gt;$H$175,(H66-$H$175)/($I$175-$H$175),"缺失"),"缺失")</x:f>
        <x:v>0.5716542790352795</x:v>
      </x:c>
      <x:c r="AA66" s="12" t="n">
        <x:f>IF(ISNUMBER(I66),IF($I$176&gt;$H$176,(I66-$H$176)/($I$176-$H$176),"缺失"),"缺失")</x:f>
        <x:v>0.41929417338590674</x:v>
      </x:c>
      <x:c r="AB66" s="12" t="n">
        <x:f>IF(ISNUMBER(J66),IF($I$177&gt;$H$177,(J66-$H$177)/($I$177-$H$177),"缺失"),"缺失")</x:f>
        <x:v>0.014983078523797074</x:v>
      </x:c>
      <x:c r="AC66" s="12" t="n">
        <x:f>IF(ISNUMBER(K66),IF($I$178&gt;$H$178,(K66-$H$178)/($I$178-$H$178),"缺失"),"缺失")</x:f>
        <x:v>0.02922147105271357</x:v>
      </x:c>
      <x:c r="AD66" s="12" t="n">
        <x:f>IF(ISNUMBER(L66),IF($I$179&gt;$H$179,(L66-$H$179)/($I$179-$H$179),"缺失"),"缺失")</x:f>
        <x:v>0.6183241263765301</x:v>
      </x:c>
      <x:c r="AE66" s="12" t="n">
        <x:f>IF(ISNUMBER(M66),IF($I$180&gt;$H$180,(M66-$H$180)/($I$180-$H$180),"缺失"),"缺失")</x:f>
        <x:v>0.600084115</x:v>
      </x:c>
      <x:c r="AF66" s="12" t="n">
        <x:f>IF(ISNUMBER(N66),IF($I$181&gt;$H$181,(N66-$H$181)/($I$181-$H$181),"缺失"),"缺失")</x:f>
        <x:v>0.9290745450988065</x:v>
      </x:c>
      <x:c r="AG66" s="12" t="n">
        <x:f>IF(ISNUMBER(O66),IF($I$182&gt;$H$182,(O66-$H$182)/($I$182-$H$182),"缺失"),"缺失")</x:f>
        <x:v>0.6648807116862112</x:v>
      </x:c>
      <x:c r="AH66" s="12" t="n">
        <x:f>IF(ISNUMBER(P66),IF($I$183&gt;$H$183,(P66-$H$183)/($I$183-$H$183),"缺失"),"缺失")</x:f>
        <x:v>0.5729704244147777</x:v>
      </x:c>
      <x:c r="AI66" s="12" t="n">
        <x:f>IF(ISNUMBER(Q66),IF($I$184&gt;$H$184,(Q66-$H$184)/($I$184-$H$184),"缺失"),"缺失")</x:f>
        <x:v>0.3575135976329348</x:v>
      </x:c>
      <x:c r="AJ66" s="12" t="n">
        <x:f>IF(ISNUMBER(R66),IF($I$185&gt;$H$185,(R66-$H$185)/($I$185-$H$185),"缺失"),"缺失")</x:f>
        <x:v>0.01798956836050063</x:v>
      </x:c>
      <x:c r="AK66" s="12" t="n">
        <x:f>IF(ISNUMBER(S66),IF($I$186&gt;$H$186,(S66-$H$186)/($I$186-$H$186),"缺失"),"缺失")</x:f>
        <x:v>0.032386652777526434</x:v>
      </x:c>
      <x:c r="AL66" s="12" t="n">
        <x:f>IF(ISNUMBER(T66),IF($I$187&gt;$H$187,(T66-$H$187)/($I$187-$H$187),"缺失"),"缺失")</x:f>
        <x:v>0</x:v>
      </x:c>
      <x:c r="AM66" s="12" t="n">
        <x:f>IF(ISNUMBER(U66),IF($I$188&gt;$H$188,(U66-$H$188)/($I$188-$H$188),"缺失"),"缺失")</x:f>
        <x:v>0</x:v>
      </x:c>
      <x:c r="AN66" s="12" t="n">
        <x:f>IF(ISNUMBER(V66),IF($I$189&gt;$H$189,(V66-$H$189)/($I$189-$H$189),"缺失"),"缺失")</x:f>
        <x:v>1</x:v>
      </x:c>
      <x:c r="AO66" s="23" t="str"/>
      <x:c r="AP66" s="23" t="str">
        <x:v>见指标口径：州级、产业、代表点代理；气候基期待核实</x:v>
      </x:c>
      <x:c r="AQ66" s="15" t="n">
        <x:v>1.000000000000009</x:v>
      </x:c>
      <x:c r="AR66" s="15" t="n">
        <x:v>1.0000000000000089</x:v>
      </x:c>
      <x:c r="AS66" s="15" t="n">
        <x:v>1</x:v>
      </x:c>
      <x:c r="AT66" s="15" t="n">
        <x:v>1</x:v>
      </x:c>
    </x:row>
    <x:row r="67" ht="24" customHeight="1">
      <x:c r="A67" s="18" t="str">
        <x:v>13123</x:v>
      </x:c>
      <x:c r="B67" s="3" t="str">
        <x:v>Gilmer County</x:v>
      </x:c>
      <x:c r="C67" s="3" t="str">
        <x:v>GA</x:v>
      </x:c>
      <x:c r="D67" s="12" t="n">
        <x:v>1103.804462</x:v>
      </x:c>
      <x:c r="E67" s="12" t="n">
        <x:v>0.668</x:v>
      </x:c>
      <x:c r="F67" s="12" t="n">
        <x:v>0.908725247524752</x:v>
      </x:c>
      <x:c r="G67" s="12" t="n">
        <x:v>2.4431282718842318</x:v>
      </x:c>
      <x:c r="H67" s="12" t="n">
        <x:v>2.2629691249844317</x:v>
      </x:c>
      <x:c r="I67" s="12" t="n">
        <x:v>0.9579070916929984</x:v>
      </x:c>
      <x:c r="J67" s="12" t="n">
        <x:v>0.13659923698234958</x:v>
      </x:c>
      <x:c r="K67" s="12" t="n">
        <x:v>0.0006337549122123022</x:v>
      </x:c>
      <x:c r="L67" s="24" t="n">
        <x:v>0.356159125</x:v>
      </x:c>
      <x:c r="M67" s="24" t="n">
        <x:v>0.356159125</x:v>
      </x:c>
      <x:c r="N67" s="13" t="n">
        <x:v>15366</x:v>
      </x:c>
      <x:c r="O67" s="12" t="n">
        <x:v>0.545</x:v>
      </x:c>
      <x:c r="P67" s="12" t="n">
        <x:v>883.0235310872396</x:v>
      </x:c>
      <x:c r="Q67" s="12" t="n">
        <x:v>9.143349313735962</x:v>
      </x:c>
      <x:c r="R67" s="12" t="n">
        <x:v>34.79003707453661</x:v>
      </x:c>
      <x:c r="S67" s="12" t="n">
        <x:v>1.5490108852190163</x:v>
      </x:c>
      <x:c r="T67" s="12" t="n">
        <x:v>72.1</x:v>
      </x:c>
      <x:c r="U67" s="12" t="n">
        <x:v>211.4154781728841</x:v>
      </x:c>
      <x:c r="V67" s="12" t="n">
        <x:v>325.42757789465</x:v>
      </x:c>
      <x:c r="W67" s="12" t="n">
        <x:f>IF(ISNUMBER(E67),IF($I$172&gt;$H$172,(E67-$H$172)/($I$172-$H$172),"缺失"),"缺失")</x:f>
        <x:v>0.7175925925925926</x:v>
      </x:c>
      <x:c r="X67" s="12" t="n">
        <x:f>IF(ISNUMBER(F67),IF($I$173&gt;$H$173,(F67-$H$173)/($I$173-$H$173),"缺失"),"缺失")</x:f>
        <x:v>0.9187401574803142</x:v>
      </x:c>
      <x:c r="Y67" s="12" t="n">
        <x:f>IF(ISNUMBER(G67),IF($I$174&gt;$H$174,(G67-$H$174)/($I$174-$H$174),"缺失"),"缺失")</x:f>
        <x:v>0.6423244102597195</x:v>
      </x:c>
      <x:c r="Z67" s="12" t="n">
        <x:f>IF(ISNUMBER(H67),IF($I$175&gt;$H$175,(H67-$H$175)/($I$175-$H$175),"缺失"),"缺失")</x:f>
        <x:v>0.557458239212045</x:v>
      </x:c>
      <x:c r="AA67" s="12" t="n">
        <x:f>IF(ISNUMBER(I67),IF($I$176&gt;$H$176,(I67-$H$176)/($I$176-$H$176),"缺失"),"缺失")</x:f>
        <x:v>0.9640243270325441</x:v>
      </x:c>
      <x:c r="AB67" s="12" t="n">
        <x:f>IF(ISNUMBER(J67),IF($I$177&gt;$H$177,(J67-$H$177)/($I$177-$H$177),"缺失"),"缺失")</x:f>
        <x:v>0.33507710613704755</x:v>
      </x:c>
      <x:c r="AC67" s="12" t="n">
        <x:f>IF(ISNUMBER(K67),IF($I$178&gt;$H$178,(K67-$H$178)/($I$178-$H$178),"缺失"),"缺失")</x:f>
        <x:v>0.0010895522390747781</x:v>
      </x:c>
      <x:c r="AD67" s="12" t="n">
        <x:f>IF(ISNUMBER(L67),IF($I$179&gt;$H$179,(L67-$H$179)/($I$179-$H$179),"缺失"),"缺失")</x:f>
        <x:v>0.3559461086838244</x:v>
      </x:c>
      <x:c r="AE67" s="12" t="n">
        <x:f>IF(ISNUMBER(M67),IF($I$180&gt;$H$180,(M67-$H$180)/($I$180-$H$180),"缺失"),"缺失")</x:f>
        <x:v>0.356159125</x:v>
      </x:c>
      <x:c r="AF67" s="12" t="n">
        <x:f>IF(ISNUMBER(N67),IF($I$181&gt;$H$181,(N67-$H$181)/($I$181-$H$181),"缺失"),"缺失")</x:f>
        <x:v>0.022792420953250535</x:v>
      </x:c>
      <x:c r="AG67" s="12" t="n">
        <x:f>IF(ISNUMBER(O67),IF($I$182&gt;$H$182,(O67-$H$182)/($I$182-$H$182),"缺失"),"缺失")</x:f>
        <x:v>0.5487262434290336</x:v>
      </x:c>
      <x:c r="AH67" s="12" t="n">
        <x:f>IF(ISNUMBER(P67),IF($I$183&gt;$H$183,(P67-$H$183)/($I$183-$H$183),"缺失"),"缺失")</x:f>
        <x:v>0.27317590468955616</x:v>
      </x:c>
      <x:c r="AI67" s="12" t="n">
        <x:f>IF(ISNUMBER(Q67),IF($I$184&gt;$H$184,(Q67-$H$184)/($I$184-$H$184),"缺失"),"缺失")</x:f>
        <x:v>0.10370715740069647</x:v>
      </x:c>
      <x:c r="AJ67" s="12" t="n">
        <x:f>IF(ISNUMBER(R67),IF($I$185&gt;$H$185,(R67-$H$185)/($I$185-$H$185),"缺失"),"缺失")</x:f>
        <x:v>0.36407871137115094</x:v>
      </x:c>
      <x:c r="AK67" s="12" t="n">
        <x:f>IF(ISNUMBER(S67),IF($I$186&gt;$H$186,(S67-$H$186)/($I$186-$H$186),"缺失"),"缺失")</x:f>
        <x:v>0.030079859805959713</x:v>
      </x:c>
      <x:c r="AL67" s="12" t="n">
        <x:f>IF(ISNUMBER(T67),IF($I$187&gt;$H$187,(T67-$H$187)/($I$187-$H$187),"缺失"),"缺失")</x:f>
        <x:v>0</x:v>
      </x:c>
      <x:c r="AM67" s="12" t="n">
        <x:f>IF(ISNUMBER(U67),IF($I$188&gt;$H$188,(U67-$H$188)/($I$188-$H$188),"缺失"),"缺失")</x:f>
        <x:v>0</x:v>
      </x:c>
      <x:c r="AN67" s="12" t="n">
        <x:f>IF(ISNUMBER(V67),IF($I$189&gt;$H$189,(V67-$H$189)/($I$189-$H$189),"缺失"),"缺失")</x:f>
        <x:v>1</x:v>
      </x:c>
      <x:c r="AO67" s="23" t="str"/>
      <x:c r="AP67" s="23" t="str">
        <x:v>见指标口径：州级、产业、代表点代理；气候基期待核实</x:v>
      </x:c>
      <x:c r="AQ67" s="15" t="n">
        <x:v>1.0000000000000018</x:v>
      </x:c>
      <x:c r="AR67" s="15" t="n">
        <x:v>0.9999999999999974</x:v>
      </x:c>
      <x:c r="AS67" s="15" t="n">
        <x:v>1</x:v>
      </x:c>
      <x:c r="AT67" s="15" t="n">
        <x:v>1</x:v>
      </x:c>
    </x:row>
    <x:row r="68" ht="24" customHeight="1">
      <x:c r="A68" s="18" t="str">
        <x:v>13125</x:v>
      </x:c>
      <x:c r="B68" s="3" t="str">
        <x:v>Glascock County</x:v>
      </x:c>
      <x:c r="C68" s="3" t="str">
        <x:v>GA</x:v>
      </x:c>
      <x:c r="D68" s="12" t="n">
        <x:v>372.299252</x:v>
      </x:c>
      <x:c r="E68" s="12" t="n">
        <x:v>0.558</x:v>
      </x:c>
      <x:c r="F68" s="12" t="n">
        <x:v>0.09653465346534651</x:v>
      </x:c>
      <x:c r="G68" s="12" t="n">
        <x:v>0.9732556716909648</x:v>
      </x:c>
      <x:c r="H68" s="12" t="n">
        <x:v>0.7833763194441956</x:v>
      </x:c>
      <x:c r="I68" s="12" t="n">
        <x:v>0.947388121877181</x:v>
      </x:c>
      <x:c r="J68" s="12" t="n">
        <x:v>0</x:v>
      </x:c>
      <x:c r="K68" s="12" t="n">
        <x:v>0.13100082349446618</x:v>
      </x:c>
      <x:c r="L68" s="24" t="n">
        <x:v>0.505576208</x:v>
      </x:c>
      <x:c r="M68" s="24" t="n">
        <x:v>0.505576208</x:v>
      </x:c>
      <x:c r="N68" s="13" t="n">
        <x:v>1421</x:v>
      </x:c>
      <x:c r="O68" s="12" t="n">
        <x:v>0.6621</x:v>
      </x:c>
      <x:c r="P68" s="12" t="n">
        <x:v>1813.1826985677085</x:v>
      </x:c>
      <x:c r="Q68" s="12" t="n">
        <x:v>53.35528132120768</x:v>
      </x:c>
      <x:c r="R68" s="12" t="n">
        <x:v>29.392496232434194</x:v>
      </x:c>
      <x:c r="S68" s="12" t="n">
        <x:v>10.80080146545406</x:v>
      </x:c>
      <x:c r="T68" s="12" t="n">
        <x:v>72.1</x:v>
      </x:c>
      <x:c r="U68" s="12" t="n">
        <x:v>211.4154781728841</x:v>
      </x:c>
      <x:c r="V68" s="12" t="n">
        <x:v>325.42757789465</x:v>
      </x:c>
      <x:c r="W68" s="12" t="n">
        <x:f>IF(ISNUMBER(E68),IF($I$172&gt;$H$172,(E68-$H$172)/($I$172-$H$172),"缺失"),"缺失")</x:f>
        <x:v>0.5902777777777778</x:v>
      </x:c>
      <x:c r="X68" s="12" t="n">
        <x:f>IF(ISNUMBER(F68),IF($I$173&gt;$H$173,(F68-$H$173)/($I$173-$H$173),"缺失"),"缺失")</x:f>
        <x:v>0.09196850393700783</x:v>
      </x:c>
      <x:c r="Y68" s="12" t="n">
        <x:f>IF(ISNUMBER(G68),IF($I$174&gt;$H$174,(G68-$H$174)/($I$174-$H$174),"缺失"),"缺失")</x:f>
        <x:v>0.2556729927424239</x:v>
      </x:c>
      <x:c r="Z68" s="12" t="n">
        <x:f>IF(ISNUMBER(H68),IF($I$175&gt;$H$175,(H68-$H$175)/($I$175-$H$175),"缺失"),"缺失")</x:f>
        <x:v>0.19269767716809738</x:v>
      </x:c>
      <x:c r="AA68" s="12" t="n">
        <x:f>IF(ISNUMBER(I68),IF($I$176&gt;$H$176,(I68-$H$176)/($I$176-$H$176),"缺失"),"缺失")</x:f>
        <x:v>0.9527319357129086</x:v>
      </x:c>
      <x:c r="AB68" s="12" t="n">
        <x:f>IF(ISNUMBER(J68),IF($I$177&gt;$H$177,(J68-$H$177)/($I$177-$H$177),"缺失"),"缺失")</x:f>
        <x:v>0</x:v>
      </x:c>
      <x:c r="AC68" s="12" t="n">
        <x:f>IF(ISNUMBER(K68),IF($I$178&gt;$H$178,(K68-$H$178)/($I$178-$H$178),"缺失"),"缺失")</x:f>
        <x:v>0.22521677987597424</x:v>
      </x:c>
      <x:c r="AD68" s="12" t="n">
        <x:f>IF(ISNUMBER(L68),IF($I$179&gt;$H$179,(L68-$H$179)/($I$179-$H$179),"缺失"),"缺失")</x:f>
        <x:v>0.5054126266883888</x:v>
      </x:c>
      <x:c r="AE68" s="12" t="n">
        <x:f>IF(ISNUMBER(M68),IF($I$180&gt;$H$180,(M68-$H$180)/($I$180-$H$180),"缺失"),"缺失")</x:f>
        <x:v>0.505576208</x:v>
      </x:c>
      <x:c r="AF68" s="12" t="n">
        <x:f>IF(ISNUMBER(N68),IF($I$181&gt;$H$181,(N68-$H$181)/($I$181-$H$181),"缺失"),"缺失")</x:f>
        <x:v>0.0011382235017531436</x:v>
      </x:c>
      <x:c r="AG68" s="12" t="n">
        <x:f>IF(ISNUMBER(O68),IF($I$182&gt;$H$182,(O68-$H$182)/($I$182-$H$182),"缺失"),"缺失")</x:f>
        <x:v>0.6671047310958351</x:v>
      </x:c>
      <x:c r="AH68" s="12" t="n">
        <x:f>IF(ISNUMBER(P68),IF($I$183&gt;$H$183,(P68-$H$183)/($I$183-$H$183),"缺失"),"缺失")</x:f>
        <x:v>0.6916136306538682</x:v>
      </x:c>
      <x:c r="AI68" s="12" t="n">
        <x:f>IF(ISNUMBER(Q68),IF($I$184&gt;$H$184,(Q68-$H$184)/($I$184-$H$184),"缺失"),"缺失")</x:f>
        <x:v>0.6232679041611493</x:v>
      </x:c>
      <x:c r="AJ68" s="12" t="n">
        <x:f>IF(ISNUMBER(R68),IF($I$185&gt;$H$185,(R68-$H$185)/($I$185-$H$185),"缺失"),"缺失")</x:f>
        <x:v>0.30735893013200066</x:v>
      </x:c>
      <x:c r="AK68" s="12" t="n">
        <x:f>IF(ISNUMBER(S68),IF($I$186&gt;$H$186,(S68-$H$186)/($I$186-$H$186),"缺失"),"缺失")</x:f>
        <x:v>0.2106901689856081</x:v>
      </x:c>
      <x:c r="AL68" s="12" t="n">
        <x:f>IF(ISNUMBER(T68),IF($I$187&gt;$H$187,(T68-$H$187)/($I$187-$H$187),"缺失"),"缺失")</x:f>
        <x:v>0</x:v>
      </x:c>
      <x:c r="AM68" s="12" t="n">
        <x:f>IF(ISNUMBER(U68),IF($I$188&gt;$H$188,(U68-$H$188)/($I$188-$H$188),"缺失"),"缺失")</x:f>
        <x:v>0</x:v>
      </x:c>
      <x:c r="AN68" s="12" t="n">
        <x:f>IF(ISNUMBER(V68),IF($I$189&gt;$H$189,(V68-$H$189)/($I$189-$H$189),"缺失"),"缺失")</x:f>
        <x:v>1</x:v>
      </x:c>
      <x:c r="AO68" s="23" t="str"/>
      <x:c r="AP68" s="23" t="str">
        <x:v>见指标口径：州级、产业、代表点代理；气候基期待核实</x:v>
      </x:c>
      <x:c r="AQ68" s="15" t="n">
        <x:v>1.0000000000000013</x:v>
      </x:c>
      <x:c r="AR68" s="15" t="n">
        <x:v>1.000000000000001</x:v>
      </x:c>
      <x:c r="AS68" s="15" t="n">
        <x:v>1</x:v>
      </x:c>
      <x:c r="AT68" s="15" t="n">
        <x:v>1</x:v>
      </x:c>
    </x:row>
    <x:row r="69" ht="24" customHeight="1">
      <x:c r="A69" s="18" t="str">
        <x:v>13127</x:v>
      </x:c>
      <x:c r="B69" s="3" t="str">
        <x:v>Glynn County</x:v>
      </x:c>
      <x:c r="C69" s="3" t="str">
        <x:v>GA</x:v>
      </x:c>
      <x:c r="D69" s="12" t="n">
        <x:v>1086.818208</x:v>
      </x:c>
      <x:c r="E69" s="12" t="n">
        <x:v>0.801</x:v>
      </x:c>
      <x:c r="F69" s="12" t="n">
        <x:v>0.021658415841584202</x:v>
      </x:c>
      <x:c r="G69" s="12" t="n">
        <x:v>0.9418839498550172</x:v>
      </x:c>
      <x:c r="H69" s="12" t="n">
        <x:v>0.879043448878915</x:v>
      </x:c>
      <x:c r="I69" s="12" t="n">
        <x:v>0.8646156178342463</x:v>
      </x:c>
      <x:c r="J69" s="12" t="n">
        <x:v>0.17234982125780443</x:v>
      </x:c>
      <x:c r="K69" s="12" t="n">
        <x:v>0.5045864987935088</x:v>
      </x:c>
      <x:c r="L69" s="24" t="n">
        <x:v>0.952519166</x:v>
      </x:c>
      <x:c r="M69" s="24" t="n">
        <x:v>0.9482555</x:v>
      </x:c>
      <x:c r="N69" s="13" t="n">
        <x:v>42743</x:v>
      </x:c>
      <x:c r="O69" s="12" t="n">
        <x:v>0.7744</x:v>
      </x:c>
      <x:c r="P69" s="12" t="n">
        <x:v>2461.71181640625</x:v>
      </x:c>
      <x:c r="Q69" s="12" t="n">
        <x:v>50.03989677429199</x:v>
      </x:c>
      <x:c r="R69" s="12" t="n">
        <x:v>2.483279085775222</x:v>
      </x:c>
      <x:c r="S69" s="12" t="n">
        <x:v>0.6433735108990839</x:v>
      </x:c>
      <x:c r="T69" s="12" t="n">
        <x:v>72.1</x:v>
      </x:c>
      <x:c r="U69" s="12" t="n">
        <x:v>211.4154781728841</x:v>
      </x:c>
      <x:c r="V69" s="12" t="n">
        <x:v>325.42757789465</x:v>
      </x:c>
      <x:c r="W69" s="12" t="n">
        <x:f>IF(ISNUMBER(E69),IF($I$172&gt;$H$172,(E69-$H$172)/($I$172-$H$172),"缺失"),"缺失")</x:f>
        <x:v>0.8715277777777778</x:v>
      </x:c>
      <x:c r="X69" s="12" t="n">
        <x:f>IF(ISNUMBER(F69),IF($I$173&gt;$H$173,(F69-$H$173)/($I$173-$H$173),"缺失"),"缺失")</x:f>
        <x:v>0.01574803149606303</x:v>
      </x:c>
      <x:c r="Y69" s="12" t="n">
        <x:f>IF(ISNUMBER(G69),IF($I$174&gt;$H$174,(G69-$H$174)/($I$174-$H$174),"缺失"),"缺失")</x:f>
        <x:v>0.24742063079198512</x:v>
      </x:c>
      <x:c r="Z69" s="12" t="n">
        <x:f>IF(ISNUMBER(H69),IF($I$175&gt;$H$175,(H69-$H$175)/($I$175-$H$175),"缺失"),"缺失")</x:f>
        <x:v>0.21628227136933645</x:v>
      </x:c>
      <x:c r="AA69" s="12" t="n">
        <x:f>IF(ISNUMBER(I69),IF($I$176&gt;$H$176,(I69-$H$176)/($I$176-$H$176),"缺失"),"缺失")</x:f>
        <x:v>0.8638734711935565</x:v>
      </x:c>
      <x:c r="AB69" s="12" t="n">
        <x:f>IF(ISNUMBER(J69),IF($I$177&gt;$H$177,(J69-$H$177)/($I$177-$H$177),"缺失"),"缺失")</x:f>
        <x:v>0.4227730741846284</x:v>
      </x:c>
      <x:c r="AC69" s="12" t="n">
        <x:f>IF(ISNUMBER(K69),IF($I$178&gt;$H$178,(K69-$H$178)/($I$178-$H$178),"缺失"),"缺失")</x:f>
        <x:v>0.8674857408966343</x:v>
      </x:c>
      <x:c r="AD69" s="12" t="n">
        <x:f>IF(ISNUMBER(L69),IF($I$179&gt;$H$179,(L69-$H$179)/($I$179-$H$179),"缺失"),"缺失")</x:f>
        <x:v>0.9525034568508292</x:v>
      </x:c>
      <x:c r="AE69" s="12" t="n">
        <x:f>IF(ISNUMBER(M69),IF($I$180&gt;$H$180,(M69-$H$180)/($I$180-$H$180),"缺失"),"缺失")</x:f>
        <x:v>0.9482555</x:v>
      </x:c>
      <x:c r="AF69" s="12" t="n">
        <x:f>IF(ISNUMBER(N69),IF($I$181&gt;$H$181,(N69-$H$181)/($I$181-$H$181),"缺失"),"缺失")</x:f>
        <x:v>0.06530421468789695</x:v>
      </x:c>
      <x:c r="AG69" s="12" t="n">
        <x:f>IF(ISNUMBER(O69),IF($I$182&gt;$H$182,(O69-$H$182)/($I$182-$H$182),"缺失"),"缺失")</x:f>
        <x:v>0.7806308127780025</x:v>
      </x:c>
      <x:c r="AH69" s="12" t="n">
        <x:f>IF(ISNUMBER(P69),IF($I$183&gt;$H$183,(P69-$H$183)/($I$183-$H$183),"缺失"),"缺失")</x:f>
        <x:v>0.9833583758301808</x:v>
      </x:c>
      <x:c r="AI69" s="12" t="n">
        <x:f>IF(ISNUMBER(Q69),IF($I$184&gt;$H$184,(Q69-$H$184)/($I$184-$H$184),"缺失"),"缺失")</x:f>
        <x:v>0.5843068456237736</x:v>
      </x:c>
      <x:c r="AJ69" s="12" t="n">
        <x:f>IF(ISNUMBER(R69),IF($I$185&gt;$H$185,(R69-$H$185)/($I$185-$H$185),"缺失"),"缺失")</x:f>
        <x:v>0.024584801223180863</x:v>
      </x:c>
      <x:c r="AK69" s="12" t="n">
        <x:f>IF(ISNUMBER(S69),IF($I$186&gt;$H$186,(S69-$H$186)/($I$186-$H$186),"缺失"),"缺失")</x:f>
        <x:v>0.01240031499114263</x:v>
      </x:c>
      <x:c r="AL69" s="12" t="n">
        <x:f>IF(ISNUMBER(T69),IF($I$187&gt;$H$187,(T69-$H$187)/($I$187-$H$187),"缺失"),"缺失")</x:f>
        <x:v>0</x:v>
      </x:c>
      <x:c r="AM69" s="12" t="n">
        <x:f>IF(ISNUMBER(U69),IF($I$188&gt;$H$188,(U69-$H$188)/($I$188-$H$188),"缺失"),"缺失")</x:f>
        <x:v>0</x:v>
      </x:c>
      <x:c r="AN69" s="12" t="n">
        <x:f>IF(ISNUMBER(V69),IF($I$189&gt;$H$189,(V69-$H$189)/($I$189-$H$189),"缺失"),"缺失")</x:f>
        <x:v>1</x:v>
      </x:c>
      <x:c r="AO69" s="23" t="str"/>
      <x:c r="AP69" s="23" t="str">
        <x:v>baseline_water_stress:有效县域面积覆盖&lt;99%（诊断提示，非行业阈值）；water_stress_2050_bau:有效县域面积覆盖&lt;99%（诊断提示，非行业阈值）</x:v>
      </x:c>
      <x:c r="AQ69" s="15" t="n">
        <x:v>0.7846892478108166</x:v>
      </x:c>
      <x:c r="AR69" s="15" t="n">
        <x:v>0.7847350754187764</x:v>
      </x:c>
      <x:c r="AS69" s="15" t="n">
        <x:v>0.9999798149985247</x:v>
      </x:c>
      <x:c r="AT69" s="15" t="n">
        <x:v>1</x:v>
      </x:c>
    </x:row>
    <x:row r="70" ht="24" customHeight="1">
      <x:c r="A70" s="18" t="str">
        <x:v>13129</x:v>
      </x:c>
      <x:c r="B70" s="3" t="str">
        <x:v>Gordon County</x:v>
      </x:c>
      <x:c r="C70" s="3" t="str">
        <x:v>GA</x:v>
      </x:c>
      <x:c r="D70" s="12" t="n">
        <x:v>923.219316</x:v>
      </x:c>
      <x:c r="E70" s="12" t="n">
        <x:v>0.659</x:v>
      </x:c>
      <x:c r="F70" s="12" t="n">
        <x:v>0.38985148514851503</x:v>
      </x:c>
      <x:c r="G70" s="12" t="n">
        <x:v>2.5806215362076923</x:v>
      </x:c>
      <x:c r="H70" s="12" t="n">
        <x:v>2.390022019</x:v>
      </x:c>
      <x:c r="I70" s="12" t="n">
        <x:v>0.8852958912705013</x:v>
      </x:c>
      <x:c r="J70" s="12" t="n">
        <x:v>0.04282190713611786</x:v>
      </x:c>
      <x:c r="K70" s="12" t="n">
        <x:v>0.010139146939441712</x:v>
      </x:c>
      <x:c r="L70" s="24" t="n">
        <x:v>0.396501458</x:v>
      </x:c>
      <x:c r="M70" s="24" t="n">
        <x:v>0.394632578</x:v>
      </x:c>
      <x:c r="N70" s="13" t="n">
        <x:v>29244</x:v>
      </x:c>
      <x:c r="O70" s="12" t="n">
        <x:v>0.7318</x:v>
      </x:c>
      <x:c r="P70" s="12" t="n">
        <x:v>1438.3096516927085</x:v>
      </x:c>
      <x:c r="Q70" s="12" t="n">
        <x:v>36.01423937479655</x:v>
      </x:c>
      <x:c r="R70" s="12" t="n">
        <x:v>4.093132966455711</x:v>
      </x:c>
      <x:c r="S70" s="12" t="n">
        <x:v>6.334236354376875</x:v>
      </x:c>
      <x:c r="T70" s="12" t="n">
        <x:v>72.1</x:v>
      </x:c>
      <x:c r="U70" s="12" t="n">
        <x:v>211.4154781728841</x:v>
      </x:c>
      <x:c r="V70" s="12" t="n">
        <x:v>325.42757789465</x:v>
      </x:c>
      <x:c r="W70" s="12" t="n">
        <x:f>IF(ISNUMBER(E70),IF($I$172&gt;$H$172,(E70-$H$172)/($I$172-$H$172),"缺失"),"缺失")</x:f>
        <x:v>0.7071759259259259</x:v>
      </x:c>
      <x:c r="X70" s="12" t="n">
        <x:f>IF(ISNUMBER(F70),IF($I$173&gt;$H$173,(F70-$H$173)/($I$173-$H$173),"缺失"),"缺失")</x:f>
        <x:v>0.3905511811023623</x:v>
      </x:c>
      <x:c r="Y70" s="12" t="n">
        <x:f>IF(ISNUMBER(G70),IF($I$174&gt;$H$174,(G70-$H$174)/($I$174-$H$174),"缺失"),"缺失")</x:f>
        <x:v>0.6784921472069598</x:v>
      </x:c>
      <x:c r="Z70" s="12" t="n">
        <x:f>IF(ISNUMBER(H70),IF($I$175&gt;$H$175,(H70-$H$175)/($I$175-$H$175),"缺失"),"缺失")</x:f>
        <x:v>0.5887802927235903</x:v>
      </x:c>
      <x:c r="AA70" s="12" t="n">
        <x:f>IF(ISNUMBER(I70),IF($I$176&gt;$H$176,(I70-$H$176)/($I$176-$H$176),"缺失"),"缺失")</x:f>
        <x:v>0.8860742897459682</x:v>
      </x:c>
      <x:c r="AB70" s="12" t="n">
        <x:f>IF(ISNUMBER(J70),IF($I$177&gt;$H$177,(J70-$H$177)/($I$177-$H$177),"缺失"),"缺失")</x:f>
        <x:v>0.10504188046302039</x:v>
      </x:c>
      <x:c r="AC70" s="12" t="n">
        <x:f>IF(ISNUMBER(K70),IF($I$178&gt;$H$178,(K70-$H$178)/($I$178-$H$178),"缺失"),"缺失")</x:f>
        <x:v>0.01743123412111118</x:v>
      </x:c>
      <x:c r="AD70" s="12" t="n">
        <x:f>IF(ISNUMBER(L70),IF($I$179&gt;$H$179,(L70-$H$179)/($I$179-$H$179),"缺失"),"缺失")</x:f>
        <x:v>0.39630178904261326</x:v>
      </x:c>
      <x:c r="AE70" s="12" t="n">
        <x:f>IF(ISNUMBER(M70),IF($I$180&gt;$H$180,(M70-$H$180)/($I$180-$H$180),"缺失"),"缺失")</x:f>
        <x:v>0.394632578</x:v>
      </x:c>
      <x:c r="AF70" s="12" t="n">
        <x:f>IF(ISNUMBER(N70),IF($I$181&gt;$H$181,(N70-$H$181)/($I$181-$H$181),"缺失"),"缺失")</x:f>
        <x:v>0.044342578875938295</x:v>
      </x:c>
      <x:c r="AG70" s="12" t="n">
        <x:f>IF(ISNUMBER(O70),IF($I$182&gt;$H$182,(O70-$H$182)/($I$182-$H$182),"缺失"),"缺失")</x:f>
        <x:v>0.7375657096643753</x:v>
      </x:c>
      <x:c r="AH70" s="12" t="n">
        <x:f>IF(ISNUMBER(P70),IF($I$183&gt;$H$183,(P70-$H$183)/($I$183-$H$183),"缺失"),"缺失")</x:f>
        <x:v>0.5229747237401419</x:v>
      </x:c>
      <x:c r="AI70" s="12" t="n">
        <x:f>IF(ISNUMBER(Q70),IF($I$184&gt;$H$184,(Q70-$H$184)/($I$184-$H$184),"缺失"),"缺失")</x:f>
        <x:v>0.4194829914873698</x:v>
      </x:c>
      <x:c r="AJ70" s="12" t="n">
        <x:f>IF(ISNUMBER(R70),IF($I$185&gt;$H$185,(R70-$H$185)/($I$185-$H$185),"缺失"),"缺失")</x:f>
        <x:v>0.041501868200598625</x:v>
      </x:c>
      <x:c r="AK70" s="12" t="n">
        <x:f>IF(ISNUMBER(S70),IF($I$186&gt;$H$186,(S70-$H$186)/($I$186-$H$186),"缺失"),"缺失")</x:f>
        <x:v>0.12349540396292356</x:v>
      </x:c>
      <x:c r="AL70" s="12" t="n">
        <x:f>IF(ISNUMBER(T70),IF($I$187&gt;$H$187,(T70-$H$187)/($I$187-$H$187),"缺失"),"缺失")</x:f>
        <x:v>0</x:v>
      </x:c>
      <x:c r="AM70" s="12" t="n">
        <x:f>IF(ISNUMBER(U70),IF($I$188&gt;$H$188,(U70-$H$188)/($I$188-$H$188),"缺失"),"缺失")</x:f>
        <x:v>0</x:v>
      </x:c>
      <x:c r="AN70" s="12" t="n">
        <x:f>IF(ISNUMBER(V70),IF($I$189&gt;$H$189,(V70-$H$189)/($I$189-$H$189),"缺失"),"缺失")</x:f>
        <x:v>1</x:v>
      </x:c>
      <x:c r="AO70" s="23" t="str"/>
      <x:c r="AP70" s="23" t="str">
        <x:v>见指标口径：州级、产业、代表点代理；气候基期待核实</x:v>
      </x:c>
      <x:c r="AQ70" s="15" t="n">
        <x:v>0.9999999999999994</x:v>
      </x:c>
      <x:c r="AR70" s="15" t="n">
        <x:v>0.9999999999999974</x:v>
      </x:c>
      <x:c r="AS70" s="15" t="n">
        <x:v>1</x:v>
      </x:c>
      <x:c r="AT70" s="15" t="n">
        <x:v>1</x:v>
      </x:c>
    </x:row>
    <x:row r="71" ht="24" customHeight="1">
      <x:c r="A71" s="18" t="str">
        <x:v>13131</x:v>
      </x:c>
      <x:c r="B71" s="3" t="str">
        <x:v>Grady County</x:v>
      </x:c>
      <x:c r="C71" s="3" t="str">
        <x:v>GA</x:v>
      </x:c>
      <x:c r="D71" s="12" t="n">
        <x:v>1177.05207</x:v>
      </x:c>
      <x:c r="E71" s="12" t="n">
        <x:v>0.566</x:v>
      </x:c>
      <x:c r="F71" s="12" t="n">
        <x:v>0.39727722772277196</x:v>
      </x:c>
      <x:c r="G71" s="12" t="n">
        <x:v>2.4936244697221013</x:v>
      </x:c>
      <x:c r="H71" s="12" t="n">
        <x:v>2.56382003359918</x:v>
      </x:c>
      <x:c r="I71" s="12" t="n">
        <x:v>0.942458769928186</x:v>
      </x:c>
      <x:c r="J71" s="12" t="n">
        <x:v>0.0006914961681270722</x:v>
      </x:c>
      <x:c r="K71" s="12" t="n">
        <x:v>0.264952340250166</x:v>
      </x:c>
      <x:c r="L71" s="24" t="n">
        <x:v>0.895626691</x:v>
      </x:c>
      <x:c r="M71" s="24" t="n">
        <x:v>0.89397355</x:v>
      </x:c>
      <x:c r="N71" s="13" t="n">
        <x:v>11392</x:v>
      </x:c>
      <x:c r="O71" s="12" t="n">
        <x:v>0.944</x:v>
      </x:c>
      <x:c r="P71" s="12" t="n">
        <x:v>2281.206005859375</x:v>
      </x:c>
      <x:c r="Q71" s="12" t="n">
        <x:v>71.81278699239095</x:v>
      </x:c>
      <x:c r="R71" s="12" t="n">
        <x:v>41.486782806394466</x:v>
      </x:c>
      <x:c r="S71" s="12" t="n">
        <x:v>0.30786616567419034</x:v>
      </x:c>
      <x:c r="T71" s="12" t="n">
        <x:v>72.1</x:v>
      </x:c>
      <x:c r="U71" s="12" t="n">
        <x:v>211.4154781728841</x:v>
      </x:c>
      <x:c r="V71" s="12" t="n">
        <x:v>325.42757789465</x:v>
      </x:c>
      <x:c r="W71" s="12" t="n">
        <x:f>IF(ISNUMBER(E71),IF($I$172&gt;$H$172,(E71-$H$172)/($I$172-$H$172),"缺失"),"缺失")</x:f>
        <x:v>0.599537037037037</x:v>
      </x:c>
      <x:c r="X71" s="12" t="n">
        <x:f>IF(ISNUMBER(F71),IF($I$173&gt;$H$173,(F71-$H$173)/($I$173-$H$173),"缺失"),"缺失")</x:f>
        <x:v>0.39811023622047204</x:v>
      </x:c>
      <x:c r="Y71" s="12" t="n">
        <x:f>IF(ISNUMBER(G71),IF($I$174&gt;$H$174,(G71-$H$174)/($I$174-$H$174),"缺失"),"缺失")</x:f>
        <x:v>0.6556074842286328</x:v>
      </x:c>
      <x:c r="Z71" s="12" t="n">
        <x:f>IF(ISNUMBER(H71),IF($I$175&gt;$H$175,(H71-$H$175)/($I$175-$H$175),"缺失"),"缺失")</x:f>
        <x:v>0.6316263117431085</x:v>
      </x:c>
      <x:c r="AA71" s="12" t="n">
        <x:f>IF(ISNUMBER(I71),IF($I$176&gt;$H$176,(I71-$H$176)/($I$176-$H$176),"缺失"),"缺失")</x:f>
        <x:v>0.9474401464849788</x:v>
      </x:c>
      <x:c r="AB71" s="12" t="n">
        <x:f>IF(ISNUMBER(J71),IF($I$177&gt;$H$177,(J71-$H$177)/($I$177-$H$177),"缺失"),"缺失")</x:f>
        <x:v>0.001696235938351661</x:v>
      </x:c>
      <x:c r="AC71" s="12" t="n">
        <x:f>IF(ISNUMBER(K71),IF($I$178&gt;$H$178,(K71-$H$178)/($I$178-$H$178),"缺失"),"缺失")</x:f>
        <x:v>0.45550639530343534</x:v>
      </x:c>
      <x:c r="AD71" s="12" t="n">
        <x:f>IF(ISNUMBER(L71),IF($I$179&gt;$H$179,(L71-$H$179)/($I$179-$H$179),"缺失"),"缺失")</x:f>
        <x:v>0.8955921588373904</x:v>
      </x:c>
      <x:c r="AE71" s="12" t="n">
        <x:f>IF(ISNUMBER(M71),IF($I$180&gt;$H$180,(M71-$H$180)/($I$180-$H$180),"缺失"),"缺失")</x:f>
        <x:v>0.89397355</x:v>
      </x:c>
      <x:c r="AF71" s="12" t="n">
        <x:f>IF(ISNUMBER(N71),IF($I$181&gt;$H$181,(N71-$H$181)/($I$181-$H$181),"缺失"),"缺失")</x:f>
        <x:v>0.016621479348929945</x:v>
      </x:c>
      <x:c r="AG71" s="12" t="n">
        <x:f>IF(ISNUMBER(O71),IF($I$182&gt;$H$182,(O71-$H$182)/($I$182-$H$182),"缺失"),"缺失")</x:f>
        <x:v>0.9520824909017388</x:v>
      </x:c>
      <x:c r="AH71" s="12" t="n">
        <x:f>IF(ISNUMBER(P71),IF($I$183&gt;$H$183,(P71-$H$183)/($I$183-$H$183),"缺失"),"缺失")</x:f>
        <x:v>0.9021567454757016</x:v>
      </x:c>
      <x:c r="AI71" s="12" t="n">
        <x:f>IF(ISNUMBER(Q71),IF($I$184&gt;$H$184,(Q71-$H$184)/($I$184-$H$184),"缺失"),"缺失")</x:f>
        <x:v>0.840173047058651</x:v>
      </x:c>
      <x:c r="AJ71" s="12" t="n">
        <x:f>IF(ISNUMBER(R71),IF($I$185&gt;$H$185,(R71-$H$185)/($I$185-$H$185),"缺失"),"缺失")</x:f>
        <x:v>0.4344511205917246</x:v>
      </x:c>
      <x:c r="AK71" s="12" t="n">
        <x:f>IF(ISNUMBER(S71),IF($I$186&gt;$H$186,(S71-$H$186)/($I$186-$H$186),"缺失"),"缺失")</x:f>
        <x:v>0.005850654703482768</x:v>
      </x:c>
      <x:c r="AL71" s="12" t="n">
        <x:f>IF(ISNUMBER(T71),IF($I$187&gt;$H$187,(T71-$H$187)/($I$187-$H$187),"缺失"),"缺失")</x:f>
        <x:v>0</x:v>
      </x:c>
      <x:c r="AM71" s="12" t="n">
        <x:f>IF(ISNUMBER(U71),IF($I$188&gt;$H$188,(U71-$H$188)/($I$188-$H$188),"缺失"),"缺失")</x:f>
        <x:v>0</x:v>
      </x:c>
      <x:c r="AN71" s="12" t="n">
        <x:f>IF(ISNUMBER(V71),IF($I$189&gt;$H$189,(V71-$H$189)/($I$189-$H$189),"缺失"),"缺失")</x:f>
        <x:v>1</x:v>
      </x:c>
      <x:c r="AO71" s="23" t="str"/>
      <x:c r="AP71" s="23" t="str">
        <x:v>见指标口径：州级、产业、代表点代理；气候基期待核实</x:v>
      </x:c>
      <x:c r="AQ71" s="15" t="n">
        <x:v>0.9999999999999982</x:v>
      </x:c>
      <x:c r="AR71" s="15" t="n">
        <x:v>0.9999999999999988</x:v>
      </x:c>
      <x:c r="AS71" s="15" t="n">
        <x:v>1</x:v>
      </x:c>
      <x:c r="AT71" s="15" t="n">
        <x:v>1</x:v>
      </x:c>
    </x:row>
    <x:row r="72" ht="24" customHeight="1">
      <x:c r="A72" s="18" t="str">
        <x:v>13133</x:v>
      </x:c>
      <x:c r="B72" s="3" t="str">
        <x:v>Greene County</x:v>
      </x:c>
      <x:c r="C72" s="3" t="str">
        <x:v>GA</x:v>
      </x:c>
      <x:c r="D72" s="12" t="n">
        <x:v>1003.664492</x:v>
      </x:c>
      <x:c r="E72" s="12" t="n">
        <x:v>0.644</x:v>
      </x:c>
      <x:c r="F72" s="12" t="n">
        <x:v>0.7431930693069311</x:v>
      </x:c>
      <x:c r="G72" s="12" t="n">
        <x:v>2.087369603471983</x:v>
      </x:c>
      <x:c r="H72" s="12" t="n">
        <x:v>1.8946617848323921</x:v>
      </x:c>
      <x:c r="I72" s="12" t="n">
        <x:v>0.93154037297136</x:v>
      </x:c>
      <x:c r="J72" s="12" t="n">
        <x:v>0.12647009872108608</x:v>
      </x:c>
      <x:c r="K72" s="12" t="n">
        <x:v>0.03984651738373432</x:v>
      </x:c>
      <x:c r="L72" s="24" t="n">
        <x:v>0.446640006</x:v>
      </x:c>
      <x:c r="M72" s="24" t="n">
        <x:v>0.440210147</x:v>
      </x:c>
      <x:c r="N72" s="13" t="n">
        <x:v>8102</x:v>
      </x:c>
      <x:c r="O72" s="12" t="n">
        <x:v>0.5081</x:v>
      </x:c>
      <x:c r="P72" s="12" t="n">
        <x:v>1776.9682250976562</x:v>
      </x:c>
      <x:c r="Q72" s="12" t="n">
        <x:v>51.63347625732422</x:v>
      </x:c>
      <x:c r="R72" s="12" t="n">
        <x:v>3.181127114494793</x:v>
      </x:c>
      <x:c r="S72" s="12" t="n">
        <x:v>1.0362048591975188</x:v>
      </x:c>
      <x:c r="T72" s="12" t="n">
        <x:v>72.1</x:v>
      </x:c>
      <x:c r="U72" s="12" t="n">
        <x:v>211.4154781728841</x:v>
      </x:c>
      <x:c r="V72" s="12" t="n">
        <x:v>325.42757789465</x:v>
      </x:c>
      <x:c r="W72" s="12" t="n">
        <x:f>IF(ISNUMBER(E72),IF($I$172&gt;$H$172,(E72-$H$172)/($I$172-$H$172),"缺失"),"缺失")</x:f>
        <x:v>0.6898148148148148</x:v>
      </x:c>
      <x:c r="X72" s="12" t="n">
        <x:f>IF(ISNUMBER(F72),IF($I$173&gt;$H$173,(F72-$H$173)/($I$173-$H$173),"缺失"),"缺失")</x:f>
        <x:v>0.7502362204724411</x:v>
      </x:c>
      <x:c r="Y72" s="12" t="n">
        <x:f>IF(ISNUMBER(G72),IF($I$174&gt;$H$174,(G72-$H$174)/($I$174-$H$174),"缺失"),"缺失")</x:f>
        <x:v>0.5487417464168973</x:v>
      </x:c>
      <x:c r="Z72" s="12" t="n">
        <x:f>IF(ISNUMBER(H72),IF($I$175&gt;$H$175,(H72-$H$175)/($I$175-$H$175),"缺失"),"缺失")</x:f>
        <x:v>0.46666029000890796</x:v>
      </x:c>
      <x:c r="AA72" s="12" t="n">
        <x:f>IF(ISNUMBER(I72),IF($I$176&gt;$H$176,(I72-$H$176)/($I$176-$H$176),"缺失"),"缺失")</x:f>
        <x:v>0.9357189596027615</x:v>
      </x:c>
      <x:c r="AB72" s="12" t="n">
        <x:f>IF(ISNUMBER(J72),IF($I$177&gt;$H$177,(J72-$H$177)/($I$177-$H$177),"缺失"),"缺失")</x:f>
        <x:v>0.3102303909486987</x:v>
      </x:c>
      <x:c r="AC72" s="12" t="n">
        <x:f>IF(ISNUMBER(K72),IF($I$178&gt;$H$178,(K72-$H$178)/($I$178-$H$178),"缺失"),"缺失")</x:f>
        <x:v>0.06850418260779684</x:v>
      </x:c>
      <x:c r="AD72" s="12" t="n">
        <x:f>IF(ISNUMBER(L72),IF($I$179&gt;$H$179,(L72-$H$179)/($I$179-$H$179),"缺失"),"缺失")</x:f>
        <x:v>0.44645692550291155</x:v>
      </x:c>
      <x:c r="AE72" s="12" t="n">
        <x:f>IF(ISNUMBER(M72),IF($I$180&gt;$H$180,(M72-$H$180)/($I$180-$H$180),"缺失"),"缺失")</x:f>
        <x:v>0.440210147</x:v>
      </x:c>
      <x:c r="AF72" s="12" t="n">
        <x:f>IF(ISNUMBER(N72),IF($I$181&gt;$H$181,(N72-$H$181)/($I$181-$H$181),"缺失"),"缺失")</x:f>
        <x:v>0.011512672635740528</x:v>
      </x:c>
      <x:c r="AG72" s="12" t="n">
        <x:f>IF(ISNUMBER(O72),IF($I$182&gt;$H$182,(O72-$H$182)/($I$182-$H$182),"缺失"),"缺失")</x:f>
        <x:v>0.5114233724221594</x:v>
      </x:c>
      <x:c r="AH72" s="12" t="n">
        <x:f>IF(ISNUMBER(P72),IF($I$183&gt;$H$183,(P72-$H$183)/($I$183-$H$183),"缺失"),"缺失")</x:f>
        <x:v>0.675322330782202</x:v>
      </x:c>
      <x:c r="AI72" s="12" t="n">
        <x:f>IF(ISNUMBER(Q72),IF($I$184&gt;$H$184,(Q72-$H$184)/($I$184-$H$184),"缺失"),"缺失")</x:f>
        <x:v>0.6030339473049767</x:v>
      </x:c>
      <x:c r="AJ72" s="12" t="n">
        <x:f>IF(ISNUMBER(R72),IF($I$185&gt;$H$185,(R72-$H$185)/($I$185-$H$185),"缺失"),"缺失")</x:f>
        <x:v>0.03191810145842811</x:v>
      </x:c>
      <x:c r="AK72" s="12" t="n">
        <x:f>IF(ISNUMBER(S72),IF($I$186&gt;$H$186,(S72-$H$186)/($I$186-$H$186),"缺失"),"缺失")</x:f>
        <x:v>0.02006903497094961</x:v>
      </x:c>
      <x:c r="AL72" s="12" t="n">
        <x:f>IF(ISNUMBER(T72),IF($I$187&gt;$H$187,(T72-$H$187)/($I$187-$H$187),"缺失"),"缺失")</x:f>
        <x:v>0</x:v>
      </x:c>
      <x:c r="AM72" s="12" t="n">
        <x:f>IF(ISNUMBER(U72),IF($I$188&gt;$H$188,(U72-$H$188)/($I$188-$H$188),"缺失"),"缺失")</x:f>
        <x:v>0</x:v>
      </x:c>
      <x:c r="AN72" s="12" t="n">
        <x:f>IF(ISNUMBER(V72),IF($I$189&gt;$H$189,(V72-$H$189)/($I$189-$H$189),"缺失"),"缺失")</x:f>
        <x:v>1</x:v>
      </x:c>
      <x:c r="AO72" s="23" t="str"/>
      <x:c r="AP72" s="23" t="str">
        <x:v>见指标口径：州级、产业、代表点代理；气候基期待核实</x:v>
      </x:c>
      <x:c r="AQ72" s="15" t="n">
        <x:v>0.9999999999999956</x:v>
      </x:c>
      <x:c r="AR72" s="15" t="n">
        <x:v>0.9999999999999956</x:v>
      </x:c>
      <x:c r="AS72" s="15" t="n">
        <x:v>1</x:v>
      </x:c>
      <x:c r="AT72" s="15" t="n">
        <x:v>1</x:v>
      </x:c>
    </x:row>
    <x:row r="73" ht="24" customHeight="1">
      <x:c r="A73" s="18" t="str">
        <x:v>13135</x:v>
      </x:c>
      <x:c r="B73" s="3" t="str">
        <x:v>Gwinnett County</x:v>
      </x:c>
      <x:c r="C73" s="3" t="str">
        <x:v>GA</x:v>
      </x:c>
      <x:c r="D73" s="12" t="n">
        <x:v>1116.612133</x:v>
      </x:c>
      <x:c r="E73" s="12" t="n">
        <x:v>0.381</x:v>
      </x:c>
      <x:c r="F73" s="12" t="n">
        <x:v>0.404084158415842</x:v>
      </x:c>
      <x:c r="G73" s="12" t="n">
        <x:v>2.7724010097347285</x:v>
      </x:c>
      <x:c r="H73" s="12" t="n">
        <x:v>2.6358683846135014</x:v>
      </x:c>
      <x:c r="I73" s="12" t="n">
        <x:v>0.34790096343039295</x:v>
      </x:c>
      <x:c r="J73" s="12" t="n">
        <x:v>0.017263431222857607</x:v>
      </x:c>
      <x:c r="K73" s="12" t="n">
        <x:v>0.018502580029855033</x:v>
      </x:c>
      <x:c r="L73" s="24" t="n">
        <x:v>0.703912011</x:v>
      </x:c>
      <x:c r="M73" s="24" t="n">
        <x:v>0.698008876</x:v>
      </x:c>
      <x:c r="N73" s="13" t="n">
        <x:v>521729</x:v>
      </x:c>
      <x:c r="O73" s="12" t="n">
        <x:v>0.6433</x:v>
      </x:c>
      <x:c r="P73" s="12" t="n">
        <x:v>1425.84541015625</x:v>
      </x:c>
      <x:c r="Q73" s="12" t="n">
        <x:v>30.08437798817953</x:v>
      </x:c>
      <x:c r="R73" s="12" t="n">
        <x:v>6.202329459454348</x:v>
      </x:c>
      <x:c r="S73" s="12" t="n">
        <x:v>0.08572525855761136</x:v>
      </x:c>
      <x:c r="T73" s="12" t="n">
        <x:v>72.1</x:v>
      </x:c>
      <x:c r="U73" s="12" t="n">
        <x:v>211.4154781728841</x:v>
      </x:c>
      <x:c r="V73" s="12" t="n">
        <x:v>325.42757789465</x:v>
      </x:c>
      <x:c r="W73" s="12" t="n">
        <x:f>IF(ISNUMBER(E73),IF($I$172&gt;$H$172,(E73-$H$172)/($I$172-$H$172),"缺失"),"缺失")</x:f>
        <x:v>0.3854166666666667</x:v>
      </x:c>
      <x:c r="X73" s="12" t="n">
        <x:f>IF(ISNUMBER(F73),IF($I$173&gt;$H$173,(F73-$H$173)/($I$173-$H$173),"缺失"),"缺失")</x:f>
        <x:v>0.40503937007874047</x:v>
      </x:c>
      <x:c r="Y73" s="12" t="n">
        <x:f>IF(ISNUMBER(G73),IF($I$174&gt;$H$174,(G73-$H$174)/($I$174-$H$174),"缺失"),"缺失")</x:f>
        <x:v>0.7289399243001577</x:v>
      </x:c>
      <x:c r="Z73" s="12" t="n">
        <x:f>IF(ISNUMBER(H73),IF($I$175&gt;$H$175,(H73-$H$175)/($I$175-$H$175),"缺失"),"缺失")</x:f>
        <x:v>0.6493882236096155</x:v>
      </x:c>
      <x:c r="AA73" s="12" t="n">
        <x:f>IF(ISNUMBER(I73),IF($I$176&gt;$H$176,(I73-$H$176)/($I$176-$H$176),"缺失"),"缺失")</x:f>
        <x:v>0.3091666719265207</x:v>
      </x:c>
      <x:c r="AB73" s="12" t="n">
        <x:f>IF(ISNUMBER(J73),IF($I$177&gt;$H$177,(J73-$H$177)/($I$177-$H$177),"缺失"),"缺失")</x:f>
        <x:v>0.042347092882360125</x:v>
      </x:c>
      <x:c r="AC73" s="12" t="n">
        <x:f>IF(ISNUMBER(K73),IF($I$178&gt;$H$178,(K73-$H$178)/($I$178-$H$178),"缺失"),"缺失")</x:f>
        <x:v>0.031809658768270924</x:v>
      </x:c>
      <x:c r="AD73" s="12" t="n">
        <x:f>IF(ISNUMBER(L73),IF($I$179&gt;$H$179,(L73-$H$179)/($I$179-$H$179),"缺失"),"缺失")</x:f>
        <x:v>0.703814049570197</x:v>
      </x:c>
      <x:c r="AE73" s="12" t="n">
        <x:f>IF(ISNUMBER(M73),IF($I$180&gt;$H$180,(M73-$H$180)/($I$180-$H$180),"缺失"),"缺失")</x:f>
        <x:v>0.698008876</x:v>
      </x:c>
      <x:c r="AF73" s="12" t="n">
        <x:f>IF(ISNUMBER(N73),IF($I$181&gt;$H$181,(N73-$H$181)/($I$181-$H$181),"缺失"),"缺失")</x:f>
        <x:v>0.8090874646343243</x:v>
      </x:c>
      <x:c r="AG73" s="12" t="n">
        <x:f>IF(ISNUMBER(O73),IF($I$182&gt;$H$182,(O73-$H$182)/($I$182-$H$182),"缺失"),"缺失")</x:f>
        <x:v>0.648099474322685</x:v>
      </x:c>
      <x:c r="AH73" s="12" t="n">
        <x:f>IF(ISNUMBER(P73),IF($I$183&gt;$H$183,(P73-$H$183)/($I$183-$H$183),"缺失"),"缺失")</x:f>
        <x:v>0.5173676093163675</x:v>
      </x:c>
      <x:c r="AI73" s="12" t="n">
        <x:f>IF(ISNUMBER(Q73),IF($I$184&gt;$H$184,(Q73-$H$184)/($I$184-$H$184),"缺失"),"缺失")</x:f>
        <x:v>0.3497976583583845</x:v>
      </x:c>
      <x:c r="AJ73" s="12" t="n">
        <x:f>IF(ISNUMBER(R73),IF($I$185&gt;$H$185,(R73-$H$185)/($I$185-$H$185),"缺失"),"缺失")</x:f>
        <x:v>0.06366625142121116</x:v>
      </x:c>
      <x:c r="AK73" s="12" t="n">
        <x:f>IF(ISNUMBER(S73),IF($I$186&gt;$H$186,(S73-$H$186)/($I$186-$H$186),"缺失"),"缺失")</x:f>
        <x:v>0.001514095464724728</x:v>
      </x:c>
      <x:c r="AL73" s="12" t="n">
        <x:f>IF(ISNUMBER(T73),IF($I$187&gt;$H$187,(T73-$H$187)/($I$187-$H$187),"缺失"),"缺失")</x:f>
        <x:v>0</x:v>
      </x:c>
      <x:c r="AM73" s="12" t="n">
        <x:f>IF(ISNUMBER(U73),IF($I$188&gt;$H$188,(U73-$H$188)/($I$188-$H$188),"缺失"),"缺失")</x:f>
        <x:v>0</x:v>
      </x:c>
      <x:c r="AN73" s="12" t="n">
        <x:f>IF(ISNUMBER(V73),IF($I$189&gt;$H$189,(V73-$H$189)/($I$189-$H$189),"缺失"),"缺失")</x:f>
        <x:v>1</x:v>
      </x:c>
      <x:c r="AO73" s="23" t="str"/>
      <x:c r="AP73" s="23" t="str">
        <x:v>见指标口径：州级、产业、代表点代理；气候基期待核实</x:v>
      </x:c>
      <x:c r="AQ73" s="15" t="n">
        <x:v>0.9999999999999974</x:v>
      </x:c>
      <x:c r="AR73" s="15" t="n">
        <x:v>0.9999999999999972</x:v>
      </x:c>
      <x:c r="AS73" s="15" t="n">
        <x:v>1</x:v>
      </x:c>
      <x:c r="AT73" s="15" t="n">
        <x:v>1</x:v>
      </x:c>
    </x:row>
    <x:row r="74" ht="24" customHeight="1">
      <x:c r="A74" s="18" t="str">
        <x:v>13137</x:v>
      </x:c>
      <x:c r="B74" s="3" t="str">
        <x:v>Habersham County</x:v>
      </x:c>
      <x:c r="C74" s="3" t="str">
        <x:v>GA</x:v>
      </x:c>
      <x:c r="D74" s="12" t="n">
        <x:v>717.081397</x:v>
      </x:c>
      <x:c r="E74" s="12" t="n">
        <x:v>0.726</x:v>
      </x:c>
      <x:c r="F74" s="12" t="n">
        <x:v>0.306311881188119</x:v>
      </x:c>
      <x:c r="G74" s="12" t="n">
        <x:v>2.5169474465582096</x:v>
      </x:c>
      <x:c r="H74" s="12" t="n">
        <x:v>2.3391134091050563</x:v>
      </x:c>
      <x:c r="I74" s="12" t="n">
        <x:v>0.9016113452317794</x:v>
      </x:c>
      <x:c r="J74" s="12" t="n">
        <x:v>0.06076555372709964</x:v>
      </x:c>
      <x:c r="K74" s="12" t="n">
        <x:v>0.002282259436842474</x:v>
      </x:c>
      <x:c r="L74" s="24" t="n">
        <x:v>0.816233678</x:v>
      </x:c>
      <x:c r="M74" s="24" t="n">
        <x:v>0.816233678</x:v>
      </x:c>
      <x:c r="N74" s="13" t="n">
        <x:v>22654</x:v>
      </x:c>
      <x:c r="O74" s="12" t="n">
        <x:v>0.728</x:v>
      </x:c>
      <x:c r="P74" s="12" t="n">
        <x:v>1005.0191243489584</x:v>
      </x:c>
      <x:c r="Q74" s="12" t="n">
        <x:v>13.124905077616374</x:v>
      </x:c>
      <x:c r="R74" s="12" t="n">
        <x:v>36.90623598555569</x:v>
      </x:c>
      <x:c r="S74" s="12" t="n">
        <x:v>11.510928231521317</x:v>
      </x:c>
      <x:c r="T74" s="12" t="n">
        <x:v>72.1</x:v>
      </x:c>
      <x:c r="U74" s="12" t="n">
        <x:v>211.4154781728841</x:v>
      </x:c>
      <x:c r="V74" s="12" t="n">
        <x:v>325.42757789465</x:v>
      </x:c>
      <x:c r="W74" s="12" t="n">
        <x:f>IF(ISNUMBER(E74),IF($I$172&gt;$H$172,(E74-$H$172)/($I$172-$H$172),"缺失"),"缺失")</x:f>
        <x:v>0.7847222222222222</x:v>
      </x:c>
      <x:c r="X74" s="12" t="n">
        <x:f>IF(ISNUMBER(F74),IF($I$173&gt;$H$173,(F74-$H$173)/($I$173-$H$173),"缺失"),"缺失")</x:f>
        <x:v>0.3055118110236221</x:v>
      </x:c>
      <x:c r="Y74" s="12" t="n">
        <x:f>IF(ISNUMBER(G74),IF($I$174&gt;$H$174,(G74-$H$174)/($I$174-$H$174),"缺失"),"缺失")</x:f>
        <x:v>0.6617426159762541</x:v>
      </x:c>
      <x:c r="Z74" s="12" t="n">
        <x:f>IF(ISNUMBER(H74),IF($I$175&gt;$H$175,(H74-$H$175)/($I$175-$H$175),"缺失"),"缺失")</x:f>
        <x:v>0.5762299119102857</x:v>
      </x:c>
      <x:c r="AA74" s="12" t="n">
        <x:f>IF(ISNUMBER(I74),IF($I$176&gt;$H$176,(I74-$H$176)/($I$176-$H$176),"缺失"),"缺失")</x:f>
        <x:v>0.9035893595592888</x:v>
      </x:c>
      <x:c r="AB74" s="12" t="n">
        <x:f>IF(ISNUMBER(J74),IF($I$177&gt;$H$177,(J74-$H$177)/($I$177-$H$177),"缺失"),"缺失")</x:f>
        <x:v>0.14905753754922335</x:v>
      </x:c>
      <x:c r="AC74" s="12" t="n">
        <x:f>IF(ISNUMBER(K74),IF($I$178&gt;$H$178,(K74-$H$178)/($I$178-$H$178),"缺失"),"缺失")</x:f>
        <x:v>0.003923663283146684</x:v>
      </x:c>
      <x:c r="AD74" s="12" t="n">
        <x:f>IF(ISNUMBER(L74),IF($I$179&gt;$H$179,(L74-$H$179)/($I$179-$H$179),"缺失"),"缺失")</x:f>
        <x:v>0.8161728784663426</x:v>
      </x:c>
      <x:c r="AE74" s="12" t="n">
        <x:f>IF(ISNUMBER(M74),IF($I$180&gt;$H$180,(M74-$H$180)/($I$180-$H$180),"缺失"),"缺失")</x:f>
        <x:v>0.816233678</x:v>
      </x:c>
      <x:c r="AF74" s="12" t="n">
        <x:f>IF(ISNUMBER(N74),IF($I$181&gt;$H$181,(N74-$H$181)/($I$181-$H$181),"缺失"),"缺失")</x:f>
        <x:v>0.03410943716167743</x:v>
      </x:c>
      <x:c r="AG74" s="12" t="n">
        <x:f>IF(ISNUMBER(O74),IF($I$182&gt;$H$182,(O74-$H$182)/($I$182-$H$182),"缺失"),"缺失")</x:f>
        <x:v>0.7337242215932066</x:v>
      </x:c>
      <x:c r="AH74" s="12" t="n">
        <x:f>IF(ISNUMBER(P74),IF($I$183&gt;$H$183,(P74-$H$183)/($I$183-$H$183),"缺失"),"缺失")</x:f>
        <x:v>0.3280563599995584</x:v>
      </x:c>
      <x:c r="AI74" s="12" t="n">
        <x:f>IF(ISNUMBER(Q74),IF($I$184&gt;$H$184,(Q74-$H$184)/($I$184-$H$184),"缺失"),"缺失")</x:f>
        <x:v>0.1504967906969861</x:v>
      </x:c>
      <x:c r="AJ74" s="12" t="n">
        <x:f>IF(ISNUMBER(R74),IF($I$185&gt;$H$185,(R74-$H$185)/($I$185-$H$185),"缺失"),"缺失")</x:f>
        <x:v>0.38631667914255857</x:v>
      </x:c>
      <x:c r="AK74" s="12" t="n">
        <x:f>IF(ISNUMBER(S74),IF($I$186&gt;$H$186,(S74-$H$186)/($I$186-$H$186),"缺失"),"缺失")</x:f>
        <x:v>0.22455302219914172</x:v>
      </x:c>
      <x:c r="AL74" s="12" t="n">
        <x:f>IF(ISNUMBER(T74),IF($I$187&gt;$H$187,(T74-$H$187)/($I$187-$H$187),"缺失"),"缺失")</x:f>
        <x:v>0</x:v>
      </x:c>
      <x:c r="AM74" s="12" t="n">
        <x:f>IF(ISNUMBER(U74),IF($I$188&gt;$H$188,(U74-$H$188)/($I$188-$H$188),"缺失"),"缺失")</x:f>
        <x:v>0</x:v>
      </x:c>
      <x:c r="AN74" s="12" t="n">
        <x:f>IF(ISNUMBER(V74),IF($I$189&gt;$H$189,(V74-$H$189)/($I$189-$H$189),"缺失"),"缺失")</x:f>
        <x:v>1</x:v>
      </x:c>
      <x:c r="AO74" s="23" t="str"/>
      <x:c r="AP74" s="23" t="str">
        <x:v>见指标口径：州级、产业、代表点代理；气候基期待核实</x:v>
      </x:c>
      <x:c r="AQ74" s="15" t="n">
        <x:v>0.9999999999999983</x:v>
      </x:c>
      <x:c r="AR74" s="15" t="n">
        <x:v>1.0000000000000004</x:v>
      </x:c>
      <x:c r="AS74" s="15" t="n">
        <x:v>1</x:v>
      </x:c>
      <x:c r="AT74" s="15" t="n">
        <x:v>1</x:v>
      </x:c>
    </x:row>
    <x:row r="75" ht="24" customHeight="1">
      <x:c r="A75" s="18" t="str">
        <x:v>13139</x:v>
      </x:c>
      <x:c r="B75" s="3" t="str">
        <x:v>Hall County</x:v>
      </x:c>
      <x:c r="C75" s="3" t="str">
        <x:v>GA</x:v>
      </x:c>
      <x:c r="D75" s="12" t="n">
        <x:v>1016.489905</x:v>
      </x:c>
      <x:c r="E75" s="12" t="n">
        <x:v>0.604</x:v>
      </x:c>
      <x:c r="F75" s="12" t="n">
        <x:v>0.434405940594059</x:v>
      </x:c>
      <x:c r="G75" s="12" t="n">
        <x:v>2.298833420105885</x:v>
      </x:c>
      <x:c r="H75" s="12" t="n">
        <x:v>2.1188039260325735</x:v>
      </x:c>
      <x:c r="I75" s="12" t="n">
        <x:v>0.7559359353001577</x:v>
      </x:c>
      <x:c r="J75" s="12" t="n">
        <x:v>0.023093949951024914</x:v>
      </x:c>
      <x:c r="K75" s="12" t="n">
        <x:v>0.005160532249356919</x:v>
      </x:c>
      <x:c r="L75" s="24" t="n">
        <x:v>0.64209709</x:v>
      </x:c>
      <x:c r="M75" s="24" t="n">
        <x:v>0.640992553</x:v>
      </x:c>
      <x:c r="N75" s="13" t="n">
        <x:v>110156</x:v>
      </x:c>
      <x:c r="O75" s="12" t="n">
        <x:v>0.8136</x:v>
      </x:c>
      <x:c r="P75" s="12" t="n">
        <x:v>1294.3479288736978</x:v>
      </x:c>
      <x:c r="Q75" s="12" t="n">
        <x:v>23.210152180989585</x:v>
      </x:c>
      <x:c r="R75" s="12" t="n">
        <x:v>2.711205313814034</x:v>
      </x:c>
      <x:c r="S75" s="12" t="n">
        <x:v>2.257355204658597</x:v>
      </x:c>
      <x:c r="T75" s="12" t="n">
        <x:v>72.1</x:v>
      </x:c>
      <x:c r="U75" s="12" t="n">
        <x:v>211.4154781728841</x:v>
      </x:c>
      <x:c r="V75" s="12" t="n">
        <x:v>325.42757789465</x:v>
      </x:c>
      <x:c r="W75" s="12" t="n">
        <x:f>IF(ISNUMBER(E75),IF($I$172&gt;$H$172,(E75-$H$172)/($I$172-$H$172),"缺失"),"缺失")</x:f>
        <x:v>0.6435185185185185</x:v>
      </x:c>
      <x:c r="X75" s="12" t="n">
        <x:f>IF(ISNUMBER(F75),IF($I$173&gt;$H$173,(F75-$H$173)/($I$173-$H$173),"缺失"),"缺失")</x:f>
        <x:v>0.4359055118110231</x:v>
      </x:c>
      <x:c r="Y75" s="12" t="n">
        <x:f>IF(ISNUMBER(G75),IF($I$174&gt;$H$174,(G75-$H$174)/($I$174-$H$174),"缺失"),"缺失")</x:f>
        <x:v>0.604367509115219</x:v>
      </x:c>
      <x:c r="Z75" s="12" t="n">
        <x:f>IF(ISNUMBER(H75),IF($I$175&gt;$H$175,(H75-$H$175)/($I$175-$H$175),"缺失"),"缺失")</x:f>
        <x:v>0.5219175290923733</x:v>
      </x:c>
      <x:c r="AA75" s="12" t="n">
        <x:f>IF(ISNUMBER(I75),IF($I$176&gt;$H$176,(I75-$H$176)/($I$176-$H$176),"缺失"),"缺失")</x:f>
        <x:v>0.7472029677928069</x:v>
      </x:c>
      <x:c r="AB75" s="12" t="n">
        <x:f>IF(ISNUMBER(J75),IF($I$177&gt;$H$177,(J75-$H$177)/($I$177-$H$177),"缺失"),"缺失")</x:f>
        <x:v>0.0566493202290956</x:v>
      </x:c>
      <x:c r="AC75" s="12" t="n">
        <x:f>IF(ISNUMBER(K75),IF($I$178&gt;$H$178,(K75-$H$178)/($I$178-$H$178),"缺失"),"缺失")</x:f>
        <x:v>0.00887199350846355</x:v>
      </x:c>
      <x:c r="AD75" s="12" t="n">
        <x:f>IF(ISNUMBER(L75),IF($I$179&gt;$H$179,(L75-$H$179)/($I$179-$H$179),"缺失"),"缺失")</x:f>
        <x:v>0.6419786769535517</x:v>
      </x:c>
      <x:c r="AE75" s="12" t="n">
        <x:f>IF(ISNUMBER(M75),IF($I$180&gt;$H$180,(M75-$H$180)/($I$180-$H$180),"缺失"),"缺失")</x:f>
        <x:v>0.640992553</x:v>
      </x:c>
      <x:c r="AF75" s="12" t="n">
        <x:f>IF(ISNUMBER(N75),IF($I$181&gt;$H$181,(N75-$H$181)/($I$181-$H$181),"缺失"),"缺失")</x:f>
        <x:v>0.1699850617870575</x:v>
      </x:c>
      <x:c r="AG75" s="12" t="n">
        <x:f>IF(ISNUMBER(O75),IF($I$182&gt;$H$182,(O75-$H$182)/($I$182-$H$182),"缺失"),"缺失")</x:f>
        <x:v>0.8202587949858472</x:v>
      </x:c>
      <x:c r="AH75" s="12" t="n">
        <x:f>IF(ISNUMBER(P75),IF($I$183&gt;$H$183,(P75-$H$183)/($I$183-$H$183),"缺失"),"缺失")</x:f>
        <x:v>0.4582126722243121</x:v>
      </x:c>
      <x:c r="AI75" s="12" t="n">
        <x:f>IF(ISNUMBER(Q75),IF($I$184&gt;$H$184,(Q75-$H$184)/($I$184-$H$184),"缺失"),"缺失")</x:f>
        <x:v>0.26901453643600404</x:v>
      </x:c>
      <x:c r="AJ75" s="12" t="n">
        <x:f>IF(ISNUMBER(R75),IF($I$185&gt;$H$185,(R75-$H$185)/($I$185-$H$185),"缺失"),"缺失")</x:f>
        <x:v>0.02697995230609337</x:v>
      </x:c>
      <x:c r="AK75" s="12" t="n">
        <x:f>IF(ISNUMBER(S75),IF($I$186&gt;$H$186,(S75-$H$186)/($I$186-$H$186),"缺失"),"缺失")</x:f>
        <x:v>0.0439079167026367</x:v>
      </x:c>
      <x:c r="AL75" s="12" t="n">
        <x:f>IF(ISNUMBER(T75),IF($I$187&gt;$H$187,(T75-$H$187)/($I$187-$H$187),"缺失"),"缺失")</x:f>
        <x:v>0</x:v>
      </x:c>
      <x:c r="AM75" s="12" t="n">
        <x:f>IF(ISNUMBER(U75),IF($I$188&gt;$H$188,(U75-$H$188)/($I$188-$H$188),"缺失"),"缺失")</x:f>
        <x:v>0</x:v>
      </x:c>
      <x:c r="AN75" s="12" t="n">
        <x:f>IF(ISNUMBER(V75),IF($I$189&gt;$H$189,(V75-$H$189)/($I$189-$H$189),"缺失"),"缺失")</x:f>
        <x:v>1</x:v>
      </x:c>
      <x:c r="AO75" s="23" t="str"/>
      <x:c r="AP75" s="23" t="str">
        <x:v>见指标口径：州级、产业、代表点代理；气候基期待核实</x:v>
      </x:c>
      <x:c r="AQ75" s="15" t="n">
        <x:v>1.0000000000000027</x:v>
      </x:c>
      <x:c r="AR75" s="15" t="n">
        <x:v>0.9999999999999989</x:v>
      </x:c>
      <x:c r="AS75" s="15" t="n">
        <x:v>1</x:v>
      </x:c>
      <x:c r="AT75" s="15" t="n">
        <x:v>1</x:v>
      </x:c>
    </x:row>
    <x:row r="76" ht="24" customHeight="1">
      <x:c r="A76" s="18" t="str">
        <x:v>13141</x:v>
      </x:c>
      <x:c r="B76" s="3" t="str">
        <x:v>Hancock County</x:v>
      </x:c>
      <x:c r="C76" s="3" t="str">
        <x:v>GA</x:v>
      </x:c>
      <x:c r="D76" s="12" t="n">
        <x:v>1220.057416</x:v>
      </x:c>
      <x:c r="E76" s="12" t="n">
        <x:v>0.654</x:v>
      </x:c>
      <x:c r="F76" s="12" t="n">
        <x:v>0.7571163366336631</x:v>
      </x:c>
      <x:c r="G76" s="12" t="n">
        <x:v>1.7487608571499753</x:v>
      </x:c>
      <x:c r="H76" s="12" t="n">
        <x:v>1.5567470969962318</x:v>
      </x:c>
      <x:c r="I76" s="12" t="n">
        <x:v>0.9629865647462537</x:v>
      </x:c>
      <x:c r="J76" s="12" t="n">
        <x:v>0.010726431255420452</x:v>
      </x:c>
      <x:c r="K76" s="12" t="n">
        <x:v>0.047451780942817844</x:v>
      </x:c>
      <x:c r="L76" s="24" t="n">
        <x:v>0.80715876</x:v>
      </x:c>
      <x:c r="M76" s="24" t="n">
        <x:v>0.80715876</x:v>
      </x:c>
      <x:c r="N76" s="13" t="n">
        <x:v>2626</x:v>
      </x:c>
      <x:c r="O76" s="12" t="n">
        <x:v>0.9666</x:v>
      </x:c>
      <x:c r="P76" s="12" t="n">
        <x:v>1787.3658365885417</x:v>
      </x:c>
      <x:c r="Q76" s="12" t="n">
        <x:v>53.226409149169925</x:v>
      </x:c>
      <x:c r="R76" s="12" t="n">
        <x:v>28.954391391470942</x:v>
      </x:c>
      <x:c r="S76" s="12" t="n">
        <x:v>0.4383233677373691</x:v>
      </x:c>
      <x:c r="T76" s="12" t="n">
        <x:v>72.1</x:v>
      </x:c>
      <x:c r="U76" s="12" t="n">
        <x:v>211.4154781728841</x:v>
      </x:c>
      <x:c r="V76" s="12" t="n">
        <x:v>325.42757789465</x:v>
      </x:c>
      <x:c r="W76" s="12" t="n">
        <x:f>IF(ISNUMBER(E76),IF($I$172&gt;$H$172,(E76-$H$172)/($I$172-$H$172),"缺失"),"缺失")</x:f>
        <x:v>0.7013888888888888</x:v>
      </x:c>
      <x:c r="X76" s="12" t="n">
        <x:f>IF(ISNUMBER(F76),IF($I$173&gt;$H$173,(F76-$H$173)/($I$173-$H$173),"缺失"),"缺失")</x:f>
        <x:v>0.7644094488188972</x:v>
      </x:c>
      <x:c r="Y76" s="12" t="n">
        <x:f>IF(ISNUMBER(G76),IF($I$174&gt;$H$174,(G76-$H$174)/($I$174-$H$174),"缺失"),"缺失")</x:f>
        <x:v>0.4596703862650419</x:v>
      </x:c>
      <x:c r="Z76" s="12" t="n">
        <x:f>IF(ISNUMBER(H76),IF($I$175&gt;$H$175,(H76-$H$175)/($I$175-$H$175),"缺失"),"缺失")</x:f>
        <x:v>0.38335497046660433</x:v>
      </x:c>
      <x:c r="AA76" s="12" t="n">
        <x:f>IF(ISNUMBER(I76),IF($I$176&gt;$H$176,(I76-$H$176)/($I$176-$H$176),"缺失"),"缺失")</x:f>
        <x:v>0.9694772752222663</x:v>
      </x:c>
      <x:c r="AB76" s="12" t="n">
        <x:f>IF(ISNUMBER(J76),IF($I$177&gt;$H$177,(J76-$H$177)/($I$177-$H$177),"缺失"),"缺失")</x:f>
        <x:v>0.026311871307953785</x:v>
      </x:c>
      <x:c r="AC76" s="12" t="n">
        <x:f>IF(ISNUMBER(K76),IF($I$178&gt;$H$178,(K76-$H$178)/($I$178-$H$178),"缺失"),"缺失")</x:f>
        <x:v>0.08157916124682224</x:v>
      </x:c>
      <x:c r="AD76" s="12" t="n">
        <x:f>IF(ISNUMBER(L76),IF($I$179&gt;$H$179,(L76-$H$179)/($I$179-$H$179),"缺失"),"缺失")</x:f>
        <x:v>0.8070949580076963</x:v>
      </x:c>
      <x:c r="AE76" s="12" t="n">
        <x:f>IF(ISNUMBER(M76),IF($I$180&gt;$H$180,(M76-$H$180)/($I$180-$H$180),"缺失"),"缺失")</x:f>
        <x:v>0.80715876</x:v>
      </x:c>
      <x:c r="AF76" s="12" t="n">
        <x:f>IF(ISNUMBER(N76),IF($I$181&gt;$H$181,(N76-$H$181)/($I$181-$H$181),"缺失"),"缺失")</x:f>
        <x:v>0.0030093821915383252</x:v>
      </x:c>
      <x:c r="AG76" s="12" t="n">
        <x:f>IF(ISNUMBER(O76),IF($I$182&gt;$H$182,(O76-$H$182)/($I$182-$H$182),"缺失"),"缺失")</x:f>
        <x:v>0.9749292357460575</x:v>
      </x:c>
      <x:c r="AH76" s="12" t="n">
        <x:f>IF(ISNUMBER(P76),IF($I$183&gt;$H$183,(P76-$H$183)/($I$183-$H$183),"缺失"),"缺失")</x:f>
        <x:v>0.6799997591835062</x:v>
      </x:c>
      <x:c r="AI76" s="12" t="n">
        <x:f>IF(ISNUMBER(Q76),IF($I$184&gt;$H$184,(Q76-$H$184)/($I$184-$H$184),"缺失"),"缺失")</x:f>
        <x:v>0.621753450508021</x:v>
      </x:c>
      <x:c r="AJ76" s="12" t="n">
        <x:f>IF(ISNUMBER(R76),IF($I$185&gt;$H$185,(R76-$H$185)/($I$185-$H$185),"缺失"),"缺失")</x:f>
        <x:v>0.3027551278697895</x:v>
      </x:c>
      <x:c r="AK76" s="12" t="n">
        <x:f>IF(ISNUMBER(S76),IF($I$186&gt;$H$186,(S76-$H$186)/($I$186-$H$186),"缺失"),"缺失")</x:f>
        <x:v>0.008397395833754222</x:v>
      </x:c>
      <x:c r="AL76" s="12" t="n">
        <x:f>IF(ISNUMBER(T76),IF($I$187&gt;$H$187,(T76-$H$187)/($I$187-$H$187),"缺失"),"缺失")</x:f>
        <x:v>0</x:v>
      </x:c>
      <x:c r="AM76" s="12" t="n">
        <x:f>IF(ISNUMBER(U76),IF($I$188&gt;$H$188,(U76-$H$188)/($I$188-$H$188),"缺失"),"缺失")</x:f>
        <x:v>0</x:v>
      </x:c>
      <x:c r="AN76" s="12" t="n">
        <x:f>IF(ISNUMBER(V76),IF($I$189&gt;$H$189,(V76-$H$189)/($I$189-$H$189),"缺失"),"缺失")</x:f>
        <x:v>1</x:v>
      </x:c>
      <x:c r="AO76" s="23" t="str"/>
      <x:c r="AP76" s="23" t="str">
        <x:v>见指标口径：州级、产业、代表点代理；气候基期待核实</x:v>
      </x:c>
      <x:c r="AQ76" s="15" t="n">
        <x:v>0.9999999999999984</x:v>
      </x:c>
      <x:c r="AR76" s="15" t="n">
        <x:v>0.9999999999999984</x:v>
      </x:c>
      <x:c r="AS76" s="15" t="n">
        <x:v>1</x:v>
      </x:c>
      <x:c r="AT76" s="15" t="n">
        <x:v>1</x:v>
      </x:c>
    </x:row>
    <x:row r="77" ht="24" customHeight="1">
      <x:c r="A77" s="18" t="str">
        <x:v>13143</x:v>
      </x:c>
      <x:c r="B77" s="3" t="str">
        <x:v>Haralson County</x:v>
      </x:c>
      <x:c r="C77" s="3" t="str">
        <x:v>GA</x:v>
      </x:c>
      <x:c r="D77" s="12" t="n">
        <x:v>730.804597</x:v>
      </x:c>
      <x:c r="E77" s="12" t="n">
        <x:v>0.85</x:v>
      </x:c>
      <x:c r="F77" s="12" t="n">
        <x:v>0.292079207920792</x:v>
      </x:c>
      <x:c r="G77" s="12" t="n">
        <x:v>2.7857987695643454</x:v>
      </x:c>
      <x:c r="H77" s="12" t="n">
        <x:v>2.5188163853266605</x:v>
      </x:c>
      <x:c r="I77" s="12" t="n">
        <x:v>0.9081696472077242</x:v>
      </x:c>
      <x:c r="J77" s="12" t="n">
        <x:v>0</x:v>
      </x:c>
      <x:c r="K77" s="12" t="n">
        <x:v>0.024173283809105568</x:v>
      </x:c>
      <x:c r="L77" s="24" t="n">
        <x:v>0.793149765</x:v>
      </x:c>
      <x:c r="M77" s="24" t="n">
        <x:v>0.793149765</x:v>
      </x:c>
      <x:c r="N77" s="13" t="n">
        <x:v>14532</x:v>
      </x:c>
      <x:c r="O77" s="12" t="n">
        <x:v>0.3089</x:v>
      </x:c>
      <x:c r="P77" s="12" t="n">
        <x:v>1228.508984375</x:v>
      </x:c>
      <x:c r="Q77" s="12" t="n">
        <x:v>23.747326596577963</x:v>
      </x:c>
      <x:c r="R77" s="12" t="n">
        <x:v>11.708215596171728</x:v>
      </x:c>
      <x:c r="S77" s="12" t="n">
        <x:v>2.8838803133517206</x:v>
      </x:c>
      <x:c r="T77" s="12" t="n">
        <x:v>72.1</x:v>
      </x:c>
      <x:c r="U77" s="12" t="n">
        <x:v>211.4154781728841</x:v>
      </x:c>
      <x:c r="V77" s="12" t="n">
        <x:v>325.42757789465</x:v>
      </x:c>
      <x:c r="W77" s="12" t="n">
        <x:f>IF(ISNUMBER(E77),IF($I$172&gt;$H$172,(E77-$H$172)/($I$172-$H$172),"缺失"),"缺失")</x:f>
        <x:v>0.9282407407407407</x:v>
      </x:c>
      <x:c r="X77" s="12" t="n">
        <x:f>IF(ISNUMBER(F77),IF($I$173&gt;$H$173,(F77-$H$173)/($I$173-$H$173),"缺失"),"缺失")</x:f>
        <x:v>0.29102362204724397</x:v>
      </x:c>
      <x:c r="Y77" s="12" t="n">
        <x:f>IF(ISNUMBER(G77),IF($I$174&gt;$H$174,(G77-$H$174)/($I$174-$H$174),"缺失"),"缺失")</x:f>
        <x:v>0.7324642180579954</x:v>
      </x:c>
      <x:c r="Z77" s="12" t="n">
        <x:f>IF(ISNUMBER(H77),IF($I$175&gt;$H$175,(H77-$H$175)/($I$175-$H$175),"缺失"),"缺失")</x:f>
        <x:v>0.6205316673406449</x:v>
      </x:c>
      <x:c r="AA77" s="12" t="n">
        <x:f>IF(ISNUMBER(I77),IF($I$176&gt;$H$176,(I77-$H$176)/($I$176-$H$176),"缺失"),"缺失")</x:f>
        <x:v>0.9106298695713382</x:v>
      </x:c>
      <x:c r="AB77" s="12" t="n">
        <x:f>IF(ISNUMBER(J77),IF($I$177&gt;$H$177,(J77-$H$177)/($I$177-$H$177),"缺失"),"缺失")</x:f>
        <x:v>0</x:v>
      </x:c>
      <x:c r="AC77" s="12" t="n">
        <x:f>IF(ISNUMBER(K77),IF($I$178&gt;$H$178,(K77-$H$178)/($I$178-$H$178),"缺失"),"缺失")</x:f>
        <x:v>0.04155873981009562</x:v>
      </x:c>
      <x:c r="AD77" s="12" t="n">
        <x:f>IF(ISNUMBER(L77),IF($I$179&gt;$H$179,(L77-$H$179)/($I$179-$H$179),"缺失"),"缺失")</x:f>
        <x:v>0.793081328097699</x:v>
      </x:c>
      <x:c r="AE77" s="12" t="n">
        <x:f>IF(ISNUMBER(M77),IF($I$180&gt;$H$180,(M77-$H$180)/($I$180-$H$180),"缺失"),"缺失")</x:f>
        <x:v>0.793149765</x:v>
      </x:c>
      <x:c r="AF77" s="12" t="n">
        <x:f>IF(ISNUMBER(N77),IF($I$181&gt;$H$181,(N77-$H$181)/($I$181-$H$181),"缺失"),"缺失")</x:f>
        <x:v>0.021497361743888842</x:v>
      </x:c>
      <x:c r="AG77" s="12" t="n">
        <x:f>IF(ISNUMBER(O77),IF($I$182&gt;$H$182,(O77-$H$182)/($I$182-$H$182),"缺失"),"缺失")</x:f>
        <x:v>0.3100485240598464</x:v>
      </x:c>
      <x:c r="AH77" s="12" t="n">
        <x:f>IF(ISNUMBER(P77),IF($I$183&gt;$H$183,(P77-$H$183)/($I$183-$H$183),"缺失"),"缺失")</x:f>
        <x:v>0.4285946249275798</x:v>
      </x:c>
      <x:c r="AI77" s="12" t="n">
        <x:f>IF(ISNUMBER(Q77),IF($I$184&gt;$H$184,(Q77-$H$184)/($I$184-$H$184),"缺失"),"缺失")</x:f>
        <x:v>0.27532719294819946</x:v>
      </x:c>
      <x:c r="AJ77" s="12" t="n">
        <x:f>IF(ISNUMBER(R77),IF($I$185&gt;$H$185,(R77-$H$185)/($I$185-$H$185),"缺失"),"缺失")</x:f>
        <x:v>0.12152457363459856</x:v>
      </x:c>
      <x:c r="AK77" s="12" t="n">
        <x:f>IF(ISNUMBER(S77),IF($I$186&gt;$H$186,(S77-$H$186)/($I$186-$H$186),"缺失"),"缺失")</x:f>
        <x:v>0.0561387267937794</x:v>
      </x:c>
      <x:c r="AL77" s="12" t="n">
        <x:f>IF(ISNUMBER(T77),IF($I$187&gt;$H$187,(T77-$H$187)/($I$187-$H$187),"缺失"),"缺失")</x:f>
        <x:v>0</x:v>
      </x:c>
      <x:c r="AM77" s="12" t="n">
        <x:f>IF(ISNUMBER(U77),IF($I$188&gt;$H$188,(U77-$H$188)/($I$188-$H$188),"缺失"),"缺失")</x:f>
        <x:v>0</x:v>
      </x:c>
      <x:c r="AN77" s="12" t="n">
        <x:f>IF(ISNUMBER(V77),IF($I$189&gt;$H$189,(V77-$H$189)/($I$189-$H$189),"缺失"),"缺失")</x:f>
        <x:v>1</x:v>
      </x:c>
      <x:c r="AO77" s="23" t="str"/>
      <x:c r="AP77" s="23" t="str">
        <x:v>见指标口径：州级、产业、代表点代理；气候基期待核实</x:v>
      </x:c>
      <x:c r="AQ77" s="15" t="n">
        <x:v>1.0000000000000009</x:v>
      </x:c>
      <x:c r="AR77" s="15" t="n">
        <x:v>1.0000000000000007</x:v>
      </x:c>
      <x:c r="AS77" s="15" t="n">
        <x:v>1</x:v>
      </x:c>
      <x:c r="AT77" s="15" t="n">
        <x:v>1</x:v>
      </x:c>
    </x:row>
    <x:row r="78" ht="24" customHeight="1">
      <x:c r="A78" s="18" t="str">
        <x:v>13145</x:v>
      </x:c>
      <x:c r="B78" s="3" t="str">
        <x:v>Harris County</x:v>
      </x:c>
      <x:c r="C78" s="3" t="str">
        <x:v>GA</x:v>
      </x:c>
      <x:c r="D78" s="12" t="n">
        <x:v>1201.282985</x:v>
      </x:c>
      <x:c r="E78" s="12" t="n">
        <x:v>0.719</x:v>
      </x:c>
      <x:c r="F78" s="12" t="n">
        <x:v>0.44647277227722804</x:v>
      </x:c>
      <x:c r="G78" s="12" t="n">
        <x:v>2.2805879360591894</x:v>
      </x:c>
      <x:c r="H78" s="12" t="n">
        <x:v>2.117449569760153</x:v>
      </x:c>
      <x:c r="I78" s="12" t="n">
        <x:v>0.932620274965825</x:v>
      </x:c>
      <x:c r="J78" s="12" t="n">
        <x:v>0.05806516288775487</x:v>
      </x:c>
      <x:c r="K78" s="12" t="n">
        <x:v>0.04062836857223724</x:v>
      </x:c>
      <x:c r="L78" s="24" t="n">
        <x:v>0.312410218</x:v>
      </x:c>
      <x:c r="M78" s="24" t="n">
        <x:v>0.310474049</x:v>
      </x:c>
      <x:c r="N78" s="13" t="n">
        <x:v>16145</x:v>
      </x:c>
      <x:c r="O78" s="12" t="n">
        <x:v>0.0675</x:v>
      </x:c>
      <x:c r="P78" s="12" t="n">
        <x:v>1749.2787068684895</x:v>
      </x:c>
      <x:c r="Q78" s="12" t="n">
        <x:v>46.32635027567546</x:v>
      </x:c>
      <x:c r="R78" s="12" t="n">
        <x:v>8.765649177441235</x:v>
      </x:c>
      <x:c r="S78" s="12" t="n">
        <x:v>14.179275639269507</x:v>
      </x:c>
      <x:c r="T78" s="12" t="n">
        <x:v>72.1</x:v>
      </x:c>
      <x:c r="U78" s="12" t="n">
        <x:v>211.4154781728841</x:v>
      </x:c>
      <x:c r="V78" s="12" t="n">
        <x:v>325.42757789465</x:v>
      </x:c>
      <x:c r="W78" s="12" t="n">
        <x:f>IF(ISNUMBER(E78),IF($I$172&gt;$H$172,(E78-$H$172)/($I$172-$H$172),"缺失"),"缺失")</x:f>
        <x:v>0.7766203703703703</x:v>
      </x:c>
      <x:c r="X78" s="12" t="n">
        <x:f>IF(ISNUMBER(F78),IF($I$173&gt;$H$173,(F78-$H$173)/($I$173-$H$173),"缺失"),"缺失")</x:f>
        <x:v>0.44818897637795296</x:v>
      </x:c>
      <x:c r="Y78" s="12" t="n">
        <x:f>IF(ISNUMBER(G78),IF($I$174&gt;$H$174,(G78-$H$174)/($I$174-$H$174),"缺失"),"缺失")</x:f>
        <x:v>0.5995680167857365</x:v>
      </x:c>
      <x:c r="Z78" s="12" t="n">
        <x:f>IF(ISNUMBER(H78),IF($I$175&gt;$H$175,(H78-$H$175)/($I$175-$H$175),"缺失"),"缺失")</x:f>
        <x:v>0.5215836428006273</x:v>
      </x:c>
      <x:c r="AA78" s="12" t="n">
        <x:f>IF(ISNUMBER(I78),IF($I$176&gt;$H$176,(I78-$H$176)/($I$176-$H$176),"缺失"),"缺失")</x:f>
        <x:v>0.9368782628541138</x:v>
      </x:c>
      <x:c r="AB78" s="12" t="n">
        <x:f>IF(ISNUMBER(J78),IF($I$177&gt;$H$177,(J78-$H$177)/($I$177-$H$177),"缺失"),"缺失")</x:f>
        <x:v>0.14243349507376243</x:v>
      </x:c>
      <x:c r="AC78" s="12" t="n">
        <x:f>IF(ISNUMBER(K78),IF($I$178&gt;$H$178,(K78-$H$178)/($I$178-$H$178),"缺失"),"缺失")</x:f>
        <x:v>0.06984834215061277</x:v>
      </x:c>
      <x:c r="AD78" s="12" t="n">
        <x:f>IF(ISNUMBER(L78),IF($I$179&gt;$H$179,(L78-$H$179)/($I$179-$H$179),"缺失"),"缺失")</x:f>
        <x:v>0.31218272725175944</x:v>
      </x:c>
      <x:c r="AE78" s="12" t="n">
        <x:f>IF(ISNUMBER(M78),IF($I$180&gt;$H$180,(M78-$H$180)/($I$180-$H$180),"缺失"),"缺失")</x:f>
        <x:v>0.310474049</x:v>
      </x:c>
      <x:c r="AF78" s="12" t="n">
        <x:f>IF(ISNUMBER(N78),IF($I$181&gt;$H$181,(N78-$H$181)/($I$181-$H$181),"缺失"),"缺失")</x:f>
        <x:v>0.02400207457926104</x:v>
      </x:c>
      <x:c r="AG78" s="12" t="n">
        <x:f>IF(ISNUMBER(O78),IF($I$182&gt;$H$182,(O78-$H$182)/($I$182-$H$182),"缺失"),"缺失")</x:f>
        <x:v>0.06601293974929237</x:v>
      </x:c>
      <x:c r="AH78" s="12" t="n">
        <x:f>IF(ISNUMBER(P78),IF($I$183&gt;$H$183,(P78-$H$183)/($I$183-$H$183),"缺失"),"缺失")</x:f>
        <x:v>0.6628660335742264</x:v>
      </x:c>
      <x:c r="AI78" s="12" t="n">
        <x:f>IF(ISNUMBER(Q78),IF($I$184&gt;$H$184,(Q78-$H$184)/($I$184-$H$184),"缺失"),"缺失")</x:f>
        <x:v>0.5406667488366709</x:v>
      </x:c>
      <x:c r="AJ78" s="12" t="n">
        <x:f>IF(ISNUMBER(R78),IF($I$185&gt;$H$185,(R78-$H$185)/($I$185-$H$185),"缺失"),"缺失")</x:f>
        <x:v>0.0906027652713935</x:v>
      </x:c>
      <x:c r="AK78" s="12" t="n">
        <x:f>IF(ISNUMBER(S78),IF($I$186&gt;$H$186,(S78-$H$186)/($I$186-$H$186),"缺失"),"缺失")</x:f>
        <x:v>0.2766435927900587</x:v>
      </x:c>
      <x:c r="AL78" s="12" t="n">
        <x:f>IF(ISNUMBER(T78),IF($I$187&gt;$H$187,(T78-$H$187)/($I$187-$H$187),"缺失"),"缺失")</x:f>
        <x:v>0</x:v>
      </x:c>
      <x:c r="AM78" s="12" t="n">
        <x:f>IF(ISNUMBER(U78),IF($I$188&gt;$H$188,(U78-$H$188)/($I$188-$H$188),"缺失"),"缺失")</x:f>
        <x:v>0</x:v>
      </x:c>
      <x:c r="AN78" s="12" t="n">
        <x:f>IF(ISNUMBER(V78),IF($I$189&gt;$H$189,(V78-$H$189)/($I$189-$H$189),"缺失"),"缺失")</x:f>
        <x:v>1</x:v>
      </x:c>
      <x:c r="AO78" s="23" t="str"/>
      <x:c r="AP78" s="23" t="str">
        <x:v>见指标口径：州级、产业、代表点代理；气候基期待核实</x:v>
      </x:c>
      <x:c r="AQ78" s="15" t="n">
        <x:v>1.0000000000000038</x:v>
      </x:c>
      <x:c r="AR78" s="15" t="n">
        <x:v>1.0000000000000036</x:v>
      </x:c>
      <x:c r="AS78" s="15" t="n">
        <x:v>1</x:v>
      </x:c>
      <x:c r="AT78" s="15" t="n">
        <x:v>1</x:v>
      </x:c>
    </x:row>
    <x:row r="79" ht="24" customHeight="1">
      <x:c r="A79" s="18" t="str">
        <x:v>13147</x:v>
      </x:c>
      <x:c r="B79" s="3" t="str">
        <x:v>Hart County</x:v>
      </x:c>
      <x:c r="C79" s="3" t="str">
        <x:v>GA</x:v>
      </x:c>
      <x:c r="D79" s="12" t="n">
        <x:v>601.970607</x:v>
      </x:c>
      <x:c r="E79" s="12" t="n">
        <x:v>0.535</x:v>
      </x:c>
      <x:c r="F79" s="12" t="n">
        <x:v>0.40810643564356397</x:v>
      </x:c>
      <x:c r="G79" s="12" t="n">
        <x:v>2.931926380780837</x:v>
      </x:c>
      <x:c r="H79" s="12" t="n">
        <x:v>2.735302759</x:v>
      </x:c>
      <x:c r="I79" s="12" t="n">
        <x:v>0.8883142166339956</x:v>
      </x:c>
      <x:c r="J79" s="12" t="n">
        <x:v>0.006653157373638154</x:v>
      </x:c>
      <x:c r="K79" s="12" t="n">
        <x:v>0.016189010850988433</x:v>
      </x:c>
      <x:c r="L79" s="24" t="n">
        <x:v>0.75870085</x:v>
      </x:c>
      <x:c r="M79" s="24" t="n">
        <x:v>0.756442614</x:v>
      </x:c>
      <x:c r="N79" s="13" t="n">
        <x:v>12146</x:v>
      </x:c>
      <x:c r="O79" s="12" t="n">
        <x:v>0.7681</x:v>
      </x:c>
      <x:c r="P79" s="12" t="n">
        <x:v>1593.9431030273438</x:v>
      </x:c>
      <x:c r="Q79" s="12" t="n">
        <x:v>39.70391419728597</x:v>
      </x:c>
      <x:c r="R79" s="12" t="n">
        <x:v>15.840192794099725</x:v>
      </x:c>
      <x:c r="S79" s="12" t="n">
        <x:v>1.31876502715601</x:v>
      </x:c>
      <x:c r="T79" s="12" t="n">
        <x:v>72.1</x:v>
      </x:c>
      <x:c r="U79" s="12" t="n">
        <x:v>211.4154781728841</x:v>
      </x:c>
      <x:c r="V79" s="12" t="n">
        <x:v>325.42757789465</x:v>
      </x:c>
      <x:c r="W79" s="12" t="n">
        <x:f>IF(ISNUMBER(E79),IF($I$172&gt;$H$172,(E79-$H$172)/($I$172-$H$172),"缺失"),"缺失")</x:f>
        <x:v>0.5636574074074074</x:v>
      </x:c>
      <x:c r="X79" s="12" t="n">
        <x:f>IF(ISNUMBER(F79),IF($I$173&gt;$H$173,(F79-$H$173)/($I$173-$H$173),"缺失"),"缺失")</x:f>
        <x:v>0.40913385826771603</x:v>
      </x:c>
      <x:c r="Y79" s="12" t="n">
        <x:f>IF(ISNUMBER(G79),IF($I$174&gt;$H$174,(G79-$H$174)/($I$174-$H$174),"缺失"),"缺失")</x:f>
        <x:v>0.7709032283557884</x:v>
      </x:c>
      <x:c r="Z79" s="12" t="n">
        <x:f>IF(ISNUMBER(H79),IF($I$175&gt;$H$175,(H79-$H$175)/($I$175-$H$175),"缺失"),"缺失")</x:f>
        <x:v>0.6739015479187753</x:v>
      </x:c>
      <x:c r="AA79" s="12" t="n">
        <x:f>IF(ISNUMBER(I79),IF($I$176&gt;$H$176,(I79-$H$176)/($I$176-$H$176),"缺失"),"缺失")</x:f>
        <x:v>0.8893145415701826</x:v>
      </x:c>
      <x:c r="AB79" s="12" t="n">
        <x:f>IF(ISNUMBER(J79),IF($I$177&gt;$H$177,(J79-$H$177)/($I$177-$H$177),"缺失"),"缺失")</x:f>
        <x:v>0.016320154992674595</x:v>
      </x:c>
      <x:c r="AC79" s="12" t="n">
        <x:f>IF(ISNUMBER(K79),IF($I$178&gt;$H$178,(K79-$H$178)/($I$178-$H$178),"缺失"),"缺失")</x:f>
        <x:v>0.027832167737409975</x:v>
      </x:c>
      <x:c r="AD79" s="12" t="n">
        <x:f>IF(ISNUMBER(L79),IF($I$179&gt;$H$179,(L79-$H$179)/($I$179-$H$179),"缺失"),"缺失")</x:f>
        <x:v>0.7586210155905595</x:v>
      </x:c>
      <x:c r="AE79" s="12" t="n">
        <x:f>IF(ISNUMBER(M79),IF($I$180&gt;$H$180,(M79-$H$180)/($I$180-$H$180),"缺失"),"缺失")</x:f>
        <x:v>0.756442614</x:v>
      </x:c>
      <x:c r="AF79" s="12" t="n">
        <x:f>IF(ISNUMBER(N79),IF($I$181&gt;$H$181,(N79-$H$181)/($I$181-$H$181),"缺失"),"缺失")</x:f>
        <x:v>0.01779231225523536</x:v>
      </x:c>
      <x:c r="AG79" s="12" t="n">
        <x:f>IF(ISNUMBER(O79),IF($I$182&gt;$H$182,(O79-$H$182)/($I$182-$H$182),"缺失"),"缺失")</x:f>
        <x:v>0.7742620299231703</x:v>
      </x:c>
      <x:c r="AH79" s="12" t="n">
        <x:f>IF(ISNUMBER(P79),IF($I$183&gt;$H$183,(P79-$H$183)/($I$183-$H$183),"缺失"),"缺失")</x:f>
        <x:v>0.5929873729051672</x:v>
      </x:c>
      <x:c r="AI79" s="12" t="n">
        <x:f>IF(ISNUMBER(Q79),IF($I$184&gt;$H$184,(Q79-$H$184)/($I$184-$H$184),"缺失"),"缺失")</x:f>
        <x:v>0.462842557989731</x:v>
      </x:c>
      <x:c r="AJ79" s="12" t="n">
        <x:f>IF(ISNUMBER(R79),IF($I$185&gt;$H$185,(R79-$H$185)/($I$185-$H$185),"缺失"),"缺失")</x:f>
        <x:v>0.16494524419692538</x:v>
      </x:c>
      <x:c r="AK79" s="12" t="n">
        <x:f>IF(ISNUMBER(S79),IF($I$186&gt;$H$186,(S79-$H$186)/($I$186-$H$186),"缺失"),"缺失")</x:f>
        <x:v>0.025585078471313836</x:v>
      </x:c>
      <x:c r="AL79" s="12" t="n">
        <x:f>IF(ISNUMBER(T79),IF($I$187&gt;$H$187,(T79-$H$187)/($I$187-$H$187),"缺失"),"缺失")</x:f>
        <x:v>0</x:v>
      </x:c>
      <x:c r="AM79" s="12" t="n">
        <x:f>IF(ISNUMBER(U79),IF($I$188&gt;$H$188,(U79-$H$188)/($I$188-$H$188),"缺失"),"缺失")</x:f>
        <x:v>0</x:v>
      </x:c>
      <x:c r="AN79" s="12" t="n">
        <x:f>IF(ISNUMBER(V79),IF($I$189&gt;$H$189,(V79-$H$189)/($I$189-$H$189),"缺失"),"缺失")</x:f>
        <x:v>1</x:v>
      </x:c>
      <x:c r="AO79" s="23" t="str"/>
      <x:c r="AP79" s="23" t="str">
        <x:v>见指标口径：州级、产业、代表点代理；气候基期待核实</x:v>
      </x:c>
      <x:c r="AQ79" s="15" t="n">
        <x:v>0.9999999999999994</x:v>
      </x:c>
      <x:c r="AR79" s="15" t="n">
        <x:v>1.0000000000000004</x:v>
      </x:c>
      <x:c r="AS79" s="15" t="n">
        <x:v>1</x:v>
      </x:c>
      <x:c r="AT79" s="15" t="n">
        <x:v>1</x:v>
      </x:c>
    </x:row>
    <x:row r="80" ht="24" customHeight="1">
      <x:c r="A80" s="18" t="str">
        <x:v>13149</x:v>
      </x:c>
      <x:c r="B80" s="3" t="str">
        <x:v>Heard County</x:v>
      </x:c>
      <x:c r="C80" s="3" t="str">
        <x:v>GA</x:v>
      </x:c>
      <x:c r="D80" s="12" t="n">
        <x:v>766.567353</x:v>
      </x:c>
      <x:c r="E80" s="12" t="n">
        <x:v>0.751</x:v>
      </x:c>
      <x:c r="F80" s="12" t="n">
        <x:v>0.297648514851485</x:v>
      </x:c>
      <x:c r="G80" s="12" t="n">
        <x:v>2.4204197017407982</x:v>
      </x:c>
      <x:c r="H80" s="12" t="n">
        <x:v>2.2456763464557854</x:v>
      </x:c>
      <x:c r="I80" s="12" t="n">
        <x:v>0.950147729067815</x:v>
      </x:c>
      <x:c r="J80" s="12" t="n">
        <x:v>0.03662503013150768</x:v>
      </x:c>
      <x:c r="K80" s="12" t="n">
        <x:v>0.028901071255141263</x:v>
      </x:c>
      <x:c r="L80" s="24" t="n">
        <x:v>0.664765409</x:v>
      </x:c>
      <x:c r="M80" s="24" t="n">
        <x:v>0.664765409</x:v>
      </x:c>
      <x:c r="N80" s="13" t="n">
        <x:v>4977</x:v>
      </x:c>
      <x:c r="O80" s="12" t="n">
        <x:v>0.6459</x:v>
      </x:c>
      <x:c r="P80" s="12" t="n">
        <x:v>1538.8542724609374</x:v>
      </x:c>
      <x:c r="Q80" s="12" t="n">
        <x:v>41.73626149495443</x:v>
      </x:c>
      <x:c r="R80" s="12" t="n">
        <x:v>28.710571773595646</x:v>
      </x:c>
      <x:c r="S80" s="12" t="n">
        <x:v>14.466290329312928</x:v>
      </x:c>
      <x:c r="T80" s="12" t="n">
        <x:v>72.1</x:v>
      </x:c>
      <x:c r="U80" s="12" t="n">
        <x:v>211.4154781728841</x:v>
      </x:c>
      <x:c r="V80" s="12" t="n">
        <x:v>325.42757789465</x:v>
      </x:c>
      <x:c r="W80" s="12" t="n">
        <x:f>IF(ISNUMBER(E80),IF($I$172&gt;$H$172,(E80-$H$172)/($I$172-$H$172),"缺失"),"缺失")</x:f>
        <x:v>0.8136574074074073</x:v>
      </x:c>
      <x:c r="X80" s="12" t="n">
        <x:f>IF(ISNUMBER(F80),IF($I$173&gt;$H$173,(F80-$H$173)/($I$173-$H$173),"缺失"),"缺失")</x:f>
        <x:v>0.2966929133858266</x:v>
      </x:c>
      <x:c r="Y80" s="12" t="n">
        <x:f>IF(ISNUMBER(G80),IF($I$174&gt;$H$174,(G80-$H$174)/($I$174-$H$174),"缺失"),"缺失")</x:f>
        <x:v>0.6363508987903616</x:v>
      </x:c>
      <x:c r="Z80" s="12" t="n">
        <x:f>IF(ISNUMBER(H80),IF($I$175&gt;$H$175,(H80-$H$175)/($I$175-$H$175),"缺失"),"缺失")</x:f>
        <x:v>0.5531950908702906</x:v>
      </x:c>
      <x:c r="AA80" s="12" t="n">
        <x:f>IF(ISNUMBER(I80),IF($I$176&gt;$H$176,(I80-$H$176)/($I$176-$H$176),"缺失"),"缺失")</x:f>
        <x:v>0.9556944467601652</x:v>
      </x:c>
      <x:c r="AB80" s="12" t="n">
        <x:f>IF(ISNUMBER(J80),IF($I$177&gt;$H$177,(J80-$H$177)/($I$177-$H$177),"缺失"),"缺失")</x:f>
        <x:v>0.0898409784692538</x:v>
      </x:c>
      <x:c r="AC80" s="12" t="n">
        <x:f>IF(ISNUMBER(K80),IF($I$178&gt;$H$178,(K80-$H$178)/($I$178-$H$178),"缺失"),"缺失")</x:f>
        <x:v>0.049686757910525306</x:v>
      </x:c>
      <x:c r="AD80" s="12" t="n">
        <x:f>IF(ISNUMBER(L80),IF($I$179&gt;$H$179,(L80-$H$179)/($I$179-$H$179),"缺失"),"缺失")</x:f>
        <x:v>0.6646544958219116</x:v>
      </x:c>
      <x:c r="AE80" s="12" t="n">
        <x:f>IF(ISNUMBER(M80),IF($I$180&gt;$H$180,(M80-$H$180)/($I$180-$H$180),"缺失"),"缺失")</x:f>
        <x:v>0.664765409</x:v>
      </x:c>
      <x:c r="AF80" s="12" t="n">
        <x:f>IF(ISNUMBER(N80),IF($I$181&gt;$H$181,(N80-$H$181)/($I$181-$H$181),"缺失"),"缺失")</x:f>
        <x:v>0.006660082672604684</x:v>
      </x:c>
      <x:c r="AG80" s="12" t="n">
        <x:f>IF(ISNUMBER(O80),IF($I$182&gt;$H$182,(O80-$H$182)/($I$182-$H$182),"缺失"),"缺失")</x:f>
        <x:v>0.6507278608976952</x:v>
      </x:c>
      <x:c r="AH80" s="12" t="n">
        <x:f>IF(ISNUMBER(P80),IF($I$183&gt;$H$183,(P80-$H$183)/($I$183-$H$183),"缺失"),"缺失")</x:f>
        <x:v>0.5682053293645124</x:v>
      </x:c>
      <x:c r="AI80" s="12" t="n">
        <x:f>IF(ISNUMBER(Q80),IF($I$184&gt;$H$184,(Q80-$H$184)/($I$184-$H$184),"缺失"),"缺失")</x:f>
        <x:v>0.4867258816018899</x:v>
      </x:c>
      <x:c r="AJ80" s="12" t="n">
        <x:f>IF(ISNUMBER(R80),IF($I$185&gt;$H$185,(R80-$H$185)/($I$185-$H$185),"缺失"),"缺失")</x:f>
        <x:v>0.3001929619145406</x:v>
      </x:c>
      <x:c r="AK80" s="12" t="n">
        <x:f>IF(ISNUMBER(S80),IF($I$186&gt;$H$186,(S80-$H$186)/($I$186-$H$186),"缺失"),"缺失")</x:f>
        <x:v>0.28224659595558493</x:v>
      </x:c>
      <x:c r="AL80" s="12" t="n">
        <x:f>IF(ISNUMBER(T80),IF($I$187&gt;$H$187,(T80-$H$187)/($I$187-$H$187),"缺失"),"缺失")</x:f>
        <x:v>0</x:v>
      </x:c>
      <x:c r="AM80" s="12" t="n">
        <x:f>IF(ISNUMBER(U80),IF($I$188&gt;$H$188,(U80-$H$188)/($I$188-$H$188),"缺失"),"缺失")</x:f>
        <x:v>0</x:v>
      </x:c>
      <x:c r="AN80" s="12" t="n">
        <x:f>IF(ISNUMBER(V80),IF($I$189&gt;$H$189,(V80-$H$189)/($I$189-$H$189),"缺失"),"缺失")</x:f>
        <x:v>1</x:v>
      </x:c>
      <x:c r="AO80" s="23" t="str"/>
      <x:c r="AP80" s="23" t="str">
        <x:v>见指标口径：州级、产业、代表点代理；气候基期待核实</x:v>
      </x:c>
      <x:c r="AQ80" s="15" t="n">
        <x:v>1.0000000000000002</x:v>
      </x:c>
      <x:c r="AR80" s="15" t="n">
        <x:v>1.0000000000000002</x:v>
      </x:c>
      <x:c r="AS80" s="15" t="n">
        <x:v>1</x:v>
      </x:c>
      <x:c r="AT80" s="15" t="n">
        <x:v>1</x:v>
      </x:c>
    </x:row>
    <x:row r="81" ht="24" customHeight="1">
      <x:c r="A81" s="18" t="str">
        <x:v>13151</x:v>
      </x:c>
      <x:c r="B81" s="3" t="str">
        <x:v>Henry County</x:v>
      </x:c>
      <x:c r="C81" s="3" t="str">
        <x:v>GA</x:v>
      </x:c>
      <x:c r="D81" s="12" t="n">
        <x:v>825.452046</x:v>
      </x:c>
      <x:c r="E81" s="12" t="n">
        <x:v>0.502</x:v>
      </x:c>
      <x:c r="F81" s="12" t="n">
        <x:v>0.290532178217822</x:v>
      </x:c>
      <x:c r="G81" s="12" t="n">
        <x:v>3.119086632251105</x:v>
      </x:c>
      <x:c r="H81" s="12" t="n">
        <x:v>3.0529546195282107</x:v>
      </x:c>
      <x:c r="I81" s="12" t="n">
        <x:v>0.6545424292121439</x:v>
      </x:c>
      <x:c r="J81" s="12" t="n">
        <x:v>0.012833658770602243</x:v>
      </x:c>
      <x:c r="K81" s="12" t="n">
        <x:v>0.041431939689486115</x:v>
      </x:c>
      <x:c r="L81" s="24" t="n">
        <x:v>0.713075048</x:v>
      </x:c>
      <x:c r="M81" s="24" t="n">
        <x:v>0.712428507</x:v>
      </x:c>
      <x:c r="N81" s="13" t="n">
        <x:v>131327</x:v>
      </x:c>
      <x:c r="O81" s="12" t="n">
        <x:v>0.4018</x:v>
      </x:c>
      <x:c r="P81" s="12" t="n">
        <x:v>1671.441817220052</x:v>
      </x:c>
      <x:c r="Q81" s="12" t="n">
        <x:v>35.42950185139974</x:v>
      </x:c>
      <x:c r="R81" s="12" t="n">
        <x:v>3.8059632087345796</x:v>
      </x:c>
      <x:c r="S81" s="12" t="n">
        <x:v>0.13230626121501415</x:v>
      </x:c>
      <x:c r="T81" s="12" t="n">
        <x:v>72.1</x:v>
      </x:c>
      <x:c r="U81" s="12" t="n">
        <x:v>211.4154781728841</x:v>
      </x:c>
      <x:c r="V81" s="12" t="n">
        <x:v>325.42757789465</x:v>
      </x:c>
      <x:c r="W81" s="12" t="n">
        <x:f>IF(ISNUMBER(E81),IF($I$172&gt;$H$172,(E81-$H$172)/($I$172-$H$172),"缺失"),"缺失")</x:f>
        <x:v>0.525462962962963</x:v>
      </x:c>
      <x:c r="X81" s="12" t="n">
        <x:f>IF(ISNUMBER(F81),IF($I$173&gt;$H$173,(F81-$H$173)/($I$173-$H$173),"缺失"),"缺失")</x:f>
        <x:v>0.28944881889763796</x:v>
      </x:c>
      <x:c r="Y81" s="12" t="n">
        <x:f>IF(ISNUMBER(G81),IF($I$174&gt;$H$174,(G81-$H$174)/($I$174-$H$174),"缺失"),"缺失")</x:f>
        <x:v>0.8201359145929205</x:v>
      </x:c>
      <x:c r="Z81" s="12" t="n">
        <x:f>IF(ISNUMBER(H81),IF($I$175&gt;$H$175,(H81-$H$175)/($I$175-$H$175),"缺失"),"缺失")</x:f>
        <x:v>0.7522115199237216</x:v>
      </x:c>
      <x:c r="AA81" s="12" t="n">
        <x:f>IF(ISNUMBER(I81),IF($I$176&gt;$H$176,(I81-$H$176)/($I$176-$H$176),"缺失"),"缺失")</x:f>
        <x:v>0.6383543668305707</x:v>
      </x:c>
      <x:c r="AB81" s="12" t="n">
        <x:f>IF(ISNUMBER(J81),IF($I$177&gt;$H$177,(J81-$H$177)/($I$177-$H$177),"缺失"),"缺失")</x:f>
        <x:v>0.0314808877194489</x:v>
      </x:c>
      <x:c r="AC81" s="12" t="n">
        <x:f>IF(ISNUMBER(K81),IF($I$178&gt;$H$178,(K81-$H$178)/($I$178-$H$178),"缺失"),"缺失")</x:f>
        <x:v>0.07122984262214052</x:v>
      </x:c>
      <x:c r="AD81" s="12" t="n">
        <x:f>IF(ISNUMBER(L81),IF($I$179&gt;$H$179,(L81-$H$179)/($I$179-$H$179),"缺失"),"缺失")</x:f>
        <x:v>0.7129801181832283</x:v>
      </x:c>
      <x:c r="AE81" s="12" t="n">
        <x:f>IF(ISNUMBER(M81),IF($I$180&gt;$H$180,(M81-$H$180)/($I$180-$H$180),"缺失"),"缺失")</x:f>
        <x:v>0.712428507</x:v>
      </x:c>
      <x:c r="AF81" s="12" t="n">
        <x:f>IF(ISNUMBER(N81),IF($I$181&gt;$H$181,(N81-$H$181)/($I$181-$H$181),"缺失"),"缺失")</x:f>
        <x:v>0.20286000006211316</x:v>
      </x:c>
      <x:c r="AG81" s="12" t="n">
        <x:f>IF(ISNUMBER(O81),IF($I$182&gt;$H$182,(O81-$H$182)/($I$182-$H$182),"缺失"),"缺失")</x:f>
        <x:v>0.4039627982207845</x:v>
      </x:c>
      <x:c r="AH81" s="12" t="n">
        <x:f>IF(ISNUMBER(P81),IF($I$183&gt;$H$183,(P81-$H$183)/($I$183-$H$183),"缺失"),"缺失")</x:f>
        <x:v>0.6278506381028796</x:v>
      </x:c>
      <x:c r="AI81" s="12" t="n">
        <x:f>IF(ISNUMBER(Q81),IF($I$184&gt;$H$184,(Q81-$H$184)/($I$184-$H$184),"缺失"),"缺失")</x:f>
        <x:v>0.4126113925655321</x:v>
      </x:c>
      <x:c r="AJ81" s="12" t="n">
        <x:f>IF(ISNUMBER(R81),IF($I$185&gt;$H$185,(R81-$H$185)/($I$185-$H$185),"缺失"),"缺失")</x:f>
        <x:v>0.0384841595230858</x:v>
      </x:c>
      <x:c r="AK81" s="12" t="n">
        <x:f>IF(ISNUMBER(S81),IF($I$186&gt;$H$186,(S81-$H$186)/($I$186-$H$186),"缺失"),"缺失")</x:f>
        <x:v>0.002423433956435141</x:v>
      </x:c>
      <x:c r="AL81" s="12" t="n">
        <x:f>IF(ISNUMBER(T81),IF($I$187&gt;$H$187,(T81-$H$187)/($I$187-$H$187),"缺失"),"缺失")</x:f>
        <x:v>0</x:v>
      </x:c>
      <x:c r="AM81" s="12" t="n">
        <x:f>IF(ISNUMBER(U81),IF($I$188&gt;$H$188,(U81-$H$188)/($I$188-$H$188),"缺失"),"缺失")</x:f>
        <x:v>0</x:v>
      </x:c>
      <x:c r="AN81" s="12" t="n">
        <x:f>IF(ISNUMBER(V81),IF($I$189&gt;$H$189,(V81-$H$189)/($I$189-$H$189),"缺失"),"缺失")</x:f>
        <x:v>1</x:v>
      </x:c>
      <x:c r="AO81" s="23" t="str"/>
      <x:c r="AP81" s="23" t="str">
        <x:v>见指标口径：州级、产业、代表点代理；气候基期待核实</x:v>
      </x:c>
      <x:c r="AQ81" s="15" t="n">
        <x:v>1.0000000000000029</x:v>
      </x:c>
      <x:c r="AR81" s="15" t="n">
        <x:v>1.0000000000000029</x:v>
      </x:c>
      <x:c r="AS81" s="15" t="n">
        <x:v>1</x:v>
      </x:c>
      <x:c r="AT81" s="15" t="n">
        <x:v>1</x:v>
      </x:c>
    </x:row>
    <x:row r="82" ht="24" customHeight="1">
      <x:c r="A82" s="18" t="str">
        <x:v>13153</x:v>
      </x:c>
      <x:c r="B82" s="3" t="str">
        <x:v>Houston County</x:v>
      </x:c>
      <x:c r="C82" s="3" t="str">
        <x:v>GA</x:v>
      </x:c>
      <x:c r="D82" s="12" t="n">
        <x:v>974.236344</x:v>
      </x:c>
      <x:c r="E82" s="12" t="n">
        <x:v>0.489</x:v>
      </x:c>
      <x:c r="F82" s="12" t="n">
        <x:v>0.150680693069307</x:v>
      </x:c>
      <x:c r="G82" s="12" t="n">
        <x:v>2.561199900259151</x:v>
      </x:c>
      <x:c r="H82" s="12" t="n">
        <x:v>2.4386731094419787</x:v>
      </x:c>
      <x:c r="I82" s="12" t="n">
        <x:v>0.7793836896290368</x:v>
      </x:c>
      <x:c r="J82" s="12" t="n">
        <x:v>0.05818039356124309</x:v>
      </x:c>
      <x:c r="K82" s="12" t="n">
        <x:v>0.16554419629248635</x:v>
      </x:c>
      <x:c r="L82" s="24" t="n">
        <x:v>0.588823559</x:v>
      </x:c>
      <x:c r="M82" s="24" t="n">
        <x:v>0.575355546</x:v>
      </x:c>
      <x:c r="N82" s="13" t="n">
        <x:v>77475</x:v>
      </x:c>
      <x:c r="O82" s="12" t="n">
        <x:v>0.4887</x:v>
      </x:c>
      <x:c r="P82" s="12" t="n">
        <x:v>2057.650105794271</x:v>
      </x:c>
      <x:c r="Q82" s="12" t="n">
        <x:v>66.85262285868326</x:v>
      </x:c>
      <x:c r="R82" s="12" t="n">
        <x:v>7.791665379257728</x:v>
      </x:c>
      <x:c r="S82" s="12" t="n">
        <x:v>3.892239172261135</x:v>
      </x:c>
      <x:c r="T82" s="12" t="n">
        <x:v>72.1</x:v>
      </x:c>
      <x:c r="U82" s="12" t="n">
        <x:v>211.4154781728841</x:v>
      </x:c>
      <x:c r="V82" s="12" t="n">
        <x:v>325.42757789465</x:v>
      </x:c>
      <x:c r="W82" s="12" t="n">
        <x:f>IF(ISNUMBER(E82),IF($I$172&gt;$H$172,(E82-$H$172)/($I$172-$H$172),"缺失"),"缺失")</x:f>
        <x:v>0.5104166666666666</x:v>
      </x:c>
      <x:c r="X82" s="12" t="n">
        <x:f>IF(ISNUMBER(F82),IF($I$173&gt;$H$173,(F82-$H$173)/($I$173-$H$173),"缺失"),"缺失")</x:f>
        <x:v>0.14708661417322838</x:v>
      </x:c>
      <x:c r="Y82" s="12" t="n">
        <x:f>IF(ISNUMBER(G82),IF($I$174&gt;$H$174,(G82-$H$174)/($I$174-$H$174),"缺失"),"缺失")</x:f>
        <x:v>0.6733832669754207</x:v>
      </x:c>
      <x:c r="Z82" s="12" t="n">
        <x:f>IF(ISNUMBER(H82),IF($I$175&gt;$H$175,(H82-$H$175)/($I$175-$H$175),"缺失"),"缺失")</x:f>
        <x:v>0.6007741325335829</x:v>
      </x:c>
      <x:c r="AA82" s="12" t="n">
        <x:f>IF(ISNUMBER(I82),IF($I$176&gt;$H$176,(I82-$H$176)/($I$176-$H$176),"缺失"),"缺失")</x:f>
        <x:v>0.7723747500190695</x:v>
      </x:c>
      <x:c r="AB82" s="12" t="n">
        <x:f>IF(ISNUMBER(J82),IF($I$177&gt;$H$177,(J82-$H$177)/($I$177-$H$177),"缺失"),"缺失")</x:f>
        <x:v>0.14271615522226416</x:v>
      </x:c>
      <x:c r="AC82" s="12" t="n">
        <x:f>IF(ISNUMBER(K82),IF($I$178&gt;$H$178,(K82-$H$178)/($I$178-$H$178),"缺失"),"缺失")</x:f>
        <x:v>0.2846037896679704</x:v>
      </x:c>
      <x:c r="AD82" s="12" t="n">
        <x:f>IF(ISNUMBER(L82),IF($I$179&gt;$H$179,(L82-$H$179)/($I$179-$H$179),"缺失"),"缺失")</x:f>
        <x:v>0.5886875202765188</x:v>
      </x:c>
      <x:c r="AE82" s="12" t="n">
        <x:f>IF(ISNUMBER(M82),IF($I$180&gt;$H$180,(M82-$H$180)/($I$180-$H$180),"缺失"),"缺失")</x:f>
        <x:v>0.575355546</x:v>
      </x:c>
      <x:c r="AF82" s="12" t="n">
        <x:f>IF(ISNUMBER(N82),IF($I$181&gt;$H$181,(N82-$H$181)/($I$181-$H$181),"缺失"),"缺失")</x:f>
        <x:v>0.11923706415977987</x:v>
      </x:c>
      <x:c r="AG82" s="12" t="n">
        <x:f>IF(ISNUMBER(O82),IF($I$182&gt;$H$182,(O82-$H$182)/($I$182-$H$182),"缺失"),"缺失")</x:f>
        <x:v>0.4918115649009301</x:v>
      </x:c>
      <x:c r="AH82" s="12" t="n">
        <x:f>IF(ISNUMBER(P82),IF($I$183&gt;$H$183,(P82-$H$183)/($I$183-$H$183),"缺失"),"缺失")</x:f>
        <x:v>0.8015887720367779</x:v>
      </x:c>
      <x:c r="AI82" s="12" t="n">
        <x:f>IF(ISNUMBER(Q82),IF($I$184&gt;$H$184,(Q82-$H$184)/($I$184-$H$184),"缺失"),"缺失")</x:f>
        <x:v>0.7818832039247192</x:v>
      </x:c>
      <x:c r="AJ82" s="12" t="n">
        <x:f>IF(ISNUMBER(R82),IF($I$185&gt;$H$185,(R82-$H$185)/($I$185-$H$185),"缺失"),"缺失")</x:f>
        <x:v>0.08036770645858667</x:v>
      </x:c>
      <x:c r="AK82" s="12" t="n">
        <x:f>IF(ISNUMBER(S82),IF($I$186&gt;$H$186,(S82-$H$186)/($I$186-$H$186),"缺失"),"缺失")</x:f>
        <x:v>0.07582356549524513</x:v>
      </x:c>
      <x:c r="AL82" s="12" t="n">
        <x:f>IF(ISNUMBER(T82),IF($I$187&gt;$H$187,(T82-$H$187)/($I$187-$H$187),"缺失"),"缺失")</x:f>
        <x:v>0</x:v>
      </x:c>
      <x:c r="AM82" s="12" t="n">
        <x:f>IF(ISNUMBER(U82),IF($I$188&gt;$H$188,(U82-$H$188)/($I$188-$H$188),"缺失"),"缺失")</x:f>
        <x:v>0</x:v>
      </x:c>
      <x:c r="AN82" s="12" t="n">
        <x:f>IF(ISNUMBER(V82),IF($I$189&gt;$H$189,(V82-$H$189)/($I$189-$H$189),"缺失"),"缺失")</x:f>
        <x:v>1</x:v>
      </x:c>
      <x:c r="AO82" s="23" t="str"/>
      <x:c r="AP82" s="23" t="str">
        <x:v>见指标口径：州级、产业、代表点代理；气候基期待核实</x:v>
      </x:c>
      <x:c r="AQ82" s="15" t="n">
        <x:v>1.000000000000001</x:v>
      </x:c>
      <x:c r="AR82" s="15" t="n">
        <x:v>1.000000000000001</x:v>
      </x:c>
      <x:c r="AS82" s="15" t="n">
        <x:v>1</x:v>
      </x:c>
      <x:c r="AT82" s="15" t="n">
        <x:v>1</x:v>
      </x:c>
    </x:row>
    <x:row r="83" ht="24" customHeight="1">
      <x:c r="A83" s="18" t="str">
        <x:v>13155</x:v>
      </x:c>
      <x:c r="B83" s="3" t="str">
        <x:v>Irwin County</x:v>
      </x:c>
      <x:c r="C83" s="3" t="str">
        <x:v>GA</x:v>
      </x:c>
      <x:c r="D83" s="12" t="n">
        <x:v>917.795237</x:v>
      </x:c>
      <x:c r="E83" s="12" t="n">
        <x:v>0.485</x:v>
      </x:c>
      <x:c r="F83" s="12" t="n">
        <x:v>0.114789603960396</x:v>
      </x:c>
      <x:c r="G83" s="12" t="n">
        <x:v>2.540998662645616</x:v>
      </x:c>
      <x:c r="H83" s="12" t="n">
        <x:v>2.6924500149851904</x:v>
      </x:c>
      <x:c r="I83" s="12" t="n">
        <x:v>0.9499237058017715</x:v>
      </x:c>
      <x:c r="J83" s="12" t="n">
        <x:v>0.03148930767136613</x:v>
      </x:c>
      <x:c r="K83" s="12" t="n">
        <x:v>0.23749482028206917</x:v>
      </x:c>
      <x:c r="L83" s="24" t="n">
        <x:v>0.918896999</x:v>
      </x:c>
      <x:c r="M83" s="24" t="n">
        <x:v>0.918896999</x:v>
      </x:c>
      <x:c r="N83" s="13" t="n">
        <x:v>3991</x:v>
      </x:c>
      <x:c r="O83" s="12" t="n">
        <x:v>0.8282</x:v>
      </x:c>
      <x:c r="P83" s="12" t="n">
        <x:v>2260.5689290364585</x:v>
      </x:c>
      <x:c r="Q83" s="12" t="n">
        <x:v>72.43587532043458</x:v>
      </x:c>
      <x:c r="R83" s="12" t="n">
        <x:v>24.71535526651209</x:v>
      </x:c>
      <x:c r="S83" s="12" t="n">
        <x:v>8.211887419271442</x:v>
      </x:c>
      <x:c r="T83" s="12" t="n">
        <x:v>72.1</x:v>
      </x:c>
      <x:c r="U83" s="12" t="n">
        <x:v>211.4154781728841</x:v>
      </x:c>
      <x:c r="V83" s="12" t="n">
        <x:v>325.42757789465</x:v>
      </x:c>
      <x:c r="W83" s="12" t="n">
        <x:f>IF(ISNUMBER(E83),IF($I$172&gt;$H$172,(E83-$H$172)/($I$172-$H$172),"缺失"),"缺失")</x:f>
        <x:v>0.5057870370370371</x:v>
      </x:c>
      <x:c r="X83" s="12" t="n">
        <x:f>IF(ISNUMBER(F83),IF($I$173&gt;$H$173,(F83-$H$173)/($I$173-$H$173),"缺失"),"缺失")</x:f>
        <x:v>0.11055118110236213</x:v>
      </x:c>
      <x:c r="Y83" s="12" t="n">
        <x:f>IF(ISNUMBER(G83),IF($I$174&gt;$H$174,(G83-$H$174)/($I$174-$H$174),"缺失"),"缺失")</x:f>
        <x:v>0.6680693117674319</x:v>
      </x:c>
      <x:c r="Z83" s="12" t="n">
        <x:f>IF(ISNUMBER(H83),IF($I$175&gt;$H$175,(H83-$H$175)/($I$175-$H$175),"缺失"),"缺失")</x:f>
        <x:v>0.6633371609243008</x:v>
      </x:c>
      <x:c r="AA83" s="12" t="n">
        <x:f>IF(ISNUMBER(I83),IF($I$176&gt;$H$176,(I83-$H$176)/($I$176-$H$176),"缺失"),"缺失")</x:f>
        <x:v>0.955453951880043</x:v>
      </x:c>
      <x:c r="AB83" s="12" t="n">
        <x:f>IF(ISNUMBER(J83),IF($I$177&gt;$H$177,(J83-$H$177)/($I$177-$H$177),"缺失"),"缺失")</x:f>
        <x:v>0.0772430821860584</x:v>
      </x:c>
      <x:c r="AC83" s="12" t="n">
        <x:f>IF(ISNUMBER(K83),IF($I$178&gt;$H$178,(K83-$H$178)/($I$178-$H$178),"缺失"),"缺失")</x:f>
        <x:v>0.408301392574149</x:v>
      </x:c>
      <x:c r="AD83" s="12" t="n">
        <x:f>IF(ISNUMBER(L83),IF($I$179&gt;$H$179,(L83-$H$179)/($I$179-$H$179),"缺失"),"缺失")</x:f>
        <x:v>0.918870165875272</x:v>
      </x:c>
      <x:c r="AE83" s="12" t="n">
        <x:f>IF(ISNUMBER(M83),IF($I$180&gt;$H$180,(M83-$H$180)/($I$180-$H$180),"缺失"),"缺失")</x:f>
        <x:v>0.918896999</x:v>
      </x:c>
      <x:c r="AF83" s="12" t="n">
        <x:f>IF(ISNUMBER(N83),IF($I$181&gt;$H$181,(N83-$H$181)/($I$181-$H$181),"缺失"),"缺失")</x:f>
        <x:v>0.005128993487436062</x:v>
      </x:c>
      <x:c r="AG83" s="12" t="n">
        <x:f>IF(ISNUMBER(O83),IF($I$182&gt;$H$182,(O83-$H$182)/($I$182-$H$182),"缺失"),"缺失")</x:f>
        <x:v>0.8350181965224425</x:v>
      </x:c>
      <x:c r="AH83" s="12" t="n">
        <x:f>IF(ISNUMBER(P83),IF($I$183&gt;$H$183,(P83-$H$183)/($I$183-$H$183),"缺失"),"缺失")</x:f>
        <x:v>0.89287303167893</x:v>
      </x:c>
      <x:c r="AI83" s="12" t="n">
        <x:f>IF(ISNUMBER(Q83),IF($I$184&gt;$H$184,(Q83-$H$184)/($I$184-$H$184),"缺失"),"缺失")</x:f>
        <x:v>0.8474953291285989</x:v>
      </x:c>
      <x:c r="AJ83" s="12" t="n">
        <x:f>IF(ISNUMBER(R83),IF($I$185&gt;$H$185,(R83-$H$185)/($I$185-$H$185),"缺失"),"缺失")</x:f>
        <x:v>0.25820943406103863</x:v>
      </x:c>
      <x:c r="AK83" s="12" t="n">
        <x:f>IF(ISNUMBER(S83),IF($I$186&gt;$H$186,(S83-$H$186)/($I$186-$H$186),"缺失"),"缺失")</x:f>
        <x:v>0.1601502694639419</x:v>
      </x:c>
      <x:c r="AL83" s="12" t="n">
        <x:f>IF(ISNUMBER(T83),IF($I$187&gt;$H$187,(T83-$H$187)/($I$187-$H$187),"缺失"),"缺失")</x:f>
        <x:v>0</x:v>
      </x:c>
      <x:c r="AM83" s="12" t="n">
        <x:f>IF(ISNUMBER(U83),IF($I$188&gt;$H$188,(U83-$H$188)/($I$188-$H$188),"缺失"),"缺失")</x:f>
        <x:v>0</x:v>
      </x:c>
      <x:c r="AN83" s="12" t="n">
        <x:f>IF(ISNUMBER(V83),IF($I$189&gt;$H$189,(V83-$H$189)/($I$189-$H$189),"缺失"),"缺失")</x:f>
        <x:v>1</x:v>
      </x:c>
      <x:c r="AO83" s="23" t="str"/>
      <x:c r="AP83" s="23" t="str">
        <x:v>见指标口径：州级、产业、代表点代理；气候基期待核实</x:v>
      </x:c>
      <x:c r="AQ83" s="15" t="n">
        <x:v>0.999999999999998</x:v>
      </x:c>
      <x:c r="AR83" s="15" t="n">
        <x:v>0.9999999999999979</x:v>
      </x:c>
      <x:c r="AS83" s="15" t="n">
        <x:v>1</x:v>
      </x:c>
      <x:c r="AT83" s="15" t="n">
        <x:v>1</x:v>
      </x:c>
    </x:row>
    <x:row r="84" ht="24" customHeight="1">
      <x:c r="A84" s="18" t="str">
        <x:v>13157</x:v>
      </x:c>
      <x:c r="B84" s="3" t="str">
        <x:v>Jackson County</x:v>
      </x:c>
      <x:c r="C84" s="3" t="str">
        <x:v>GA</x:v>
      </x:c>
      <x:c r="D84" s="12" t="n">
        <x:v>879.812977</x:v>
      </x:c>
      <x:c r="E84" s="12" t="n">
        <x:v>0.497</x:v>
      </x:c>
      <x:c r="F84" s="12" t="n">
        <x:v>0.171101485148515</x:v>
      </x:c>
      <x:c r="G84" s="12" t="n">
        <x:v>2.1397501954663536</x:v>
      </x:c>
      <x:c r="H84" s="12" t="n">
        <x:v>1.9469339822586829</x:v>
      </x:c>
      <x:c r="I84" s="12" t="n">
        <x:v>0.8578813137088342</x:v>
      </x:c>
      <x:c r="J84" s="12" t="n">
        <x:v>0.005939443718642342</x:v>
      </x:c>
      <x:c r="K84" s="12" t="n">
        <x:v>0.045460949751698905</x:v>
      </x:c>
      <x:c r="L84" s="24" t="n">
        <x:v>0.406795199</x:v>
      </x:c>
      <x:c r="M84" s="24" t="n">
        <x:v>0.404100456</x:v>
      </x:c>
      <x:c r="N84" s="13" t="n">
        <x:v>44302</x:v>
      </x:c>
      <x:c r="O84" s="12" t="n">
        <x:v>0.3264</x:v>
      </x:c>
      <x:c r="P84" s="12" t="n">
        <x:v>1493.971826171875</x:v>
      </x:c>
      <x:c r="Q84" s="12" t="n">
        <x:v>36.08658014933268</x:v>
      </x:c>
      <x:c r="R84" s="12" t="n">
        <x:v>6.607658265680167</x:v>
      </x:c>
      <x:c r="S84" s="12" t="n">
        <x:v>2.073498360020508</x:v>
      </x:c>
      <x:c r="T84" s="12" t="n">
        <x:v>72.1</x:v>
      </x:c>
      <x:c r="U84" s="12" t="n">
        <x:v>211.4154781728841</x:v>
      </x:c>
      <x:c r="V84" s="12" t="n">
        <x:v>325.42757789465</x:v>
      </x:c>
      <x:c r="W84" s="12" t="n">
        <x:f>IF(ISNUMBER(E84),IF($I$172&gt;$H$172,(E84-$H$172)/($I$172-$H$172),"缺失"),"缺失")</x:f>
        <x:v>0.5196759259259259</x:v>
      </x:c>
      <x:c r="X84" s="12" t="n">
        <x:f>IF(ISNUMBER(F84),IF($I$173&gt;$H$173,(F84-$H$173)/($I$173-$H$173),"缺失"),"缺失")</x:f>
        <x:v>0.1678740157480316</x:v>
      </x:c>
      <x:c r="Y84" s="12" t="n">
        <x:f>IF(ISNUMBER(G84),IF($I$174&gt;$H$174,(G84-$H$174)/($I$174-$H$174),"缺失"),"缺失")</x:f>
        <x:v>0.5625205121020019</x:v>
      </x:c>
      <x:c r="Z84" s="12" t="n">
        <x:f>IF(ISNUMBER(H84),IF($I$175&gt;$H$175,(H84-$H$175)/($I$175-$H$175),"缺失"),"缺失")</x:f>
        <x:v>0.4795468328746826</x:v>
      </x:c>
      <x:c r="AA84" s="12" t="n">
        <x:f>IF(ISNUMBER(I84),IF($I$176&gt;$H$176,(I84-$H$176)/($I$176-$H$176),"缺失"),"缺失")</x:f>
        <x:v>0.8566440182356024</x:v>
      </x:c>
      <x:c r="AB84" s="12" t="n">
        <x:f>IF(ISNUMBER(J84),IF($I$177&gt;$H$177,(J84-$H$177)/($I$177-$H$177),"缺失"),"缺失")</x:f>
        <x:v>0.014569419692759315</x:v>
      </x:c>
      <x:c r="AC84" s="12" t="n">
        <x:f>IF(ISNUMBER(K84),IF($I$178&gt;$H$178,(K84-$H$178)/($I$178-$H$178),"缺失"),"缺失")</x:f>
        <x:v>0.07815652176883912</x:v>
      </x:c>
      <x:c r="AD84" s="12" t="n">
        <x:f>IF(ISNUMBER(L84),IF($I$179&gt;$H$179,(L84-$H$179)/($I$179-$H$179),"缺失"),"缺失")</x:f>
        <x:v>0.40659893575180733</x:v>
      </x:c>
      <x:c r="AE84" s="12" t="n">
        <x:f>IF(ISNUMBER(M84),IF($I$180&gt;$H$180,(M84-$H$180)/($I$180-$H$180),"缺失"),"缺失")</x:f>
        <x:v>0.404100456</x:v>
      </x:c>
      <x:c r="AF84" s="12" t="n">
        <x:f>IF(ISNUMBER(N84),IF($I$181&gt;$H$181,(N84-$H$181)/($I$181-$H$181),"缺失"),"缺失")</x:f>
        <x:v>0.06772507476870615</x:v>
      </x:c>
      <x:c r="AG84" s="12" t="n">
        <x:f>IF(ISNUMBER(O84),IF($I$182&gt;$H$182,(O84-$H$182)/($I$182-$H$182),"缺失"),"缺失")</x:f>
        <x:v>0.3277395875454914</x:v>
      </x:c>
      <x:c r="AH84" s="12" t="n">
        <x:f>IF(ISNUMBER(P84),IF($I$183&gt;$H$183,(P84-$H$183)/($I$183-$H$183),"缺失"),"缺失")</x:f>
        <x:v>0.5480146895068397</x:v>
      </x:c>
      <x:c r="AI84" s="12" t="n">
        <x:f>IF(ISNUMBER(Q84),IF($I$184&gt;$H$184,(Q84-$H$184)/($I$184-$H$184),"缺失"),"缺失")</x:f>
        <x:v>0.4203331110169318</x:v>
      </x:c>
      <x:c r="AJ84" s="12" t="n">
        <x:f>IF(ISNUMBER(R84),IF($I$185&gt;$H$185,(R84-$H$185)/($I$185-$H$185),"缺失"),"缺失")</x:f>
        <x:v>0.06792562840261801</x:v>
      </x:c>
      <x:c r="AK84" s="12" t="n">
        <x:f>IF(ISNUMBER(S84),IF($I$186&gt;$H$186,(S84-$H$186)/($I$186-$H$186),"缺失"),"缺失")</x:f>
        <x:v>0.04031872591120005</x:v>
      </x:c>
      <x:c r="AL84" s="12" t="n">
        <x:f>IF(ISNUMBER(T84),IF($I$187&gt;$H$187,(T84-$H$187)/($I$187-$H$187),"缺失"),"缺失")</x:f>
        <x:v>0</x:v>
      </x:c>
      <x:c r="AM84" s="12" t="n">
        <x:f>IF(ISNUMBER(U84),IF($I$188&gt;$H$188,(U84-$H$188)/($I$188-$H$188),"缺失"),"缺失")</x:f>
        <x:v>0</x:v>
      </x:c>
      <x:c r="AN84" s="12" t="n">
        <x:f>IF(ISNUMBER(V84),IF($I$189&gt;$H$189,(V84-$H$189)/($I$189-$H$189),"缺失"),"缺失")</x:f>
        <x:v>1</x:v>
      </x:c>
      <x:c r="AO84" s="23" t="str"/>
      <x:c r="AP84" s="23" t="str">
        <x:v>见指标口径：州级、产业、代表点代理；气候基期待核实</x:v>
      </x:c>
      <x:c r="AQ84" s="15" t="n">
        <x:v>0.9999999999999991</x:v>
      </x:c>
      <x:c r="AR84" s="15" t="n">
        <x:v>0.9999999999999999</x:v>
      </x:c>
      <x:c r="AS84" s="15" t="n">
        <x:v>1</x:v>
      </x:c>
      <x:c r="AT84" s="15" t="n">
        <x:v>1</x:v>
      </x:c>
    </x:row>
    <x:row r="85" ht="24" customHeight="1">
      <x:c r="A85" s="18" t="str">
        <x:v>13159</x:v>
      </x:c>
      <x:c r="B85" s="3" t="str">
        <x:v>Jasper County</x:v>
      </x:c>
      <x:c r="C85" s="3" t="str">
        <x:v>GA</x:v>
      </x:c>
      <x:c r="D85" s="12" t="n">
        <x:v>954.167639</x:v>
      </x:c>
      <x:c r="E85" s="12" t="n">
        <x:v>0.594</x:v>
      </x:c>
      <x:c r="F85" s="12" t="n">
        <x:v>0.431311881188119</x:v>
      </x:c>
      <x:c r="G85" s="12" t="n">
        <x:v>2.2933778363367514</x:v>
      </x:c>
      <x:c r="H85" s="12" t="n">
        <x:v>2.1273086773833874</x:v>
      </x:c>
      <x:c r="I85" s="12" t="n">
        <x:v>0.9602714209936715</x:v>
      </x:c>
      <x:c r="J85" s="12" t="n">
        <x:v>0.03864602900962545</x:v>
      </x:c>
      <x:c r="K85" s="12" t="n">
        <x:v>0.04146311819457177</x:v>
      </x:c>
      <x:c r="L85" s="24" t="n">
        <x:v>0.813136589</x:v>
      </x:c>
      <x:c r="M85" s="24" t="n">
        <x:v>0.813136589</x:v>
      </x:c>
      <x:c r="N85" s="13" t="n">
        <x:v>7724</x:v>
      </x:c>
      <x:c r="O85" s="12" t="n">
        <x:v>0.5492</x:v>
      </x:c>
      <x:c r="P85" s="12" t="n">
        <x:v>1719.545808919271</x:v>
      </x:c>
      <x:c r="Q85" s="12" t="n">
        <x:v>47.854315694173174</x:v>
      </x:c>
      <x:c r="R85" s="12" t="n">
        <x:v>30.75053995847138</x:v>
      </x:c>
      <x:c r="S85" s="12" t="n">
        <x:v>1.377632975511051</x:v>
      </x:c>
      <x:c r="T85" s="12" t="n">
        <x:v>72.1</x:v>
      </x:c>
      <x:c r="U85" s="12" t="n">
        <x:v>211.4154781728841</x:v>
      </x:c>
      <x:c r="V85" s="12" t="n">
        <x:v>325.42757789465</x:v>
      </x:c>
      <x:c r="W85" s="12" t="n">
        <x:f>IF(ISNUMBER(E85),IF($I$172&gt;$H$172,(E85-$H$172)/($I$172-$H$172),"缺失"),"缺失")</x:f>
        <x:v>0.6319444444444444</x:v>
      </x:c>
      <x:c r="X85" s="12" t="n">
        <x:f>IF(ISNUMBER(F85),IF($I$173&gt;$H$173,(F85-$H$173)/($I$173-$H$173),"缺失"),"缺失")</x:f>
        <x:v>0.4327559055118111</x:v>
      </x:c>
      <x:c r="Y85" s="12" t="n">
        <x:f>IF(ISNUMBER(G85),IF($I$174&gt;$H$174,(G85-$H$174)/($I$174-$H$174),"缺失"),"缺失")</x:f>
        <x:v>0.6029324124970206</x:v>
      </x:c>
      <x:c r="Z85" s="12" t="n">
        <x:f>IF(ISNUMBER(H85),IF($I$175&gt;$H$175,(H85-$H$175)/($I$175-$H$175),"缺失"),"缺失")</x:f>
        <x:v>0.5240141855989141</x:v>
      </x:c>
      <x:c r="AA85" s="12" t="n">
        <x:f>IF(ISNUMBER(I85),IF($I$176&gt;$H$176,(I85-$H$176)/($I$176-$H$176),"缺失"),"缺失")</x:f>
        <x:v>0.9665624968475706</x:v>
      </x:c>
      <x:c r="AB85" s="12" t="n">
        <x:f>IF(ISNUMBER(J85),IF($I$177&gt;$H$177,(J85-$H$177)/($I$177-$H$177),"缺失"),"缺失")</x:f>
        <x:v>0.09479847655303462</x:v>
      </x:c>
      <x:c r="AC85" s="12" t="n">
        <x:f>IF(ISNUMBER(K85),IF($I$178&gt;$H$178,(K85-$H$178)/($I$178-$H$178),"缺失"),"缺失")</x:f>
        <x:v>0.07128344474714575</x:v>
      </x:c>
      <x:c r="AD85" s="12" t="n">
        <x:f>IF(ISNUMBER(L85),IF($I$179&gt;$H$179,(L85-$H$179)/($I$179-$H$179),"缺失"),"缺失")</x:f>
        <x:v>0.8130747647869299</x:v>
      </x:c>
      <x:c r="AE85" s="12" t="n">
        <x:f>IF(ISNUMBER(M85),IF($I$180&gt;$H$180,(M85-$H$180)/($I$180-$H$180),"缺失"),"缺失")</x:f>
        <x:v>0.813136589</x:v>
      </x:c>
      <x:c r="AF85" s="12" t="n">
        <x:f>IF(ISNUMBER(N85),IF($I$181&gt;$H$181,(N85-$H$181)/($I$181-$H$181),"缺失"),"缺失")</x:f>
        <x:v>0.010925703353799616</x:v>
      </x:c>
      <x:c r="AG85" s="12" t="n">
        <x:f>IF(ISNUMBER(O85),IF($I$182&gt;$H$182,(O85-$H$182)/($I$182-$H$182),"缺失"),"缺失")</x:f>
        <x:v>0.5529720986655884</x:v>
      </x:c>
      <x:c r="AH85" s="12" t="n">
        <x:f>IF(ISNUMBER(P85),IF($I$183&gt;$H$183,(P85-$H$183)/($I$183-$H$183),"缺失"),"缺失")</x:f>
        <x:v>0.649490509643306</x:v>
      </x:c>
      <x:c r="AI85" s="12" t="n">
        <x:f>IF(ISNUMBER(Q85),IF($I$184&gt;$H$184,(Q85-$H$184)/($I$184-$H$184),"缺失"),"缺失")</x:f>
        <x:v>0.5586227805641389</x:v>
      </x:c>
      <x:c r="AJ85" s="12" t="n">
        <x:f>IF(ISNUMBER(R85),IF($I$185&gt;$H$185,(R85-$H$185)/($I$185-$H$185),"缺失"),"缺失")</x:f>
        <x:v>0.32162986300817065</x:v>
      </x:c>
      <x:c r="AK85" s="12" t="n">
        <x:f>IF(ISNUMBER(S85),IF($I$186&gt;$H$186,(S85-$H$186)/($I$186-$H$186),"缺失"),"缺失")</x:f>
        <x:v>0.026734278538151645</x:v>
      </x:c>
      <x:c r="AL85" s="12" t="n">
        <x:f>IF(ISNUMBER(T85),IF($I$187&gt;$H$187,(T85-$H$187)/($I$187-$H$187),"缺失"),"缺失")</x:f>
        <x:v>0</x:v>
      </x:c>
      <x:c r="AM85" s="12" t="n">
        <x:f>IF(ISNUMBER(U85),IF($I$188&gt;$H$188,(U85-$H$188)/($I$188-$H$188),"缺失"),"缺失")</x:f>
        <x:v>0</x:v>
      </x:c>
      <x:c r="AN85" s="12" t="n">
        <x:f>IF(ISNUMBER(V85),IF($I$189&gt;$H$189,(V85-$H$189)/($I$189-$H$189),"缺失"),"缺失")</x:f>
        <x:v>1</x:v>
      </x:c>
      <x:c r="AO85" s="23" t="str"/>
      <x:c r="AP85" s="23" t="str">
        <x:v>见指标口径：州级、产业、代表点代理；气候基期待核实</x:v>
      </x:c>
      <x:c r="AQ85" s="15" t="n">
        <x:v>1.0000000000000047</x:v>
      </x:c>
      <x:c r="AR85" s="15" t="n">
        <x:v>1.0000000000000044</x:v>
      </x:c>
      <x:c r="AS85" s="15" t="n">
        <x:v>1</x:v>
      </x:c>
      <x:c r="AT85" s="15" t="n">
        <x:v>1</x:v>
      </x:c>
    </x:row>
    <x:row r="86" ht="24" customHeight="1">
      <x:c r="A86" s="18" t="str">
        <x:v>13161</x:v>
      </x:c>
      <x:c r="B86" s="3" t="str">
        <x:v>Jeff Davis County</x:v>
      </x:c>
      <x:c r="C86" s="3" t="str">
        <x:v>GA</x:v>
      </x:c>
      <x:c r="D86" s="12" t="n">
        <x:v>857.075892</x:v>
      </x:c>
      <x:c r="E86" s="12" t="n">
        <x:v>0.535</x:v>
      </x:c>
      <x:c r="F86" s="12" t="n">
        <x:v>0.11943069306930701</x:v>
      </x:c>
      <x:c r="G86" s="12" t="n">
        <x:v>1.1883581798935619</x:v>
      </x:c>
      <x:c r="H86" s="12" t="n">
        <x:v>1.1188874347712237</x:v>
      </x:c>
      <x:c r="I86" s="12" t="n">
        <x:v>0.9250210244888225</x:v>
      </x:c>
      <x:c r="J86" s="12" t="n">
        <x:v>0.07103898359499679</x:v>
      </x:c>
      <x:c r="K86" s="12" t="n">
        <x:v>0.24447819519930378</x:v>
      </x:c>
      <x:c r="L86" s="24" t="n">
        <x:v>0.750169354</x:v>
      </x:c>
      <x:c r="M86" s="24" t="n">
        <x:v>0.750169354</x:v>
      </x:c>
      <x:c r="N86" s="13" t="n">
        <x:v>5883</x:v>
      </x:c>
      <x:c r="O86" s="12" t="n">
        <x:v>0.8785</x:v>
      </x:c>
      <x:c r="P86" s="12" t="n">
        <x:v>2126.5381673177085</x:v>
      </x:c>
      <x:c r="Q86" s="12" t="n">
        <x:v>72.29266026814778</x:v>
      </x:c>
      <x:c r="R86" s="12" t="n">
        <x:v>68.57871565189281</x:v>
      </x:c>
      <x:c r="S86" s="12" t="n">
        <x:v>6.29698062034429</x:v>
      </x:c>
      <x:c r="T86" s="12" t="n">
        <x:v>72.1</x:v>
      </x:c>
      <x:c r="U86" s="12" t="n">
        <x:v>211.4154781728841</x:v>
      </x:c>
      <x:c r="V86" s="12" t="n">
        <x:v>325.42757789465</x:v>
      </x:c>
      <x:c r="W86" s="12" t="n">
        <x:f>IF(ISNUMBER(E86),IF($I$172&gt;$H$172,(E86-$H$172)/($I$172-$H$172),"缺失"),"缺失")</x:f>
        <x:v>0.5636574074074074</x:v>
      </x:c>
      <x:c r="X86" s="12" t="n">
        <x:f>IF(ISNUMBER(F86),IF($I$173&gt;$H$173,(F86-$H$173)/($I$173-$H$173),"缺失"),"缺失")</x:f>
        <x:v>0.11527559055118115</x:v>
      </x:c>
      <x:c r="Y86" s="12" t="n">
        <x:f>IF(ISNUMBER(G86),IF($I$174&gt;$H$174,(G86-$H$174)/($I$174-$H$174),"缺失"),"缺失")</x:f>
        <x:v>0.3122559167979674</x:v>
      </x:c>
      <x:c r="Z86" s="12" t="n">
        <x:f>IF(ISNUMBER(H86),IF($I$175&gt;$H$175,(H86-$H$175)/($I$175-$H$175),"缺失"),"缺失")</x:f>
        <x:v>0.2754104495879349</x:v>
      </x:c>
      <x:c r="AA86" s="12" t="n">
        <x:f>IF(ISNUMBER(I86),IF($I$176&gt;$H$176,(I86-$H$176)/($I$176-$H$176),"缺失"),"缺失")</x:f>
        <x:v>0.9287202671924852</x:v>
      </x:c>
      <x:c r="AB86" s="12" t="n">
        <x:f>IF(ISNUMBER(J86),IF($I$177&gt;$H$177,(J86-$H$177)/($I$177-$H$177),"缺失"),"缺失")</x:f>
        <x:v>0.17425819918016416</x:v>
      </x:c>
      <x:c r="AC86" s="12" t="n">
        <x:f>IF(ISNUMBER(K86),IF($I$178&gt;$H$178,(K86-$H$178)/($I$178-$H$178),"缺失"),"缺失")</x:f>
        <x:v>0.420307219480975</x:v>
      </x:c>
      <x:c r="AD86" s="12" t="n">
        <x:f>IF(ISNUMBER(L86),IF($I$179&gt;$H$179,(L86-$H$179)/($I$179-$H$179),"缺失"),"缺失")</x:f>
        <x:v>0.7500866969244008</x:v>
      </x:c>
      <x:c r="AE86" s="12" t="n">
        <x:f>IF(ISNUMBER(M86),IF($I$180&gt;$H$180,(M86-$H$180)/($I$180-$H$180),"缺失"),"缺失")</x:f>
        <x:v>0.750169354</x:v>
      </x:c>
      <x:c r="AF86" s="12" t="n">
        <x:f>IF(ISNUMBER(N86),IF($I$181&gt;$H$181,(N86-$H$181)/($I$181-$H$181),"缺失"),"缺失")</x:f>
        <x:v>0.008066945554717028</x:v>
      </x:c>
      <x:c r="AG86" s="12" t="n">
        <x:f>IF(ISNUMBER(O86),IF($I$182&gt;$H$182,(O86-$H$182)/($I$182-$H$182),"缺失"),"缺失")</x:f>
        <x:v>0.8858673675697534</x:v>
      </x:c>
      <x:c r="AH86" s="12" t="n">
        <x:f>IF(ISNUMBER(P86),IF($I$183&gt;$H$183,(P86-$H$183)/($I$183-$H$183),"缺失"),"缺失")</x:f>
        <x:v>0.8325784830644468</x:v>
      </x:c>
      <x:c r="AI86" s="12" t="n">
        <x:f>IF(ISNUMBER(Q86),IF($I$184&gt;$H$184,(Q86-$H$184)/($I$184-$H$184),"缺失"),"缺失")</x:f>
        <x:v>0.8458123237466832</x:v>
      </x:c>
      <x:c r="AJ86" s="12" t="n">
        <x:f>IF(ISNUMBER(R86),IF($I$185&gt;$H$185,(R86-$H$185)/($I$185-$H$185),"缺失"),"缺失")</x:f>
        <x:v>0.7191453080550417</x:v>
      </x:c>
      <x:c r="AK86" s="12" t="n">
        <x:f>IF(ISNUMBER(S86),IF($I$186&gt;$H$186,(S86-$H$186)/($I$186-$H$186),"缺失"),"缺失")</x:f>
        <x:v>0.1227681101937893</x:v>
      </x:c>
      <x:c r="AL86" s="12" t="n">
        <x:f>IF(ISNUMBER(T86),IF($I$187&gt;$H$187,(T86-$H$187)/($I$187-$H$187),"缺失"),"缺失")</x:f>
        <x:v>0</x:v>
      </x:c>
      <x:c r="AM86" s="12" t="n">
        <x:f>IF(ISNUMBER(U86),IF($I$188&gt;$H$188,(U86-$H$188)/($I$188-$H$188),"缺失"),"缺失")</x:f>
        <x:v>0</x:v>
      </x:c>
      <x:c r="AN86" s="12" t="n">
        <x:f>IF(ISNUMBER(V86),IF($I$189&gt;$H$189,(V86-$H$189)/($I$189-$H$189),"缺失"),"缺失")</x:f>
        <x:v>1</x:v>
      </x:c>
      <x:c r="AO86" s="23" t="str"/>
      <x:c r="AP86" s="23" t="str">
        <x:v>见指标口径：州级、产业、代表点代理；气候基期待核实</x:v>
      </x:c>
      <x:c r="AQ86" s="15" t="n">
        <x:v>1.0000000000000016</x:v>
      </x:c>
      <x:c r="AR86" s="15" t="n">
        <x:v>1.0000000000000013</x:v>
      </x:c>
      <x:c r="AS86" s="15" t="n">
        <x:v>1</x:v>
      </x:c>
      <x:c r="AT86" s="15" t="n">
        <x:v>1</x:v>
      </x:c>
    </x:row>
    <x:row r="87" ht="24" customHeight="1">
      <x:c r="A87" s="18" t="str">
        <x:v>13163</x:v>
      </x:c>
      <x:c r="B87" s="3" t="str">
        <x:v>Jefferson County</x:v>
      </x:c>
      <x:c r="C87" s="3" t="str">
        <x:v>GA</x:v>
      </x:c>
      <x:c r="D87" s="12" t="n">
        <x:v>1363.77135</x:v>
      </x:c>
      <x:c r="E87" s="12" t="n">
        <x:v>0.538</x:v>
      </x:c>
      <x:c r="F87" s="12" t="n">
        <x:v>0.135519801980198</x:v>
      </x:c>
      <x:c r="G87" s="12" t="n">
        <x:v>1.2142497622040478</x:v>
      </x:c>
      <x:c r="H87" s="12" t="n">
        <x:v>1.0229263828806225</x:v>
      </x:c>
      <x:c r="I87" s="12" t="n">
        <x:v>0.9372541132249662</x:v>
      </x:c>
      <x:c r="J87" s="12" t="n">
        <x:v>0.00047540394088579403</x:v>
      </x:c>
      <x:c r="K87" s="12" t="n">
        <x:v>0.20042006000857265</x:v>
      </x:c>
      <x:c r="L87" s="24" t="n">
        <x:v>0.727767037</x:v>
      </x:c>
      <x:c r="M87" s="24" t="n">
        <x:v>0.727646206</x:v>
      </x:c>
      <x:c r="N87" s="13" t="n">
        <x:v>6696</x:v>
      </x:c>
      <x:c r="O87" s="12" t="n">
        <x:v>0.9583</x:v>
      </x:c>
      <x:c r="P87" s="12" t="n">
        <x:v>1974.513289388021</x:v>
      </x:c>
      <x:c r="Q87" s="12" t="n">
        <x:v>62.24526481628418</x:v>
      </x:c>
      <x:c r="R87" s="12" t="n">
        <x:v>49.47928878042156</x:v>
      </x:c>
      <x:c r="S87" s="12" t="n">
        <x:v>13.236855103664324</x:v>
      </x:c>
      <x:c r="T87" s="12" t="n">
        <x:v>72.1</x:v>
      </x:c>
      <x:c r="U87" s="12" t="n">
        <x:v>211.4154781728841</x:v>
      </x:c>
      <x:c r="V87" s="12" t="n">
        <x:v>325.42757789465</x:v>
      </x:c>
      <x:c r="W87" s="12" t="n">
        <x:f>IF(ISNUMBER(E87),IF($I$172&gt;$H$172,(E87-$H$172)/($I$172-$H$172),"缺失"),"缺失")</x:f>
        <x:v>0.5671296296296297</x:v>
      </x:c>
      <x:c r="X87" s="12" t="n">
        <x:f>IF(ISNUMBER(F87),IF($I$173&gt;$H$173,(F87-$H$173)/($I$173-$H$173),"缺失"),"缺失")</x:f>
        <x:v>0.13165354330708656</x:v>
      </x:c>
      <x:c r="Y87" s="12" t="n">
        <x:f>IF(ISNUMBER(G87),IF($I$174&gt;$H$174,(G87-$H$174)/($I$174-$H$174),"缺失"),"缺失")</x:f>
        <x:v>0.31906672271461545</x:v>
      </x:c>
      <x:c r="Z87" s="12" t="n">
        <x:f>IF(ISNUMBER(H87),IF($I$175&gt;$H$175,(H87-$H$175)/($I$175-$H$175),"缺失"),"缺失")</x:f>
        <x:v>0.251753395369451</x:v>
      </x:c>
      <x:c r="AA87" s="12" t="n">
        <x:f>IF(ISNUMBER(I87),IF($I$176&gt;$H$176,(I87-$H$176)/($I$176-$H$176),"缺失"),"缺失")</x:f>
        <x:v>0.9418528103478653</x:v>
      </x:c>
      <x:c r="AB87" s="12" t="n">
        <x:f>IF(ISNUMBER(J87),IF($I$177&gt;$H$177,(J87-$H$177)/($I$177-$H$177),"缺失"),"缺失")</x:f>
        <x:v>0.0011661630055718624</x:v>
      </x:c>
      <x:c r="AC87" s="12" t="n">
        <x:f>IF(ISNUMBER(K87),IF($I$178&gt;$H$178,(K87-$H$178)/($I$178-$H$178),"缺失"),"缺失")</x:f>
        <x:v>0.3445624182628669</x:v>
      </x:c>
      <x:c r="AD87" s="12" t="n">
        <x:f>IF(ISNUMBER(L87),IF($I$179&gt;$H$179,(L87-$H$179)/($I$179-$H$179),"缺失"),"缺失")</x:f>
        <x:v>0.7276769680634482</x:v>
      </x:c>
      <x:c r="AE87" s="12" t="n">
        <x:f>IF(ISNUMBER(M87),IF($I$180&gt;$H$180,(M87-$H$180)/($I$180-$H$180),"缺失"),"缺失")</x:f>
        <x:v>0.727646206</x:v>
      </x:c>
      <x:c r="AF87" s="12" t="n">
        <x:f>IF(ISNUMBER(N87),IF($I$181&gt;$H$181,(N87-$H$181)/($I$181-$H$181),"缺失"),"缺失")</x:f>
        <x:v>0.00932939535952645</x:v>
      </x:c>
      <x:c r="AG87" s="12" t="n">
        <x:f>IF(ISNUMBER(O87),IF($I$182&gt;$H$182,(O87-$H$182)/($I$182-$H$182),"缺失"),"缺失")</x:f>
        <x:v>0.9665386170642944</x:v>
      </x:c>
      <x:c r="AH87" s="12" t="n">
        <x:f>IF(ISNUMBER(P87),IF($I$183&gt;$H$183,(P87-$H$183)/($I$183-$H$183),"缺失"),"缺失")</x:f>
        <x:v>0.7641891724659075</x:v>
      </x:c>
      <x:c r="AI87" s="12" t="n">
        <x:f>IF(ISNUMBER(Q87),IF($I$184&gt;$H$184,(Q87-$H$184)/($I$184-$H$184),"缺失"),"缺失")</x:f>
        <x:v>0.727739395309952</x:v>
      </x:c>
      <x:c r="AJ87" s="12" t="n">
        <x:f>IF(ISNUMBER(R87),IF($I$185&gt;$H$185,(R87-$H$185)/($I$185-$H$185),"缺失"),"缺失")</x:f>
        <x:v>0.5184399598911488</x:v>
      </x:c>
      <x:c r="AK87" s="12" t="n">
        <x:f>IF(ISNUMBER(S87),IF($I$186&gt;$H$186,(S87-$H$186)/($I$186-$H$186),"缺失"),"缺失")</x:f>
        <x:v>0.2582459796105591</x:v>
      </x:c>
      <x:c r="AL87" s="12" t="n">
        <x:f>IF(ISNUMBER(T87),IF($I$187&gt;$H$187,(T87-$H$187)/($I$187-$H$187),"缺失"),"缺失")</x:f>
        <x:v>0</x:v>
      </x:c>
      <x:c r="AM87" s="12" t="n">
        <x:f>IF(ISNUMBER(U87),IF($I$188&gt;$H$188,(U87-$H$188)/($I$188-$H$188),"缺失"),"缺失")</x:f>
        <x:v>0</x:v>
      </x:c>
      <x:c r="AN87" s="12" t="n">
        <x:f>IF(ISNUMBER(V87),IF($I$189&gt;$H$189,(V87-$H$189)/($I$189-$H$189),"缺失"),"缺失")</x:f>
        <x:v>1</x:v>
      </x:c>
      <x:c r="AO87" s="23" t="str"/>
      <x:c r="AP87" s="23" t="str">
        <x:v>见指标口径：州级、产业、代表点代理；气候基期待核实</x:v>
      </x:c>
      <x:c r="AQ87" s="15" t="n">
        <x:v>0.999999999999997</x:v>
      </x:c>
      <x:c r="AR87" s="15" t="n">
        <x:v>0.999999999999997</x:v>
      </x:c>
      <x:c r="AS87" s="15" t="n">
        <x:v>1</x:v>
      </x:c>
      <x:c r="AT87" s="15" t="n">
        <x:v>1</x:v>
      </x:c>
    </x:row>
    <x:row r="88" ht="24" customHeight="1">
      <x:c r="A88" s="18" t="str">
        <x:v>13165</x:v>
      </x:c>
      <x:c r="B88" s="3" t="str">
        <x:v>Jenkins County</x:v>
      </x:c>
      <x:c r="C88" s="3" t="str">
        <x:v>GA</x:v>
      </x:c>
      <x:c r="D88" s="12" t="n">
        <x:v>899.705945</x:v>
      </x:c>
      <x:c r="E88" s="12" t="n">
        <x:v>0.537</x:v>
      </x:c>
      <x:c r="F88" s="12" t="n">
        <x:v>0.538366336633663</x:v>
      </x:c>
      <x:c r="G88" s="12" t="n">
        <x:v>0.9378783486552666</x:v>
      </x:c>
      <x:c r="H88" s="12" t="n">
        <x:v>0.7467489116289789</x:v>
      </x:c>
      <x:c r="I88" s="12" t="n">
        <x:v>0.9423608886385073</x:v>
      </x:c>
      <x:c r="J88" s="12" t="n">
        <x:v>0.025656245464490402</x:v>
      </x:c>
      <x:c r="K88" s="12" t="n">
        <x:v>0.35277349914058076</x:v>
      </x:c>
      <x:c r="L88" s="24" t="n">
        <x:v>0.293459916</x:v>
      </x:c>
      <x:c r="M88" s="24" t="n">
        <x:v>0.293459916</x:v>
      </x:c>
      <x:c r="N88" s="13" t="n">
        <x:v>3658</x:v>
      </x:c>
      <x:c r="O88" s="12" t="n">
        <x:v>0.8352</x:v>
      </x:c>
      <x:c r="P88" s="12" t="n">
        <x:v>2045.005900065104</x:v>
      </x:c>
      <x:c r="Q88" s="12" t="n">
        <x:v>68.98989372253418</x:v>
      </x:c>
      <x:c r="R88" s="12" t="n">
        <x:v>47.04103759593077</x:v>
      </x:c>
      <x:c r="S88" s="12" t="n">
        <x:v>0.3329348564866413</x:v>
      </x:c>
      <x:c r="T88" s="12" t="n">
        <x:v>72.1</x:v>
      </x:c>
      <x:c r="U88" s="12" t="n">
        <x:v>211.4154781728841</x:v>
      </x:c>
      <x:c r="V88" s="12" t="n">
        <x:v>325.42757789465</x:v>
      </x:c>
      <x:c r="W88" s="12" t="n">
        <x:f>IF(ISNUMBER(E88),IF($I$172&gt;$H$172,(E88-$H$172)/($I$172-$H$172),"缺失"),"缺失")</x:f>
        <x:v>0.5659722222222223</x:v>
      </x:c>
      <x:c r="X88" s="12" t="n">
        <x:f>IF(ISNUMBER(F88),IF($I$173&gt;$H$173,(F88-$H$173)/($I$173-$H$173),"缺失"),"缺失")</x:f>
        <x:v>0.5417322834645664</x:v>
      </x:c>
      <x:c r="Y88" s="12" t="n">
        <x:f>IF(ISNUMBER(G88),IF($I$174&gt;$H$174,(G88-$H$174)/($I$174-$H$174),"缺失"),"缺失")</x:f>
        <x:v>0.2463669534993484</x:v>
      </x:c>
      <x:c r="Z88" s="12" t="n">
        <x:f>IF(ISNUMBER(H88),IF($I$175&gt;$H$175,(H88-$H$175)/($I$175-$H$175),"缺失"),"缺失")</x:f>
        <x:v>0.18366800778144937</x:v>
      </x:c>
      <x:c r="AA88" s="12" t="n">
        <x:f>IF(ISNUMBER(I88),IF($I$176&gt;$H$176,(I88-$H$176)/($I$176-$H$176),"缺失"),"缺失")</x:f>
        <x:v>0.9473350683408948</x:v>
      </x:c>
      <x:c r="AB88" s="12" t="n">
        <x:f>IF(ISNUMBER(J88),IF($I$177&gt;$H$177,(J88-$H$177)/($I$177-$H$177),"缺失"),"缺失")</x:f>
        <x:v>0.06293461570136016</x:v>
      </x:c>
      <x:c r="AC88" s="12" t="n">
        <x:f>IF(ISNUMBER(K88),IF($I$178&gt;$H$178,(K88-$H$178)/($I$178-$H$178),"缺失"),"缺失")</x:f>
        <x:v>0.6064886416945124</x:v>
      </x:c>
      <x:c r="AD88" s="12" t="n">
        <x:f>IF(ISNUMBER(L88),IF($I$179&gt;$H$179,(L88-$H$179)/($I$179-$H$179),"缺失"),"缺失")</x:f>
        <x:v>0.29322615549834796</x:v>
      </x:c>
      <x:c r="AE88" s="12" t="n">
        <x:f>IF(ISNUMBER(M88),IF($I$180&gt;$H$180,(M88-$H$180)/($I$180-$H$180),"缺失"),"缺失")</x:f>
        <x:v>0.293459916</x:v>
      </x:c>
      <x:c r="AF88" s="12" t="n">
        <x:f>IF(ISNUMBER(N88),IF($I$181&gt;$H$181,(N88-$H$181)/($I$181-$H$181),"缺失"),"缺失")</x:f>
        <x:v>0.004611901500964306</x:v>
      </x:c>
      <x:c r="AG88" s="12" t="n">
        <x:f>IF(ISNUMBER(O88),IF($I$182&gt;$H$182,(O88-$H$182)/($I$182-$H$182),"缺失"),"缺失")</x:f>
        <x:v>0.8420946219167005</x:v>
      </x:c>
      <x:c r="AH88" s="12" t="n">
        <x:f>IF(ISNUMBER(P88),IF($I$183&gt;$H$183,(P88-$H$183)/($I$183-$H$183),"缺失"),"缺失")</x:f>
        <x:v>0.7959006996327088</x:v>
      </x:c>
      <x:c r="AI88" s="12" t="n">
        <x:f>IF(ISNUMBER(Q88),IF($I$184&gt;$H$184,(Q88-$H$184)/($I$184-$H$184),"缺失"),"缺失")</x:f>
        <x:v>0.8069995468582077</x:v>
      </x:c>
      <x:c r="AJ88" s="12" t="n">
        <x:f>IF(ISNUMBER(R88),IF($I$185&gt;$H$185,(R88-$H$185)/($I$185-$H$185),"缺失"),"缺失")</x:f>
        <x:v>0.49281772231368404</x:v>
      </x:c>
      <x:c r="AK88" s="12" t="n">
        <x:f>IF(ISNUMBER(S88),IF($I$186&gt;$H$186,(S88-$H$186)/($I$186-$H$186),"缺失"),"缺失")</x:f>
        <x:v>0.006340037159678696</x:v>
      </x:c>
      <x:c r="AL88" s="12" t="n">
        <x:f>IF(ISNUMBER(T88),IF($I$187&gt;$H$187,(T88-$H$187)/($I$187-$H$187),"缺失"),"缺失")</x:f>
        <x:v>0</x:v>
      </x:c>
      <x:c r="AM88" s="12" t="n">
        <x:f>IF(ISNUMBER(U88),IF($I$188&gt;$H$188,(U88-$H$188)/($I$188-$H$188),"缺失"),"缺失")</x:f>
        <x:v>0</x:v>
      </x:c>
      <x:c r="AN88" s="12" t="n">
        <x:f>IF(ISNUMBER(V88),IF($I$189&gt;$H$189,(V88-$H$189)/($I$189-$H$189),"缺失"),"缺失")</x:f>
        <x:v>1</x:v>
      </x:c>
      <x:c r="AO88" s="23" t="str"/>
      <x:c r="AP88" s="23" t="str">
        <x:v>见指标口径：州级、产业、代表点代理；气候基期待核实</x:v>
      </x:c>
      <x:c r="AQ88" s="15" t="n">
        <x:v>1.0000000000000004</x:v>
      </x:c>
      <x:c r="AR88" s="15" t="n">
        <x:v>1.0000000000000007</x:v>
      </x:c>
      <x:c r="AS88" s="15" t="n">
        <x:v>1</x:v>
      </x:c>
      <x:c r="AT88" s="15" t="n">
        <x:v>1</x:v>
      </x:c>
    </x:row>
    <x:row r="89" ht="24" customHeight="1">
      <x:c r="A89" s="18" t="str">
        <x:v>13167</x:v>
      </x:c>
      <x:c r="B89" s="3" t="str">
        <x:v>Johnson County</x:v>
      </x:c>
      <x:c r="C89" s="3" t="str">
        <x:v>GA</x:v>
      </x:c>
      <x:c r="D89" s="12" t="n">
        <x:v>784.815228</x:v>
      </x:c>
      <x:c r="E89" s="12" t="n">
        <x:v>0.548</x:v>
      </x:c>
      <x:c r="F89" s="12" t="n">
        <x:v>0.155012376237624</x:v>
      </x:c>
      <x:c r="G89" s="12" t="n">
        <x:v>2.0683800128289973</x:v>
      </x:c>
      <x:c r="H89" s="12" t="n">
        <x:v>1.9182189147918598</x:v>
      </x:c>
      <x:c r="I89" s="12" t="n">
        <x:v>0.938157917239099</x:v>
      </x:c>
      <x:c r="J89" s="12" t="n">
        <x:v>0.0016165708409963699</x:v>
      </x:c>
      <x:c r="K89" s="12" t="n">
        <x:v>0.1828082156640311</x:v>
      </x:c>
      <x:c r="L89" s="24" t="n">
        <x:v>0.897083635</x:v>
      </x:c>
      <x:c r="M89" s="24" t="n">
        <x:v>0.897083635</x:v>
      </x:c>
      <x:c r="N89" s="13" t="n">
        <x:v>3415</x:v>
      </x:c>
      <x:c r="O89" s="12" t="n">
        <x:v>0.9322</x:v>
      </x:c>
      <x:c r="P89" s="12" t="n">
        <x:v>2018.6457275390624</x:v>
      </x:c>
      <x:c r="Q89" s="12" t="n">
        <x:v>67.21316947937012</x:v>
      </x:c>
      <x:c r="R89" s="12" t="n">
        <x:v>28.040486567153774</x:v>
      </x:c>
      <x:c r="S89" s="12" t="n">
        <x:v>6.157309533381034</x:v>
      </x:c>
      <x:c r="T89" s="12" t="n">
        <x:v>72.1</x:v>
      </x:c>
      <x:c r="U89" s="12" t="n">
        <x:v>211.4154781728841</x:v>
      </x:c>
      <x:c r="V89" s="12" t="n">
        <x:v>325.42757789465</x:v>
      </x:c>
      <x:c r="W89" s="12" t="n">
        <x:f>IF(ISNUMBER(E89),IF($I$172&gt;$H$172,(E89-$H$172)/($I$172-$H$172),"缺失"),"缺失")</x:f>
        <x:v>0.5787037037037037</x:v>
      </x:c>
      <x:c r="X89" s="12" t="n">
        <x:f>IF(ISNUMBER(F89),IF($I$173&gt;$H$173,(F89-$H$173)/($I$173-$H$173),"缺失"),"缺失")</x:f>
        <x:v>0.1514960629921262</x:v>
      </x:c>
      <x:c r="Y89" s="12" t="n">
        <x:f>IF(ISNUMBER(G89),IF($I$174&gt;$H$174,(G89-$H$174)/($I$174-$H$174),"缺失"),"缺失")</x:f>
        <x:v>0.5437465161233207</x:v>
      </x:c>
      <x:c r="Z89" s="12" t="n">
        <x:f>IF(ISNUMBER(H89),IF($I$175&gt;$H$175,(H89-$H$175)/($I$175-$H$175),"缺失"),"缺失")</x:f>
        <x:v>0.4724677742924101</x:v>
      </x:c>
      <x:c r="AA89" s="12" t="n">
        <x:f>IF(ISNUMBER(I89),IF($I$176&gt;$H$176,(I89-$H$176)/($I$176-$H$176),"缺失"),"缺失")</x:f>
        <x:v>0.9428230677763539</x:v>
      </x:c>
      <x:c r="AB89" s="12" t="n">
        <x:f>IF(ISNUMBER(J89),IF($I$177&gt;$H$177,(J89-$H$177)/($I$177-$H$177),"缺失"),"缺失")</x:f>
        <x:v>0.00396543854294434</x:v>
      </x:c>
      <x:c r="AC89" s="12" t="n">
        <x:f>IF(ISNUMBER(K89),IF($I$178&gt;$H$178,(K89-$H$178)/($I$178-$H$178),"缺失"),"缺失")</x:f>
        <x:v>0.31428411340074447</x:v>
      </x:c>
      <x:c r="AD89" s="12" t="n">
        <x:f>IF(ISNUMBER(L89),IF($I$179&gt;$H$179,(L89-$H$179)/($I$179-$H$179),"缺失"),"缺失")</x:f>
        <x:v>0.897049584870849</x:v>
      </x:c>
      <x:c r="AE89" s="12" t="n">
        <x:f>IF(ISNUMBER(M89),IF($I$180&gt;$H$180,(M89-$H$180)/($I$180-$H$180),"缺失"),"缺失")</x:f>
        <x:v>0.897083635</x:v>
      </x:c>
      <x:c r="AF89" s="12" t="n">
        <x:f>IF(ISNUMBER(N89),IF($I$181&gt;$H$181,(N89-$H$181)/($I$181-$H$181),"缺失"),"缺失")</x:f>
        <x:v>0.004234564105430863</x:v>
      </x:c>
      <x:c r="AG89" s="12" t="n">
        <x:f>IF(ISNUMBER(O89),IF($I$182&gt;$H$182,(O89-$H$182)/($I$182-$H$182),"缺失"),"缺失")</x:f>
        <x:v>0.9401536595228468</x:v>
      </x:c>
      <x:c r="AH89" s="12" t="n">
        <x:f>IF(ISNUMBER(P89),IF($I$183&gt;$H$183,(P89-$H$183)/($I$183-$H$183),"缺失"),"缺失")</x:f>
        <x:v>0.7840424166275526</x:v>
      </x:c>
      <x:c r="AI89" s="12" t="n">
        <x:f>IF(ISNUMBER(Q89),IF($I$184&gt;$H$184,(Q89-$H$184)/($I$184-$H$184),"缺失"),"缺失")</x:f>
        <x:v>0.786120202015062</x:v>
      </x:c>
      <x:c r="AJ89" s="12" t="n">
        <x:f>IF(ISNUMBER(R89),IF($I$185&gt;$H$185,(R89-$H$185)/($I$185-$H$185),"缺失"),"缺失")</x:f>
        <x:v>0.29315140587396243</x:v>
      </x:c>
      <x:c r="AK89" s="12" t="n">
        <x:f>IF(ISNUMBER(S89),IF($I$186&gt;$H$186,(S89-$H$186)/($I$186-$H$186),"缺失"),"缺失")</x:f>
        <x:v>0.12004149873613455</x:v>
      </x:c>
      <x:c r="AL89" s="12" t="n">
        <x:f>IF(ISNUMBER(T89),IF($I$187&gt;$H$187,(T89-$H$187)/($I$187-$H$187),"缺失"),"缺失")</x:f>
        <x:v>0</x:v>
      </x:c>
      <x:c r="AM89" s="12" t="n">
        <x:f>IF(ISNUMBER(U89),IF($I$188&gt;$H$188,(U89-$H$188)/($I$188-$H$188),"缺失"),"缺失")</x:f>
        <x:v>0</x:v>
      </x:c>
      <x:c r="AN89" s="12" t="n">
        <x:f>IF(ISNUMBER(V89),IF($I$189&gt;$H$189,(V89-$H$189)/($I$189-$H$189),"缺失"),"缺失")</x:f>
        <x:v>1</x:v>
      </x:c>
      <x:c r="AO89" s="23" t="str"/>
      <x:c r="AP89" s="23" t="str">
        <x:v>见指标口径：州级、产业、代表点代理；气候基期待核实</x:v>
      </x:c>
      <x:c r="AQ89" s="15" t="n">
        <x:v>1</x:v>
      </x:c>
      <x:c r="AR89" s="15" t="n">
        <x:v>0.9999999999999997</x:v>
      </x:c>
      <x:c r="AS89" s="15" t="n">
        <x:v>1</x:v>
      </x:c>
      <x:c r="AT89" s="15" t="n">
        <x:v>1</x:v>
      </x:c>
    </x:row>
    <x:row r="90" ht="24" customHeight="1">
      <x:c r="A90" s="18" t="str">
        <x:v>13169</x:v>
      </x:c>
      <x:c r="B90" s="3" t="str">
        <x:v>Jones County</x:v>
      </x:c>
      <x:c r="C90" s="3" t="str">
        <x:v>GA</x:v>
      </x:c>
      <x:c r="D90" s="12" t="n">
        <x:v>1020.304153</x:v>
      </x:c>
      <x:c r="E90" s="12" t="n">
        <x:v>0.609</x:v>
      </x:c>
      <x:c r="F90" s="12" t="n">
        <x:v>0.326113861386139</x:v>
      </x:c>
      <x:c r="G90" s="12" t="n">
        <x:v>2.343954232167907</x:v>
      </x:c>
      <x:c r="H90" s="12" t="n">
        <x:v>2.1853773429208414</x:v>
      </x:c>
      <x:c r="I90" s="12" t="n">
        <x:v>0.9389883290589299</x:v>
      </x:c>
      <x:c r="J90" s="12" t="n">
        <x:v>0.1909932553406341</x:v>
      </x:c>
      <x:c r="K90" s="12" t="n">
        <x:v>0.04342935871521111</x:v>
      </x:c>
      <x:c r="L90" s="24" t="n">
        <x:v>0.899821526</x:v>
      </x:c>
      <x:c r="M90" s="24" t="n">
        <x:v>0.899821526</x:v>
      </x:c>
      <x:c r="N90" s="13" t="n">
        <x:v>12849</x:v>
      </x:c>
      <x:c r="O90" s="12" t="n">
        <x:v>0.3675</x:v>
      </x:c>
      <x:c r="P90" s="12" t="n">
        <x:v>1843.4365519205728</x:v>
      </x:c>
      <x:c r="Q90" s="12" t="n">
        <x:v>57.645565541585285</x:v>
      </x:c>
      <x:c r="R90" s="12" t="n">
        <x:v>17.54880053404877</x:v>
      </x:c>
      <x:c r="S90" s="12" t="n">
        <x:v>2.4148281426371097</x:v>
      </x:c>
      <x:c r="T90" s="12" t="n">
        <x:v>72.1</x:v>
      </x:c>
      <x:c r="U90" s="12" t="n">
        <x:v>211.4154781728841</x:v>
      </x:c>
      <x:c r="V90" s="12" t="n">
        <x:v>325.42757789465</x:v>
      </x:c>
      <x:c r="W90" s="12" t="n">
        <x:f>IF(ISNUMBER(E90),IF($I$172&gt;$H$172,(E90-$H$172)/($I$172-$H$172),"缺失"),"缺失")</x:f>
        <x:v>0.6493055555555555</x:v>
      </x:c>
      <x:c r="X90" s="12" t="n">
        <x:f>IF(ISNUMBER(F90),IF($I$173&gt;$H$173,(F90-$H$173)/($I$173-$H$173),"缺失"),"缺失")</x:f>
        <x:v>0.325669291338583</x:v>
      </x:c>
      <x:c r="Y90" s="12" t="n">
        <x:f>IF(ISNUMBER(G90),IF($I$174&gt;$H$174,(G90-$H$174)/($I$174-$H$174),"缺失"),"缺失")</x:f>
        <x:v>0.6162365826260923</x:v>
      </x:c>
      <x:c r="Z90" s="12" t="n">
        <x:f>IF(ISNUMBER(H90),IF($I$175&gt;$H$175,(H90-$H$175)/($I$175-$H$175),"缺失"),"缺失")</x:f>
        <x:v>0.5383297182233445</x:v>
      </x:c>
      <x:c r="AA90" s="12" t="n">
        <x:f>IF(ISNUMBER(I90),IF($I$176&gt;$H$176,(I90-$H$176)/($I$176-$H$176),"缺失"),"缺失")</x:f>
        <x:v>0.9437145367500438</x:v>
      </x:c>
      <x:c r="AB90" s="12" t="n">
        <x:f>IF(ISNUMBER(J90),IF($I$177&gt;$H$177,(J90-$H$177)/($I$177-$H$177),"缺失"),"缺失")</x:f>
        <x:v>0.46850530577636534</x:v>
      </x:c>
      <x:c r="AC90" s="12" t="n">
        <x:f>IF(ISNUMBER(K90),IF($I$178&gt;$H$178,(K90-$H$178)/($I$178-$H$178),"缺失"),"缺失")</x:f>
        <x:v>0.07466380791363193</x:v>
      </x:c>
      <x:c r="AD90" s="12" t="n">
        <x:f>IF(ISNUMBER(L90),IF($I$179&gt;$H$179,(L90-$H$179)/($I$179-$H$179),"缺失"),"缺失")</x:f>
        <x:v>0.8997883817087314</x:v>
      </x:c>
      <x:c r="AE90" s="12" t="n">
        <x:f>IF(ISNUMBER(M90),IF($I$180&gt;$H$180,(M90-$H$180)/($I$180-$H$180),"缺失"),"缺失")</x:f>
        <x:v>0.899821526</x:v>
      </x:c>
      <x:c r="AF90" s="12" t="n">
        <x:f>IF(ISNUMBER(N90),IF($I$181&gt;$H$181,(N90-$H$181)/($I$181-$H$181),"缺失"),"缺失")</x:f>
        <x:v>0.018883950893342404</x:v>
      </x:c>
      <x:c r="AG90" s="12" t="n">
        <x:f>IF(ISNUMBER(O90),IF($I$182&gt;$H$182,(O90-$H$182)/($I$182-$H$182),"缺失"),"缺失")</x:f>
        <x:v>0.36928831378892035</x:v>
      </x:c>
      <x:c r="AH90" s="12" t="n">
        <x:f>IF(ISNUMBER(P90),IF($I$183&gt;$H$183,(P90-$H$183)/($I$183-$H$183),"缺失"),"缺失")</x:f>
        <x:v>0.7052235095232242</x:v>
      </x:c>
      <x:c r="AI90" s="12" t="n">
        <x:f>IF(ISNUMBER(Q90),IF($I$184&gt;$H$184,(Q90-$H$184)/($I$184-$H$184),"缺失"),"缺失")</x:f>
        <x:v>0.6736855894361848</x:v>
      </x:c>
      <x:c r="AJ90" s="12" t="n">
        <x:f>IF(ISNUMBER(R90),IF($I$185&gt;$H$185,(R90-$H$185)/($I$185-$H$185),"缺失"),"缺失")</x:f>
        <x:v>0.18290006104193887</x:v>
      </x:c>
      <x:c r="AK90" s="12" t="n">
        <x:f>IF(ISNUMBER(S90),IF($I$186&gt;$H$186,(S90-$H$186)/($I$186-$H$186),"缺失"),"缺失")</x:f>
        <x:v>0.04698204984141383</x:v>
      </x:c>
      <x:c r="AL90" s="12" t="n">
        <x:f>IF(ISNUMBER(T90),IF($I$187&gt;$H$187,(T90-$H$187)/($I$187-$H$187),"缺失"),"缺失")</x:f>
        <x:v>0</x:v>
      </x:c>
      <x:c r="AM90" s="12" t="n">
        <x:f>IF(ISNUMBER(U90),IF($I$188&gt;$H$188,(U90-$H$188)/($I$188-$H$188),"缺失"),"缺失")</x:f>
        <x:v>0</x:v>
      </x:c>
      <x:c r="AN90" s="12" t="n">
        <x:f>IF(ISNUMBER(V90),IF($I$189&gt;$H$189,(V90-$H$189)/($I$189-$H$189),"缺失"),"缺失")</x:f>
        <x:v>1</x:v>
      </x:c>
      <x:c r="AO90" s="23" t="str"/>
      <x:c r="AP90" s="23" t="str">
        <x:v>见指标口径：州级、产业、代表点代理；气候基期待核实</x:v>
      </x:c>
      <x:c r="AQ90" s="15" t="n">
        <x:v>1.0000000000000009</x:v>
      </x:c>
      <x:c r="AR90" s="15" t="n">
        <x:v>1.000000000000001</x:v>
      </x:c>
      <x:c r="AS90" s="15" t="n">
        <x:v>1</x:v>
      </x:c>
      <x:c r="AT90" s="15" t="n">
        <x:v>1</x:v>
      </x:c>
    </x:row>
    <x:row r="91" ht="24" customHeight="1">
      <x:c r="A91" s="18" t="str">
        <x:v>13171</x:v>
      </x:c>
      <x:c r="B91" s="3" t="str">
        <x:v>Lamar County</x:v>
      </x:c>
      <x:c r="C91" s="3" t="str">
        <x:v>GA</x:v>
      </x:c>
      <x:c r="D91" s="12" t="n">
        <x:v>475.264402</x:v>
      </x:c>
      <x:c r="E91" s="12" t="n">
        <x:v>0.658</x:v>
      </x:c>
      <x:c r="F91" s="12" t="n">
        <x:v>0.130878712871287</x:v>
      </x:c>
      <x:c r="G91" s="12" t="n">
        <x:v>2.160131230089994</x:v>
      </x:c>
      <x:c r="H91" s="12" t="n">
        <x:v>2.0647795603458747</x:v>
      </x:c>
      <x:c r="I91" s="12" t="n">
        <x:v>0.9243706071255453</x:v>
      </x:c>
      <x:c r="J91" s="12" t="n">
        <x:v>0.0009726176269518588</x:v>
      </x:c>
      <x:c r="K91" s="12" t="n">
        <x:v>0.06763322527872032</x:v>
      </x:c>
      <x:c r="L91" s="24" t="n">
        <x:v>0.660710247</x:v>
      </x:c>
      <x:c r="M91" s="24" t="n">
        <x:v>0.660710247</x:v>
      </x:c>
      <x:c r="N91" s="13" t="n">
        <x:v>8006</x:v>
      </x:c>
      <x:c r="O91" s="12" t="n">
        <x:v>0.4092</x:v>
      </x:c>
      <x:c r="P91" s="12" t="n">
        <x:v>1676.322351074219</x:v>
      </x:c>
      <x:c r="Q91" s="12" t="n">
        <x:v>43.090708033243814</x:v>
      </x:c>
      <x:c r="R91" s="12" t="n">
        <x:v>13.484505136690363</x:v>
      </x:c>
      <x:c r="S91" s="12" t="n">
        <x:v>1.1396966402514184</x:v>
      </x:c>
      <x:c r="T91" s="12" t="n">
        <x:v>72.1</x:v>
      </x:c>
      <x:c r="U91" s="12" t="n">
        <x:v>211.4154781728841</x:v>
      </x:c>
      <x:c r="V91" s="12" t="n">
        <x:v>325.42757789465</x:v>
      </x:c>
      <x:c r="W91" s="12" t="n">
        <x:f>IF(ISNUMBER(E91),IF($I$172&gt;$H$172,(E91-$H$172)/($I$172-$H$172),"缺失"),"缺失")</x:f>
        <x:v>0.7060185185185185</x:v>
      </x:c>
      <x:c r="X91" s="12" t="n">
        <x:f>IF(ISNUMBER(F91),IF($I$173&gt;$H$173,(F91-$H$173)/($I$173-$H$173),"缺失"),"缺失")</x:f>
        <x:v>0.12692913385826754</x:v>
      </x:c>
      <x:c r="Y91" s="12" t="n">
        <x:f>IF(ISNUMBER(G91),IF($I$174&gt;$H$174,(G91-$H$174)/($I$174-$H$174),"缺失"),"缺失")</x:f>
        <x:v>0.5678817630884231</x:v>
      </x:c>
      <x:c r="Z91" s="12" t="n">
        <x:f>IF(ISNUMBER(H91),IF($I$175&gt;$H$175,(H91-$H$175)/($I$175-$H$175),"缺失"),"缺失")</x:f>
        <x:v>0.5085990282736613</x:v>
      </x:c>
      <x:c r="AA91" s="12" t="n">
        <x:f>IF(ISNUMBER(I91),IF($I$176&gt;$H$176,(I91-$H$176)/($I$176-$H$176),"缺失"),"缺失")</x:f>
        <x:v>0.9280220270115725</x:v>
      </x:c>
      <x:c r="AB91" s="12" t="n">
        <x:f>IF(ISNUMBER(J91),IF($I$177&gt;$H$177,(J91-$H$177)/($I$177-$H$177),"缺失"),"缺失")</x:f>
        <x:v>0.0023858251847996936</x:v>
      </x:c>
      <x:c r="AC91" s="12" t="n">
        <x:f>IF(ISNUMBER(K91),IF($I$178&gt;$H$178,(K91-$H$178)/($I$178-$H$178),"缺失"),"缺失")</x:f>
        <x:v>0.11627512563341387</x:v>
      </x:c>
      <x:c r="AD91" s="12" t="n">
        <x:f>IF(ISNUMBER(L91),IF($I$179&gt;$H$179,(L91-$H$179)/($I$179-$H$179),"缺失"),"缺失")</x:f>
        <x:v>0.6605979921617215</x:v>
      </x:c>
      <x:c r="AE91" s="12" t="n">
        <x:f>IF(ISNUMBER(M91),IF($I$180&gt;$H$180,(M91-$H$180)/($I$180-$H$180),"缺失"),"缺失")</x:f>
        <x:v>0.660710247</x:v>
      </x:c>
      <x:c r="AF91" s="12" t="n">
        <x:f>IF(ISNUMBER(N91),IF($I$181&gt;$H$181,(N91-$H$181)/($I$181-$H$181),"缺失"),"缺失")</x:f>
        <x:v>0.011363601072072996</x:v>
      </x:c>
      <x:c r="AG91" s="12" t="n">
        <x:f>IF(ISNUMBER(O91),IF($I$182&gt;$H$182,(O91-$H$182)/($I$182-$H$182),"缺失"),"缺失")</x:f>
        <x:v>0.4114435907804287</x:v>
      </x:c>
      <x:c r="AH91" s="12" t="n">
        <x:f>IF(ISNUMBER(P91),IF($I$183&gt;$H$183,(P91-$H$183)/($I$183-$H$183),"缺失"),"缺失")</x:f>
        <x:v>0.6300461757687192</x:v>
      </x:c>
      <x:c r="AI91" s="12" t="n">
        <x:f>IF(ISNUMBER(Q91),IF($I$184&gt;$H$184,(Q91-$H$184)/($I$184-$H$184),"缺失"),"缺失")</x:f>
        <x:v>0.5026427896158129</x:v>
      </x:c>
      <x:c r="AJ91" s="12" t="n">
        <x:f>IF(ISNUMBER(R91),IF($I$185&gt;$H$185,(R91-$H$185)/($I$185-$H$185),"缺失"),"缺失")</x:f>
        <x:v>0.1401906212112509</x:v>
      </x:c>
      <x:c r="AK91" s="12" t="n">
        <x:f>IF(ISNUMBER(S91),IF($I$186&gt;$H$186,(S91-$H$186)/($I$186-$H$186),"缺失"),"缺失")</x:f>
        <x:v>0.022089366323199307</x:v>
      </x:c>
      <x:c r="AL91" s="12" t="n">
        <x:f>IF(ISNUMBER(T91),IF($I$187&gt;$H$187,(T91-$H$187)/($I$187-$H$187),"缺失"),"缺失")</x:f>
        <x:v>0</x:v>
      </x:c>
      <x:c r="AM91" s="12" t="n">
        <x:f>IF(ISNUMBER(U91),IF($I$188&gt;$H$188,(U91-$H$188)/($I$188-$H$188),"缺失"),"缺失")</x:f>
        <x:v>0</x:v>
      </x:c>
      <x:c r="AN91" s="12" t="n">
        <x:f>IF(ISNUMBER(V91),IF($I$189&gt;$H$189,(V91-$H$189)/($I$189-$H$189),"缺失"),"缺失")</x:f>
        <x:v>1</x:v>
      </x:c>
      <x:c r="AO91" s="23" t="str"/>
      <x:c r="AP91" s="23" t="str">
        <x:v>见指标口径：州级、产业、代表点代理；气候基期待核实</x:v>
      </x:c>
      <x:c r="AQ91" s="15" t="n">
        <x:v>1.0000000000000004</x:v>
      </x:c>
      <x:c r="AR91" s="15" t="n">
        <x:v>1.0000000000000002</x:v>
      </x:c>
      <x:c r="AS91" s="15" t="n">
        <x:v>1</x:v>
      </x:c>
      <x:c r="AT91" s="15" t="n">
        <x:v>1</x:v>
      </x:c>
    </x:row>
    <x:row r="92" ht="24" customHeight="1">
      <x:c r="A92" s="18" t="str">
        <x:v>13173</x:v>
      </x:c>
      <x:c r="B92" s="3" t="str">
        <x:v>Lanier County</x:v>
      </x:c>
      <x:c r="C92" s="3" t="str">
        <x:v>GA</x:v>
      </x:c>
      <x:c r="D92" s="12" t="n">
        <x:v>509.030779</x:v>
      </x:c>
      <x:c r="E92" s="12" t="n">
        <x:v>0.614</x:v>
      </x:c>
      <x:c r="F92" s="12" t="n">
        <x:v>0.243811881188119</x:v>
      </x:c>
      <x:c r="G92" s="12" t="n">
        <x:v>2.8615833765292407</x:v>
      </x:c>
      <x:c r="H92" s="12" t="n">
        <x:v>3.072920026</x:v>
      </x:c>
      <x:c r="I92" s="12" t="n">
        <x:v>0.9371074911491171</x:v>
      </x:c>
      <x:c r="J92" s="12" t="n">
        <x:v>0.07370670166321905</x:v>
      </x:c>
      <x:c r="K92" s="12" t="n">
        <x:v>0.36078143530578244</x:v>
      </x:c>
      <x:c r="L92" s="24" t="n">
        <x:v>0.975516287</x:v>
      </x:c>
      <x:c r="M92" s="24" t="n">
        <x:v>0.975516287</x:v>
      </x:c>
      <x:c r="N92" s="13" t="n">
        <x:v>3891</x:v>
      </x:c>
      <x:c r="O92" s="12" t="n">
        <x:v>0.8011</x:v>
      </x:c>
      <x:c r="P92" s="12" t="n">
        <x:v>2186.554093424479</x:v>
      </x:c>
      <x:c r="Q92" s="12" t="n">
        <x:v>76.87980550130209</x:v>
      </x:c>
      <x:c r="R92" s="12" t="n">
        <x:v>31.29484522760121</x:v>
      </x:c>
      <x:c r="S92" s="12" t="n">
        <x:v>12.296213232993134</x:v>
      </x:c>
      <x:c r="T92" s="12" t="n">
        <x:v>72.1</x:v>
      </x:c>
      <x:c r="U92" s="12" t="n">
        <x:v>211.4154781728841</x:v>
      </x:c>
      <x:c r="V92" s="12" t="n">
        <x:v>325.42757789465</x:v>
      </x:c>
      <x:c r="W92" s="12" t="n">
        <x:f>IF(ISNUMBER(E92),IF($I$172&gt;$H$172,(E92-$H$172)/($I$172-$H$172),"缺失"),"缺失")</x:f>
        <x:v>0.6550925925925926</x:v>
      </x:c>
      <x:c r="X92" s="12" t="n">
        <x:f>IF(ISNUMBER(F92),IF($I$173&gt;$H$173,(F92-$H$173)/($I$173-$H$173),"缺失"),"缺失")</x:f>
        <x:v>0.2418897637795277</x:v>
      </x:c>
      <x:c r="Y92" s="12" t="n">
        <x:f>IF(ISNUMBER(G92),IF($I$174&gt;$H$174,(G92-$H$174)/($I$174-$H$174),"缺失"),"缺失")</x:f>
        <x:v>0.7523994326508213</x:v>
      </x:c>
      <x:c r="Z92" s="12" t="n">
        <x:f>IF(ISNUMBER(H92),IF($I$175&gt;$H$175,(H92-$H$175)/($I$175-$H$175),"缺失"),"缺失")</x:f>
        <x:v>0.7571335449963068</x:v>
      </x:c>
      <x:c r="AA92" s="12" t="n">
        <x:f>IF(ISNUMBER(I92),IF($I$176&gt;$H$176,(I92-$H$176)/($I$176-$H$176),"缺失"),"缺失")</x:f>
        <x:v>0.9416954076852874</x:v>
      </x:c>
      <x:c r="AB92" s="12" t="n">
        <x:f>IF(ISNUMBER(J92),IF($I$177&gt;$H$177,(J92-$H$177)/($I$177-$H$177),"缺失"),"缺失")</x:f>
        <x:v>0.18080209554471657</x:v>
      </x:c>
      <x:c r="AC92" s="12" t="n">
        <x:f>IF(ISNUMBER(K92),IF($I$178&gt;$H$178,(K92-$H$178)/($I$178-$H$178),"缺失"),"缺失")</x:f>
        <x:v>0.6202558955824643</x:v>
      </x:c>
      <x:c r="AD92" s="12" t="n">
        <x:f>IF(ISNUMBER(L92),IF($I$179&gt;$H$179,(L92-$H$179)/($I$179-$H$179),"缺失"),"缺失")</x:f>
        <x:v>0.975508186504129</x:v>
      </x:c>
      <x:c r="AE92" s="12" t="n">
        <x:f>IF(ISNUMBER(M92),IF($I$180&gt;$H$180,(M92-$H$180)/($I$180-$H$180),"缺失"),"缺失")</x:f>
        <x:v>0.975516287</x:v>
      </x:c>
      <x:c r="AF92" s="12" t="n">
        <x:f>IF(ISNUMBER(N92),IF($I$181&gt;$H$181,(N92-$H$181)/($I$181-$H$181),"缺失"),"缺失")</x:f>
        <x:v>0.004973710608615715</x:v>
      </x:c>
      <x:c r="AG92" s="12" t="n">
        <x:f>IF(ISNUMBER(O92),IF($I$182&gt;$H$182,(O92-$H$182)/($I$182-$H$182),"缺失"),"缺失")</x:f>
        <x:v>0.8076223210675294</x:v>
      </x:c>
      <x:c r="AH92" s="12" t="n">
        <x:f>IF(ISNUMBER(P92),IF($I$183&gt;$H$183,(P92-$H$183)/($I$183-$H$183),"缺失"),"缺失")</x:f>
        <x:v>0.8595770103270258</x:v>
      </x:c>
      <x:c r="AI92" s="12" t="n">
        <x:f>IF(ISNUMBER(Q92),IF($I$184&gt;$H$184,(Q92-$H$184)/($I$184-$H$184),"缺失"),"缺失")</x:f>
        <x:v>0.8997185996007565</x:v>
      </x:c>
      <x:c r="AJ92" s="12" t="n">
        <x:f>IF(ISNUMBER(R92),IF($I$185&gt;$H$185,(R92-$H$185)/($I$185-$H$185),"缺失"),"缺失")</x:f>
        <x:v>0.3273496670255008</x:v>
      </x:c>
      <x:c r="AK92" s="12" t="n">
        <x:f>IF(ISNUMBER(S92),IF($I$186&gt;$H$186,(S92-$H$186)/($I$186-$H$186),"缺失"),"缺失")</x:f>
        <x:v>0.23988308892297824</x:v>
      </x:c>
      <x:c r="AL92" s="12" t="n">
        <x:f>IF(ISNUMBER(T92),IF($I$187&gt;$H$187,(T92-$H$187)/($I$187-$H$187),"缺失"),"缺失")</x:f>
        <x:v>0</x:v>
      </x:c>
      <x:c r="AM92" s="12" t="n">
        <x:f>IF(ISNUMBER(U92),IF($I$188&gt;$H$188,(U92-$H$188)/($I$188-$H$188),"缺失"),"缺失")</x:f>
        <x:v>0</x:v>
      </x:c>
      <x:c r="AN92" s="12" t="n">
        <x:f>IF(ISNUMBER(V92),IF($I$189&gt;$H$189,(V92-$H$189)/($I$189-$H$189),"缺失"),"缺失")</x:f>
        <x:v>1</x:v>
      </x:c>
      <x:c r="AO92" s="23" t="str"/>
      <x:c r="AP92" s="23" t="str">
        <x:v>见指标口径：州级、产业、代表点代理；气候基期待核实</x:v>
      </x:c>
      <x:c r="AQ92" s="15" t="n">
        <x:v>1.0000000000000016</x:v>
      </x:c>
      <x:c r="AR92" s="15" t="n">
        <x:v>1.0000000000000016</x:v>
      </x:c>
      <x:c r="AS92" s="15" t="n">
        <x:v>1</x:v>
      </x:c>
      <x:c r="AT92" s="15" t="n">
        <x:v>1</x:v>
      </x:c>
    </x:row>
    <x:row r="93" ht="24" customHeight="1">
      <x:c r="A93" s="18" t="str">
        <x:v>13175</x:v>
      </x:c>
      <x:c r="B93" s="3" t="str">
        <x:v>Laurens County</x:v>
      </x:c>
      <x:c r="C93" s="3" t="str">
        <x:v>GA</x:v>
      </x:c>
      <x:c r="D93" s="12" t="n">
        <x:v>2090.990052</x:v>
      </x:c>
      <x:c r="E93" s="12" t="n">
        <x:v>0.522</x:v>
      </x:c>
      <x:c r="F93" s="12" t="n">
        <x:v>0.20049504950495098</x:v>
      </x:c>
      <x:c r="G93" s="12" t="n">
        <x:v>2.160589596017112</x:v>
      </x:c>
      <x:c r="H93" s="12" t="n">
        <x:v>1.9747929560829411</x:v>
      </x:c>
      <x:c r="I93" s="12" t="n">
        <x:v>0.910297241732301</x:v>
      </x:c>
      <x:c r="J93" s="12" t="n">
        <x:v>0.017222241668817032</x:v>
      </x:c>
      <x:c r="K93" s="12" t="n">
        <x:v>0.21874887661318346</x:v>
      </x:c>
      <x:c r="L93" s="24" t="n">
        <x:v>0.483236387</x:v>
      </x:c>
      <x:c r="M93" s="24" t="n">
        <x:v>0.483155599</x:v>
      </x:c>
      <x:c r="N93" s="13" t="n">
        <x:v>20364</x:v>
      </x:c>
      <x:c r="O93" s="12" t="n">
        <x:v>0.9014</x:v>
      </x:c>
      <x:c r="P93" s="12" t="n">
        <x:v>2097.1931762695312</x:v>
      </x:c>
      <x:c r="Q93" s="12" t="n">
        <x:v>76.98034693400065</x:v>
      </x:c>
      <x:c r="R93" s="12" t="n">
        <x:v>10.215097057728494</x:v>
      </x:c>
      <x:c r="S93" s="12" t="n">
        <x:v>14.263650602226557</x:v>
      </x:c>
      <x:c r="T93" s="12" t="n">
        <x:v>72.1</x:v>
      </x:c>
      <x:c r="U93" s="12" t="n">
        <x:v>211.4154781728841</x:v>
      </x:c>
      <x:c r="V93" s="12" t="n">
        <x:v>325.42757789465</x:v>
      </x:c>
      <x:c r="W93" s="12" t="n">
        <x:f>IF(ISNUMBER(E93),IF($I$172&gt;$H$172,(E93-$H$172)/($I$172-$H$172),"缺失"),"缺失")</x:f>
        <x:v>0.5486111111111112</x:v>
      </x:c>
      <x:c r="X93" s="12" t="n">
        <x:f>IF(ISNUMBER(F93),IF($I$173&gt;$H$173,(F93-$H$173)/($I$173-$H$173),"缺失"),"缺失")</x:f>
        <x:v>0.19779527559055163</x:v>
      </x:c>
      <x:c r="Y93" s="12" t="n">
        <x:f>IF(ISNUMBER(G93),IF($I$174&gt;$H$174,(G93-$H$174)/($I$174-$H$174),"缺失"),"缺失")</x:f>
        <x:v>0.5680023366914949</x:v>
      </x:c>
      <x:c r="Z93" s="12" t="n">
        <x:f>IF(ISNUMBER(H93),IF($I$175&gt;$H$175,(H93-$H$175)/($I$175-$H$175),"缺失"),"缺失")</x:f>
        <x:v>0.4864148406887607</x:v>
      </x:c>
      <x:c r="AA93" s="12" t="n">
        <x:f>IF(ISNUMBER(I93),IF($I$176&gt;$H$176,(I93-$H$176)/($I$176-$H$176),"缺失"),"缺失")</x:f>
        <x:v>0.9129138983651948</x:v>
      </x:c>
      <x:c r="AB93" s="12" t="n">
        <x:f>IF(ISNUMBER(J93),IF($I$177&gt;$H$177,(J93-$H$177)/($I$177-$H$177),"缺失"),"缺失")</x:f>
        <x:v>0.04224605515421546</x:v>
      </x:c>
      <x:c r="AC93" s="12" t="n">
        <x:f>IF(ISNUMBER(K93),IF($I$178&gt;$H$178,(K93-$H$178)/($I$178-$H$178),"缺失"),"缺失")</x:f>
        <x:v>0.37607334273275855</x:v>
      </x:c>
      <x:c r="AD93" s="12" t="n">
        <x:f>IF(ISNUMBER(L93),IF($I$179&gt;$H$179,(L93-$H$179)/($I$179-$H$179),"缺失"),"缺失")</x:f>
        <x:v>0.4830654145043894</x:v>
      </x:c>
      <x:c r="AE93" s="12" t="n">
        <x:f>IF(ISNUMBER(M93),IF($I$180&gt;$H$180,(M93-$H$180)/($I$180-$H$180),"缺失"),"缺失")</x:f>
        <x:v>0.483155599</x:v>
      </x:c>
      <x:c r="AF93" s="12" t="n">
        <x:f>IF(ISNUMBER(N93),IF($I$181&gt;$H$181,(N93-$H$181)/($I$181-$H$181),"缺失"),"缺失")</x:f>
        <x:v>0.03055345923669148</x:v>
      </x:c>
      <x:c r="AG93" s="12" t="n">
        <x:f>IF(ISNUMBER(O93),IF($I$182&gt;$H$182,(O93-$H$182)/($I$182-$H$182),"缺失"),"缺失")</x:f>
        <x:v>0.9090173877881116</x:v>
      </x:c>
      <x:c r="AH93" s="12" t="n">
        <x:f>IF(ISNUMBER(P93),IF($I$183&gt;$H$183,(P93-$H$183)/($I$183-$H$183),"缺失"),"缺失")</x:f>
        <x:v>0.8193774613985498</x:v>
      </x:c>
      <x:c r="AI93" s="12" t="n">
        <x:f>IF(ISNUMBER(Q93),IF($I$184&gt;$H$184,(Q93-$H$184)/($I$184-$H$184),"缺失"),"缺失")</x:f>
        <x:v>0.9009001218614079</x:v>
      </x:c>
      <x:c r="AJ93" s="12" t="n">
        <x:f>IF(ISNUMBER(R93),IF($I$185&gt;$H$185,(R93-$H$185)/($I$185-$H$185),"缺失"),"缺失")</x:f>
        <x:v>0.10583421401674854</x:v>
      </x:c>
      <x:c r="AK93" s="12" t="n">
        <x:f>IF(ISNUMBER(S93),IF($I$186&gt;$H$186,(S93-$H$186)/($I$186-$H$186),"缺失"),"缺失")</x:f>
        <x:v>0.2782907321210385</x:v>
      </x:c>
      <x:c r="AL93" s="12" t="n">
        <x:f>IF(ISNUMBER(T93),IF($I$187&gt;$H$187,(T93-$H$187)/($I$187-$H$187),"缺失"),"缺失")</x:f>
        <x:v>0</x:v>
      </x:c>
      <x:c r="AM93" s="12" t="n">
        <x:f>IF(ISNUMBER(U93),IF($I$188&gt;$H$188,(U93-$H$188)/($I$188-$H$188),"缺失"),"缺失")</x:f>
        <x:v>0</x:v>
      </x:c>
      <x:c r="AN93" s="12" t="n">
        <x:f>IF(ISNUMBER(V93),IF($I$189&gt;$H$189,(V93-$H$189)/($I$189-$H$189),"缺失"),"缺失")</x:f>
        <x:v>1</x:v>
      </x:c>
      <x:c r="AO93" s="23" t="str"/>
      <x:c r="AP93" s="23" t="str">
        <x:v>见指标口径：州级、产业、代表点代理；气候基期待核实</x:v>
      </x:c>
      <x:c r="AQ93" s="15" t="n">
        <x:v>0.9999999999999992</x:v>
      </x:c>
      <x:c r="AR93" s="15" t="n">
        <x:v>1.000000000000003</x:v>
      </x:c>
      <x:c r="AS93" s="15" t="n">
        <x:v>1</x:v>
      </x:c>
      <x:c r="AT93" s="15" t="n">
        <x:v>1</x:v>
      </x:c>
    </x:row>
    <x:row r="94" ht="24" customHeight="1">
      <x:c r="A94" s="18" t="str">
        <x:v>13177</x:v>
      </x:c>
      <x:c r="B94" s="3" t="str">
        <x:v>Lee County</x:v>
      </x:c>
      <x:c r="C94" s="3" t="str">
        <x:v>GA</x:v>
      </x:c>
      <x:c r="D94" s="12" t="n">
        <x:v>921.632943</x:v>
      </x:c>
      <x:c r="E94" s="12" t="n">
        <x:v>0.516</x:v>
      </x:c>
      <x:c r="F94" s="12" t="n">
        <x:v>0.743811881188119</x:v>
      </x:c>
      <x:c r="G94" s="12" t="n">
        <x:v>1.1652933984148754</x:v>
      </x:c>
      <x:c r="H94" s="12" t="n">
        <x:v>1.134330805</x:v>
      </x:c>
      <x:c r="I94" s="12" t="n">
        <x:v>0.923197961062827</x:v>
      </x:c>
      <x:c r="J94" s="12" t="n">
        <x:v>0.011294283795663624</x:v>
      </x:c>
      <x:c r="K94" s="12" t="n">
        <x:v>0.20990893161712426</x:v>
      </x:c>
      <x:c r="L94" s="24" t="n">
        <x:v>0.595410796</x:v>
      </x:c>
      <x:c r="M94" s="24" t="n">
        <x:v>0.591993305</x:v>
      </x:c>
      <x:c r="N94" s="13" t="n">
        <x:v>16897</x:v>
      </x:c>
      <x:c r="O94" s="12" t="n">
        <x:v>0.2606</x:v>
      </x:c>
      <x:c r="P94" s="12" t="n">
        <x:v>2182.811083984375</x:v>
      </x:c>
      <x:c r="Q94" s="12" t="n">
        <x:v>72.3065086364746</x:v>
      </x:c>
      <x:c r="R94" s="12" t="n">
        <x:v>39.79345158358567</x:v>
      </x:c>
      <x:c r="S94" s="12" t="n">
        <x:v>5.795264191127044</x:v>
      </x:c>
      <x:c r="T94" s="12" t="n">
        <x:v>72.1</x:v>
      </x:c>
      <x:c r="U94" s="12" t="n">
        <x:v>211.4154781728841</x:v>
      </x:c>
      <x:c r="V94" s="12" t="n">
        <x:v>325.42757789465</x:v>
      </x:c>
      <x:c r="W94" s="12" t="n">
        <x:f>IF(ISNUMBER(E94),IF($I$172&gt;$H$172,(E94-$H$172)/($I$172-$H$172),"缺失"),"缺失")</x:f>
        <x:v>0.5416666666666667</x:v>
      </x:c>
      <x:c r="X94" s="12" t="n">
        <x:f>IF(ISNUMBER(F94),IF($I$173&gt;$H$173,(F94-$H$173)/($I$173-$H$173),"缺失"),"缺失")</x:f>
        <x:v>0.7508661417322835</x:v>
      </x:c>
      <x:c r="Y94" s="12" t="n">
        <x:f>IF(ISNUMBER(G94),IF($I$174&gt;$H$174,(G94-$H$174)/($I$174-$H$174),"缺失"),"缺失")</x:f>
        <x:v>0.3061887035903138</x:v>
      </x:c>
      <x:c r="Z94" s="12" t="n">
        <x:f>IF(ISNUMBER(H94),IF($I$175&gt;$H$175,(H94-$H$175)/($I$175-$H$175),"缺失"),"缺失")</x:f>
        <x:v>0.27921766761671174</x:v>
      </x:c>
      <x:c r="AA94" s="12" t="n">
        <x:f>IF(ISNUMBER(I94),IF($I$176&gt;$H$176,(I94-$H$176)/($I$176-$H$176),"缺失"),"缺失")</x:f>
        <x:v>0.9267631605587253</x:v>
      </x:c>
      <x:c r="AB94" s="12" t="n">
        <x:f>IF(ISNUMBER(J94),IF($I$177&gt;$H$177,(J94-$H$177)/($I$177-$H$177),"缺失"),"缺失")</x:f>
        <x:v>0.027704810171308047</x:v>
      </x:c>
      <x:c r="AC94" s="12" t="n">
        <x:f>IF(ISNUMBER(K94),IF($I$178&gt;$H$178,(K94-$H$178)/($I$178-$H$178),"缺失"),"缺失")</x:f>
        <x:v>0.3608756982204148</x:v>
      </x:c>
      <x:c r="AD94" s="12" t="n">
        <x:f>IF(ISNUMBER(L94),IF($I$179&gt;$H$179,(L94-$H$179)/($I$179-$H$179),"缺失"),"缺失")</x:f>
        <x:v>0.5952769366798684</x:v>
      </x:c>
      <x:c r="AE94" s="12" t="n">
        <x:f>IF(ISNUMBER(M94),IF($I$180&gt;$H$180,(M94-$H$180)/($I$180-$H$180),"缺失"),"缺失")</x:f>
        <x:v>0.591993305</x:v>
      </x:c>
      <x:c r="AF94" s="12" t="n">
        <x:f>IF(ISNUMBER(N94),IF($I$181&gt;$H$181,(N94-$H$181)/($I$181-$H$181),"缺失"),"缺失")</x:f>
        <x:v>0.02516980182799005</x:v>
      </x:c>
      <x:c r="AG94" s="12" t="n">
        <x:f>IF(ISNUMBER(O94),IF($I$182&gt;$H$182,(O94-$H$182)/($I$182-$H$182),"缺失"),"缺失")</x:f>
        <x:v>0.26122118883946627</x:v>
      </x:c>
      <x:c r="AH94" s="12" t="n">
        <x:f>IF(ISNUMBER(P94),IF($I$183&gt;$H$183,(P94-$H$183)/($I$183-$H$183),"缺失"),"缺失")</x:f>
        <x:v>0.8578931948972187</x:v>
      </x:c>
      <x:c r="AI94" s="12" t="n">
        <x:f>IF(ISNUMBER(Q94),IF($I$184&gt;$H$184,(Q94-$H$184)/($I$184-$H$184),"缺失"),"缺失")</x:f>
        <x:v>0.8459750641713288</x:v>
      </x:c>
      <x:c r="AJ94" s="12" t="n">
        <x:f>IF(ISNUMBER(R94),IF($I$185&gt;$H$185,(R94-$H$185)/($I$185-$H$185),"缺失"),"缺失")</x:f>
        <x:v>0.41665683624394245</x:v>
      </x:c>
      <x:c r="AK94" s="12" t="n">
        <x:f>IF(ISNUMBER(S94),IF($I$186&gt;$H$186,(S94-$H$186)/($I$186-$H$186),"缺失"),"缺失")</x:f>
        <x:v>0.11297377269602746</x:v>
      </x:c>
      <x:c r="AL94" s="12" t="n">
        <x:f>IF(ISNUMBER(T94),IF($I$187&gt;$H$187,(T94-$H$187)/($I$187-$H$187),"缺失"),"缺失")</x:f>
        <x:v>0</x:v>
      </x:c>
      <x:c r="AM94" s="12" t="n">
        <x:f>IF(ISNUMBER(U94),IF($I$188&gt;$H$188,(U94-$H$188)/($I$188-$H$188),"缺失"),"缺失")</x:f>
        <x:v>0</x:v>
      </x:c>
      <x:c r="AN94" s="12" t="n">
        <x:f>IF(ISNUMBER(V94),IF($I$189&gt;$H$189,(V94-$H$189)/($I$189-$H$189),"缺失"),"缺失")</x:f>
        <x:v>1</x:v>
      </x:c>
      <x:c r="AO94" s="23" t="str"/>
      <x:c r="AP94" s="23" t="str">
        <x:v>见指标口径：州级、产业、代表点代理；气候基期待核实</x:v>
      </x:c>
      <x:c r="AQ94" s="15" t="n">
        <x:v>1.000000000000003</x:v>
      </x:c>
      <x:c r="AR94" s="15" t="n">
        <x:v>1.0000000000000024</x:v>
      </x:c>
      <x:c r="AS94" s="15" t="n">
        <x:v>1</x:v>
      </x:c>
      <x:c r="AT94" s="15" t="n">
        <x:v>1</x:v>
      </x:c>
    </x:row>
    <x:row r="95" ht="24" customHeight="1">
      <x:c r="A95" s="18" t="str">
        <x:v>13179</x:v>
      </x:c>
      <x:c r="B95" s="3" t="str">
        <x:v>Liberty County</x:v>
      </x:c>
      <x:c r="C95" s="3" t="str">
        <x:v>GA</x:v>
      </x:c>
      <x:c r="D95" s="12" t="n">
        <x:v>1337.632044</x:v>
      </x:c>
      <x:c r="E95" s="12" t="n">
        <x:v>0.711</x:v>
      </x:c>
      <x:c r="F95" s="12" t="n">
        <x:v>0.377784653465347</x:v>
      </x:c>
      <x:c r="G95" s="12" t="n">
        <x:v>0.8207086059047765</x:v>
      </x:c>
      <x:c r="H95" s="12" t="n">
        <x:v>0.630086639</x:v>
      </x:c>
      <x:c r="I95" s="12" t="n">
        <x:v>0.9074874697927984</x:v>
      </x:c>
      <x:c r="J95" s="12" t="n">
        <x:v>0.049084666527922906</x:v>
      </x:c>
      <x:c r="K95" s="12" t="n">
        <x:v>0.45876324508565375</x:v>
      </x:c>
      <x:c r="L95" s="24" t="n">
        <x:v>0.650375085</x:v>
      </x:c>
      <x:c r="M95" s="24" t="n">
        <x:v>0.606241678</x:v>
      </x:c>
      <x:c r="N95" s="13" t="n">
        <x:v>23928</x:v>
      </x:c>
      <x:c r="O95" s="12" t="n">
        <x:v>0.9007</x:v>
      </x:c>
      <x:c r="P95" s="12" t="n">
        <x:v>2345.9510823567707</x:v>
      </x:c>
      <x:c r="Q95" s="12" t="n">
        <x:v>65.09857889811198</x:v>
      </x:c>
      <x:c r="R95" s="12" t="n">
        <x:v>7.974194451915243</x:v>
      </x:c>
      <x:c r="S95" s="12" t="n">
        <x:v>5.126018900201164</x:v>
      </x:c>
      <x:c r="T95" s="12" t="n">
        <x:v>72.1</x:v>
      </x:c>
      <x:c r="U95" s="12" t="n">
        <x:v>211.4154781728841</x:v>
      </x:c>
      <x:c r="V95" s="12" t="n">
        <x:v>325.42757789465</x:v>
      </x:c>
      <x:c r="W95" s="12" t="n">
        <x:f>IF(ISNUMBER(E95),IF($I$172&gt;$H$172,(E95-$H$172)/($I$172-$H$172),"缺失"),"缺失")</x:f>
        <x:v>0.767361111111111</x:v>
      </x:c>
      <x:c r="X95" s="12" t="n">
        <x:f>IF(ISNUMBER(F95),IF($I$173&gt;$H$173,(F95-$H$173)/($I$173-$H$173),"缺失"),"缺失")</x:f>
        <x:v>0.37826771653543345</x:v>
      </x:c>
      <x:c r="Y95" s="12" t="n">
        <x:f>IF(ISNUMBER(G95),IF($I$174&gt;$H$174,(G95-$H$174)/($I$174-$H$174),"缺失"),"缺失")</x:f>
        <x:v>0.21554533867459616</x:v>
      </x:c>
      <x:c r="Z95" s="12" t="n">
        <x:f>IF(ISNUMBER(H95),IF($I$175&gt;$H$175,(H95-$H$175)/($I$175-$H$175),"缺失"),"缺失")</x:f>
        <x:v>0.15490752991609966</x:v>
      </x:c>
      <x:c r="AA95" s="12" t="n">
        <x:f>IF(ISNUMBER(I95),IF($I$176&gt;$H$176,(I95-$H$176)/($I$176-$H$176),"缺失"),"缺失")</x:f>
        <x:v>0.9098975341379598</x:v>
      </x:c>
      <x:c r="AB95" s="12" t="n">
        <x:f>IF(ISNUMBER(J95),IF($I$177&gt;$H$177,(J95-$H$177)/($I$177-$H$177),"缺失"),"缺失")</x:f>
        <x:v>0.12040439155603481</x:v>
      </x:c>
      <x:c r="AC95" s="12" t="n">
        <x:f>IF(ISNUMBER(K95),IF($I$178&gt;$H$178,(K95-$H$178)/($I$178-$H$178),"缺失"),"缺失")</x:f>
        <x:v>0.7887063457124593</x:v>
      </x:c>
      <x:c r="AD95" s="12" t="n">
        <x:f>IF(ISNUMBER(L95),IF($I$179&gt;$H$179,(L95-$H$179)/($I$179-$H$179),"缺失"),"缺失")</x:f>
        <x:v>0.6502594107482891</x:v>
      </x:c>
      <x:c r="AE95" s="12" t="n">
        <x:f>IF(ISNUMBER(M95),IF($I$180&gt;$H$180,(M95-$H$180)/($I$180-$H$180),"缺失"),"缺失")</x:f>
        <x:v>0.606241678</x:v>
      </x:c>
      <x:c r="AF95" s="12" t="n">
        <x:f>IF(ISNUMBER(N95),IF($I$181&gt;$H$181,(N95-$H$181)/($I$181-$H$181),"缺失"),"缺失")</x:f>
        <x:v>0.03608774103784865</x:v>
      </x:c>
      <x:c r="AG95" s="12" t="n">
        <x:f>IF(ISNUMBER(O95),IF($I$182&gt;$H$182,(O95-$H$182)/($I$182-$H$182),"缺失"),"缺失")</x:f>
        <x:v>0.9083097452486858</x:v>
      </x:c>
      <x:c r="AH95" s="12" t="n">
        <x:f>IF(ISNUMBER(P95),IF($I$183&gt;$H$183,(P95-$H$183)/($I$183-$H$183),"缺失"),"缺失")</x:f>
        <x:v>0.9312827096376626</x:v>
      </x:c>
      <x:c r="AI95" s="12" t="n">
        <x:f>IF(ISNUMBER(Q95),IF($I$184&gt;$H$184,(Q95-$H$184)/($I$184-$H$184),"缺失"),"缺失")</x:f>
        <x:v>0.7612703885912688</x:v>
      </x:c>
      <x:c r="AJ95" s="12" t="n">
        <x:f>IF(ISNUMBER(R95),IF($I$185&gt;$H$185,(R95-$H$185)/($I$185-$H$185),"缺失"),"缺失")</x:f>
        <x:v>0.0822858038614192</x:v>
      </x:c>
      <x:c r="AK95" s="12" t="n">
        <x:f>IF(ISNUMBER(S95),IF($I$186&gt;$H$186,(S95-$H$186)/($I$186-$H$186),"缺失"),"缺失")</x:f>
        <x:v>0.09990899373644185</x:v>
      </x:c>
      <x:c r="AL95" s="12" t="n">
        <x:f>IF(ISNUMBER(T95),IF($I$187&gt;$H$187,(T95-$H$187)/($I$187-$H$187),"缺失"),"缺失")</x:f>
        <x:v>0</x:v>
      </x:c>
      <x:c r="AM95" s="12" t="n">
        <x:f>IF(ISNUMBER(U95),IF($I$188&gt;$H$188,(U95-$H$188)/($I$188-$H$188),"缺失"),"缺失")</x:f>
        <x:v>0</x:v>
      </x:c>
      <x:c r="AN95" s="12" t="n">
        <x:f>IF(ISNUMBER(V95),IF($I$189&gt;$H$189,(V95-$H$189)/($I$189-$H$189),"缺失"),"缺失")</x:f>
        <x:v>1</x:v>
      </x:c>
      <x:c r="AO95" s="23" t="str"/>
      <x:c r="AP95" s="23" t="str">
        <x:v>baseline_water_stress:有效县域面积覆盖&lt;99%（诊断提示，非行业阈值）；water_stress_2050_bau:有效县域面积覆盖&lt;99%（诊断提示，非行业阈值）</x:v>
      </x:c>
      <x:c r="AQ95" s="15" t="n">
        <x:v>0.9006094799185699</x:v>
      </x:c>
      <x:c r="AR95" s="15" t="n">
        <x:v>0.900601258587279</x:v>
      </x:c>
      <x:c r="AS95" s="15" t="n">
        <x:v>0.9999994232674666</x:v>
      </x:c>
      <x:c r="AT95" s="15" t="n">
        <x:v>1</x:v>
      </x:c>
    </x:row>
    <x:row r="96" ht="24" customHeight="1">
      <x:c r="A96" s="18" t="str">
        <x:v>13181</x:v>
      </x:c>
      <x:c r="B96" s="3" t="str">
        <x:v>Lincoln County</x:v>
      </x:c>
      <x:c r="C96" s="3" t="str">
        <x:v>GA</x:v>
      </x:c>
      <x:c r="D96" s="12" t="n">
        <x:v>544.884775</x:v>
      </x:c>
      <x:c r="E96" s="12" t="n">
        <x:v>0.633</x:v>
      </x:c>
      <x:c r="F96" s="12" t="n">
        <x:v>0.45049504950495</x:v>
      </x:c>
      <x:c r="G96" s="12" t="n">
        <x:v>2.931926380780837</x:v>
      </x:c>
      <x:c r="H96" s="12" t="n">
        <x:v>2.735302759</x:v>
      </x:c>
      <x:c r="I96" s="12" t="n">
        <x:v>0.9401886615618099</x:v>
      </x:c>
      <x:c r="J96" s="12" t="n">
        <x:v>0.0279024813460703</x:v>
      </x:c>
      <x:c r="K96" s="12" t="n">
        <x:v>0.01964059923147626</x:v>
      </x:c>
      <x:c r="L96" s="24" t="n">
        <x:v>0.994710994</x:v>
      </x:c>
      <x:c r="M96" s="24" t="n">
        <x:v>0.994710994</x:v>
      </x:c>
      <x:c r="N96" s="13" t="n">
        <x:v>3239</x:v>
      </x:c>
      <x:c r="O96" s="12" t="n">
        <x:v>0.5488</x:v>
      </x:c>
      <x:c r="P96" s="12" t="n">
        <x:v>1725.7078938802083</x:v>
      </x:c>
      <x:c r="Q96" s="12" t="n">
        <x:v>54.826527150472</x:v>
      </x:c>
      <x:c r="R96" s="12" t="n">
        <x:v>30.915007503380977</x:v>
      </x:c>
      <x:c r="S96" s="12" t="n">
        <x:v>18.067609726415775</x:v>
      </x:c>
      <x:c r="T96" s="12" t="n">
        <x:v>72.1</x:v>
      </x:c>
      <x:c r="U96" s="12" t="n">
        <x:v>211.4154781728841</x:v>
      </x:c>
      <x:c r="V96" s="12" t="n">
        <x:v>325.42757789465</x:v>
      </x:c>
      <x:c r="W96" s="12" t="n">
        <x:f>IF(ISNUMBER(E96),IF($I$172&gt;$H$172,(E96-$H$172)/($I$172-$H$172),"缺失"),"缺失")</x:f>
        <x:v>0.6770833333333333</x:v>
      </x:c>
      <x:c r="X96" s="12" t="n">
        <x:f>IF(ISNUMBER(F96),IF($I$173&gt;$H$173,(F96-$H$173)/($I$173-$H$173),"缺失"),"缺失")</x:f>
        <x:v>0.45228346456692853</x:v>
      </x:c>
      <x:c r="Y96" s="12" t="n">
        <x:f>IF(ISNUMBER(G96),IF($I$174&gt;$H$174,(G96-$H$174)/($I$174-$H$174),"缺失"),"缺失")</x:f>
        <x:v>0.7709032283557884</x:v>
      </x:c>
      <x:c r="Z96" s="12" t="n">
        <x:f>IF(ISNUMBER(H96),IF($I$175&gt;$H$175,(H96-$H$175)/($I$175-$H$175),"缺失"),"缺失")</x:f>
        <x:v>0.6739015479187753</x:v>
      </x:c>
      <x:c r="AA96" s="12" t="n">
        <x:f>IF(ISNUMBER(I96),IF($I$176&gt;$H$176,(I96-$H$176)/($I$176-$H$176),"缺失"),"缺失")</x:f>
        <x:v>0.9450031253260673</x:v>
      </x:c>
      <x:c r="AB96" s="12" t="n">
        <x:f>IF(ISNUMBER(J96),IF($I$177&gt;$H$177,(J96-$H$177)/($I$177-$H$177),"缺失"),"缺失")</x:f>
        <x:v>0.06844461879894882</x:v>
      </x:c>
      <x:c r="AC96" s="12" t="n">
        <x:f>IF(ISNUMBER(K96),IF($I$178&gt;$H$178,(K96-$H$178)/($I$178-$H$178),"缺失"),"缺失")</x:f>
        <x:v>0.03376614280546468</x:v>
      </x:c>
      <x:c r="AD96" s="12" t="n">
        <x:f>IF(ISNUMBER(L96),IF($I$179&gt;$H$179,(L96-$H$179)/($I$179-$H$179),"缺失"),"缺失")</x:f>
        <x:v>0.9947092441195278</x:v>
      </x:c>
      <x:c r="AE96" s="12" t="n">
        <x:f>IF(ISNUMBER(M96),IF($I$180&gt;$H$180,(M96-$H$180)/($I$180-$H$180),"缺失"),"缺失")</x:f>
        <x:v>0.994710994</x:v>
      </x:c>
      <x:c r="AF96" s="12" t="n">
        <x:f>IF(ISNUMBER(N96),IF($I$181&gt;$H$181,(N96-$H$181)/($I$181-$H$181),"缺失"),"缺失")</x:f>
        <x:v>0.003961266238707053</x:v>
      </x:c>
      <x:c r="AG96" s="12" t="n">
        <x:f>IF(ISNUMBER(O96),IF($I$182&gt;$H$182,(O96-$H$182)/($I$182-$H$182),"缺失"),"缺失")</x:f>
        <x:v>0.5525677315002022</x:v>
      </x:c>
      <x:c r="AH96" s="12" t="n">
        <x:f>IF(ISNUMBER(P96),IF($I$183&gt;$H$183,(P96-$H$183)/($I$183-$H$183),"缺失"),"缺失")</x:f>
        <x:v>0.6522625608237915</x:v>
      </x:c>
      <x:c r="AI96" s="12" t="n">
        <x:f>IF(ISNUMBER(Q96),IF($I$184&gt;$H$184,(Q96-$H$184)/($I$184-$H$184),"缺失"),"缺失")</x:f>
        <x:v>0.6405573902119194</x:v>
      </x:c>
      <x:c r="AJ96" s="12" t="n">
        <x:f>IF(ISNUMBER(R96),IF($I$185&gt;$H$185,(R96-$H$185)/($I$185-$H$185),"缺失"),"缺失")</x:f>
        <x:v>0.3233581617725722</x:v>
      </x:c>
      <x:c r="AK96" s="12" t="n">
        <x:f>IF(ISNUMBER(S96),IF($I$186&gt;$H$186,(S96-$H$186)/($I$186-$H$186),"缺失"),"缺失")</x:f>
        <x:v>0.3525503284195428</x:v>
      </x:c>
      <x:c r="AL96" s="12" t="n">
        <x:f>IF(ISNUMBER(T96),IF($I$187&gt;$H$187,(T96-$H$187)/($I$187-$H$187),"缺失"),"缺失")</x:f>
        <x:v>0</x:v>
      </x:c>
      <x:c r="AM96" s="12" t="n">
        <x:f>IF(ISNUMBER(U96),IF($I$188&gt;$H$188,(U96-$H$188)/($I$188-$H$188),"缺失"),"缺失")</x:f>
        <x:v>0</x:v>
      </x:c>
      <x:c r="AN96" s="12" t="n">
        <x:f>IF(ISNUMBER(V96),IF($I$189&gt;$H$189,(V96-$H$189)/($I$189-$H$189),"缺失"),"缺失")</x:f>
        <x:v>1</x:v>
      </x:c>
      <x:c r="AO96" s="23" t="str"/>
      <x:c r="AP96" s="23" t="str">
        <x:v>见指标口径：州级、产业、代表点代理；气候基期待核实</x:v>
      </x:c>
      <x:c r="AQ96" s="15" t="n">
        <x:v>0.9999999999999986</x:v>
      </x:c>
      <x:c r="AR96" s="15" t="n">
        <x:v>0.9999999999999974</x:v>
      </x:c>
      <x:c r="AS96" s="15" t="n">
        <x:v>1</x:v>
      </x:c>
      <x:c r="AT96" s="15" t="n">
        <x:v>1</x:v>
      </x:c>
    </x:row>
    <x:row r="97" ht="24" customHeight="1">
      <x:c r="A97" s="18" t="str">
        <x:v>13183</x:v>
      </x:c>
      <x:c r="B97" s="3" t="str">
        <x:v>Long County</x:v>
      </x:c>
      <x:c r="C97" s="3" t="str">
        <x:v>GA</x:v>
      </x:c>
      <x:c r="D97" s="12" t="n">
        <x:v>1037.028629</x:v>
      </x:c>
      <x:c r="E97" s="12" t="n">
        <x:v>0.592</x:v>
      </x:c>
      <x:c r="F97" s="12" t="n">
        <x:v>0.517326732673267</x:v>
      </x:c>
      <x:c r="G97" s="12" t="n">
        <x:v>0.29382057353708024</x:v>
      </x:c>
      <x:c r="H97" s="12" t="n">
        <x:v>0.2260571861100003</x:v>
      </x:c>
      <x:c r="I97" s="12" t="n">
        <x:v>0.9416011084316888</x:v>
      </x:c>
      <x:c r="J97" s="12" t="n">
        <x:v>0.13665431627179125</x:v>
      </x:c>
      <x:c r="K97" s="12" t="n">
        <x:v>0.4418536942957187</x:v>
      </x:c>
      <x:c r="L97" s="24" t="n">
        <x:v>0.385789406</x:v>
      </x:c>
      <x:c r="M97" s="24" t="n">
        <x:v>0.367577273</x:v>
      </x:c>
      <x:c r="N97" s="13" t="n">
        <x:v>7741</x:v>
      </x:c>
      <x:c r="O97" s="12" t="n">
        <x:v>0.8851</x:v>
      </x:c>
      <x:c r="P97" s="12" t="n">
        <x:v>2328.028312174479</x:v>
      </x:c>
      <x:c r="Q97" s="12" t="n">
        <x:v>71.90462379455566</x:v>
      </x:c>
      <x:c r="R97" s="12" t="n">
        <x:v>33.6159415223762</x:v>
      </x:c>
      <x:c r="S97" s="12" t="n">
        <x:v>3.561532843363973</x:v>
      </x:c>
      <x:c r="T97" s="12" t="n">
        <x:v>72.1</x:v>
      </x:c>
      <x:c r="U97" s="12" t="n">
        <x:v>211.4154781728841</x:v>
      </x:c>
      <x:c r="V97" s="12" t="n">
        <x:v>325.42757789465</x:v>
      </x:c>
      <x:c r="W97" s="12" t="n">
        <x:f>IF(ISNUMBER(E97),IF($I$172&gt;$H$172,(E97-$H$172)/($I$172-$H$172),"缺失"),"缺失")</x:f>
        <x:v>0.6296296296296295</x:v>
      </x:c>
      <x:c r="X97" s="12" t="n">
        <x:f>IF(ISNUMBER(F97),IF($I$173&gt;$H$173,(F97-$H$173)/($I$173-$H$173),"缺失"),"缺失")</x:f>
        <x:v>0.5203149606299208</x:v>
      </x:c>
      <x:c r="Y97" s="12" t="n">
        <x:f>IF(ISNUMBER(G97),IF($I$174&gt;$H$174,(G97-$H$174)/($I$174-$H$174),"缺失"),"缺失")</x:f>
        <x:v>0.07694692915183754</x:v>
      </x:c>
      <x:c r="Z97" s="12" t="n">
        <x:f>IF(ISNUMBER(H97),IF($I$175&gt;$H$175,(H97-$H$175)/($I$175-$H$175),"缺失"),"缺失")</x:f>
        <x:v>0.055303091609402825</x:v>
      </x:c>
      <x:c r="AA97" s="12" t="n">
        <x:f>IF(ISNUMBER(I97),IF($I$176&gt;$H$176,(I97-$H$176)/($I$176-$H$176),"缺失"),"缺失")</x:f>
        <x:v>0.9465194242652356</x:v>
      </x:c>
      <x:c r="AB97" s="12" t="n">
        <x:f>IF(ISNUMBER(J97),IF($I$177&gt;$H$177,(J97-$H$177)/($I$177-$H$177),"缺失"),"缺失")</x:f>
        <x:v>0.33521221530252987</x:v>
      </x:c>
      <x:c r="AC97" s="12" t="n">
        <x:f>IF(ISNUMBER(K97),IF($I$178&gt;$H$178,(K97-$H$178)/($I$178-$H$178),"缺失"),"缺失")</x:f>
        <x:v>0.7596354248092844</x:v>
      </x:c>
      <x:c r="AD97" s="12" t="n">
        <x:f>IF(ISNUMBER(L97),IF($I$179&gt;$H$179,(L97-$H$179)/($I$179-$H$179),"缺失"),"缺失")</x:f>
        <x:v>0.38558619293420965</x:v>
      </x:c>
      <x:c r="AE97" s="12" t="n">
        <x:f>IF(ISNUMBER(M97),IF($I$180&gt;$H$180,(M97-$H$180)/($I$180-$H$180),"缺失"),"缺失")</x:f>
        <x:v>0.367577273</x:v>
      </x:c>
      <x:c r="AF97" s="12" t="n">
        <x:f>IF(ISNUMBER(N97),IF($I$181&gt;$H$181,(N97-$H$181)/($I$181-$H$181),"缺失"),"缺失")</x:f>
        <x:v>0.010952101443199075</x:v>
      </x:c>
      <x:c r="AG97" s="12" t="n">
        <x:f>IF(ISNUMBER(O97),IF($I$182&gt;$H$182,(O97-$H$182)/($I$182-$H$182),"缺失"),"缺失")</x:f>
        <x:v>0.8925394257986252</x:v>
      </x:c>
      <x:c r="AH97" s="12" t="n">
        <x:f>IF(ISNUMBER(P97),IF($I$183&gt;$H$183,(P97-$H$183)/($I$183-$H$183),"缺失"),"缺失")</x:f>
        <x:v>0.9232200430960069</x:v>
      </x:c>
      <x:c r="AI97" s="12" t="n">
        <x:f>IF(ISNUMBER(Q97),IF($I$184&gt;$H$184,(Q97-$H$184)/($I$184-$H$184),"缺失"),"缺失")</x:f>
        <x:v>0.8412522760212017</x:v>
      </x:c>
      <x:c r="AJ97" s="12" t="n">
        <x:f>IF(ISNUMBER(R97),IF($I$185&gt;$H$185,(R97-$H$185)/($I$185-$H$185),"缺失"),"缺失")</x:f>
        <x:v>0.35174078845022705</x:v>
      </x:c>
      <x:c r="AK97" s="12" t="n">
        <x:f>IF(ISNUMBER(S97),IF($I$186&gt;$H$186,(S97-$H$186)/($I$186-$H$186),"缺失"),"缺失")</x:f>
        <x:v>0.06936762901551284</x:v>
      </x:c>
      <x:c r="AL97" s="12" t="n">
        <x:f>IF(ISNUMBER(T97),IF($I$187&gt;$H$187,(T97-$H$187)/($I$187-$H$187),"缺失"),"缺失")</x:f>
        <x:v>0</x:v>
      </x:c>
      <x:c r="AM97" s="12" t="n">
        <x:f>IF(ISNUMBER(U97),IF($I$188&gt;$H$188,(U97-$H$188)/($I$188-$H$188),"缺失"),"缺失")</x:f>
        <x:v>0</x:v>
      </x:c>
      <x:c r="AN97" s="12" t="n">
        <x:f>IF(ISNUMBER(V97),IF($I$189&gt;$H$189,(V97-$H$189)/($I$189-$H$189),"缺失"),"缺失")</x:f>
        <x:v>1</x:v>
      </x:c>
      <x:c r="AO97" s="23" t="str"/>
      <x:c r="AP97" s="23" t="str">
        <x:v>见指标口径：州级、产业、代表点代理；气候基期待核实</x:v>
      </x:c>
      <x:c r="AQ97" s="15" t="n">
        <x:v>1.0000000000000007</x:v>
      </x:c>
      <x:c r="AR97" s="15" t="n">
        <x:v>1.0000000000000009</x:v>
      </x:c>
      <x:c r="AS97" s="15" t="n">
        <x:v>1</x:v>
      </x:c>
      <x:c r="AT97" s="15" t="n">
        <x:v>1</x:v>
      </x:c>
    </x:row>
    <x:row r="98" ht="24" customHeight="1">
      <x:c r="A98" s="18" t="str">
        <x:v>13185</x:v>
      </x:c>
      <x:c r="B98" s="3" t="str">
        <x:v>Lowndes County</x:v>
      </x:c>
      <x:c r="C98" s="3" t="str">
        <x:v>GA</x:v>
      </x:c>
      <x:c r="D98" s="12" t="n">
        <x:v>1287.872477</x:v>
      </x:c>
      <x:c r="E98" s="12" t="n">
        <x:v>0.589</x:v>
      </x:c>
      <x:c r="F98" s="12" t="n">
        <x:v>0.137376237623762</x:v>
      </x:c>
      <x:c r="G98" s="12" t="n">
        <x:v>2.86158337652924</x:v>
      </x:c>
      <x:c r="H98" s="12" t="n">
        <x:v>3.072920026</x:v>
      </x:c>
      <x:c r="I98" s="12" t="n">
        <x:v>0.8418214842761048</x:v>
      </x:c>
      <x:c r="J98" s="12" t="n">
        <x:v>0.011630873998998087</x:v>
      </x:c>
      <x:c r="K98" s="12" t="n">
        <x:v>0.2915613796547897</x:v>
      </x:c>
      <x:c r="L98" s="24" t="n">
        <x:v>0.784461751</x:v>
      </x:c>
      <x:c r="M98" s="24" t="n">
        <x:v>0.767198923</x:v>
      </x:c>
      <x:c r="N98" s="13" t="n">
        <x:v>49160</x:v>
      </x:c>
      <x:c r="O98" s="12" t="n">
        <x:v>0.8702</x:v>
      </x:c>
      <x:c r="P98" s="12" t="n">
        <x:v>2278.6651692708333</x:v>
      </x:c>
      <x:c r="Q98" s="12" t="n">
        <x:v>77.4346331278483</x:v>
      </x:c>
      <x:c r="R98" s="12" t="n">
        <x:v>4.807559941548861</x:v>
      </x:c>
      <x:c r="S98" s="12" t="n">
        <x:v>0.10545472197509377</x:v>
      </x:c>
      <x:c r="T98" s="12" t="n">
        <x:v>72.1</x:v>
      </x:c>
      <x:c r="U98" s="12" t="n">
        <x:v>211.4154781728841</x:v>
      </x:c>
      <x:c r="V98" s="12" t="n">
        <x:v>325.42757789465</x:v>
      </x:c>
      <x:c r="W98" s="12" t="n">
        <x:f>IF(ISNUMBER(E98),IF($I$172&gt;$H$172,(E98-$H$172)/($I$172-$H$172),"缺失"),"缺失")</x:f>
        <x:v>0.6261574074074073</x:v>
      </x:c>
      <x:c r="X98" s="12" t="n">
        <x:f>IF(ISNUMBER(F98),IF($I$173&gt;$H$173,(F98-$H$173)/($I$173-$H$173),"缺失"),"缺失")</x:f>
        <x:v>0.13354330708661374</x:v>
      </x:c>
      <x:c r="Y98" s="12" t="n">
        <x:f>IF(ISNUMBER(G98),IF($I$174&gt;$H$174,(G98-$H$174)/($I$174-$H$174),"缺失"),"缺失")</x:f>
        <x:v>0.7523994326508212</x:v>
      </x:c>
      <x:c r="Z98" s="12" t="n">
        <x:f>IF(ISNUMBER(H98),IF($I$175&gt;$H$175,(H98-$H$175)/($I$175-$H$175),"缺失"),"缺失")</x:f>
        <x:v>0.7571335449963068</x:v>
      </x:c>
      <x:c r="AA98" s="12" t="n">
        <x:f>IF(ISNUMBER(I98),IF($I$176&gt;$H$176,(I98-$H$176)/($I$176-$H$176),"缺失"),"缺失")</x:f>
        <x:v>0.8394033680905396</x:v>
      </x:c>
      <x:c r="AB98" s="12" t="n">
        <x:f>IF(ISNUMBER(J98),IF($I$177&gt;$H$177,(J98-$H$177)/($I$177-$H$177),"缺失"),"缺失")</x:f>
        <x:v>0.028530463914176064</x:v>
      </x:c>
      <x:c r="AC98" s="12" t="n">
        <x:f>IF(ISNUMBER(K98),IF($I$178&gt;$H$178,(K98-$H$178)/($I$178-$H$178),"缺失"),"缺失")</x:f>
        <x:v>0.5012526891849803</x:v>
      </x:c>
      <x:c r="AD98" s="12" t="n">
        <x:f>IF(ISNUMBER(L98),IF($I$179&gt;$H$179,(L98-$H$179)/($I$179-$H$179),"缺失"),"缺失")</x:f>
        <x:v>0.7843904396471802</x:v>
      </x:c>
      <x:c r="AE98" s="12" t="n">
        <x:f>IF(ISNUMBER(M98),IF($I$180&gt;$H$180,(M98-$H$180)/($I$180-$H$180),"缺失"),"缺失")</x:f>
        <x:v>0.767198923</x:v>
      </x:c>
      <x:c r="AF98" s="12" t="n">
        <x:f>IF(ISNUMBER(N98),IF($I$181&gt;$H$181,(N98-$H$181)/($I$181-$H$181),"缺失"),"缺失")</x:f>
        <x:v>0.07526871702179862</x:v>
      </x:c>
      <x:c r="AG98" s="12" t="n">
        <x:f>IF(ISNUMBER(O98),IF($I$182&gt;$H$182,(O98-$H$182)/($I$182-$H$182),"缺失"),"缺失")</x:f>
        <x:v>0.8774767488879903</x:v>
      </x:c>
      <x:c r="AH98" s="12" t="n">
        <x:f>IF(ISNUMBER(P98),IF($I$183&gt;$H$183,(P98-$H$183)/($I$183-$H$183),"缺失"),"缺失")</x:f>
        <x:v>0.9010137347724515</x:v>
      </x:c>
      <x:c r="AI98" s="12" t="n">
        <x:f>IF(ISNUMBER(Q98),IF($I$184&gt;$H$184,(Q98-$H$184)/($I$184-$H$184),"缺失"),"缺失")</x:f>
        <x:v>0.9062387095096147</x:v>
      </x:c>
      <x:c r="AJ98" s="12" t="n">
        <x:f>IF(ISNUMBER(R98),IF($I$185&gt;$H$185,(R98-$H$185)/($I$185-$H$185),"缺失"),"缺失")</x:f>
        <x:v>0.04900938744390784</x:v>
      </x:c>
      <x:c r="AK98" s="12" t="n">
        <x:f>IF(ISNUMBER(S98),IF($I$186&gt;$H$186,(S98-$H$186)/($I$186-$H$186),"缺失"),"缺失")</x:f>
        <x:v>0.0018992473395836953</x:v>
      </x:c>
      <x:c r="AL98" s="12" t="n">
        <x:f>IF(ISNUMBER(T98),IF($I$187&gt;$H$187,(T98-$H$187)/($I$187-$H$187),"缺失"),"缺失")</x:f>
        <x:v>0</x:v>
      </x:c>
      <x:c r="AM98" s="12" t="n">
        <x:f>IF(ISNUMBER(U98),IF($I$188&gt;$H$188,(U98-$H$188)/($I$188-$H$188),"缺失"),"缺失")</x:f>
        <x:v>0</x:v>
      </x:c>
      <x:c r="AN98" s="12" t="n">
        <x:f>IF(ISNUMBER(V98),IF($I$189&gt;$H$189,(V98-$H$189)/($I$189-$H$189),"缺失"),"缺失")</x:f>
        <x:v>1</x:v>
      </x:c>
      <x:c r="AO98" s="23" t="str"/>
      <x:c r="AP98" s="23" t="str">
        <x:v>见指标口径：州级、产业、代表点代理；气候基期待核实</x:v>
      </x:c>
      <x:c r="AQ98" s="15" t="n">
        <x:v>0.9999999999999983</x:v>
      </x:c>
      <x:c r="AR98" s="15" t="n">
        <x:v>0.9999999999999997</x:v>
      </x:c>
      <x:c r="AS98" s="15" t="n">
        <x:v>1</x:v>
      </x:c>
      <x:c r="AT98" s="15" t="n">
        <x:v>1</x:v>
      </x:c>
    </x:row>
    <x:row r="99" ht="24" customHeight="1">
      <x:c r="A99" s="18" t="str">
        <x:v>13187</x:v>
      </x:c>
      <x:c r="B99" s="3" t="str">
        <x:v>Lumpkin County</x:v>
      </x:c>
      <x:c r="C99" s="3" t="str">
        <x:v>GA</x:v>
      </x:c>
      <x:c r="D99" s="12" t="n">
        <x:v>732.820611</x:v>
      </x:c>
      <x:c r="E99" s="12" t="n">
        <x:v>0.729</x:v>
      </x:c>
      <x:c r="F99" s="12" t="n">
        <x:v>0.62345297029703</x:v>
      </x:c>
      <x:c r="G99" s="12" t="n">
        <x:v>2.8545000404733587</x:v>
      </x:c>
      <x:c r="H99" s="12" t="n">
        <x:v>2.640055828845137</x:v>
      </x:c>
      <x:c r="I99" s="12" t="n">
        <x:v>0.9471333238537463</x:v>
      </x:c>
      <x:c r="J99" s="12" t="n">
        <x:v>0.10282222595938054</x:v>
      </x:c>
      <x:c r="K99" s="12" t="n">
        <x:v>0.00039961362510848407</x:v>
      </x:c>
      <x:c r="L99" s="24" t="n">
        <x:v>0.687191307</x:v>
      </x:c>
      <x:c r="M99" s="24" t="n">
        <x:v>0.687191307</x:v>
      </x:c>
      <x:c r="N99" s="13" t="n">
        <x:v>16788</x:v>
      </x:c>
      <x:c r="O99" s="12" t="n">
        <x:v>0.3608</x:v>
      </x:c>
      <x:c r="P99" s="12" t="n">
        <x:v>949.979833984375</x:v>
      </x:c>
      <x:c r="Q99" s="12" t="n">
        <x:v>11.859264945983886</x:v>
      </x:c>
      <x:c r="R99" s="12" t="n">
        <x:v>33.56756493180035</x:v>
      </x:c>
      <x:c r="S99" s="12" t="n">
        <x:v>31.775974221775634</x:v>
      </x:c>
      <x:c r="T99" s="12" t="n">
        <x:v>72.1</x:v>
      </x:c>
      <x:c r="U99" s="12" t="n">
        <x:v>211.4154781728841</x:v>
      </x:c>
      <x:c r="V99" s="12" t="n">
        <x:v>325.42757789465</x:v>
      </x:c>
      <x:c r="W99" s="12" t="n">
        <x:f>IF(ISNUMBER(E99),IF($I$172&gt;$H$172,(E99-$H$172)/($I$172-$H$172),"缺失"),"缺失")</x:f>
        <x:v>0.7881944444444444</x:v>
      </x:c>
      <x:c r="X99" s="12" t="n">
        <x:f>IF(ISNUMBER(F99),IF($I$173&gt;$H$173,(F99-$H$173)/($I$173-$H$173),"缺失"),"缺失")</x:f>
        <x:v>0.6283464566929134</x:v>
      </x:c>
      <x:c r="Y99" s="12" t="n">
        <x:f>IF(ISNUMBER(G99),IF($I$174&gt;$H$174,(G99-$H$174)/($I$174-$H$174),"缺失"),"缺失")</x:f>
        <x:v>0.7505361542099565</x:v>
      </x:c>
      <x:c r="Z99" s="12" t="n">
        <x:f>IF(ISNUMBER(H99),IF($I$175&gt;$H$175,(H99-$H$175)/($I$175-$H$175),"缺失"),"缺失")</x:f>
        <x:v>0.6504205444655562</x:v>
      </x:c>
      <x:c r="AA99" s="12" t="n">
        <x:f>IF(ISNUMBER(I99),IF($I$176&gt;$H$176,(I99-$H$176)/($I$176-$H$176),"缺失"),"缺失")</x:f>
        <x:v>0.9524584033196728</x:v>
      </x:c>
      <x:c r="AB99" s="12" t="n">
        <x:f>IF(ISNUMBER(J99),IF($I$177&gt;$H$177,(J99-$H$177)/($I$177-$H$177),"缺失"),"缺失")</x:f>
        <x:v>0.2522223013990237</x:v>
      </x:c>
      <x:c r="AC99" s="12" t="n">
        <x:f>IF(ISNUMBER(K99),IF($I$178&gt;$H$178,(K99-$H$178)/($I$178-$H$178),"缺失"),"缺失")</x:f>
        <x:v>0.0006870162449421502</x:v>
      </x:c>
      <x:c r="AD99" s="12" t="n">
        <x:f>IF(ISNUMBER(L99),IF($I$179&gt;$H$179,(L99-$H$179)/($I$179-$H$179),"缺失"),"缺失")</x:f>
        <x:v>0.6870878134846954</x:v>
      </x:c>
      <x:c r="AE99" s="12" t="n">
        <x:f>IF(ISNUMBER(M99),IF($I$180&gt;$H$180,(M99-$H$180)/($I$180-$H$180),"缺失"),"缺失")</x:f>
        <x:v>0.687191307</x:v>
      </x:c>
      <x:c r="AF99" s="12" t="n">
        <x:f>IF(ISNUMBER(N99),IF($I$181&gt;$H$181,(N99-$H$181)/($I$181-$H$181),"缺失"),"缺失")</x:f>
        <x:v>0.025000543490075872</x:v>
      </x:c>
      <x:c r="AG99" s="12" t="n">
        <x:f>IF(ISNUMBER(O99),IF($I$182&gt;$H$182,(O99-$H$182)/($I$182-$H$182),"缺失"),"缺失")</x:f>
        <x:v>0.362515163768702</x:v>
      </x:c>
      <x:c r="AH99" s="12" t="n">
        <x:f>IF(ISNUMBER(P99),IF($I$183&gt;$H$183,(P99-$H$183)/($I$183-$H$183),"缺失"),"缺失")</x:f>
        <x:v>0.30329660241825246</x:v>
      </x:c>
      <x:c r="AI99" s="12" t="n">
        <x:f>IF(ISNUMBER(Q99),IF($I$184&gt;$H$184,(Q99-$H$184)/($I$184-$H$184),"缺失"),"缺失")</x:f>
        <x:v>0.1356234996630217</x:v>
      </x:c>
      <x:c r="AJ99" s="12" t="n">
        <x:f>IF(ISNUMBER(R99),IF($I$185&gt;$H$185,(R99-$H$185)/($I$185-$H$185),"缺失"),"缺失")</x:f>
        <x:v>0.3512324255281432</x:v>
      </x:c>
      <x:c r="AK99" s="12" t="n">
        <x:f>IF(ISNUMBER(S99),IF($I$186&gt;$H$186,(S99-$H$186)/($I$186-$H$186),"缺失"),"缺失")</x:f>
        <x:v>0.6201603578924926</x:v>
      </x:c>
      <x:c r="AL99" s="12" t="n">
        <x:f>IF(ISNUMBER(T99),IF($I$187&gt;$H$187,(T99-$H$187)/($I$187-$H$187),"缺失"),"缺失")</x:f>
        <x:v>0</x:v>
      </x:c>
      <x:c r="AM99" s="12" t="n">
        <x:f>IF(ISNUMBER(U99),IF($I$188&gt;$H$188,(U99-$H$188)/($I$188-$H$188),"缺失"),"缺失")</x:f>
        <x:v>0</x:v>
      </x:c>
      <x:c r="AN99" s="12" t="n">
        <x:f>IF(ISNUMBER(V99),IF($I$189&gt;$H$189,(V99-$H$189)/($I$189-$H$189),"缺失"),"缺失")</x:f>
        <x:v>1</x:v>
      </x:c>
      <x:c r="AO99" s="23" t="str"/>
      <x:c r="AP99" s="23" t="str">
        <x:v>见指标口径：州级、产业、代表点代理；气候基期待核实</x:v>
      </x:c>
      <x:c r="AQ99" s="15" t="n">
        <x:v>0.9999999999999968</x:v>
      </x:c>
      <x:c r="AR99" s="15" t="n">
        <x:v>0.9999999999999979</x:v>
      </x:c>
      <x:c r="AS99" s="15" t="n">
        <x:v>1</x:v>
      </x:c>
      <x:c r="AT99" s="15" t="n">
        <x:v>1</x:v>
      </x:c>
    </x:row>
    <x:row r="100" ht="24" customHeight="1">
      <x:c r="A100" s="18" t="str">
        <x:v>13189</x:v>
      </x:c>
      <x:c r="B100" s="3" t="str">
        <x:v>McDuffie County</x:v>
      </x:c>
      <x:c r="C100" s="3" t="str">
        <x:v>GA</x:v>
      </x:c>
      <x:c r="D100" s="12" t="n">
        <x:v>666.608438</x:v>
      </x:c>
      <x:c r="E100" s="12" t="n">
        <x:v>0.624</x:v>
      </x:c>
      <x:c r="F100" s="12" t="n">
        <x:v>0.100866336633663</x:v>
      </x:c>
      <x:c r="G100" s="12" t="n">
        <x:v>2.9319263807808364</x:v>
      </x:c>
      <x:c r="H100" s="12" t="n">
        <x:v>2.735302759</x:v>
      </x:c>
      <x:c r="I100" s="12" t="n">
        <x:v>0.9056619997232347</x:v>
      </x:c>
      <x:c r="J100" s="12" t="n">
        <x:v>0.07709684056368794</x:v>
      </x:c>
      <x:c r="K100" s="12" t="n">
        <x:v>0.06226547164969576</x:v>
      </x:c>
      <x:c r="L100" s="24" t="n">
        <x:v>0.315143505</x:v>
      </x:c>
      <x:c r="M100" s="24" t="n">
        <x:v>0.313632931</x:v>
      </x:c>
      <x:c r="N100" s="13" t="n">
        <x:v>9256</x:v>
      </x:c>
      <x:c r="O100" s="12" t="n">
        <x:v>0.6567</x:v>
      </x:c>
      <x:c r="P100" s="12" t="n">
        <x:v>1704.916365559896</x:v>
      </x:c>
      <x:c r="Q100" s="12" t="n">
        <x:v>51.80126266479492</x:v>
      </x:c>
      <x:c r="R100" s="12" t="n">
        <x:v>3.6526568513842057</x:v>
      </x:c>
      <x:c r="S100" s="12" t="n">
        <x:v>1.802292093853971</x:v>
      </x:c>
      <x:c r="T100" s="12" t="n">
        <x:v>72.1</x:v>
      </x:c>
      <x:c r="U100" s="12" t="n">
        <x:v>211.4154781728841</x:v>
      </x:c>
      <x:c r="V100" s="12" t="n">
        <x:v>325.42757789465</x:v>
      </x:c>
      <x:c r="W100" s="12" t="n">
        <x:f>IF(ISNUMBER(E100),IF($I$172&gt;$H$172,(E100-$H$172)/($I$172-$H$172),"缺失"),"缺失")</x:f>
        <x:v>0.6666666666666666</x:v>
      </x:c>
      <x:c r="X100" s="12" t="n">
        <x:f>IF(ISNUMBER(F100),IF($I$173&gt;$H$173,(F100-$H$173)/($I$173-$H$173),"缺失"),"缺失")</x:f>
        <x:v>0.0963779527559051</x:v>
      </x:c>
      <x:c r="Y100" s="12" t="n">
        <x:f>IF(ISNUMBER(G100),IF($I$174&gt;$H$174,(G100-$H$174)/($I$174-$H$174),"缺失"),"缺失")</x:f>
        <x:v>0.7709032283557883</x:v>
      </x:c>
      <x:c r="Z100" s="12" t="n">
        <x:f>IF(ISNUMBER(H100),IF($I$175&gt;$H$175,(H100-$H$175)/($I$175-$H$175),"缺失"),"缺失")</x:f>
        <x:v>0.6739015479187753</x:v>
      </x:c>
      <x:c r="AA100" s="12" t="n">
        <x:f>IF(ISNUMBER(I100),IF($I$176&gt;$H$176,(I100-$H$176)/($I$176-$H$176),"缺失"),"缺失")</x:f>
        <x:v>0.9079378439089035</x:v>
      </x:c>
      <x:c r="AB100" s="12" t="n">
        <x:f>IF(ISNUMBER(J100),IF($I$177&gt;$H$177,(J100-$H$177)/($I$177-$H$177),"缺失"),"缺失")</x:f>
        <x:v>0.18911808586257267</x:v>
      </x:c>
      <x:c r="AC100" s="12" t="n">
        <x:f>IF(ISNUMBER(K100),IF($I$178&gt;$H$178,(K100-$H$178)/($I$178-$H$178),"缺失"),"缺失")</x:f>
        <x:v>0.10704687686940856</x:v>
      </x:c>
      <x:c r="AD100" s="12" t="n">
        <x:f>IF(ISNUMBER(L100),IF($I$179&gt;$H$179,(L100-$H$179)/($I$179-$H$179),"缺失"),"缺失")</x:f>
        <x:v>0.31491691856639736</x:v>
      </x:c>
      <x:c r="AE100" s="12" t="n">
        <x:f>IF(ISNUMBER(M100),IF($I$180&gt;$H$180,(M100-$H$180)/($I$180-$H$180),"缺失"),"缺失")</x:f>
        <x:v>0.313632931</x:v>
      </x:c>
      <x:c r="AF100" s="12" t="n">
        <x:f>IF(ISNUMBER(N100),IF($I$181&gt;$H$181,(N100-$H$181)/($I$181-$H$181),"缺失"),"缺失")</x:f>
        <x:v>0.013304637057327333</x:v>
      </x:c>
      <x:c r="AG100" s="12" t="n">
        <x:f>IF(ISNUMBER(O100),IF($I$182&gt;$H$182,(O100-$H$182)/($I$182-$H$182),"缺失"),"缺失")</x:f>
        <x:v>0.6616457743631217</x:v>
      </x:c>
      <x:c r="AH100" s="12" t="n">
        <x:f>IF(ISNUMBER(P100),IF($I$183&gt;$H$183,(P100-$H$183)/($I$183-$H$183),"缺失"),"缺失")</x:f>
        <x:v>0.6429093660869812</x:v>
      </x:c>
      <x:c r="AI100" s="12" t="n">
        <x:f>IF(ISNUMBER(Q100),IF($I$184&gt;$H$184,(Q100-$H$184)/($I$184-$H$184),"缺失"),"缺失")</x:f>
        <x:v>0.6050057053169767</x:v>
      </x:c>
      <x:c r="AJ100" s="12" t="n">
        <x:f>IF(ISNUMBER(R100),IF($I$185&gt;$H$185,(R100-$H$185)/($I$185-$H$185),"缺失"),"缺失")</x:f>
        <x:v>0.0368731475259821</x:v>
      </x:c>
      <x:c r="AK100" s="12" t="n">
        <x:f>IF(ISNUMBER(S100),IF($I$186&gt;$H$186,(S100-$H$186)/($I$186-$H$186),"缺失"),"缺失")</x:f>
        <x:v>0.03502432942016406</x:v>
      </x:c>
      <x:c r="AL100" s="12" t="n">
        <x:f>IF(ISNUMBER(T100),IF($I$187&gt;$H$187,(T100-$H$187)/($I$187-$H$187),"缺失"),"缺失")</x:f>
        <x:v>0</x:v>
      </x:c>
      <x:c r="AM100" s="12" t="n">
        <x:f>IF(ISNUMBER(U100),IF($I$188&gt;$H$188,(U100-$H$188)/($I$188-$H$188),"缺失"),"缺失")</x:f>
        <x:v>0</x:v>
      </x:c>
      <x:c r="AN100" s="12" t="n">
        <x:f>IF(ISNUMBER(V100),IF($I$189&gt;$H$189,(V100-$H$189)/($I$189-$H$189),"缺失"),"缺失")</x:f>
        <x:v>1</x:v>
      </x:c>
      <x:c r="AO100" s="23" t="str"/>
      <x:c r="AP100" s="23" t="str">
        <x:v>见指标口径：州级、产业、代表点代理；气候基期待核实</x:v>
      </x:c>
      <x:c r="AQ100" s="15" t="n">
        <x:v>1.0000000000000073</x:v>
      </x:c>
      <x:c r="AR100" s="15" t="n">
        <x:v>1.0000000000000047</x:v>
      </x:c>
      <x:c r="AS100" s="15" t="n">
        <x:v>1</x:v>
      </x:c>
      <x:c r="AT100" s="15" t="n">
        <x:v>1</x:v>
      </x:c>
    </x:row>
    <x:row r="101" ht="24" customHeight="1">
      <x:c r="A101" s="18" t="str">
        <x:v>13191</x:v>
      </x:c>
      <x:c r="B101" s="3" t="str">
        <x:v>McIntosh County</x:v>
      </x:c>
      <x:c r="C101" s="3" t="str">
        <x:v>GA</x:v>
      </x:c>
      <x:c r="D101" s="12" t="n">
        <x:v>1117.184399</x:v>
      </x:c>
      <x:c r="E101" s="12" t="n">
        <x:v>0.82</x:v>
      </x:c>
      <x:c r="F101" s="12" t="n">
        <x:v>0.110148514851485</x:v>
      </x:c>
      <x:c r="G101" s="12" t="n">
        <x:v>0.5992627606718346</x:v>
      </x:c>
      <x:c r="H101" s="12" t="n">
        <x:v>0.4646387112322539</x:v>
      </x:c>
      <x:c r="I101" s="12" t="n">
        <x:v>0.9602313617178535</x:v>
      </x:c>
      <x:c r="J101" s="12" t="n">
        <x:v>0.30964495688704874</x:v>
      </x:c>
      <x:c r="K101" s="12" t="n">
        <x:v>0.5816654672294297</x:v>
      </x:c>
      <x:c r="L101" s="24" t="n">
        <x:v>0.449296142</x:v>
      </x:c>
      <x:c r="M101" s="24" t="n">
        <x:v>0.449296142</x:v>
      </x:c>
      <x:c r="N101" s="13" t="n">
        <x:v>5141</x:v>
      </x:c>
      <x:c r="O101" s="12" t="n">
        <x:v>0.7098</x:v>
      </x:c>
      <x:c r="P101" s="12" t="n">
        <x:v>2378.26806640625</x:v>
      </x:c>
      <x:c r="Q101" s="12" t="n">
        <x:v>49.119938659667966</x:v>
      </x:c>
      <x:c r="R101" s="12" t="n">
        <x:v>7.098754168182833</x:v>
      </x:c>
      <x:c r="S101" s="12" t="n">
        <x:v>26.946894083698247</x:v>
      </x:c>
      <x:c r="T101" s="12" t="n">
        <x:v>72.1</x:v>
      </x:c>
      <x:c r="U101" s="12" t="n">
        <x:v>211.4154781728841</x:v>
      </x:c>
      <x:c r="V101" s="12" t="n">
        <x:v>325.42757789465</x:v>
      </x:c>
      <x:c r="W101" s="12" t="n">
        <x:f>IF(ISNUMBER(E101),IF($I$172&gt;$H$172,(E101-$H$172)/($I$172-$H$172),"缺失"),"缺失")</x:f>
        <x:v>0.8935185185185184</x:v>
      </x:c>
      <x:c r="X101" s="12" t="n">
        <x:f>IF(ISNUMBER(F101),IF($I$173&gt;$H$173,(F101-$H$173)/($I$173-$H$173),"缺失"),"缺失")</x:f>
        <x:v>0.10582677165354312</x:v>
      </x:c>
      <x:c r="Y101" s="12" t="n">
        <x:f>IF(ISNUMBER(G101),IF($I$174&gt;$H$174,(G101-$H$174)/($I$174-$H$174),"缺失"),"缺失")</x:f>
        <x:v>0.15729379364179907</x:v>
      </x:c>
      <x:c r="Z101" s="12" t="n">
        <x:f>IF(ISNUMBER(H101),IF($I$175&gt;$H$175,(H101-$H$175)/($I$175-$H$175),"缺失"),"缺失")</x:f>
        <x:v>0.11412003832003541</x:v>
      </x:c>
      <x:c r="AA101" s="12" t="n">
        <x:f>IF(ISNUMBER(I101),IF($I$176&gt;$H$176,(I101-$H$176)/($I$176-$H$176),"缺失"),"缺失")</x:f>
        <x:v>0.9665194921592372</x:v>
      </x:c>
      <x:c r="AB101" s="12" t="n">
        <x:f>IF(ISNUMBER(J101),IF($I$177&gt;$H$177,(J101-$H$177)/($I$177-$H$177),"缺失"),"缺失")</x:f>
        <x:v>0.7595572155139465</x:v>
      </x:c>
      <x:c r="AC101" s="12" t="n">
        <x:f>IF(ISNUMBER(K101),IF($I$178&gt;$H$178,(K101-$H$178)/($I$178-$H$178),"缺失"),"缺失")</x:f>
        <x:v>1</x:v>
      </x:c>
      <x:c r="AD101" s="12" t="n">
        <x:f>IF(ISNUMBER(L101),IF($I$179&gt;$H$179,(L101-$H$179)/($I$179-$H$179),"缺失"),"缺失")</x:f>
        <x:v>0.449113940291954</x:v>
      </x:c>
      <x:c r="AE101" s="12" t="n">
        <x:f>IF(ISNUMBER(M101),IF($I$180&gt;$H$180,(M101-$H$180)/($I$180-$H$180),"缺失"),"缺失")</x:f>
        <x:v>0.449296142</x:v>
      </x:c>
      <x:c r="AF101" s="12" t="n">
        <x:f>IF(ISNUMBER(N101),IF($I$181&gt;$H$181,(N101-$H$181)/($I$181-$H$181),"缺失"),"缺失")</x:f>
        <x:v>0.006914746593870053</x:v>
      </x:c>
      <x:c r="AG101" s="12" t="n">
        <x:f>IF(ISNUMBER(O101),IF($I$182&gt;$H$182,(O101-$H$182)/($I$182-$H$182),"缺失"),"缺失")</x:f>
        <x:v>0.715325515568136</x:v>
      </x:c>
      <x:c r="AH101" s="12" t="n">
        <x:f>IF(ISNUMBER(P101),IF($I$183&gt;$H$183,(P101-$H$183)/($I$183-$H$183),"缺失"),"缺失")</x:f>
        <x:v>0.9458207003262004</x:v>
      </x:c>
      <x:c r="AI101" s="12" t="n">
        <x:f>IF(ISNUMBER(Q101),IF($I$184&gt;$H$184,(Q101-$H$184)/($I$184-$H$184),"缺失"),"缺失")</x:f>
        <x:v>0.5734958698685947</x:v>
      </x:c>
      <x:c r="AJ101" s="12" t="n">
        <x:f>IF(ISNUMBER(R101),IF($I$185&gt;$H$185,(R101-$H$185)/($I$185-$H$185),"缺失"),"缺失")</x:f>
        <x:v>0.07308628451847696</x:v>
      </x:c>
      <x:c r="AK101" s="12" t="n">
        <x:f>IF(ISNUMBER(S101),IF($I$186&gt;$H$186,(S101-$H$186)/($I$186-$H$186),"缺失"),"缺失")</x:f>
        <x:v>0.5258886978038249</x:v>
      </x:c>
      <x:c r="AL101" s="12" t="n">
        <x:f>IF(ISNUMBER(T101),IF($I$187&gt;$H$187,(T101-$H$187)/($I$187-$H$187),"缺失"),"缺失")</x:f>
        <x:v>0</x:v>
      </x:c>
      <x:c r="AM101" s="12" t="n">
        <x:f>IF(ISNUMBER(U101),IF($I$188&gt;$H$188,(U101-$H$188)/($I$188-$H$188),"缺失"),"缺失")</x:f>
        <x:v>0</x:v>
      </x:c>
      <x:c r="AN101" s="12" t="n">
        <x:f>IF(ISNUMBER(V101),IF($I$189&gt;$H$189,(V101-$H$189)/($I$189-$H$189),"缺失"),"缺失")</x:f>
        <x:v>1</x:v>
      </x:c>
      <x:c r="AO101" s="23" t="str"/>
      <x:c r="AP101" s="23" t="str">
        <x:v>baseline_water_stress:有效县域面积覆盖&lt;99%（诊断提示，非行业阈值）；water_stress_2050_bau:有效县域面积覆盖&lt;99%（诊断提示，非行业阈值）</x:v>
      </x:c>
      <x:c r="AQ101" s="15" t="n">
        <x:v>0.8367970283535535</x:v>
      </x:c>
      <x:c r="AR101" s="15" t="n">
        <x:v>0.8363019352489895</x:v>
      </x:c>
      <x:c r="AS101" s="15" t="n">
        <x:v>0.9999969725226152</x:v>
      </x:c>
      <x:c r="AT101" s="15" t="n">
        <x:v>1</x:v>
      </x:c>
    </x:row>
    <x:row r="102" ht="24" customHeight="1">
      <x:c r="A102" s="18" t="str">
        <x:v>13193</x:v>
      </x:c>
      <x:c r="B102" s="3" t="str">
        <x:v>Macon County</x:v>
      </x:c>
      <x:c r="C102" s="3" t="str">
        <x:v>GA</x:v>
      </x:c>
      <x:c r="D102" s="12" t="n">
        <x:v>1037.709939</x:v>
      </x:c>
      <x:c r="E102" s="12" t="n">
        <x:v>0.518</x:v>
      </x:c>
      <x:c r="F102" s="12" t="n">
        <x:v>0.603032178217822</x:v>
      </x:c>
      <x:c r="G102" s="12" t="n">
        <x:v>1.2632656329353866</x:v>
      </x:c>
      <x:c r="H102" s="12" t="n">
        <x:v>1.2256087960412125</x:v>
      </x:c>
      <x:c r="I102" s="12" t="n">
        <x:v>0.9455378805978646</x:v>
      </x:c>
      <x:c r="J102" s="12" t="n">
        <x:v>0.003101094271021436</x:v>
      </x:c>
      <x:c r="K102" s="12" t="n">
        <x:v>0.17610249501247635</x:v>
      </x:c>
      <x:c r="L102" s="24" t="n">
        <x:v>0.76056338</x:v>
      </x:c>
      <x:c r="M102" s="24" t="n">
        <x:v>0.76056338</x:v>
      </x:c>
      <x:c r="N102" s="13" t="n">
        <x:v>4172</x:v>
      </x:c>
      <x:c r="O102" s="12" t="n">
        <x:v>0.9866</x:v>
      </x:c>
      <x:c r="P102" s="12" t="n">
        <x:v>1984.881925455729</x:v>
      </x:c>
      <x:c r="Q102" s="12" t="n">
        <x:v>61.708170827229814</x:v>
      </x:c>
      <x:c r="R102" s="12" t="n">
        <x:v>26.607121789704006</x:v>
      </x:c>
      <x:c r="S102" s="12" t="n">
        <x:v>4.711506644452833</x:v>
      </x:c>
      <x:c r="T102" s="12" t="n">
        <x:v>72.1</x:v>
      </x:c>
      <x:c r="U102" s="12" t="n">
        <x:v>211.4154781728841</x:v>
      </x:c>
      <x:c r="V102" s="12" t="n">
        <x:v>325.42757789465</x:v>
      </x:c>
      <x:c r="W102" s="12" t="n">
        <x:f>IF(ISNUMBER(E102),IF($I$172&gt;$H$172,(E102-$H$172)/($I$172-$H$172),"缺失"),"缺失")</x:f>
        <x:v>0.5439814814814815</x:v>
      </x:c>
      <x:c r="X102" s="12" t="n">
        <x:f>IF(ISNUMBER(F102),IF($I$173&gt;$H$173,(F102-$H$173)/($I$173-$H$173),"缺失"),"缺失")</x:f>
        <x:v>0.6075590551181103</x:v>
      </x:c>
      <x:c r="Y102" s="12" t="n">
        <x:f>IF(ISNUMBER(G102),IF($I$174&gt;$H$174,(G102-$H$174)/($I$174-$H$174),"缺失"),"缺失")</x:f>
        <x:v>0.3319603951979482</x:v>
      </x:c>
      <x:c r="Z102" s="12" t="n">
        <x:f>IF(ISNUMBER(H102),IF($I$175&gt;$H$175,(H102-$H$175)/($I$175-$H$175),"缺失"),"缺失")</x:f>
        <x:v>0.3017202177708931</x:v>
      </x:c>
      <x:c r="AA102" s="12" t="n">
        <x:f>IF(ISNUMBER(I102),IF($I$176&gt;$H$176,(I102-$H$176)/($I$176-$H$176),"缺失"),"缺失")</x:f>
        <x:v>0.9507456529373494</x:v>
      </x:c>
      <x:c r="AB102" s="12" t="n">
        <x:f>IF(ISNUMBER(J102),IF($I$177&gt;$H$177,(J102-$H$177)/($I$177-$H$177),"缺失"),"缺失")</x:f>
        <x:v>0.007606965581559625</x:v>
      </x:c>
      <x:c r="AC102" s="12" t="n">
        <x:f>IF(ISNUMBER(K102),IF($I$178&gt;$H$178,(K102-$H$178)/($I$178-$H$178),"缺失"),"缺失")</x:f>
        <x:v>0.30275563005533423</x:v>
      </x:c>
      <x:c r="AD102" s="12" t="n">
        <x:f>IF(ISNUMBER(L102),IF($I$179&gt;$H$179,(L102-$H$179)/($I$179-$H$179),"缺失"),"缺失")</x:f>
        <x:v>0.7604841618131306</x:v>
      </x:c>
      <x:c r="AE102" s="12" t="n">
        <x:f>IF(ISNUMBER(M102),IF($I$180&gt;$H$180,(M102-$H$180)/($I$180-$H$180),"缺失"),"缺失")</x:f>
        <x:v>0.76056338</x:v>
      </x:c>
      <x:c r="AF102" s="12" t="n">
        <x:f>IF(ISNUMBER(N102),IF($I$181&gt;$H$181,(N102-$H$181)/($I$181-$H$181),"缺失"),"缺失")</x:f>
        <x:v>0.005410055498100891</x:v>
      </x:c>
      <x:c r="AG102" s="12" t="n">
        <x:f>IF(ISNUMBER(O102),IF($I$182&gt;$H$182,(O102-$H$182)/($I$182-$H$182),"缺失"),"缺失")</x:f>
        <x:v>0.995147594015366</x:v>
      </x:c>
      <x:c r="AH102" s="12" t="n">
        <x:f>IF(ISNUMBER(P102),IF($I$183&gt;$H$183,(P102-$H$183)/($I$183-$H$183),"缺失"),"缺失")</x:f>
        <x:v>0.7688535660978869</x:v>
      </x:c>
      <x:c r="AI102" s="12" t="n">
        <x:f>IF(ISNUMBER(Q102),IF($I$184&gt;$H$184,(Q102-$H$184)/($I$184-$H$184),"缺失"),"缺失")</x:f>
        <x:v>0.7214276839378618</x:v>
      </x:c>
      <x:c r="AJ102" s="12" t="n">
        <x:f>IF(ISNUMBER(R102),IF($I$185&gt;$H$185,(R102-$H$185)/($I$185-$H$185),"缺失"),"缺失")</x:f>
        <x:v>0.27808896559028934</x:v>
      </x:c>
      <x:c r="AK102" s="12" t="n">
        <x:f>IF(ISNUMBER(S102),IF($I$186&gt;$H$186,(S102-$H$186)/($I$186-$H$186),"缺失"),"缺失")</x:f>
        <x:v>0.09181702645505993</x:v>
      </x:c>
      <x:c r="AL102" s="12" t="n">
        <x:f>IF(ISNUMBER(T102),IF($I$187&gt;$H$187,(T102-$H$187)/($I$187-$H$187),"缺失"),"缺失")</x:f>
        <x:v>0</x:v>
      </x:c>
      <x:c r="AM102" s="12" t="n">
        <x:f>IF(ISNUMBER(U102),IF($I$188&gt;$H$188,(U102-$H$188)/($I$188-$H$188),"缺失"),"缺失")</x:f>
        <x:v>0</x:v>
      </x:c>
      <x:c r="AN102" s="12" t="n">
        <x:f>IF(ISNUMBER(V102),IF($I$189&gt;$H$189,(V102-$H$189)/($I$189-$H$189),"缺失"),"缺失")</x:f>
        <x:v>1</x:v>
      </x:c>
      <x:c r="AO102" s="23" t="str"/>
      <x:c r="AP102" s="23" t="str">
        <x:v>见指标口径：州级、产业、代表点代理；气候基期待核实</x:v>
      </x:c>
      <x:c r="AQ102" s="15" t="n">
        <x:v>0.9999999999999997</x:v>
      </x:c>
      <x:c r="AR102" s="15" t="n">
        <x:v>0.9999999999999998</x:v>
      </x:c>
      <x:c r="AS102" s="15" t="n">
        <x:v>1</x:v>
      </x:c>
      <x:c r="AT102" s="15" t="n">
        <x:v>1</x:v>
      </x:c>
    </x:row>
    <x:row r="103" ht="24" customHeight="1">
      <x:c r="A103" s="18" t="str">
        <x:v>13195</x:v>
      </x:c>
      <x:c r="B103" s="3" t="str">
        <x:v>Madison County</x:v>
      </x:c>
      <x:c r="C103" s="3" t="str">
        <x:v>GA</x:v>
      </x:c>
      <x:c r="D103" s="12" t="n">
        <x:v>731.214551</x:v>
      </x:c>
      <x:c r="E103" s="12" t="n">
        <x:v>0.546</x:v>
      </x:c>
      <x:c r="F103" s="12" t="n">
        <x:v>0.247524752475248</x:v>
      </x:c>
      <x:c r="G103" s="12" t="n">
        <x:v>2.875714755270377</x:v>
      </x:c>
      <x:c r="H103" s="12" t="n">
        <x:v>2.6795155593216986</x:v>
      </x:c>
      <x:c r="I103" s="12" t="n">
        <x:v>0.925714222658707</x:v>
      </x:c>
      <x:c r="J103" s="12" t="n">
        <x:v>0.0035860786165133334</x:v>
      </x:c>
      <x:c r="K103" s="12" t="n">
        <x:v>0.022627319284900693</x:v>
      </x:c>
      <x:c r="L103" s="24" t="n">
        <x:v>0.558660014</x:v>
      </x:c>
      <x:c r="M103" s="24" t="n">
        <x:v>0.558517463</x:v>
      </x:c>
      <x:c r="N103" s="13" t="n">
        <x:v>14373</x:v>
      </x:c>
      <x:c r="O103" s="12" t="n">
        <x:v>0.7423</x:v>
      </x:c>
      <x:c r="P103" s="12" t="n">
        <x:v>1553.5665568033853</x:v>
      </x:c>
      <x:c r="Q103" s="12" t="n">
        <x:v>39.24476699829101</x:v>
      </x:c>
      <x:c r="R103" s="12" t="n">
        <x:v>25.80059618487952</x:v>
      </x:c>
      <x:c r="S103" s="12" t="n">
        <x:v>8.591847192064229</x:v>
      </x:c>
      <x:c r="T103" s="12" t="n">
        <x:v>72.1</x:v>
      </x:c>
      <x:c r="U103" s="12" t="n">
        <x:v>211.4154781728841</x:v>
      </x:c>
      <x:c r="V103" s="12" t="n">
        <x:v>325.42757789465</x:v>
      </x:c>
      <x:c r="W103" s="12" t="n">
        <x:f>IF(ISNUMBER(E103),IF($I$172&gt;$H$172,(E103-$H$172)/($I$172-$H$172),"缺失"),"缺失")</x:f>
        <x:v>0.576388888888889</x:v>
      </x:c>
      <x:c r="X103" s="12" t="n">
        <x:f>IF(ISNUMBER(F103),IF($I$173&gt;$H$173,(F103-$H$173)/($I$173-$H$173),"缺失"),"缺失")</x:f>
        <x:v>0.2456692913385831</x:v>
      </x:c>
      <x:c r="Y103" s="12" t="n">
        <x:f>IF(ISNUMBER(G103),IF($I$174&gt;$H$174,(G103-$H$174)/($I$174-$H$174),"缺失"),"缺失")</x:f>
        <x:v>0.7561167055770707</x:v>
      </x:c>
      <x:c r="Z103" s="12" t="n">
        <x:f>IF(ISNUMBER(H103),IF($I$175&gt;$H$175,(H103-$H$175)/($I$175-$H$175),"缺失"),"缺失")</x:f>
        <x:v>0.6601484597493007</x:v>
      </x:c>
      <x:c r="AA103" s="12" t="n">
        <x:f>IF(ISNUMBER(I103),IF($I$176&gt;$H$176,(I103-$H$176)/($I$176-$H$176),"缺失"),"缺失")</x:f>
        <x:v>0.9294644336967582</x:v>
      </x:c>
      <x:c r="AB103" s="12" t="n">
        <x:f>IF(ISNUMBER(J103),IF($I$177&gt;$H$177,(J103-$H$177)/($I$177-$H$177),"缺失"),"缺失")</x:f>
        <x:v>0.008796629261966516</x:v>
      </x:c>
      <x:c r="AC103" s="12" t="n">
        <x:f>IF(ISNUMBER(K103),IF($I$178&gt;$H$178,(K103-$H$178)/($I$178-$H$178),"缺失"),"缺失")</x:f>
        <x:v>0.03890091566322205</x:v>
      </x:c>
      <x:c r="AD103" s="12" t="n">
        <x:f>IF(ISNUMBER(L103),IF($I$179&gt;$H$179,(L103-$H$179)/($I$179-$H$179),"缺失"),"缺失")</x:f>
        <x:v>0.5585139955944448</x:v>
      </x:c>
      <x:c r="AE103" s="12" t="n">
        <x:f>IF(ISNUMBER(M103),IF($I$180&gt;$H$180,(M103-$H$180)/($I$180-$H$180),"缺失"),"缺失")</x:f>
        <x:v>0.558517463</x:v>
      </x:c>
      <x:c r="AF103" s="12" t="n">
        <x:f>IF(ISNUMBER(N103),IF($I$181&gt;$H$181,(N103-$H$181)/($I$181-$H$181),"缺失"),"缺失")</x:f>
        <x:v>0.02125046196656449</x:v>
      </x:c>
      <x:c r="AG103" s="12" t="n">
        <x:f>IF(ISNUMBER(O103),IF($I$182&gt;$H$182,(O103-$H$182)/($I$182-$H$182),"缺失"),"缺失")</x:f>
        <x:v>0.7481803477557623</x:v>
      </x:c>
      <x:c r="AH103" s="12" t="n">
        <x:f>IF(ISNUMBER(P103),IF($I$183&gt;$H$183,(P103-$H$183)/($I$183-$H$183),"缺失"),"缺失")</x:f>
        <x:v>0.5748237394379941</x:v>
      </x:c>
      <x:c r="AI103" s="12" t="n">
        <x:f>IF(ISNUMBER(Q103),IF($I$184&gt;$H$184,(Q103-$H$184)/($I$184-$H$184),"缺失"),"缺失")</x:f>
        <x:v>0.457446845774701</x:v>
      </x:c>
      <x:c r="AJ103" s="12" t="n">
        <x:f>IF(ISNUMBER(R103),IF($I$185&gt;$H$185,(R103-$H$185)/($I$185-$H$185),"缺失"),"缺失")</x:f>
        <x:v>0.2696136326178019</x:v>
      </x:c>
      <x:c r="AK103" s="12" t="n">
        <x:f>IF(ISNUMBER(S103),IF($I$186&gt;$H$186,(S103-$H$186)/($I$186-$H$186),"缺失"),"缺失")</x:f>
        <x:v>0.16756771492434172</x:v>
      </x:c>
      <x:c r="AL103" s="12" t="n">
        <x:f>IF(ISNUMBER(T103),IF($I$187&gt;$H$187,(T103-$H$187)/($I$187-$H$187),"缺失"),"缺失")</x:f>
        <x:v>0</x:v>
      </x:c>
      <x:c r="AM103" s="12" t="n">
        <x:f>IF(ISNUMBER(U103),IF($I$188&gt;$H$188,(U103-$H$188)/($I$188-$H$188),"缺失"),"缺失")</x:f>
        <x:v>0</x:v>
      </x:c>
      <x:c r="AN103" s="12" t="n">
        <x:f>IF(ISNUMBER(V103),IF($I$189&gt;$H$189,(V103-$H$189)/($I$189-$H$189),"缺失"),"缺失")</x:f>
        <x:v>1</x:v>
      </x:c>
      <x:c r="AO103" s="23" t="str"/>
      <x:c r="AP103" s="23" t="str">
        <x:v>见指标口径：州级、产业、代表点代理；气候基期待核实</x:v>
      </x:c>
      <x:c r="AQ103" s="15" t="n">
        <x:v>0.999999999999996</x:v>
      </x:c>
      <x:c r="AR103" s="15" t="n">
        <x:v>0.999999999999996</x:v>
      </x:c>
      <x:c r="AS103" s="15" t="n">
        <x:v>1</x:v>
      </x:c>
      <x:c r="AT103" s="15" t="n">
        <x:v>1</x:v>
      </x:c>
    </x:row>
    <x:row r="104" ht="24" customHeight="1">
      <x:c r="A104" s="18" t="str">
        <x:v>13197</x:v>
      </x:c>
      <x:c r="B104" s="3" t="str">
        <x:v>Marion County</x:v>
      </x:c>
      <x:c r="C104" s="3" t="str">
        <x:v>GA</x:v>
      </x:c>
      <x:c r="D104" s="12" t="n">
        <x:v>947.213855</x:v>
      </x:c>
      <x:c r="E104" s="12" t="n">
        <x:v>0.565</x:v>
      </x:c>
      <x:c r="F104" s="12" t="n">
        <x:v>0.33075495049505</x:v>
      </x:c>
      <x:c r="G104" s="12" t="n">
        <x:v>0.8709973693930744</x:v>
      </x:c>
      <x:c r="H104" s="12" t="n">
        <x:v>0.848254171217815</x:v>
      </x:c>
      <x:c r="I104" s="12" t="n">
        <x:v>0.9515849503354991</x:v>
      </x:c>
      <x:c r="J104" s="12" t="n">
        <x:v>0.08695980985030465</x:v>
      </x:c>
      <x:c r="K104" s="12" t="n">
        <x:v>0.06675395406199938</x:v>
      </x:c>
      <x:c r="L104" s="24" t="n">
        <x:v>0.760760761</x:v>
      </x:c>
      <x:c r="M104" s="24" t="n">
        <x:v>0.760760761</x:v>
      </x:c>
      <x:c r="N104" s="13" t="n">
        <x:v>3129</x:v>
      </x:c>
      <x:c r="O104" s="12" t="n">
        <x:v>0.8877</x:v>
      </x:c>
      <x:c r="P104" s="12" t="n">
        <x:v>1875.9076009114583</x:v>
      </x:c>
      <x:c r="Q104" s="12" t="n">
        <x:v>53.417323684692384</x:v>
      </x:c>
      <x:c r="R104" s="12" t="n">
        <x:v>37.607121788303985</x:v>
      </x:c>
      <x:c r="S104" s="12" t="n">
        <x:v>4.795513770339847</x:v>
      </x:c>
      <x:c r="T104" s="12" t="n">
        <x:v>72.1</x:v>
      </x:c>
      <x:c r="U104" s="12" t="n">
        <x:v>211.4154781728841</x:v>
      </x:c>
      <x:c r="V104" s="12" t="n">
        <x:v>325.42757789465</x:v>
      </x:c>
      <x:c r="W104" s="12" t="n">
        <x:f>IF(ISNUMBER(E104),IF($I$172&gt;$H$172,(E104-$H$172)/($I$172-$H$172),"缺失"),"缺失")</x:f>
        <x:v>0.5983796296296295</x:v>
      </x:c>
      <x:c r="X104" s="12" t="n">
        <x:f>IF(ISNUMBER(F104),IF($I$173&gt;$H$173,(F104-$H$173)/($I$173-$H$173),"缺失"),"缺失")</x:f>
        <x:v>0.330393700787402</x:v>
      </x:c>
      <x:c r="Y104" s="12" t="n">
        <x:f>IF(ISNUMBER(G104),IF($I$174&gt;$H$174,(G104-$H$174)/($I$174-$H$174),"缺失"),"缺失")</x:f>
        <x:v>0.22877384683604213</x:v>
      </x:c>
      <x:c r="Z104" s="12" t="n">
        <x:f>IF(ISNUMBER(H104),IF($I$175&gt;$H$175,(H104-$H$175)/($I$175-$H$175),"缺失"),"缺失")</x:f>
        <x:v>0.20869186258758426</x:v>
      </x:c>
      <x:c r="AA104" s="12" t="n">
        <x:f>IF(ISNUMBER(I104),IF($I$176&gt;$H$176,(I104-$H$176)/($I$176-$H$176),"缺失"),"缺失")</x:f>
        <x:v>0.9572373416682947</x:v>
      </x:c>
      <x:c r="AB104" s="12" t="n">
        <x:f>IF(ISNUMBER(J104),IF($I$177&gt;$H$177,(J104-$H$177)/($I$177-$H$177),"缺失"),"缺失")</x:f>
        <x:v>0.2133118901581643</x:v>
      </x:c>
      <x:c r="AC104" s="12" t="n">
        <x:f>IF(ISNUMBER(K104),IF($I$178&gt;$H$178,(K104-$H$178)/($I$178-$H$178),"缺失"),"缺失")</x:f>
        <x:v>0.11476348145603292</x:v>
      </x:c>
      <x:c r="AD104" s="12" t="n">
        <x:f>IF(ISNUMBER(L104),IF($I$179&gt;$H$179,(L104-$H$179)/($I$179-$H$179),"缺失"),"缺失")</x:f>
        <x:v>0.7606816081171135</x:v>
      </x:c>
      <x:c r="AE104" s="12" t="n">
        <x:f>IF(ISNUMBER(M104),IF($I$180&gt;$H$180,(M104-$H$180)/($I$180-$H$180),"缺失"),"缺失")</x:f>
        <x:v>0.760760761</x:v>
      </x:c>
      <x:c r="AF104" s="12" t="n">
        <x:f>IF(ISNUMBER(N104),IF($I$181&gt;$H$181,(N104-$H$181)/($I$181-$H$181),"缺失"),"缺失")</x:f>
        <x:v>0.0037904550720046708</x:v>
      </x:c>
      <x:c r="AG104" s="12" t="n">
        <x:f>IF(ISNUMBER(O104),IF($I$182&gt;$H$182,(O104-$H$182)/($I$182-$H$182),"缺失"),"缺失")</x:f>
        <x:v>0.8951678123736354</x:v>
      </x:c>
      <x:c r="AH104" s="12" t="n">
        <x:f>IF(ISNUMBER(P104),IF($I$183&gt;$H$183,(P104-$H$183)/($I$183-$H$183),"缺失"),"缺失")</x:f>
        <x:v>0.7198308072572512</x:v>
      </x:c>
      <x:c r="AI104" s="12" t="n">
        <x:f>IF(ISNUMBER(Q104),IF($I$184&gt;$H$184,(Q104-$H$184)/($I$184-$H$184),"缺失"),"缺失")</x:f>
        <x:v>0.623997000928453</x:v>
      </x:c>
      <x:c r="AJ104" s="12" t="n">
        <x:f>IF(ISNUMBER(R104),IF($I$185&gt;$H$185,(R104-$H$185)/($I$185-$H$185),"缺失"),"缺失")</x:f>
        <x:v>0.39368190167045797</x:v>
      </x:c>
      <x:c r="AK104" s="12" t="n">
        <x:f>IF(ISNUMBER(S104),IF($I$186&gt;$H$186,(S104-$H$186)/($I$186-$H$186),"缺失"),"缺失")</x:f>
        <x:v>0.09345698499585968</x:v>
      </x:c>
      <x:c r="AL104" s="12" t="n">
        <x:f>IF(ISNUMBER(T104),IF($I$187&gt;$H$187,(T104-$H$187)/($I$187-$H$187),"缺失"),"缺失")</x:f>
        <x:v>0</x:v>
      </x:c>
      <x:c r="AM104" s="12" t="n">
        <x:f>IF(ISNUMBER(U104),IF($I$188&gt;$H$188,(U104-$H$188)/($I$188-$H$188),"缺失"),"缺失")</x:f>
        <x:v>0</x:v>
      </x:c>
      <x:c r="AN104" s="12" t="n">
        <x:f>IF(ISNUMBER(V104),IF($I$189&gt;$H$189,(V104-$H$189)/($I$189-$H$189),"缺失"),"缺失")</x:f>
        <x:v>1</x:v>
      </x:c>
      <x:c r="AO104" s="23" t="str"/>
      <x:c r="AP104" s="23" t="str">
        <x:v>见指标口径：州级、产业、代表点代理；气候基期待核实</x:v>
      </x:c>
      <x:c r="AQ104" s="15" t="n">
        <x:v>1.0000000000000024</x:v>
      </x:c>
      <x:c r="AR104" s="15" t="n">
        <x:v>1.0000000000000024</x:v>
      </x:c>
      <x:c r="AS104" s="15" t="n">
        <x:v>1</x:v>
      </x:c>
      <x:c r="AT104" s="15" t="n">
        <x:v>1</x:v>
      </x:c>
    </x:row>
    <x:row r="105" ht="24" customHeight="1">
      <x:c r="A105" s="18" t="str">
        <x:v>13199</x:v>
      </x:c>
      <x:c r="B105" s="3" t="str">
        <x:v>Meriwether County</x:v>
      </x:c>
      <x:c r="C105" s="3" t="str">
        <x:v>GA</x:v>
      </x:c>
      <x:c r="D105" s="12" t="n">
        <x:v>1297.342088</x:v>
      </x:c>
      <x:c r="E105" s="12" t="n">
        <x:v>0.692</x:v>
      </x:c>
      <x:c r="F105" s="12" t="n">
        <x:v>0.188118811881188</x:v>
      </x:c>
      <x:c r="G105" s="12" t="n">
        <x:v>1.5450395041209528</x:v>
      </x:c>
      <x:c r="H105" s="12" t="n">
        <x:v>1.4707782118175745</x:v>
      </x:c>
      <x:c r="I105" s="12" t="n">
        <x:v>0.9473520917361274</x:v>
      </x:c>
      <x:c r="J105" s="12" t="n">
        <x:v>0.022820834826869172</x:v>
      </x:c>
      <x:c r="K105" s="12" t="n">
        <x:v>0.06988001313213131</x:v>
      </x:c>
      <x:c r="L105" s="24" t="n">
        <x:v>0.420203228</x:v>
      </x:c>
      <x:c r="M105" s="24" t="n">
        <x:v>0.420203228</x:v>
      </x:c>
      <x:c r="N105" s="13" t="n">
        <x:v>8694</x:v>
      </x:c>
      <x:c r="O105" s="12" t="n">
        <x:v>0.9074</x:v>
      </x:c>
      <x:c r="P105" s="12" t="n">
        <x:v>1656.8031209309895</x:v>
      </x:c>
      <x:c r="Q105" s="12" t="n">
        <x:v>43.243171310424806</x:v>
      </x:c>
      <x:c r="R105" s="12" t="n">
        <x:v>23.670743998543067</x:v>
      </x:c>
      <x:c r="S105" s="12" t="n">
        <x:v>9.617973024401389</x:v>
      </x:c>
      <x:c r="T105" s="12" t="n">
        <x:v>72.1</x:v>
      </x:c>
      <x:c r="U105" s="12" t="n">
        <x:v>211.4154781728841</x:v>
      </x:c>
      <x:c r="V105" s="12" t="n">
        <x:v>325.42757789465</x:v>
      </x:c>
      <x:c r="W105" s="12" t="n">
        <x:f>IF(ISNUMBER(E105),IF($I$172&gt;$H$172,(E105-$H$172)/($I$172-$H$172),"缺失"),"缺失")</x:f>
        <x:v>0.7453703703703702</x:v>
      </x:c>
      <x:c r="X105" s="12" t="n">
        <x:f>IF(ISNUMBER(F105),IF($I$173&gt;$H$173,(F105-$H$173)/($I$173-$H$173),"缺失"),"缺失")</x:f>
        <x:v>0.18519685039370062</x:v>
      </x:c>
      <x:c r="Y105" s="12" t="n">
        <x:f>IF(ISNUMBER(G105),IF($I$174&gt;$H$174,(G105-$H$174)/($I$174-$H$174),"缺失"),"缺失")</x:f>
        <x:v>0.406081286150613</x:v>
      </x:c>
      <x:c r="Z105" s="12" t="n">
        <x:f>IF(ISNUMBER(H105),IF($I$175&gt;$H$175,(H105-$H$175)/($I$175-$H$175),"缺失"),"缺失")</x:f>
        <x:v>0.36216126179308245</x:v>
      </x:c>
      <x:c r="AA105" s="12" t="n">
        <x:f>IF(ISNUMBER(I105),IF($I$176&gt;$H$176,(I105-$H$176)/($I$176-$H$176),"缺失"),"缺失")</x:f>
        <x:v>0.9526932564069306</x:v>
      </x:c>
      <x:c r="AB105" s="12" t="n">
        <x:f>IF(ISNUMBER(J105),IF($I$177&gt;$H$177,(J105-$H$177)/($I$177-$H$177),"缺失"),"缺失")</x:f>
        <x:v>0.0559793704734012</x:v>
      </x:c>
      <x:c r="AC105" s="12" t="n">
        <x:f>IF(ISNUMBER(K105),IF($I$178&gt;$H$178,(K105-$H$178)/($I$178-$H$178),"缺失"),"缺失")</x:f>
        <x:v>0.12013780612588461</x:v>
      </x:c>
      <x:c r="AD105" s="12" t="n">
        <x:f>IF(ISNUMBER(L105),IF($I$179&gt;$H$179,(L105-$H$179)/($I$179-$H$179),"缺失"),"缺失")</x:f>
        <x:v>0.42001140083074495</x:v>
      </x:c>
      <x:c r="AE105" s="12" t="n">
        <x:f>IF(ISNUMBER(M105),IF($I$180&gt;$H$180,(M105-$H$180)/($I$180-$H$180),"缺失"),"缺失")</x:f>
        <x:v>0.420203228</x:v>
      </x:c>
      <x:c r="AF105" s="12" t="n">
        <x:f>IF(ISNUMBER(N105),IF($I$181&gt;$H$181,(N105-$H$181)/($I$181-$H$181),"缺失"),"缺失")</x:f>
        <x:v>0.012431947278356984</x:v>
      </x:c>
      <x:c r="AG105" s="12" t="n">
        <x:f>IF(ISNUMBER(O105),IF($I$182&gt;$H$182,(O105-$H$182)/($I$182-$H$182),"缺失"),"缺失")</x:f>
        <x:v>0.9150828952689042</x:v>
      </x:c>
      <x:c r="AH105" s="12" t="n">
        <x:f>IF(ISNUMBER(P105),IF($I$183&gt;$H$183,(P105-$H$183)/($I$183-$H$183),"缺失"),"缺失")</x:f>
        <x:v>0.6212653320601844</x:v>
      </x:c>
      <x:c r="AI105" s="12" t="n">
        <x:f>IF(ISNUMBER(Q105),IF($I$184&gt;$H$184,(Q105-$H$184)/($I$184-$H$184),"缺失"),"缺失")</x:f>
        <x:v>0.5044344763969361</x:v>
      </x:c>
      <x:c r="AJ105" s="12" t="n">
        <x:f>IF(ISNUMBER(R105),IF($I$185&gt;$H$185,(R105-$H$185)/($I$185-$H$185),"缺失"),"缺失")</x:f>
        <x:v>0.2472321901026445</x:v>
      </x:c>
      <x:c r="AK105" s="12" t="n">
        <x:f>IF(ISNUMBER(S105),IF($I$186&gt;$H$186,(S105-$H$186)/($I$186-$H$186),"缺失"),"缺失")</x:f>
        <x:v>0.18759939443852827</x:v>
      </x:c>
      <x:c r="AL105" s="12" t="n">
        <x:f>IF(ISNUMBER(T105),IF($I$187&gt;$H$187,(T105-$H$187)/($I$187-$H$187),"缺失"),"缺失")</x:f>
        <x:v>0</x:v>
      </x:c>
      <x:c r="AM105" s="12" t="n">
        <x:f>IF(ISNUMBER(U105),IF($I$188&gt;$H$188,(U105-$H$188)/($I$188-$H$188),"缺失"),"缺失")</x:f>
        <x:v>0</x:v>
      </x:c>
      <x:c r="AN105" s="12" t="n">
        <x:f>IF(ISNUMBER(V105),IF($I$189&gt;$H$189,(V105-$H$189)/($I$189-$H$189),"缺失"),"缺失")</x:f>
        <x:v>1</x:v>
      </x:c>
      <x:c r="AO105" s="23" t="str"/>
      <x:c r="AP105" s="23" t="str">
        <x:v>见指标口径：州级、产业、代表点代理；气候基期待核实</x:v>
      </x:c>
      <x:c r="AQ105" s="15" t="n">
        <x:v>0.9999999999999992</x:v>
      </x:c>
      <x:c r="AR105" s="15" t="n">
        <x:v>0.9999999999999992</x:v>
      </x:c>
      <x:c r="AS105" s="15" t="n">
        <x:v>1</x:v>
      </x:c>
      <x:c r="AT105" s="15" t="n">
        <x:v>1</x:v>
      </x:c>
    </x:row>
    <x:row r="106" ht="24" customHeight="1">
      <x:c r="A106" s="18" t="str">
        <x:v>13201</x:v>
      </x:c>
      <x:c r="B106" s="3" t="str">
        <x:v>Miller County</x:v>
      </x:c>
      <x:c r="C106" s="3" t="str">
        <x:v>GA</x:v>
      </x:c>
      <x:c r="D106" s="12" t="n">
        <x:v>731.471756</x:v>
      </x:c>
      <x:c r="E106" s="12" t="n">
        <x:v>0.445</x:v>
      </x:c>
      <x:c r="F106" s="12" t="n">
        <x:v>0.662128712871287</x:v>
      </x:c>
      <x:c r="G106" s="12" t="n">
        <x:v>1.1652933984148754</x:v>
      </x:c>
      <x:c r="H106" s="12" t="n">
        <x:v>1.134330805</x:v>
      </x:c>
      <x:c r="I106" s="12" t="n">
        <x:v>0.9453513921790778</x:v>
      </x:c>
      <x:c r="J106" s="12" t="n">
        <x:v>0.038782272477973945</x:v>
      </x:c>
      <x:c r="K106" s="12" t="n">
        <x:v>0.17712824134700744</x:v>
      </x:c>
      <x:c r="L106" s="24" t="n">
        <x:v>0.794924757</x:v>
      </x:c>
      <x:c r="M106" s="24" t="n">
        <x:v>0.794924757</x:v>
      </x:c>
      <x:c r="N106" s="13" t="n">
        <x:v>2687</x:v>
      </x:c>
      <x:c r="O106" s="12" t="n">
        <x:v>0.945</x:v>
      </x:c>
      <x:c r="P106" s="12" t="n">
        <x:v>2308.7960530598957</x:v>
      </x:c>
      <x:c r="Q106" s="12" t="n">
        <x:v>80.61361592610677</x:v>
      </x:c>
      <x:c r="R106" s="12" t="n">
        <x:v>60.20640319566311</x:v>
      </x:c>
      <x:c r="S106" s="12" t="n">
        <x:v>0.9304817210113921</x:v>
      </x:c>
      <x:c r="T106" s="12" t="n">
        <x:v>72.1</x:v>
      </x:c>
      <x:c r="U106" s="12" t="n">
        <x:v>211.4154781728841</x:v>
      </x:c>
      <x:c r="V106" s="12" t="n">
        <x:v>325.42757789465</x:v>
      </x:c>
      <x:c r="W106" s="12" t="n">
        <x:f>IF(ISNUMBER(E106),IF($I$172&gt;$H$172,(E106-$H$172)/($I$172-$H$172),"缺失"),"缺失")</x:f>
        <x:v>0.45949074074074076</x:v>
      </x:c>
      <x:c r="X106" s="12" t="n">
        <x:f>IF(ISNUMBER(F106),IF($I$173&gt;$H$173,(F106-$H$173)/($I$173-$H$173),"缺失"),"缺失")</x:f>
        <x:v>0.6677165354330706</x:v>
      </x:c>
      <x:c r="Y106" s="12" t="n">
        <x:f>IF(ISNUMBER(G106),IF($I$174&gt;$H$174,(G106-$H$174)/($I$174-$H$174),"缺失"),"缺失")</x:f>
        <x:v>0.3061887035903138</x:v>
      </x:c>
      <x:c r="Z106" s="12" t="n">
        <x:f>IF(ISNUMBER(H106),IF($I$175&gt;$H$175,(H106-$H$175)/($I$175-$H$175),"缺失"),"缺失")</x:f>
        <x:v>0.27921766761671174</x:v>
      </x:c>
      <x:c r="AA106" s="12" t="n">
        <x:f>IF(ISNUMBER(I106),IF($I$176&gt;$H$176,(I106-$H$176)/($I$176-$H$176),"缺失"),"缺失")</x:f>
        <x:v>0.9505454527049698</x:v>
      </x:c>
      <x:c r="AB106" s="12" t="n">
        <x:f>IF(ISNUMBER(J106),IF($I$177&gt;$H$177,(J106-$H$177)/($I$177-$H$177),"缺失"),"缺失")</x:f>
        <x:v>0.09513268096085417</x:v>
      </x:c>
      <x:c r="AC106" s="12" t="n">
        <x:f>IF(ISNUMBER(K106),IF($I$178&gt;$H$178,(K106-$H$178)/($I$178-$H$178),"缺失"),"缺失")</x:f>
        <x:v>0.3045190944387656</x:v>
      </x:c>
      <x:c r="AD106" s="12" t="n">
        <x:f>IF(ISNUMBER(L106),IF($I$179&gt;$H$179,(L106-$H$179)/($I$179-$H$179),"缺失"),"缺失")</x:f>
        <x:v>0.7948569073581103</x:v>
      </x:c>
      <x:c r="AE106" s="12" t="n">
        <x:f>IF(ISNUMBER(M106),IF($I$180&gt;$H$180,(M106-$H$180)/($I$180-$H$180),"缺失"),"缺失")</x:f>
        <x:v>0.794924757</x:v>
      </x:c>
      <x:c r="AF106" s="12" t="n">
        <x:f>IF(ISNUMBER(N106),IF($I$181&gt;$H$181,(N106-$H$181)/($I$181-$H$181),"缺失"),"缺失")</x:f>
        <x:v>0.003104104747618737</x:v>
      </x:c>
      <x:c r="AG106" s="12" t="n">
        <x:f>IF(ISNUMBER(O106),IF($I$182&gt;$H$182,(O106-$H$182)/($I$182-$H$182),"缺失"),"缺失")</x:f>
        <x:v>0.9530934088152042</x:v>
      </x:c>
      <x:c r="AH106" s="12" t="n">
        <x:f>IF(ISNUMBER(P106),IF($I$183&gt;$H$183,(P106-$H$183)/($I$183-$H$183),"缺失"),"缺失")</x:f>
        <x:v>0.9145682950399607</x:v>
      </x:c>
      <x:c r="AI106" s="12" t="n">
        <x:f>IF(ISNUMBER(Q106),IF($I$184&gt;$H$184,(Q106-$H$184)/($I$184-$H$184),"缺失"),"缺失")</x:f>
        <x:v>0.9435968298542012</x:v>
      </x:c>
      <x:c r="AJ106" s="12" t="n">
        <x:f>IF(ISNUMBER(R106),IF($I$185&gt;$H$185,(R106-$H$185)/($I$185-$H$185),"缺失"),"缺失")</x:f>
        <x:v>0.6311652918078295</x:v>
      </x:c>
      <x:c r="AK106" s="12" t="n">
        <x:f>IF(ISNUMBER(S106),IF($I$186&gt;$H$186,(S106-$H$186)/($I$186-$H$186),"缺失"),"缺失")</x:f>
        <x:v>0.01800514382364762</x:v>
      </x:c>
      <x:c r="AL106" s="12" t="n">
        <x:f>IF(ISNUMBER(T106),IF($I$187&gt;$H$187,(T106-$H$187)/($I$187-$H$187),"缺失"),"缺失")</x:f>
        <x:v>0</x:v>
      </x:c>
      <x:c r="AM106" s="12" t="n">
        <x:f>IF(ISNUMBER(U106),IF($I$188&gt;$H$188,(U106-$H$188)/($I$188-$H$188),"缺失"),"缺失")</x:f>
        <x:v>0</x:v>
      </x:c>
      <x:c r="AN106" s="12" t="n">
        <x:f>IF(ISNUMBER(V106),IF($I$189&gt;$H$189,(V106-$H$189)/($I$189-$H$189),"缺失"),"缺失")</x:f>
        <x:v>1</x:v>
      </x:c>
      <x:c r="AO106" s="23" t="str"/>
      <x:c r="AP106" s="23" t="str">
        <x:v>见指标口径：州级、产业、代表点代理；气候基期待核实</x:v>
      </x:c>
      <x:c r="AQ106" s="15" t="n">
        <x:v>1.0000000000000004</x:v>
      </x:c>
      <x:c r="AR106" s="15" t="n">
        <x:v>1.0000000000000004</x:v>
      </x:c>
      <x:c r="AS106" s="15" t="n">
        <x:v>1</x:v>
      </x:c>
      <x:c r="AT106" s="15" t="n">
        <x:v>1</x:v>
      </x:c>
    </x:row>
    <x:row r="107" ht="24" customHeight="1">
      <x:c r="A107" s="18" t="str">
        <x:v>13205</x:v>
      </x:c>
      <x:c r="B107" s="3" t="str">
        <x:v>Mitchell County</x:v>
      </x:c>
      <x:c r="C107" s="3" t="str">
        <x:v>GA</x:v>
      </x:c>
      <x:c r="D107" s="12" t="n">
        <x:v>1326.483082</x:v>
      </x:c>
      <x:c r="E107" s="12" t="n">
        <x:v>0.486</x:v>
      </x:c>
      <x:c r="F107" s="12" t="n">
        <x:v>0.6875</x:v>
      </x:c>
      <x:c r="G107" s="12" t="n">
        <x:v>1.4444435813248822</x:v>
      </x:c>
      <x:c r="H107" s="12" t="n">
        <x:v>1.435033708370401</x:v>
      </x:c>
      <x:c r="I107" s="12" t="n">
        <x:v>0.9346603278496997</x:v>
      </x:c>
      <x:c r="J107" s="12" t="n">
        <x:v>0.0004098492298149293</x:v>
      </x:c>
      <x:c r="K107" s="12" t="n">
        <x:v>0.10234757665234116</x:v>
      </x:c>
      <x:c r="L107" s="24" t="n">
        <x:v>0.612135922</x:v>
      </x:c>
      <x:c r="M107" s="24" t="n">
        <x:v>0.605728155</x:v>
      </x:c>
      <x:c r="N107" s="13" t="n">
        <x:v>8589</x:v>
      </x:c>
      <x:c r="O107" s="12" t="n">
        <x:v>0.9914</x:v>
      </x:c>
      <x:c r="P107" s="12" t="n">
        <x:v>2304.7809488932294</x:v>
      </x:c>
      <x:c r="Q107" s="12" t="n">
        <x:v>76.23566233317057</x:v>
      </x:c>
      <x:c r="R107" s="12" t="n">
        <x:v>67.47810892349928</x:v>
      </x:c>
      <x:c r="S107" s="12" t="n">
        <x:v>0.8409909954873056</x:v>
      </x:c>
      <x:c r="T107" s="12" t="n">
        <x:v>72.1</x:v>
      </x:c>
      <x:c r="U107" s="12" t="n">
        <x:v>211.4154781728841</x:v>
      </x:c>
      <x:c r="V107" s="12" t="n">
        <x:v>325.42757789465</x:v>
      </x:c>
      <x:c r="W107" s="12" t="n">
        <x:f>IF(ISNUMBER(E107),IF($I$172&gt;$H$172,(E107-$H$172)/($I$172-$H$172),"缺失"),"缺失")</x:f>
        <x:v>0.5069444444444444</x:v>
      </x:c>
      <x:c r="X107" s="12" t="n">
        <x:f>IF(ISNUMBER(F107),IF($I$173&gt;$H$173,(F107-$H$173)/($I$173-$H$173),"缺失"),"缺失")</x:f>
        <x:v>0.693543307086614</x:v>
      </x:c>
      <x:c r="Y107" s="12" t="n">
        <x:f>IF(ISNUMBER(G107),IF($I$174&gt;$H$174,(G107-$H$174)/($I$174-$H$174),"缺失"),"缺失")</x:f>
        <x:v>0.379619430789511</x:v>
      </x:c>
      <x:c r="Z107" s="12" t="n">
        <x:f>IF(ISNUMBER(H107),IF($I$175&gt;$H$175,(H107-$H$175)/($I$175-$H$175),"缺失"),"缺失")</x:f>
        <x:v>0.35334925276022405</x:v>
      </x:c>
      <x:c r="AA107" s="12" t="n">
        <x:f>IF(ISNUMBER(I107),IF($I$176&gt;$H$176,(I107-$H$176)/($I$176-$H$176),"缺失"),"缺失")</x:f>
        <x:v>0.9390683133895591</x:v>
      </x:c>
      <x:c r="AB107" s="12" t="n">
        <x:f>IF(ISNUMBER(J107),IF($I$177&gt;$H$177,(J107-$H$177)/($I$177-$H$177),"缺失"),"缺失")</x:f>
        <x:v>0.0010053576938839656</x:v>
      </x:c>
      <x:c r="AC107" s="12" t="n">
        <x:f>IF(ISNUMBER(K107),IF($I$178&gt;$H$178,(K107-$H$178)/($I$178-$H$178),"缺失"),"缺失")</x:f>
        <x:v>0.1759560820067931</x:v>
      </x:c>
      <x:c r="AD107" s="12" t="n">
        <x:f>IF(ISNUMBER(L107),IF($I$179&gt;$H$179,(L107-$H$179)/($I$179-$H$179),"缺失"),"缺失")</x:f>
        <x:v>0.6120075962283994</x:v>
      </x:c>
      <x:c r="AE107" s="12" t="n">
        <x:f>IF(ISNUMBER(M107),IF($I$180&gt;$H$180,(M107-$H$180)/($I$180-$H$180),"缺失"),"缺失")</x:f>
        <x:v>0.605728155</x:v>
      </x:c>
      <x:c r="AF107" s="12" t="n">
        <x:f>IF(ISNUMBER(N107),IF($I$181&gt;$H$181,(N107-$H$181)/($I$181-$H$181),"缺失"),"缺失")</x:f>
        <x:v>0.012268900255595619</x:v>
      </x:c>
      <x:c r="AG107" s="12" t="n">
        <x:f>IF(ISNUMBER(O107),IF($I$182&gt;$H$182,(O107-$H$182)/($I$182-$H$182),"缺失"),"缺失")</x:f>
        <x:v>1</x:v>
      </x:c>
      <x:c r="AH107" s="12" t="n">
        <x:f>IF(ISNUMBER(P107),IF($I$183&gt;$H$183,(P107-$H$183)/($I$183-$H$183),"缺失"),"缺失")</x:f>
        <x:v>0.9127620761521111</x:v>
      </x:c>
      <x:c r="AI107" s="12" t="n">
        <x:f>IF(ISNUMBER(Q107),IF($I$184&gt;$H$184,(Q107-$H$184)/($I$184-$H$184),"缺失"),"缺失")</x:f>
        <x:v>0.8921488895641425</x:v>
      </x:c>
      <x:c r="AJ107" s="12" t="n">
        <x:f>IF(ISNUMBER(R107),IF($I$185&gt;$H$185,(R107-$H$185)/($I$185-$H$185),"缺失"),"缺失")</x:f>
        <x:v>0.7075796386713336</x:v>
      </x:c>
      <x:c r="AK107" s="12" t="n">
        <x:f>IF(ISNUMBER(S107),IF($I$186&gt;$H$186,(S107-$H$186)/($I$186-$H$186),"缺失"),"缺失")</x:f>
        <x:v>0.016258136315701447</x:v>
      </x:c>
      <x:c r="AL107" s="12" t="n">
        <x:f>IF(ISNUMBER(T107),IF($I$187&gt;$H$187,(T107-$H$187)/($I$187-$H$187),"缺失"),"缺失")</x:f>
        <x:v>0</x:v>
      </x:c>
      <x:c r="AM107" s="12" t="n">
        <x:f>IF(ISNUMBER(U107),IF($I$188&gt;$H$188,(U107-$H$188)/($I$188-$H$188),"缺失"),"缺失")</x:f>
        <x:v>0</x:v>
      </x:c>
      <x:c r="AN107" s="12" t="n">
        <x:f>IF(ISNUMBER(V107),IF($I$189&gt;$H$189,(V107-$H$189)/($I$189-$H$189),"缺失"),"缺失")</x:f>
        <x:v>1</x:v>
      </x:c>
      <x:c r="AO107" s="23" t="str"/>
      <x:c r="AP107" s="23" t="str">
        <x:v>见指标口径：州级、产业、代表点代理；气候基期待核实</x:v>
      </x:c>
      <x:c r="AQ107" s="15" t="n">
        <x:v>0.9999999999999988</x:v>
      </x:c>
      <x:c r="AR107" s="15" t="n">
        <x:v>0.9999999999999988</x:v>
      </x:c>
      <x:c r="AS107" s="15" t="n">
        <x:v>1</x:v>
      </x:c>
      <x:c r="AT107" s="15" t="n">
        <x:v>1</x:v>
      </x:c>
    </x:row>
    <x:row r="108" ht="24" customHeight="1">
      <x:c r="A108" s="18" t="str">
        <x:v>13207</x:v>
      </x:c>
      <x:c r="B108" s="3" t="str">
        <x:v>Monroe County</x:v>
      </x:c>
      <x:c r="C108" s="3" t="str">
        <x:v>GA</x:v>
      </x:c>
      <x:c r="D108" s="12" t="n">
        <x:v>1025.872454</x:v>
      </x:c>
      <x:c r="E108" s="12" t="n">
        <x:v>0.66</x:v>
      </x:c>
      <x:c r="F108" s="12" t="n">
        <x:v>0.295792079207921</x:v>
      </x:c>
      <x:c r="G108" s="12" t="n">
        <x:v>2.5714012754952695</x:v>
      </x:c>
      <x:c r="H108" s="12" t="n">
        <x:v>2.4486085323762152</x:v>
      </x:c>
      <x:c r="I108" s="12" t="n">
        <x:v>0.9248422583319041</x:v>
      </x:c>
      <x:c r="J108" s="12" t="n">
        <x:v>0.04485039309755963</x:v>
      </x:c>
      <x:c r="K108" s="12" t="n">
        <x:v>0.034689768764648715</x:v>
      </x:c>
      <x:c r="L108" s="24" t="n">
        <x:v>0.897026557</x:v>
      </x:c>
      <x:c r="M108" s="24" t="n">
        <x:v>0.897026557</x:v>
      </x:c>
      <x:c r="N108" s="13" t="n">
        <x:v>14446</x:v>
      </x:c>
      <x:c r="O108" s="12" t="n">
        <x:v>0.329</x:v>
      </x:c>
      <x:c r="P108" s="12" t="n">
        <x:v>1776.751729329427</x:v>
      </x:c>
      <x:c r="Q108" s="12" t="n">
        <x:v>52.50535545349121</x:v>
      </x:c>
      <x:c r="R108" s="12" t="n">
        <x:v>1.4637133225771009</x:v>
      </x:c>
      <x:c r="S108" s="12" t="n">
        <x:v>0.5639806525004973</x:v>
      </x:c>
      <x:c r="T108" s="12" t="n">
        <x:v>72.1</x:v>
      </x:c>
      <x:c r="U108" s="12" t="n">
        <x:v>211.4154781728841</x:v>
      </x:c>
      <x:c r="V108" s="12" t="n">
        <x:v>325.42757789465</x:v>
      </x:c>
      <x:c r="W108" s="12" t="n">
        <x:f>IF(ISNUMBER(E108),IF($I$172&gt;$H$172,(E108-$H$172)/($I$172-$H$172),"缺失"),"缺失")</x:f>
        <x:v>0.7083333333333334</x:v>
      </x:c>
      <x:c r="X108" s="12" t="n">
        <x:f>IF(ISNUMBER(F108),IF($I$173&gt;$H$173,(F108-$H$173)/($I$173-$H$173),"缺失"),"缺失")</x:f>
        <x:v>0.29480314960629933</x:v>
      </x:c>
      <x:c r="Y108" s="12" t="n">
        <x:f>IF(ISNUMBER(G108),IF($I$174&gt;$H$174,(G108-$H$174)/($I$174-$H$174),"缺失"),"缺失")</x:f>
        <x:v>0.6760667486561817</x:v>
      </x:c>
      <x:c r="Z108" s="12" t="n">
        <x:f>IF(ISNUMBER(H108),IF($I$175&gt;$H$175,(H108-$H$175)/($I$175-$H$175),"缺失"),"缺失")</x:f>
        <x:v>0.603223489167426</x:v>
      </x:c>
      <x:c r="AA108" s="12" t="n">
        <x:f>IF(ISNUMBER(I108),IF($I$176&gt;$H$176,(I108-$H$176)/($I$176-$H$176),"缺失"),"缺失")</x:f>
        <x:v>0.9285283570117379</x:v>
      </x:c>
      <x:c r="AB108" s="12" t="n">
        <x:f>IF(ISNUMBER(J108),IF($I$177&gt;$H$177,(J108-$H$177)/($I$177-$H$177),"缺失"),"缺失")</x:f>
        <x:v>0.11001774431713081</x:v>
      </x:c>
      <x:c r="AC108" s="12" t="n">
        <x:f>IF(ISNUMBER(K108),IF($I$178&gt;$H$178,(K108-$H$178)/($I$178-$H$178),"缺失"),"缺失")</x:f>
        <x:v>0.05963869392123605</x:v>
      </x:c>
      <x:c r="AD108" s="12" t="n">
        <x:f>IF(ISNUMBER(L108),IF($I$179&gt;$H$179,(L108-$H$179)/($I$179-$H$179),"缺失"),"缺失")</x:f>
        <x:v>0.8969924879864541</x:v>
      </x:c>
      <x:c r="AE108" s="12" t="n">
        <x:f>IF(ISNUMBER(M108),IF($I$180&gt;$H$180,(M108-$H$180)/($I$180-$H$180),"缺失"),"缺失")</x:f>
        <x:v>0.897026557</x:v>
      </x:c>
      <x:c r="AF108" s="12" t="n">
        <x:f>IF(ISNUMBER(N108),IF($I$181&gt;$H$181,(N108-$H$181)/($I$181-$H$181),"缺失"),"缺失")</x:f>
        <x:v>0.021363818468103344</x:v>
      </x:c>
      <x:c r="AG108" s="12" t="n">
        <x:f>IF(ISNUMBER(O108),IF($I$182&gt;$H$182,(O108-$H$182)/($I$182-$H$182),"缺失"),"缺失")</x:f>
        <x:v>0.33036797412050145</x:v>
      </x:c>
      <x:c r="AH108" s="12" t="n">
        <x:f>IF(ISNUMBER(P108),IF($I$183&gt;$H$183,(P108-$H$183)/($I$183-$H$183),"缺失"),"缺失")</x:f>
        <x:v>0.6752249388517606</x:v>
      </x:c>
      <x:c r="AI108" s="12" t="n">
        <x:f>IF(ISNUMBER(Q108),IF($I$184&gt;$H$184,(Q108-$H$184)/($I$184-$H$184),"缺失"),"缺失")</x:f>
        <x:v>0.6132799190523519</x:v>
      </x:c>
      <x:c r="AJ108" s="12" t="n">
        <x:f>IF(ISNUMBER(R108),IF($I$185&gt;$H$185,(R108-$H$185)/($I$185-$H$185),"缺失"),"缺失")</x:f>
        <x:v>0.013870746667736439</x:v>
      </x:c>
      <x:c r="AK108" s="12" t="n">
        <x:f>IF(ISNUMBER(S108),IF($I$186&gt;$H$186,(S108-$H$186)/($I$186-$H$186),"缺失"),"缺失")</x:f>
        <x:v>0.010850434610942707</x:v>
      </x:c>
      <x:c r="AL108" s="12" t="n">
        <x:f>IF(ISNUMBER(T108),IF($I$187&gt;$H$187,(T108-$H$187)/($I$187-$H$187),"缺失"),"缺失")</x:f>
        <x:v>0</x:v>
      </x:c>
      <x:c r="AM108" s="12" t="n">
        <x:f>IF(ISNUMBER(U108),IF($I$188&gt;$H$188,(U108-$H$188)/($I$188-$H$188),"缺失"),"缺失")</x:f>
        <x:v>0</x:v>
      </x:c>
      <x:c r="AN108" s="12" t="n">
        <x:f>IF(ISNUMBER(V108),IF($I$189&gt;$H$189,(V108-$H$189)/($I$189-$H$189),"缺失"),"缺失")</x:f>
        <x:v>1</x:v>
      </x:c>
      <x:c r="AO108" s="23" t="str"/>
      <x:c r="AP108" s="23" t="str">
        <x:v>见指标口径：州级、产业、代表点代理；气候基期待核实</x:v>
      </x:c>
      <x:c r="AQ108" s="15" t="n">
        <x:v>1.0000000000000002</x:v>
      </x:c>
      <x:c r="AR108" s="15" t="n">
        <x:v>1.0000000000000002</x:v>
      </x:c>
      <x:c r="AS108" s="15" t="n">
        <x:v>1</x:v>
      </x:c>
      <x:c r="AT108" s="15" t="n">
        <x:v>1</x:v>
      </x:c>
    </x:row>
    <x:row r="109" ht="24" customHeight="1">
      <x:c r="A109" s="18" t="str">
        <x:v>13209</x:v>
      </x:c>
      <x:c r="B109" s="3" t="str">
        <x:v>Montgomery County</x:v>
      </x:c>
      <x:c r="C109" s="3" t="str">
        <x:v>GA</x:v>
      </x:c>
      <x:c r="D109" s="12" t="n">
        <x:v>624.563059</x:v>
      </x:c>
      <x:c r="E109" s="12" t="n">
        <x:v>0.553</x:v>
      </x:c>
      <x:c r="F109" s="12" t="n">
        <x:v>0.526918316831683</x:v>
      </x:c>
      <x:c r="G109" s="12" t="n">
        <x:v>1.5430541873763026</x:v>
      </x:c>
      <x:c r="H109" s="12" t="n">
        <x:v>1.4120826661768857</x:v>
      </x:c>
      <x:c r="I109" s="12" t="n">
        <x:v>0.9357196743808422</x:v>
      </x:c>
      <x:c r="J109" s="12" t="n">
        <x:v>0.010869892933433427</x:v>
      </x:c>
      <x:c r="K109" s="12" t="n">
        <x:v>0.2903154884646611</x:v>
      </x:c>
      <x:c r="L109" s="24" t="n">
        <x:v>0.944266055</x:v>
      </x:c>
      <x:c r="M109" s="24" t="n">
        <x:v>0.944266055</x:v>
      </x:c>
      <x:c r="N109" s="13" t="n">
        <x:v>3354</x:v>
      </x:c>
      <x:c r="O109" s="12" t="n">
        <x:v>0.7547</x:v>
      </x:c>
      <x:c r="P109" s="12" t="n">
        <x:v>2156.596142578125</x:v>
      </x:c>
      <x:c r="Q109" s="12" t="n">
        <x:v>74.79854863484701</x:v>
      </x:c>
      <x:c r="R109" s="12" t="n">
        <x:v>28.112897422899234</x:v>
      </x:c>
      <x:c r="S109" s="12" t="n">
        <x:v>1.6961598403303493</x:v>
      </x:c>
      <x:c r="T109" s="12" t="n">
        <x:v>72.1</x:v>
      </x:c>
      <x:c r="U109" s="12" t="n">
        <x:v>211.4154781728841</x:v>
      </x:c>
      <x:c r="V109" s="12" t="n">
        <x:v>325.42757789465</x:v>
      </x:c>
      <x:c r="W109" s="12" t="n">
        <x:f>IF(ISNUMBER(E109),IF($I$172&gt;$H$172,(E109-$H$172)/($I$172-$H$172),"缺失"),"缺失")</x:f>
        <x:v>0.5844907407407407</x:v>
      </x:c>
      <x:c r="X109" s="12" t="n">
        <x:f>IF(ISNUMBER(F109),IF($I$173&gt;$H$173,(F109-$H$173)/($I$173-$H$173),"缺失"),"缺失")</x:f>
        <x:v>0.53007874015748</x:v>
      </x:c>
      <x:c r="Y109" s="12" t="n">
        <x:f>IF(ISNUMBER(G109),IF($I$174&gt;$H$174,(G109-$H$174)/($I$174-$H$174),"缺失"),"缺失")</x:f>
        <x:v>0.4055590466494216</x:v>
      </x:c>
      <x:c r="Z109" s="12" t="n">
        <x:f>IF(ISNUMBER(H109),IF($I$175&gt;$H$175,(H109-$H$175)/($I$175-$H$175),"缺失"),"缺失")</x:f>
        <x:v>0.34769118587948905</x:v>
      </x:c>
      <x:c r="AA109" s="12" t="n">
        <x:f>IF(ISNUMBER(I109),IF($I$176&gt;$H$176,(I109-$H$176)/($I$176-$H$176),"缺失"),"缺失")</x:f>
        <x:v>0.9402055498093055</x:v>
      </x:c>
      <x:c r="AB109" s="12" t="n">
        <x:f>IF(ISNUMBER(J109),IF($I$177&gt;$H$177,(J109-$H$177)/($I$177-$H$177),"缺失"),"缺失")</x:f>
        <x:v>0.026663781940634432</x:v>
      </x:c>
      <x:c r="AC109" s="12" t="n">
        <x:f>IF(ISNUMBER(K109),IF($I$178&gt;$H$178,(K109-$H$178)/($I$178-$H$178),"缺失"),"缺失")</x:f>
        <x:v>0.4991107514899974</x:v>
      </x:c>
      <x:c r="AD109" s="12" t="n">
        <x:f>IF(ISNUMBER(L109),IF($I$179&gt;$H$179,(L109-$H$179)/($I$179-$H$179),"缺失"),"缺失")</x:f>
        <x:v>0.9442476152890236</x:v>
      </x:c>
      <x:c r="AE109" s="12" t="n">
        <x:f>IF(ISNUMBER(M109),IF($I$180&gt;$H$180,(M109-$H$180)/($I$180-$H$180),"缺失"),"缺失")</x:f>
        <x:v>0.944266055</x:v>
      </x:c>
      <x:c r="AF109" s="12" t="n">
        <x:f>IF(ISNUMBER(N109),IF($I$181&gt;$H$181,(N109-$H$181)/($I$181-$H$181),"缺失"),"缺失")</x:f>
        <x:v>0.004139841549350451</x:v>
      </x:c>
      <x:c r="AG109" s="12" t="n">
        <x:f>IF(ISNUMBER(O109),IF($I$182&gt;$H$182,(O109-$H$182)/($I$182-$H$182),"缺失"),"缺失")</x:f>
        <x:v>0.7607157298827336</x:v>
      </x:c>
      <x:c r="AH109" s="12" t="n">
        <x:f>IF(ISNUMBER(P109),IF($I$183&gt;$H$183,(P109-$H$183)/($I$183-$H$183),"缺失"),"缺失")</x:f>
        <x:v>0.8461002449894826</x:v>
      </x:c>
      <x:c r="AI109" s="12" t="n">
        <x:f>IF(ISNUMBER(Q109),IF($I$184&gt;$H$184,(Q109-$H$184)/($I$184-$H$184),"缺失"),"缺失")</x:f>
        <x:v>0.8752605105140145</x:v>
      </x:c>
      <x:c r="AJ109" s="12" t="n">
        <x:f>IF(ISNUMBER(R109),IF($I$185&gt;$H$185,(R109-$H$185)/($I$185-$H$185),"缺失"),"缺失")</x:f>
        <x:v>0.2939123316394861</x:v>
      </x:c>
      <x:c r="AK109" s="12" t="n">
        <x:f>IF(ISNUMBER(S109),IF($I$186&gt;$H$186,(S109-$H$186)/($I$186-$H$186),"缺失"),"缺失")</x:f>
        <x:v>0.03295245166238334</x:v>
      </x:c>
      <x:c r="AL109" s="12" t="n">
        <x:f>IF(ISNUMBER(T109),IF($I$187&gt;$H$187,(T109-$H$187)/($I$187-$H$187),"缺失"),"缺失")</x:f>
        <x:v>0</x:v>
      </x:c>
      <x:c r="AM109" s="12" t="n">
        <x:f>IF(ISNUMBER(U109),IF($I$188&gt;$H$188,(U109-$H$188)/($I$188-$H$188),"缺失"),"缺失")</x:f>
        <x:v>0</x:v>
      </x:c>
      <x:c r="AN109" s="12" t="n">
        <x:f>IF(ISNUMBER(V109),IF($I$189&gt;$H$189,(V109-$H$189)/($I$189-$H$189),"缺失"),"缺失")</x:f>
        <x:v>1</x:v>
      </x:c>
      <x:c r="AO109" s="23" t="str"/>
      <x:c r="AP109" s="23" t="str">
        <x:v>见指标口径：州级、产业、代表点代理；气候基期待核实</x:v>
      </x:c>
      <x:c r="AQ109" s="15" t="n">
        <x:v>0.9999999999999973</x:v>
      </x:c>
      <x:c r="AR109" s="15" t="n">
        <x:v>0.9999999999999987</x:v>
      </x:c>
      <x:c r="AS109" s="15" t="n">
        <x:v>1</x:v>
      </x:c>
      <x:c r="AT109" s="15" t="n">
        <x:v>1</x:v>
      </x:c>
    </x:row>
    <x:row r="110" ht="24" customHeight="1">
      <x:c r="A110" s="18" t="str">
        <x:v>13211</x:v>
      </x:c>
      <x:c r="B110" s="3" t="str">
        <x:v>Morgan County</x:v>
      </x:c>
      <x:c r="C110" s="3" t="str">
        <x:v>GA</x:v>
      </x:c>
      <x:c r="D110" s="12" t="n">
        <x:v>899.791082</x:v>
      </x:c>
      <x:c r="E110" s="12" t="n">
        <x:v>0.579</x:v>
      </x:c>
      <x:c r="F110" s="12" t="n">
        <x:v>0.562190594059406</x:v>
      </x:c>
      <x:c r="G110" s="12" t="n">
        <x:v>2.101601868026963</x:v>
      </x:c>
      <x:c r="H110" s="12" t="n">
        <x:v>1.909171031</x:v>
      </x:c>
      <x:c r="I110" s="12" t="n">
        <x:v>0.9389963618065568</x:v>
      </x:c>
      <x:c r="J110" s="12" t="n">
        <x:v>0.030181323136145997</x:v>
      </x:c>
      <x:c r="K110" s="12" t="n">
        <x:v>0.05595868993087033</x:v>
      </x:c>
      <x:c r="L110" s="24" t="n">
        <x:v>0.783010773</x:v>
      </x:c>
      <x:c r="M110" s="24" t="n">
        <x:v>0.783010773</x:v>
      </x:c>
      <x:c r="N110" s="13" t="n">
        <x:v>10809</x:v>
      </x:c>
      <x:c r="O110" s="12" t="n">
        <x:v>0.266</x:v>
      </x:c>
      <x:c r="P110" s="12" t="n">
        <x:v>1745.269608561198</x:v>
      </x:c>
      <x:c r="Q110" s="12" t="n">
        <x:v>50.02244186401367</x:v>
      </x:c>
      <x:c r="R110" s="12" t="n">
        <x:v>3.6093691181226513</x:v>
      </x:c>
      <x:c r="S110" s="12" t="n">
        <x:v>0.7498191197912025</x:v>
      </x:c>
      <x:c r="T110" s="12" t="n">
        <x:v>72.1</x:v>
      </x:c>
      <x:c r="U110" s="12" t="n">
        <x:v>211.4154781728841</x:v>
      </x:c>
      <x:c r="V110" s="12" t="n">
        <x:v>325.42757789465</x:v>
      </x:c>
      <x:c r="W110" s="12" t="n">
        <x:f>IF(ISNUMBER(E110),IF($I$172&gt;$H$172,(E110-$H$172)/($I$172-$H$172),"缺失"),"缺失")</x:f>
        <x:v>0.6145833333333333</x:v>
      </x:c>
      <x:c r="X110" s="12" t="n">
        <x:f>IF(ISNUMBER(F110),IF($I$173&gt;$H$173,(F110-$H$173)/($I$173-$H$173),"缺失"),"缺失")</x:f>
        <x:v>0.5659842519685038</x:v>
      </x:c>
      <x:c r="Y110" s="12" t="n">
        <x:f>IF(ISNUMBER(G110),IF($I$174&gt;$H$174,(G110-$H$174)/($I$174-$H$174),"缺失"),"缺失")</x:f>
        <x:v>0.5524855574546298</x:v>
      </x:c>
      <x:c r="Z110" s="12" t="n">
        <x:f>IF(ISNUMBER(H110),IF($I$175&gt;$H$175,(H110-$H$175)/($I$175-$H$175),"缺失"),"缺失")</x:f>
        <x:v>0.47023722061245893</x:v>
      </x:c>
      <x:c r="AA110" s="12" t="n">
        <x:f>IF(ISNUMBER(I110),IF($I$176&gt;$H$176,(I110-$H$176)/($I$176-$H$176),"缺失"),"缺失")</x:f>
        <x:v>0.9437231601163204</x:v>
      </x:c>
      <x:c r="AB110" s="12" t="n">
        <x:f>IF(ISNUMBER(J110),IF($I$177&gt;$H$177,(J110-$H$177)/($I$177-$H$177),"缺失"),"缺失")</x:f>
        <x:v>0.07403460399382512</x:v>
      </x:c>
      <x:c r="AC110" s="12" t="n">
        <x:f>IF(ISNUMBER(K110),IF($I$178&gt;$H$178,(K110-$H$178)/($I$178-$H$178),"缺失"),"缺失")</x:f>
        <x:v>0.09620424983695691</x:v>
      </x:c>
      <x:c r="AD110" s="12" t="n">
        <x:f>IF(ISNUMBER(L110),IF($I$179&gt;$H$179,(L110-$H$179)/($I$179-$H$179),"缺失"),"缺失")</x:f>
        <x:v>0.7829389815875872</x:v>
      </x:c>
      <x:c r="AE110" s="12" t="n">
        <x:f>IF(ISNUMBER(M110),IF($I$180&gt;$H$180,(M110-$H$180)/($I$180-$H$180),"缺失"),"缺失")</x:f>
        <x:v>0.783010773</x:v>
      </x:c>
      <x:c r="AF110" s="12" t="n">
        <x:f>IF(ISNUMBER(N110),IF($I$181&gt;$H$181,(N110-$H$181)/($I$181-$H$181),"缺失"),"缺失")</x:f>
        <x:v>0.015716180165407323</x:v>
      </x:c>
      <x:c r="AG110" s="12" t="n">
        <x:f>IF(ISNUMBER(O110),IF($I$182&gt;$H$182,(O110-$H$182)/($I$182-$H$182),"缺失"),"缺失")</x:f>
        <x:v>0.26668014557217956</x:v>
      </x:c>
      <x:c r="AH110" s="12" t="n">
        <x:f>IF(ISNUMBER(P110),IF($I$183&gt;$H$183,(P110-$H$183)/($I$183-$H$183),"缺失"),"缺失")</x:f>
        <x:v>0.6610625164585328</x:v>
      </x:c>
      <x:c r="AI110" s="12" t="n">
        <x:f>IF(ISNUMBER(Q110),IF($I$184&gt;$H$184,(Q110-$H$184)/($I$184-$H$184),"缺失"),"缺失")</x:f>
        <x:v>0.5841017225765087</x:v>
      </x:c>
      <x:c r="AJ110" s="12" t="n">
        <x:f>IF(ISNUMBER(R110),IF($I$185&gt;$H$185,(R110-$H$185)/($I$185-$H$185),"缺失"),"缺失")</x:f>
        <x:v>0.03641826060010982</x:v>
      </x:c>
      <x:c r="AK110" s="12" t="n">
        <x:f>IF(ISNUMBER(S110),IF($I$186&gt;$H$186,(S110-$H$186)/($I$186-$H$186),"缺失"),"缺失")</x:f>
        <x:v>0.014478309965855196</x:v>
      </x:c>
      <x:c r="AL110" s="12" t="n">
        <x:f>IF(ISNUMBER(T110),IF($I$187&gt;$H$187,(T110-$H$187)/($I$187-$H$187),"缺失"),"缺失")</x:f>
        <x:v>0</x:v>
      </x:c>
      <x:c r="AM110" s="12" t="n">
        <x:f>IF(ISNUMBER(U110),IF($I$188&gt;$H$188,(U110-$H$188)/($I$188-$H$188),"缺失"),"缺失")</x:f>
        <x:v>0</x:v>
      </x:c>
      <x:c r="AN110" s="12" t="n">
        <x:f>IF(ISNUMBER(V110),IF($I$189&gt;$H$189,(V110-$H$189)/($I$189-$H$189),"缺失"),"缺失")</x:f>
        <x:v>1</x:v>
      </x:c>
      <x:c r="AO110" s="23" t="str"/>
      <x:c r="AP110" s="23" t="str">
        <x:v>见指标口径：州级、产业、代表点代理；气候基期待核实</x:v>
      </x:c>
      <x:c r="AQ110" s="15" t="n">
        <x:v>1.0000000000000033</x:v>
      </x:c>
      <x:c r="AR110" s="15" t="n">
        <x:v>1.0000000000000033</x:v>
      </x:c>
      <x:c r="AS110" s="15" t="n">
        <x:v>1</x:v>
      </x:c>
      <x:c r="AT110" s="15" t="n">
        <x:v>1</x:v>
      </x:c>
    </x:row>
    <x:row r="111" ht="24" customHeight="1">
      <x:c r="A111" s="18" t="str">
        <x:v>13213</x:v>
      </x:c>
      <x:c r="B111" s="3" t="str">
        <x:v>Murray County</x:v>
      </x:c>
      <x:c r="C111" s="3" t="str">
        <x:v>GA</x:v>
      </x:c>
      <x:c r="D111" s="12" t="n">
        <x:v>892.23559</x:v>
      </x:c>
      <x:c r="E111" s="12" t="n">
        <x:v>0.703</x:v>
      </x:c>
      <x:c r="F111" s="12" t="n">
        <x:v>0.466584158415842</x:v>
      </x:c>
      <x:c r="G111" s="12" t="n">
        <x:v>2.5806215362076927</x:v>
      </x:c>
      <x:c r="H111" s="12" t="n">
        <x:v>2.390022019</x:v>
      </x:c>
      <x:c r="I111" s="12" t="n">
        <x:v>0.9159004955000506</x:v>
      </x:c>
      <x:c r="J111" s="12" t="n">
        <x:v>0.2535727224774215</x:v>
      </x:c>
      <x:c r="K111" s="12" t="n">
        <x:v>0.009402366265547578</x:v>
      </x:c>
      <x:c r="L111" s="24" t="n">
        <x:v>0.262658764</x:v>
      </x:c>
      <x:c r="M111" s="24" t="n">
        <x:v>0.262658764</x:v>
      </x:c>
      <x:c r="N111" s="13" t="n">
        <x:v>18764</x:v>
      </x:c>
      <x:c r="O111" s="12" t="n">
        <x:v>0.6847</x:v>
      </x:c>
      <x:c r="P111" s="12" t="n">
        <x:v>1278.9733968098958</x:v>
      </x:c>
      <x:c r="Q111" s="12" t="n">
        <x:v>26.08835620880127</x:v>
      </x:c>
      <x:c r="R111" s="12" t="n">
        <x:v>24.06720303255587</x:v>
      </x:c>
      <x:c r="S111" s="12" t="n">
        <x:v>2.9807312443146095</x:v>
      </x:c>
      <x:c r="T111" s="12" t="n">
        <x:v>72.1</x:v>
      </x:c>
      <x:c r="U111" s="12" t="n">
        <x:v>211.4154781728841</x:v>
      </x:c>
      <x:c r="V111" s="12" t="n">
        <x:v>325.42757789465</x:v>
      </x:c>
      <x:c r="W111" s="12" t="n">
        <x:f>IF(ISNUMBER(E111),IF($I$172&gt;$H$172,(E111-$H$172)/($I$172-$H$172),"缺失"),"缺失")</x:f>
        <x:v>0.7581018518518517</x:v>
      </x:c>
      <x:c r="X111" s="12" t="n">
        <x:f>IF(ISNUMBER(F111),IF($I$173&gt;$H$173,(F111-$H$173)/($I$173-$H$173),"缺失"),"缺失")</x:f>
        <x:v>0.46866141732283495</x:v>
      </x:c>
      <x:c r="Y111" s="12" t="n">
        <x:f>IF(ISNUMBER(G111),IF($I$174&gt;$H$174,(G111-$H$174)/($I$174-$H$174),"缺失"),"缺失")</x:f>
        <x:v>0.6784921472069599</x:v>
      </x:c>
      <x:c r="Z111" s="12" t="n">
        <x:f>IF(ISNUMBER(H111),IF($I$175&gt;$H$175,(H111-$H$175)/($I$175-$H$175),"缺失"),"缺失")</x:f>
        <x:v>0.5887802927235903</x:v>
      </x:c>
      <x:c r="AA111" s="12" t="n">
        <x:f>IF(ISNUMBER(I111),IF($I$176&gt;$H$176,(I111-$H$176)/($I$176-$H$176),"缺失"),"缺失")</x:f>
        <x:v>0.9189291389559137</x:v>
      </x:c>
      <x:c r="AB111" s="12" t="n">
        <x:f>IF(ISNUMBER(J111),IF($I$177&gt;$H$177,(J111-$H$177)/($I$177-$H$177),"缺失"),"缺失")</x:f>
        <x:v>0.6220123620017428</x:v>
      </x:c>
      <x:c r="AC111" s="12" t="n">
        <x:f>IF(ISNUMBER(K111),IF($I$178&gt;$H$178,(K111-$H$178)/($I$178-$H$178),"缺失"),"缺失")</x:f>
        <x:v>0.016164559863477243</x:v>
      </x:c>
      <x:c r="AD111" s="12" t="n">
        <x:f>IF(ISNUMBER(L111),IF($I$179&gt;$H$179,(L111-$H$179)/($I$179-$H$179),"缺失"),"缺失")</x:f>
        <x:v>0.26241481286245055</x:v>
      </x:c>
      <x:c r="AE111" s="12" t="n">
        <x:f>IF(ISNUMBER(M111),IF($I$180&gt;$H$180,(M111-$H$180)/($I$180-$H$180),"缺失"),"缺失")</x:f>
        <x:v>0.262658764</x:v>
      </x:c>
      <x:c r="AF111" s="12" t="n">
        <x:f>IF(ISNUMBER(N111),IF($I$181&gt;$H$181,(N111-$H$181)/($I$181-$H$181),"缺失"),"缺失")</x:f>
        <x:v>0.028068933175565927</x:v>
      </x:c>
      <x:c r="AG111" s="12" t="n">
        <x:f>IF(ISNUMBER(O111),IF($I$182&gt;$H$182,(O111-$H$182)/($I$182-$H$182),"缺失"),"缺失")</x:f>
        <x:v>0.6899514759401537</x:v>
      </x:c>
      <x:c r="AH111" s="12" t="n">
        <x:f>IF(ISNUMBER(P111),IF($I$183&gt;$H$183,(P111-$H$183)/($I$183-$H$183),"缺失"),"缺失")</x:f>
        <x:v>0.451296346008909</x:v>
      </x:c>
      <x:c r="AI111" s="12" t="n">
        <x:f>IF(ISNUMBER(Q111),IF($I$184&gt;$H$184,(Q111-$H$184)/($I$184-$H$184),"缺失"),"缺失")</x:f>
        <x:v>0.3028380262976563</x:v>
      </x:c>
      <x:c r="AJ111" s="12" t="n">
        <x:f>IF(ISNUMBER(R111),IF($I$185&gt;$H$185,(R111-$H$185)/($I$185-$H$185),"缺失"),"缺失")</x:f>
        <x:v>0.25139835953745177</x:v>
      </x:c>
      <x:c r="AK111" s="12" t="n">
        <x:f>IF(ISNUMBER(S111),IF($I$186&gt;$H$186,(S111-$H$186)/($I$186-$H$186),"缺失"),"缺失")</x:f>
        <x:v>0.058029417729101</x:v>
      </x:c>
      <x:c r="AL111" s="12" t="n">
        <x:f>IF(ISNUMBER(T111),IF($I$187&gt;$H$187,(T111-$H$187)/($I$187-$H$187),"缺失"),"缺失")</x:f>
        <x:v>0</x:v>
      </x:c>
      <x:c r="AM111" s="12" t="n">
        <x:f>IF(ISNUMBER(U111),IF($I$188&gt;$H$188,(U111-$H$188)/($I$188-$H$188),"缺失"),"缺失")</x:f>
        <x:v>0</x:v>
      </x:c>
      <x:c r="AN111" s="12" t="n">
        <x:f>IF(ISNUMBER(V111),IF($I$189&gt;$H$189,(V111-$H$189)/($I$189-$H$189),"缺失"),"缺失")</x:f>
        <x:v>1</x:v>
      </x:c>
      <x:c r="AO111" s="23" t="str"/>
      <x:c r="AP111" s="23" t="str">
        <x:v>见指标口径：州级、产业、代表点代理；气候基期待核实</x:v>
      </x:c>
      <x:c r="AQ111" s="15" t="n">
        <x:v>1.0000000000000029</x:v>
      </x:c>
      <x:c r="AR111" s="15" t="n">
        <x:v>1.0000000000000024</x:v>
      </x:c>
      <x:c r="AS111" s="15" t="n">
        <x:v>1</x:v>
      </x:c>
      <x:c r="AT111" s="15" t="n">
        <x:v>1</x:v>
      </x:c>
    </x:row>
    <x:row r="112" ht="24" customHeight="1">
      <x:c r="A112" s="18" t="str">
        <x:v>13215</x:v>
      </x:c>
      <x:c r="B112" s="3" t="str">
        <x:v>Muscogee County</x:v>
      </x:c>
      <x:c r="C112" s="3" t="str">
        <x:v>GA</x:v>
      </x:c>
      <x:c r="D112" s="12" t="n">
        <x:v>560.731677</x:v>
      </x:c>
      <x:c r="E112" s="12" t="n">
        <x:v>0.634</x:v>
      </x:c>
      <x:c r="F112" s="12" t="n">
        <x:v>0.337252475247525</x:v>
      </x:c>
      <x:c r="G112" s="12" t="n">
        <x:v>1.3409550252031035</x:v>
      </x:c>
      <x:c r="H112" s="12" t="n">
        <x:v>1.2435750964986774</x:v>
      </x:c>
      <x:c r="I112" s="12" t="n">
        <x:v>0.6191154460147484</x:v>
      </x:c>
      <x:c r="J112" s="12" t="n">
        <x:v>0.018990454608087667</x:v>
      </x:c>
      <x:c r="K112" s="12" t="n">
        <x:v>0.06923770680239409</x:v>
      </x:c>
      <x:c r="L112" s="24" t="n">
        <x:v>0.396200696</x:v>
      </x:c>
      <x:c r="M112" s="24" t="n">
        <x:v>0.374429621</x:v>
      </x:c>
      <x:c r="N112" s="13" t="n">
        <x:v>82276</x:v>
      </x:c>
      <x:c r="O112" s="12" t="n">
        <x:v>0.9446</x:v>
      </x:c>
      <x:c r="P112" s="12" t="n">
        <x:v>2095.515592447917</x:v>
      </x:c>
      <x:c r="Q112" s="12" t="n">
        <x:v>61.630753962198895</x:v>
      </x:c>
      <x:c r="R112" s="12" t="n">
        <x:v>6.674801394317607</x:v>
      </x:c>
      <x:c r="S112" s="12" t="n">
        <x:v>0.034015328476838046</x:v>
      </x:c>
      <x:c r="T112" s="12" t="n">
        <x:v>72.1</x:v>
      </x:c>
      <x:c r="U112" s="12" t="n">
        <x:v>211.4154781728841</x:v>
      </x:c>
      <x:c r="V112" s="12" t="n">
        <x:v>325.42757789465</x:v>
      </x:c>
      <x:c r="W112" s="12" t="n">
        <x:f>IF(ISNUMBER(E112),IF($I$172&gt;$H$172,(E112-$H$172)/($I$172-$H$172),"缺失"),"缺失")</x:f>
        <x:v>0.6782407407407407</x:v>
      </x:c>
      <x:c r="X112" s="12" t="n">
        <x:f>IF(ISNUMBER(F112),IF($I$173&gt;$H$173,(F112-$H$173)/($I$173-$H$173),"缺失"),"缺失")</x:f>
        <x:v>0.3370078740157482</x:v>
      </x:c>
      <x:c r="Y112" s="12" t="n">
        <x:f>IF(ISNUMBER(G112),IF($I$174&gt;$H$174,(G112-$H$174)/($I$174-$H$174),"缺失"),"缺失")</x:f>
        <x:v>0.35239666541784365</x:v>
      </x:c>
      <x:c r="Z112" s="12" t="n">
        <x:f>IF(ISNUMBER(H112),IF($I$175&gt;$H$175,(H112-$H$175)/($I$175-$H$175),"缺失"),"缺失")</x:f>
        <x:v>0.3061494079022431</x:v>
      </x:c>
      <x:c r="AA112" s="12" t="n">
        <x:f>IF(ISNUMBER(I112),IF($I$176&gt;$H$176,(I112-$H$176)/($I$176-$H$176),"缺失"),"缺失")</x:f>
        <x:v>0.60032256670718</x:v>
      </x:c>
      <x:c r="AB112" s="12" t="n">
        <x:f>IF(ISNUMBER(J112),IF($I$177&gt;$H$177,(J112-$H$177)/($I$177-$H$177),"缺失"),"缺失")</x:f>
        <x:v>0.04658347085150405</x:v>
      </x:c>
      <x:c r="AC112" s="12" t="n">
        <x:f>IF(ISNUMBER(K112),IF($I$178&gt;$H$178,(K112-$H$178)/($I$178-$H$178),"缺失"),"缺失")</x:f>
        <x:v>0.11903355227908735</x:v>
      </x:c>
      <x:c r="AD112" s="12" t="n">
        <x:f>IF(ISNUMBER(L112),IF($I$179&gt;$H$179,(L112-$H$179)/($I$179-$H$179),"缺失"),"缺失")</x:f>
        <x:v>0.3960009275347756</x:v>
      </x:c>
      <x:c r="AE112" s="12" t="n">
        <x:f>IF(ISNUMBER(M112),IF($I$180&gt;$H$180,(M112-$H$180)/($I$180-$H$180),"缺失"),"缺失")</x:f>
        <x:v>0.374429621</x:v>
      </x:c>
      <x:c r="AF112" s="12" t="n">
        <x:f>IF(ISNUMBER(N112),IF($I$181&gt;$H$181,(N112-$H$181)/($I$181-$H$181),"缺失"),"缺失")</x:f>
        <x:v>0.12669219517194474</x:v>
      </x:c>
      <x:c r="AG112" s="12" t="n">
        <x:f>IF(ISNUMBER(O112),IF($I$182&gt;$H$182,(O112-$H$182)/($I$182-$H$182),"缺失"),"缺失")</x:f>
        <x:v>0.952689041649818</x:v>
      </x:c>
      <x:c r="AH112" s="12" t="n">
        <x:f>IF(ISNUMBER(P112),IF($I$183&gt;$H$183,(P112-$H$183)/($I$183-$H$183),"缺失"),"缺失")</x:f>
        <x:v>0.8186227901724066</x:v>
      </x:c>
      <x:c r="AI112" s="12" t="n">
        <x:f>IF(ISNUMBER(Q112),IF($I$184&gt;$H$184,(Q112-$H$184)/($I$184-$H$184),"缺失"),"缺失")</x:f>
        <x:v>0.7205179122454481</x:v>
      </x:c>
      <x:c r="AJ112" s="12" t="n">
        <x:f>IF(ISNUMBER(R112),IF($I$185&gt;$H$185,(R112-$H$185)/($I$185-$H$185),"缺失"),"缺失")</x:f>
        <x:v>0.06863119852787238</x:v>
      </x:c>
      <x:c r="AK112" s="12" t="n">
        <x:f>IF(ISNUMBER(S112),IF($I$186&gt;$H$186,(S112-$H$186)/($I$186-$H$186),"缺失"),"缺失")</x:f>
        <x:v>0.0005046317962000128</x:v>
      </x:c>
      <x:c r="AL112" s="12" t="n">
        <x:f>IF(ISNUMBER(T112),IF($I$187&gt;$H$187,(T112-$H$187)/($I$187-$H$187),"缺失"),"缺失")</x:f>
        <x:v>0</x:v>
      </x:c>
      <x:c r="AM112" s="12" t="n">
        <x:f>IF(ISNUMBER(U112),IF($I$188&gt;$H$188,(U112-$H$188)/($I$188-$H$188),"缺失"),"缺失")</x:f>
        <x:v>0</x:v>
      </x:c>
      <x:c r="AN112" s="12" t="n">
        <x:f>IF(ISNUMBER(V112),IF($I$189&gt;$H$189,(V112-$H$189)/($I$189-$H$189),"缺失"),"缺失")</x:f>
        <x:v>1</x:v>
      </x:c>
      <x:c r="AO112" s="23" t="str"/>
      <x:c r="AP112" s="23" t="str">
        <x:v>见指标口径：州级、产业、代表点代理；气候基期待核实</x:v>
      </x:c>
      <x:c r="AQ112" s="15" t="n">
        <x:v>1.0000000000000018</x:v>
      </x:c>
      <x:c r="AR112" s="15" t="n">
        <x:v>1.0000000000000058</x:v>
      </x:c>
      <x:c r="AS112" s="15" t="n">
        <x:v>1</x:v>
      </x:c>
      <x:c r="AT112" s="15" t="n">
        <x:v>1</x:v>
      </x:c>
    </x:row>
    <x:row r="113" ht="24" customHeight="1">
      <x:c r="A113" s="18" t="str">
        <x:v>13217</x:v>
      </x:c>
      <x:c r="B113" s="3" t="str">
        <x:v>Newton County</x:v>
      </x:c>
      <x:c r="C113" s="3" t="str">
        <x:v>GA</x:v>
      </x:c>
      <x:c r="D113" s="12" t="n">
        <x:v>709.175872</x:v>
      </x:c>
      <x:c r="E113" s="12" t="n">
        <x:v>0.518</x:v>
      </x:c>
      <x:c r="F113" s="12" t="n">
        <x:v>0.357673267326733</x:v>
      </x:c>
      <x:c r="G113" s="12" t="n">
        <x:v>2.9261053811729116</x:v>
      </x:c>
      <x:c r="H113" s="12" t="n">
        <x:v>2.8144396245604733</x:v>
      </x:c>
      <x:c r="I113" s="12" t="n">
        <x:v>0.8099900729838281</x:v>
      </x:c>
      <x:c r="J113" s="12" t="n">
        <x:v>0.0025979599901955913</x:v>
      </x:c>
      <x:c r="K113" s="12" t="n">
        <x:v>0.05033908863913777</x:v>
      </x:c>
      <x:c r="L113" s="24" t="n">
        <x:v>0.457025435</x:v>
      </x:c>
      <x:c r="M113" s="24" t="n">
        <x:v>0.456606068</x:v>
      </x:c>
      <x:c r="N113" s="13" t="n">
        <x:v>60661</x:v>
      </x:c>
      <x:c r="O113" s="12" t="n">
        <x:v>0.6577</x:v>
      </x:c>
      <x:c r="P113" s="12" t="n">
        <x:v>1657.7520060221354</x:v>
      </x:c>
      <x:c r="Q113" s="12" t="n">
        <x:v>41.684600321451825</x:v>
      </x:c>
      <x:c r="R113" s="12" t="n">
        <x:v>6.415918901938913</x:v>
      </x:c>
      <x:c r="S113" s="12" t="n">
        <x:v>1.0865055242951953</x:v>
      </x:c>
      <x:c r="T113" s="12" t="n">
        <x:v>72.1</x:v>
      </x:c>
      <x:c r="U113" s="12" t="n">
        <x:v>211.4154781728841</x:v>
      </x:c>
      <x:c r="V113" s="12" t="n">
        <x:v>325.42757789465</x:v>
      </x:c>
      <x:c r="W113" s="12" t="n">
        <x:f>IF(ISNUMBER(E113),IF($I$172&gt;$H$172,(E113-$H$172)/($I$172-$H$172),"缺失"),"缺失")</x:f>
        <x:v>0.5439814814814815</x:v>
      </x:c>
      <x:c r="X113" s="12" t="n">
        <x:f>IF(ISNUMBER(F113),IF($I$173&gt;$H$173,(F113-$H$173)/($I$173-$H$173),"缺失"),"缺失")</x:f>
        <x:v>0.3577952755905514</x:v>
      </x:c>
      <x:c r="Y113" s="12" t="n">
        <x:f>IF(ISNUMBER(G113),IF($I$174&gt;$H$174,(G113-$H$174)/($I$174-$H$174),"缺失"),"缺失")</x:f>
        <x:v>0.7693720087456833</x:v>
      </x:c>
      <x:c r="Z113" s="12" t="n">
        <x:f>IF(ISNUMBER(H113),IF($I$175&gt;$H$175,(H113-$H$175)/($I$175-$H$175),"缺失"),"缺失")</x:f>
        <x:v>0.6934109747368483</x:v>
      </x:c>
      <x:c r="AA113" s="12" t="n">
        <x:f>IF(ISNUMBER(I113),IF($I$176&gt;$H$176,(I113-$H$176)/($I$176-$H$176),"缺失"),"缺失")</x:f>
        <x:v>0.8052315091668502</x:v>
      </x:c>
      <x:c r="AB113" s="12" t="n">
        <x:f>IF(ISNUMBER(J113),IF($I$177&gt;$H$177,(J113-$H$177)/($I$177-$H$177),"缺失"),"缺失")</x:f>
        <x:v>0.006372780219021674</x:v>
      </x:c>
      <x:c r="AC113" s="12" t="n">
        <x:f>IF(ISNUMBER(K113),IF($I$178&gt;$H$178,(K113-$H$178)/($I$178-$H$178),"缺失"),"缺失")</x:f>
        <x:v>0.08654302425569683</x:v>
      </x:c>
      <x:c r="AD113" s="12" t="n">
        <x:f>IF(ISNUMBER(L113),IF($I$179&gt;$H$179,(L113-$H$179)/($I$179-$H$179),"缺失"),"缺失")</x:f>
        <x:v>0.45684579054730295</x:v>
      </x:c>
      <x:c r="AE113" s="12" t="n">
        <x:f>IF(ISNUMBER(M113),IF($I$180&gt;$H$180,(M113-$H$180)/($I$180-$H$180),"缺失"),"缺失")</x:f>
        <x:v>0.456606068</x:v>
      </x:c>
      <x:c r="AF113" s="12" t="n">
        <x:f>IF(ISNUMBER(N113),IF($I$181&gt;$H$181,(N113-$H$181)/($I$181-$H$181),"缺失"),"缺失")</x:f>
        <x:v>0.09312780091492673</x:v>
      </x:c>
      <x:c r="AG113" s="12" t="n">
        <x:f>IF(ISNUMBER(O113),IF($I$182&gt;$H$182,(O113-$H$182)/($I$182-$H$182),"缺失"),"缺失")</x:f>
        <x:v>0.6626566922765871</x:v>
      </x:c>
      <x:c r="AH113" s="12" t="n">
        <x:f>IF(ISNUMBER(P113),IF($I$183&gt;$H$183,(P113-$H$183)/($I$183-$H$183),"缺失"),"缺失")</x:f>
        <x:v>0.6216921937561414</x:v>
      </x:c>
      <x:c r="AI113" s="12" t="n">
        <x:f>IF(ISNUMBER(Q113),IF($I$184&gt;$H$184,(Q113-$H$184)/($I$184-$H$184),"缺失"),"缺失")</x:f>
        <x:v>0.48611878038136425</x:v>
      </x:c>
      <x:c r="AJ113" s="12" t="n">
        <x:f>IF(ISNUMBER(R113),IF($I$185&gt;$H$185,(R113-$H$185)/($I$185-$H$185),"缺失"),"缺失")</x:f>
        <x:v>0.0659107451280893</x:v>
      </x:c>
      <x:c r="AK113" s="12" t="n">
        <x:f>IF(ISNUMBER(S113),IF($I$186&gt;$H$186,(S113-$H$186)/($I$186-$H$186),"缺失"),"缺失")</x:f>
        <x:v>0.021050987447764374</x:v>
      </x:c>
      <x:c r="AL113" s="12" t="n">
        <x:f>IF(ISNUMBER(T113),IF($I$187&gt;$H$187,(T113-$H$187)/($I$187-$H$187),"缺失"),"缺失")</x:f>
        <x:v>0</x:v>
      </x:c>
      <x:c r="AM113" s="12" t="n">
        <x:f>IF(ISNUMBER(U113),IF($I$188&gt;$H$188,(U113-$H$188)/($I$188-$H$188),"缺失"),"缺失")</x:f>
        <x:v>0</x:v>
      </x:c>
      <x:c r="AN113" s="12" t="n">
        <x:f>IF(ISNUMBER(V113),IF($I$189&gt;$H$189,(V113-$H$189)/($I$189-$H$189),"缺失"),"缺失")</x:f>
        <x:v>1</x:v>
      </x:c>
      <x:c r="AO113" s="23" t="str"/>
      <x:c r="AP113" s="23" t="str">
        <x:v>见指标口径：州级、产业、代表点代理；气候基期待核实</x:v>
      </x:c>
      <x:c r="AQ113" s="15" t="n">
        <x:v>1.0000000000000004</x:v>
      </x:c>
      <x:c r="AR113" s="15" t="n">
        <x:v>1.0000000000000004</x:v>
      </x:c>
      <x:c r="AS113" s="15" t="n">
        <x:v>1</x:v>
      </x:c>
      <x:c r="AT113" s="15" t="n">
        <x:v>1</x:v>
      </x:c>
    </x:row>
    <x:row r="114" ht="24" customHeight="1">
      <x:c r="A114" s="18" t="str">
        <x:v>13219</x:v>
      </x:c>
      <x:c r="B114" s="3" t="str">
        <x:v>Oconee County</x:v>
      </x:c>
      <x:c r="C114" s="3" t="str">
        <x:v>GA</x:v>
      </x:c>
      <x:c r="D114" s="12" t="n">
        <x:v>477.461794</x:v>
      </x:c>
      <x:c r="E114" s="12" t="n">
        <x:v>0.549</x:v>
      </x:c>
      <x:c r="F114" s="12" t="n">
        <x:v>0.475556930693069</x:v>
      </x:c>
      <x:c r="G114" s="12" t="n">
        <x:v>2.101601868026963</x:v>
      </x:c>
      <x:c r="H114" s="12" t="n">
        <x:v>1.909171031</x:v>
      </x:c>
      <x:c r="I114" s="12" t="n">
        <x:v>0.8690940085385335</x:v>
      </x:c>
      <x:c r="J114" s="12" t="n">
        <x:v>0.00343132769063377</x:v>
      </x:c>
      <x:c r="K114" s="12" t="n">
        <x:v>0.03547875432994715</x:v>
      </x:c>
      <x:c r="L114" s="24" t="n">
        <x:v>0.466140587</x:v>
      </x:c>
      <x:c r="M114" s="24" t="n">
        <x:v>0.466140587</x:v>
      </x:c>
      <x:c r="N114" s="13" t="n">
        <x:v>22037</x:v>
      </x:c>
      <x:c r="O114" s="12" t="n">
        <x:v>0.0137</x:v>
      </x:c>
      <x:c r="P114" s="12" t="n">
        <x:v>1699.5707194010415</x:v>
      </x:c>
      <x:c r="Q114" s="12" t="n">
        <x:v>47.44086545308431</x:v>
      </x:c>
      <x:c r="R114" s="12" t="n">
        <x:v>29.82803575541123</x:v>
      </x:c>
      <x:c r="S114" s="12" t="n">
        <x:v>0.7934414410860876</x:v>
      </x:c>
      <x:c r="T114" s="12" t="n">
        <x:v>72.1</x:v>
      </x:c>
      <x:c r="U114" s="12" t="n">
        <x:v>211.4154781728841</x:v>
      </x:c>
      <x:c r="V114" s="12" t="n">
        <x:v>325.42757789465</x:v>
      </x:c>
      <x:c r="W114" s="12" t="n">
        <x:f>IF(ISNUMBER(E114),IF($I$172&gt;$H$172,(E114-$H$172)/($I$172-$H$172),"缺失"),"缺失")</x:f>
        <x:v>0.5798611111111112</x:v>
      </x:c>
      <x:c r="X114" s="12" t="n">
        <x:f>IF(ISNUMBER(F114),IF($I$173&gt;$H$173,(F114-$H$173)/($I$173-$H$173),"缺失"),"缺失")</x:f>
        <x:v>0.47779527559055074</x:v>
      </x:c>
      <x:c r="Y114" s="12" t="n">
        <x:f>IF(ISNUMBER(G114),IF($I$174&gt;$H$174,(G114-$H$174)/($I$174-$H$174),"缺失"),"缺失")</x:f>
        <x:v>0.5524855574546298</x:v>
      </x:c>
      <x:c r="Z114" s="12" t="n">
        <x:f>IF(ISNUMBER(H114),IF($I$175&gt;$H$175,(H114-$H$175)/($I$175-$H$175),"缺失"),"缺失")</x:f>
        <x:v>0.47023722061245893</x:v>
      </x:c>
      <x:c r="AA114" s="12" t="n">
        <x:f>IF(ISNUMBER(I114),IF($I$176&gt;$H$176,(I114-$H$176)/($I$176-$H$176),"缺失"),"缺失")</x:f>
        <x:v>0.8686811416404271</x:v>
      </x:c>
      <x:c r="AB114" s="12" t="n">
        <x:f>IF(ISNUMBER(J114),IF($I$177&gt;$H$177,(J114-$H$177)/($I$177-$H$177),"缺失"),"缺失")</x:f>
        <x:v>0.008417026172218268</x:v>
      </x:c>
      <x:c r="AC114" s="12" t="n">
        <x:f>IF(ISNUMBER(K114),IF($I$178&gt;$H$178,(K114-$H$178)/($I$178-$H$178),"缺失"),"缺失")</x:f>
        <x:v>0.060995118893577116</x:v>
      </x:c>
      <x:c r="AD114" s="12" t="n">
        <x:f>IF(ISNUMBER(L114),IF($I$179&gt;$H$179,(L114-$H$179)/($I$179-$H$179),"缺失"),"缺失")</x:f>
        <x:v>0.4659639583174658</x:v>
      </x:c>
      <x:c r="AE114" s="12" t="n">
        <x:f>IF(ISNUMBER(M114),IF($I$180&gt;$H$180,(M114-$H$180)/($I$180-$H$180),"缺失"),"缺失")</x:f>
        <x:v>0.466140587</x:v>
      </x:c>
      <x:c r="AF114" s="12" t="n">
        <x:f>IF(ISNUMBER(N114),IF($I$181&gt;$H$181,(N114-$H$181)/($I$181-$H$181),"缺失"),"缺失")</x:f>
        <x:v>0.03315134179935589</x:v>
      </x:c>
      <x:c r="AG114" s="12" t="n">
        <x:f>IF(ISNUMBER(O114),IF($I$182&gt;$H$182,(O114-$H$182)/($I$182-$H$182),"缺失"),"缺失")</x:f>
        <x:v>0.011625556004852405</x:v>
      </x:c>
      <x:c r="AH114" s="12" t="n">
        <x:f>IF(ISNUMBER(P114),IF($I$183&gt;$H$183,(P114-$H$183)/($I$183-$H$183),"缺失"),"缺失")</x:f>
        <x:v>0.6405045948384435</x:v>
      </x:c>
      <x:c r="AI114" s="12" t="n">
        <x:f>IF(ISNUMBER(Q114),IF($I$184&gt;$H$184,(Q114-$H$184)/($I$184-$H$184),"缺失"),"缺失")</x:f>
        <x:v>0.5537640805197229</x:v>
      </x:c>
      <x:c r="AJ114" s="12" t="n">
        <x:f>IF(ISNUMBER(R114),IF($I$185&gt;$H$185,(R114-$H$185)/($I$185-$H$185),"缺失"),"缺失")</x:f>
        <x:v>0.3119357748816624</x:v>
      </x:c>
      <x:c r="AK114" s="12" t="n">
        <x:f>IF(ISNUMBER(S114),IF($I$186&gt;$H$186,(S114-$H$186)/($I$186-$H$186),"缺失"),"缺失")</x:f>
        <x:v>0.015329890086252063</x:v>
      </x:c>
      <x:c r="AL114" s="12" t="n">
        <x:f>IF(ISNUMBER(T114),IF($I$187&gt;$H$187,(T114-$H$187)/($I$187-$H$187),"缺失"),"缺失")</x:f>
        <x:v>0</x:v>
      </x:c>
      <x:c r="AM114" s="12" t="n">
        <x:f>IF(ISNUMBER(U114),IF($I$188&gt;$H$188,(U114-$H$188)/($I$188-$H$188),"缺失"),"缺失")</x:f>
        <x:v>0</x:v>
      </x:c>
      <x:c r="AN114" s="12" t="n">
        <x:f>IF(ISNUMBER(V114),IF($I$189&gt;$H$189,(V114-$H$189)/($I$189-$H$189),"缺失"),"缺失")</x:f>
        <x:v>1</x:v>
      </x:c>
      <x:c r="AO114" s="23" t="str"/>
      <x:c r="AP114" s="23" t="str">
        <x:v>见指标口径：州级、产业、代表点代理；气候基期待核实</x:v>
      </x:c>
      <x:c r="AQ114" s="15" t="n">
        <x:v>0.9999999999999996</x:v>
      </x:c>
      <x:c r="AR114" s="15" t="n">
        <x:v>0.9999999999999996</x:v>
      </x:c>
      <x:c r="AS114" s="15" t="n">
        <x:v>1</x:v>
      </x:c>
      <x:c r="AT114" s="15" t="n">
        <x:v>1</x:v>
      </x:c>
    </x:row>
    <x:row r="115" ht="24" customHeight="1">
      <x:c r="A115" s="18" t="str">
        <x:v>13221</x:v>
      </x:c>
      <x:c r="B115" s="3" t="str">
        <x:v>Oglethorpe County</x:v>
      </x:c>
      <x:c r="C115" s="3" t="str">
        <x:v>GA</x:v>
      </x:c>
      <x:c r="D115" s="12" t="n">
        <x:v>1137.165329</x:v>
      </x:c>
      <x:c r="E115" s="12" t="n">
        <x:v>0.62</x:v>
      </x:c>
      <x:c r="F115" s="12" t="n">
        <x:v>0.231126237623762</x:v>
      </x:c>
      <x:c r="G115" s="12" t="n">
        <x:v>2.777591918550559</x:v>
      </x:c>
      <x:c r="H115" s="12" t="n">
        <x:v>2.5818681881595804</x:v>
      </x:c>
      <x:c r="I115" s="12" t="n">
        <x:v>0.9629404233122046</x:v>
      </x:c>
      <x:c r="J115" s="12" t="n">
        <x:v>0.015709406736905334</x:v>
      </x:c>
      <x:c r="K115" s="12" t="n">
        <x:v>0.05106223226846656</x:v>
      </x:c>
      <x:c r="L115" s="24" t="n">
        <x:v>0.672501026</x:v>
      </x:c>
      <x:c r="M115" s="24" t="n">
        <x:v>0.672501026</x:v>
      </x:c>
      <x:c r="N115" s="13" t="n">
        <x:v>7699</x:v>
      </x:c>
      <x:c r="O115" s="12" t="n">
        <x:v>0.4645</x:v>
      </x:c>
      <x:c r="P115" s="12" t="n">
        <x:v>1662.53603515625</x:v>
      </x:c>
      <x:c r="Q115" s="12" t="n">
        <x:v>44.86394640604655</x:v>
      </x:c>
      <x:c r="R115" s="12" t="n">
        <x:v>35.177474825817654</x:v>
      </x:c>
      <x:c r="S115" s="12" t="n">
        <x:v>19.38577212895769</x:v>
      </x:c>
      <x:c r="T115" s="12" t="n">
        <x:v>72.1</x:v>
      </x:c>
      <x:c r="U115" s="12" t="n">
        <x:v>211.4154781728841</x:v>
      </x:c>
      <x:c r="V115" s="12" t="n">
        <x:v>325.42757789465</x:v>
      </x:c>
      <x:c r="W115" s="12" t="n">
        <x:f>IF(ISNUMBER(E115),IF($I$172&gt;$H$172,(E115-$H$172)/($I$172-$H$172),"缺失"),"缺失")</x:f>
        <x:v>0.662037037037037</x:v>
      </x:c>
      <x:c r="X115" s="12" t="n">
        <x:f>IF(ISNUMBER(F115),IF($I$173&gt;$H$173,(F115-$H$173)/($I$173-$H$173),"缺失"),"缺失")</x:f>
        <x:v>0.22897637795275547</x:v>
      </x:c>
      <x:c r="Y115" s="12" t="n">
        <x:f>IF(ISNUMBER(G115),IF($I$174&gt;$H$174,(G115-$H$174)/($I$174-$H$174),"缺失"),"缺失")</x:f>
        <x:v>0.730305397914388</x:v>
      </x:c>
      <x:c r="Z115" s="12" t="n">
        <x:f>IF(ISNUMBER(H115),IF($I$175&gt;$H$175,(H115-$H$175)/($I$175-$H$175),"缺失"),"缺失")</x:f>
        <x:v>0.6360756811754665</x:v>
      </x:c>
      <x:c r="AA115" s="12" t="n">
        <x:f>IF(ISNUMBER(I115),IF($I$176&gt;$H$176,(I115-$H$176)/($I$176-$H$176),"缺失"),"缺失")</x:f>
        <x:v>0.9694277411767795</x:v>
      </x:c>
      <x:c r="AB115" s="12" t="n">
        <x:f>IF(ISNUMBER(J115),IF($I$177&gt;$H$177,(J115-$H$177)/($I$177-$H$177),"缺失"),"缺失")</x:f>
        <x:v>0.03853508017187709</x:v>
      </x:c>
      <x:c r="AC115" s="12" t="n">
        <x:f>IF(ISNUMBER(K115),IF($I$178&gt;$H$178,(K115-$H$178)/($I$178-$H$178),"缺失"),"缺失")</x:f>
        <x:v>0.08778625368922888</x:v>
      </x:c>
      <x:c r="AD115" s="12" t="n">
        <x:f>IF(ISNUMBER(L115),IF($I$179&gt;$H$179,(L115-$H$179)/($I$179-$H$179),"缺失"),"缺失")</x:f>
        <x:v>0.6723926721695713</x:v>
      </x:c>
      <x:c r="AE115" s="12" t="n">
        <x:f>IF(ISNUMBER(M115),IF($I$180&gt;$H$180,(M115-$H$180)/($I$180-$H$180),"缺失"),"缺失")</x:f>
        <x:v>0.672501026</x:v>
      </x:c>
      <x:c r="AF115" s="12" t="n">
        <x:f>IF(ISNUMBER(N115),IF($I$181&gt;$H$181,(N115-$H$181)/($I$181-$H$181),"缺失"),"缺失")</x:f>
        <x:v>0.01088688263409453</x:v>
      </x:c>
      <x:c r="AG115" s="12" t="n">
        <x:f>IF(ISNUMBER(O115),IF($I$182&gt;$H$182,(O115-$H$182)/($I$182-$H$182),"缺失"),"缺失")</x:f>
        <x:v>0.4673473513950668</x:v>
      </x:c>
      <x:c r="AH115" s="12" t="n">
        <x:f>IF(ISNUMBER(P115),IF($I$183&gt;$H$183,(P115-$H$183)/($I$183-$H$183),"缺失"),"缺失")</x:f>
        <x:v>0.6238443181901221</x:v>
      </x:c>
      <x:c r="AI115" s="12" t="n">
        <x:f>IF(ISNUMBER(Q115),IF($I$184&gt;$H$184,(Q115-$H$184)/($I$184-$H$184),"缺失"),"缺失")</x:f>
        <x:v>0.5234811699200707</x:v>
      </x:c>
      <x:c r="AJ115" s="12" t="n">
        <x:f>IF(ISNUMBER(R115),IF($I$185&gt;$H$185,(R115-$H$185)/($I$185-$H$185),"缺失"),"缺失")</x:f>
        <x:v>0.36815008111883946</x:v>
      </x:c>
      <x:c r="AK115" s="12" t="n">
        <x:f>IF(ISNUMBER(S115),IF($I$186&gt;$H$186,(S115-$H$186)/($I$186-$H$186),"缺失"),"缺失")</x:f>
        <x:v>0.3782830465358272</x:v>
      </x:c>
      <x:c r="AL115" s="12" t="n">
        <x:f>IF(ISNUMBER(T115),IF($I$187&gt;$H$187,(T115-$H$187)/($I$187-$H$187),"缺失"),"缺失")</x:f>
        <x:v>0</x:v>
      </x:c>
      <x:c r="AM115" s="12" t="n">
        <x:f>IF(ISNUMBER(U115),IF($I$188&gt;$H$188,(U115-$H$188)/($I$188-$H$188),"缺失"),"缺失")</x:f>
        <x:v>0</x:v>
      </x:c>
      <x:c r="AN115" s="12" t="n">
        <x:f>IF(ISNUMBER(V115),IF($I$189&gt;$H$189,(V115-$H$189)/($I$189-$H$189),"缺失"),"缺失")</x:f>
        <x:v>1</x:v>
      </x:c>
      <x:c r="AO115" s="23" t="str"/>
      <x:c r="AP115" s="23" t="str">
        <x:v>见指标口径：州级、产业、代表点代理；气候基期待核实</x:v>
      </x:c>
      <x:c r="AQ115" s="15" t="n">
        <x:v>1.0000000000000058</x:v>
      </x:c>
      <x:c r="AR115" s="15" t="n">
        <x:v>1.0000000000000056</x:v>
      </x:c>
      <x:c r="AS115" s="15" t="n">
        <x:v>1</x:v>
      </x:c>
      <x:c r="AT115" s="15" t="n">
        <x:v>1</x:v>
      </x:c>
    </x:row>
    <x:row r="116" ht="24" customHeight="1">
      <x:c r="A116" s="18" t="str">
        <x:v>13223</x:v>
      </x:c>
      <x:c r="B116" s="3" t="str">
        <x:v>Paulding County</x:v>
      </x:c>
      <x:c r="C116" s="3" t="str">
        <x:v>GA</x:v>
      </x:c>
      <x:c r="D116" s="12" t="n">
        <x:v>809.073023</x:v>
      </x:c>
      <x:c r="E116" s="12" t="n">
        <x:v>0.763</x:v>
      </x:c>
      <x:c r="F116" s="12" t="n">
        <x:v>0.512066831683168</x:v>
      </x:c>
      <x:c r="G116" s="12" t="n">
        <x:v>3.246521394805304</x:v>
      </x:c>
      <x:c r="H116" s="12" t="n">
        <x:v>2.9893402295230613</x:v>
      </x:c>
      <x:c r="I116" s="12" t="n">
        <x:v>0.7880741032645601</x:v>
      </x:c>
      <x:c r="J116" s="12" t="n">
        <x:v>0.14512198075270688</x:v>
      </x:c>
      <x:c r="K116" s="12" t="n">
        <x:v>0.020973735241797412</x:v>
      </x:c>
      <x:c r="L116" s="24" t="n">
        <x:v>0.716395758</x:v>
      </x:c>
      <x:c r="M116" s="24" t="n">
        <x:v>0.715343824</x:v>
      </x:c>
      <x:c r="N116" s="13" t="n">
        <x:v>92748</x:v>
      </x:c>
      <x:c r="O116" s="12" t="n">
        <x:v>0.1429</x:v>
      </x:c>
      <x:c r="P116" s="12" t="n">
        <x:v>1378.0279663085937</x:v>
      </x:c>
      <x:c r="Q116" s="12" t="n">
        <x:v>31.20554370880127</x:v>
      </x:c>
      <x:c r="R116" s="12" t="n">
        <x:v>21.972778627639855</x:v>
      </x:c>
      <x:c r="S116" s="12" t="n">
        <x:v>0.6280822849567391</x:v>
      </x:c>
      <x:c r="T116" s="12" t="n">
        <x:v>72.1</x:v>
      </x:c>
      <x:c r="U116" s="12" t="n">
        <x:v>211.4154781728841</x:v>
      </x:c>
      <x:c r="V116" s="12" t="n">
        <x:v>325.42757789465</x:v>
      </x:c>
      <x:c r="W116" s="12" t="n">
        <x:f>IF(ISNUMBER(E116),IF($I$172&gt;$H$172,(E116-$H$172)/($I$172-$H$172),"缺失"),"缺失")</x:f>
        <x:v>0.8275462962962963</x:v>
      </x:c>
      <x:c r="X116" s="12" t="n">
        <x:f>IF(ISNUMBER(F116),IF($I$173&gt;$H$173,(F116-$H$173)/($I$173-$H$173),"缺失"),"缺失")</x:f>
        <x:v>0.5149606299212595</x:v>
      </x:c>
      <x:c r="Y116" s="12" t="n">
        <x:f>IF(ISNUMBER(G116),IF($I$174&gt;$H$174,(G116-$H$174)/($I$174-$H$174),"缺失"),"缺失")</x:f>
        <x:v>0.8536577528638579</x:v>
      </x:c>
      <x:c r="Z116" s="12" t="n">
        <x:f>IF(ISNUMBER(H116),IF($I$175&gt;$H$175,(H116-$H$175)/($I$175-$H$175),"缺失"),"缺失")</x:f>
        <x:v>0.7365288127860042</x:v>
      </x:c>
      <x:c r="AA116" s="12" t="n">
        <x:f>IF(ISNUMBER(I116),IF($I$176&gt;$H$176,(I116-$H$176)/($I$176-$H$176),"缺失"),"缺失")</x:f>
        <x:v>0.7817041380884467</x:v>
      </x:c>
      <x:c r="AB116" s="12" t="n">
        <x:f>IF(ISNUMBER(J116),IF($I$177&gt;$H$177,(J116-$H$177)/($I$177-$H$177),"缺失"),"缺失")</x:f>
        <x:v>0.35598334530797265</x:v>
      </x:c>
      <x:c r="AC116" s="12" t="n">
        <x:f>IF(ISNUMBER(K116),IF($I$178&gt;$H$178,(K116-$H$178)/($I$178-$H$178),"缺失"),"缺失")</x:f>
        <x:v>0.0360580719046273</x:v>
      </x:c>
      <x:c r="AD116" s="12" t="n">
        <x:f>IF(ISNUMBER(L116),IF($I$179&gt;$H$179,(L116-$H$179)/($I$179-$H$179),"缺失"),"缺失")</x:f>
        <x:v>0.7163019268481915</x:v>
      </x:c>
      <x:c r="AE116" s="12" t="n">
        <x:f>IF(ISNUMBER(M116),IF($I$180&gt;$H$180,(M116-$H$180)/($I$180-$H$180),"缺失"),"缺失")</x:f>
        <x:v>0.715343824</x:v>
      </x:c>
      <x:c r="AF116" s="12" t="n">
        <x:f>IF(ISNUMBER(N116),IF($I$181&gt;$H$181,(N116-$H$181)/($I$181-$H$181),"缺失"),"缺失")</x:f>
        <x:v>0.14295341824201147</x:v>
      </x:c>
      <x:c r="AG116" s="12" t="n">
        <x:f>IF(ISNUMBER(O116),IF($I$182&gt;$H$182,(O116-$H$182)/($I$182-$H$182),"缺失"),"缺失")</x:f>
        <x:v>0.1422361504245855</x:v>
      </x:c>
      <x:c r="AH116" s="12" t="n">
        <x:f>IF(ISNUMBER(P116),IF($I$183&gt;$H$183,(P116-$H$183)/($I$183-$H$183),"缺失"),"缺失")</x:f>
        <x:v>0.49585664305966004</x:v>
      </x:c>
      <x:c r="AI116" s="12" t="n">
        <x:f>IF(ISNUMBER(Q116),IF($I$184&gt;$H$184,(Q116-$H$184)/($I$184-$H$184),"缺失"),"缺失")</x:f>
        <x:v>0.3629731445359623</x:v>
      </x:c>
      <x:c r="AJ116" s="12" t="n">
        <x:f>IF(ISNUMBER(R116),IF($I$185&gt;$H$185,(R116-$H$185)/($I$185-$H$185),"缺失"),"缺失")</x:f>
        <x:v>0.22938920804717763</x:v>
      </x:c>
      <x:c r="AK116" s="12" t="n">
        <x:f>IF(ISNUMBER(S116),IF($I$186&gt;$H$186,(S116-$H$186)/($I$186-$H$186),"缺失"),"缺失")</x:f>
        <x:v>0.012101804878831746</x:v>
      </x:c>
      <x:c r="AL116" s="12" t="n">
        <x:f>IF(ISNUMBER(T116),IF($I$187&gt;$H$187,(T116-$H$187)/($I$187-$H$187),"缺失"),"缺失")</x:f>
        <x:v>0</x:v>
      </x:c>
      <x:c r="AM116" s="12" t="n">
        <x:f>IF(ISNUMBER(U116),IF($I$188&gt;$H$188,(U116-$H$188)/($I$188-$H$188),"缺失"),"缺失")</x:f>
        <x:v>0</x:v>
      </x:c>
      <x:c r="AN116" s="12" t="n">
        <x:f>IF(ISNUMBER(V116),IF($I$189&gt;$H$189,(V116-$H$189)/($I$189-$H$189),"缺失"),"缺失")</x:f>
        <x:v>1</x:v>
      </x:c>
      <x:c r="AO116" s="23" t="str"/>
      <x:c r="AP116" s="23" t="str">
        <x:v>见指标口径：州级、产业、代表点代理；气候基期待核实</x:v>
      </x:c>
      <x:c r="AQ116" s="15" t="n">
        <x:v>0.9999999999999997</x:v>
      </x:c>
      <x:c r="AR116" s="15" t="n">
        <x:v>0.9999999999999996</x:v>
      </x:c>
      <x:c r="AS116" s="15" t="n">
        <x:v>1</x:v>
      </x:c>
      <x:c r="AT116" s="15" t="n">
        <x:v>1</x:v>
      </x:c>
    </x:row>
    <x:row r="117" ht="24" customHeight="1">
      <x:c r="A117" s="18" t="str">
        <x:v>13225</x:v>
      </x:c>
      <x:c r="B117" s="3" t="str">
        <x:v>Peach County</x:v>
      </x:c>
      <x:c r="C117" s="3" t="str">
        <x:v>GA</x:v>
      </x:c>
      <x:c r="D117" s="12" t="n">
        <x:v>389.233786</x:v>
      </x:c>
      <x:c r="E117" s="12" t="n">
        <x:v>0.502</x:v>
      </x:c>
      <x:c r="F117" s="12" t="n">
        <x:v>0.0631188118811881</x:v>
      </x:c>
      <x:c r="G117" s="12" t="n">
        <x:v>2.5076309612627012</x:v>
      </x:c>
      <x:c r="H117" s="12" t="n">
        <x:v>2.3892944120492245</x:v>
      </x:c>
      <x:c r="I117" s="12" t="n">
        <x:v>0.850098128071547</x:v>
      </x:c>
      <x:c r="J117" s="12" t="n">
        <x:v>0.0017148249906340537</x:v>
      </x:c>
      <x:c r="K117" s="12" t="n">
        <x:v>0.0800821923494697</x:v>
      </x:c>
      <x:c r="L117" s="24" t="n">
        <x:v>0.518898605</x:v>
      </x:c>
      <x:c r="M117" s="24" t="n">
        <x:v>0.518898605</x:v>
      </x:c>
      <x:c r="N117" s="13" t="n">
        <x:v>12744</x:v>
      </x:c>
      <x:c r="O117" s="12" t="n">
        <x:v>0.8772</x:v>
      </x:c>
      <x:c r="P117" s="12" t="n">
        <x:v>1936.285196940104</x:v>
      </x:c>
      <x:c r="Q117" s="12" t="n">
        <x:v>60.32554295857747</x:v>
      </x:c>
      <x:c r="R117" s="12" t="n">
        <x:v>8.26188643269699</x:v>
      </x:c>
      <x:c r="S117" s="12" t="n">
        <x:v>0.8170309207204787</x:v>
      </x:c>
      <x:c r="T117" s="12" t="n">
        <x:v>72.1</x:v>
      </x:c>
      <x:c r="U117" s="12" t="n">
        <x:v>211.4154781728841</x:v>
      </x:c>
      <x:c r="V117" s="12" t="n">
        <x:v>325.42757789465</x:v>
      </x:c>
      <x:c r="W117" s="12" t="n">
        <x:f>IF(ISNUMBER(E117),IF($I$172&gt;$H$172,(E117-$H$172)/($I$172-$H$172),"缺失"),"缺失")</x:f>
        <x:v>0.525462962962963</x:v>
      </x:c>
      <x:c r="X117" s="12" t="n">
        <x:f>IF(ISNUMBER(F117),IF($I$173&gt;$H$173,(F117-$H$173)/($I$173-$H$173),"缺失"),"缺失")</x:f>
        <x:v>0.05795275590551178</x:v>
      </x:c>
      <x:c r="Y117" s="12" t="n">
        <x:f>IF(ISNUMBER(G117),IF($I$174&gt;$H$174,(G117-$H$174)/($I$174-$H$174),"缺失"),"缺失")</x:f>
        <x:v>0.6592919054552785</x:v>
      </x:c>
      <x:c r="Z117" s="12" t="n">
        <x:f>IF(ISNUMBER(H117),IF($I$175&gt;$H$175,(H117-$H$175)/($I$175-$H$175),"缺失"),"缺失")</x:f>
        <x:v>0.5886009174797272</x:v>
      </x:c>
      <x:c r="AA117" s="12" t="n">
        <x:f>IF(ISNUMBER(I117),IF($I$176&gt;$H$176,(I117-$H$176)/($I$176-$H$176),"缺失"),"缺失")</x:f>
        <x:v>0.8482885633318862</x:v>
      </x:c>
      <x:c r="AB117" s="12" t="n">
        <x:f>IF(ISNUMBER(J117),IF($I$177&gt;$H$177,(J117-$H$177)/($I$177-$H$177),"缺失"),"缺失")</x:f>
        <x:v>0.004206455380621154</x:v>
      </x:c>
      <x:c r="AC117" s="12" t="n">
        <x:f>IF(ISNUMBER(K117),IF($I$178&gt;$H$178,(K117-$H$178)/($I$178-$H$178),"缺失"),"缺失")</x:f>
        <x:v>0.1376774054181257</x:v>
      </x:c>
      <x:c r="AD117" s="12" t="n">
        <x:f>IF(ISNUMBER(L117),IF($I$179&gt;$H$179,(L117-$H$179)/($I$179-$H$179),"缺失"),"缺失")</x:f>
        <x:v>0.5187394314357713</x:v>
      </x:c>
      <x:c r="AE117" s="12" t="n">
        <x:f>IF(ISNUMBER(M117),IF($I$180&gt;$H$180,(M117-$H$180)/($I$180-$H$180),"缺失"),"缺失")</x:f>
        <x:v>0.518898605</x:v>
      </x:c>
      <x:c r="AF117" s="12" t="n">
        <x:f>IF(ISNUMBER(N117),IF($I$181&gt;$H$181,(N117-$H$181)/($I$181-$H$181),"缺失"),"缺失")</x:f>
        <x:v>0.01872090387058104</x:v>
      </x:c>
      <x:c r="AG117" s="12" t="n">
        <x:f>IF(ISNUMBER(O117),IF($I$182&gt;$H$182,(O117-$H$182)/($I$182-$H$182),"缺失"),"缺失")</x:f>
        <x:v>0.8845531742822483</x:v>
      </x:c>
      <x:c r="AH117" s="12" t="n">
        <x:f>IF(ISNUMBER(P117),IF($I$183&gt;$H$183,(P117-$H$183)/($I$183-$H$183),"缺失"),"缺失")</x:f>
        <x:v>0.7469920339211263</x:v>
      </x:c>
      <x:c r="AI117" s="12" t="n">
        <x:f>IF(ISNUMBER(Q117),IF($I$184&gt;$H$184,(Q117-$H$184)/($I$184-$H$184),"缺失"),"缺失")</x:f>
        <x:v>0.7051796003253333</x:v>
      </x:c>
      <x:c r="AJ117" s="12" t="n">
        <x:f>IF(ISNUMBER(R117),IF($I$185&gt;$H$185,(R117-$H$185)/($I$185-$H$185),"缺失"),"缺失")</x:f>
        <x:v>0.08530900029319322</x:v>
      </x:c>
      <x:c r="AK117" s="12" t="n">
        <x:f>IF(ISNUMBER(S117),IF($I$186&gt;$H$186,(S117-$H$186)/($I$186-$H$186),"缺失"),"缺失")</x:f>
        <x:v>0.015790395884908624</x:v>
      </x:c>
      <x:c r="AL117" s="12" t="n">
        <x:f>IF(ISNUMBER(T117),IF($I$187&gt;$H$187,(T117-$H$187)/($I$187-$H$187),"缺失"),"缺失")</x:f>
        <x:v>0</x:v>
      </x:c>
      <x:c r="AM117" s="12" t="n">
        <x:f>IF(ISNUMBER(U117),IF($I$188&gt;$H$188,(U117-$H$188)/($I$188-$H$188),"缺失"),"缺失")</x:f>
        <x:v>0</x:v>
      </x:c>
      <x:c r="AN117" s="12" t="n">
        <x:f>IF(ISNUMBER(V117),IF($I$189&gt;$H$189,(V117-$H$189)/($I$189-$H$189),"缺失"),"缺失")</x:f>
        <x:v>1</x:v>
      </x:c>
      <x:c r="AO117" s="23" t="str"/>
      <x:c r="AP117" s="23" t="str">
        <x:v>见指标口径：州级、产业、代表点代理；气候基期待核实</x:v>
      </x:c>
      <x:c r="AQ117" s="15" t="n">
        <x:v>1.0000000000000009</x:v>
      </x:c>
      <x:c r="AR117" s="15" t="n">
        <x:v>1.000000000000001</x:v>
      </x:c>
      <x:c r="AS117" s="15" t="n">
        <x:v>1</x:v>
      </x:c>
      <x:c r="AT117" s="15" t="n">
        <x:v>1</x:v>
      </x:c>
    </x:row>
    <x:row r="118" ht="24" customHeight="1">
      <x:c r="A118" s="18" t="str">
        <x:v>13227</x:v>
      </x:c>
      <x:c r="B118" s="3" t="str">
        <x:v>Pickens County</x:v>
      </x:c>
      <x:c r="C118" s="3" t="str">
        <x:v>GA</x:v>
      </x:c>
      <x:c r="D118" s="12" t="n">
        <x:v>601.019205</x:v>
      </x:c>
      <x:c r="E118" s="12" t="n">
        <x:v>0.648</x:v>
      </x:c>
      <x:c r="F118" s="12" t="n">
        <x:v>0.47772277227722804</x:v>
      </x:c>
      <x:c r="G118" s="12" t="n">
        <x:v>3.163578048863413</x:v>
      </x:c>
      <x:c r="H118" s="12" t="n">
        <x:v>2.919069811715713</x:v>
      </x:c>
      <x:c r="I118" s="12" t="n">
        <x:v>0.9186147121231434</x:v>
      </x:c>
      <x:c r="J118" s="12" t="n">
        <x:v>0.005835269889679342</x:v>
      </x:c>
      <x:c r="K118" s="12" t="n">
        <x:v>0.0017109909801833955</x:v>
      </x:c>
      <x:c r="L118" s="24" t="n">
        <x:v>0.351704092</x:v>
      </x:c>
      <x:c r="M118" s="24" t="n">
        <x:v>0.34623276</x:v>
      </x:c>
      <x:c r="N118" s="13" t="n">
        <x:v>17498</x:v>
      </x:c>
      <x:c r="O118" s="12" t="n">
        <x:v>0.3392</x:v>
      </x:c>
      <x:c r="P118" s="12" t="n">
        <x:v>1143.3486246744792</x:v>
      </x:c>
      <x:c r="Q118" s="12" t="n">
        <x:v>15.30830036799113</x:v>
      </x:c>
      <x:c r="R118" s="12" t="n">
        <x:v>12.21235496127308</x:v>
      </x:c>
      <x:c r="S118" s="12" t="n">
        <x:v>4.821266349399607</x:v>
      </x:c>
      <x:c r="T118" s="12" t="n">
        <x:v>72.1</x:v>
      </x:c>
      <x:c r="U118" s="12" t="n">
        <x:v>211.4154781728841</x:v>
      </x:c>
      <x:c r="V118" s="12" t="n">
        <x:v>325.42757789465</x:v>
      </x:c>
      <x:c r="W118" s="12" t="n">
        <x:f>IF(ISNUMBER(E118),IF($I$172&gt;$H$172,(E118-$H$172)/($I$172-$H$172),"缺失"),"缺失")</x:f>
        <x:v>0.6944444444444444</x:v>
      </x:c>
      <x:c r="X118" s="12" t="n">
        <x:f>IF(ISNUMBER(F118),IF($I$173&gt;$H$173,(F118-$H$173)/($I$173-$H$173),"缺失"),"缺失")</x:f>
        <x:v>0.4800000000000002</x:v>
      </x:c>
      <x:c r="Y118" s="12" t="n">
        <x:f>IF(ISNUMBER(G118),IF($I$174&gt;$H$174,(G118-$H$174)/($I$174-$H$174),"缺失"),"缺失")</x:f>
        <x:v>0.8318394250184088</x:v>
      </x:c>
      <x:c r="Z118" s="12" t="n">
        <x:f>IF(ISNUMBER(H118),IF($I$175&gt;$H$175,(H118-$H$175)/($I$175-$H$175),"缺失"),"缺失")</x:f>
        <x:v>0.7192052106445943</x:v>
      </x:c>
      <x:c r="AA118" s="12" t="n">
        <x:f>IF(ISNUMBER(I118),IF($I$176&gt;$H$176,(I118-$H$176)/($I$176-$H$176),"缺失"),"缺失")</x:f>
        <x:v>0.9218429220326685</x:v>
      </x:c>
      <x:c r="AB118" s="12" t="n">
        <x:f>IF(ISNUMBER(J118),IF($I$177&gt;$H$177,(J118-$H$177)/($I$177-$H$177),"缺失"),"缺失")</x:f>
        <x:v>0.014313881917327612</x:v>
      </x:c>
      <x:c r="AC118" s="12" t="n">
        <x:f>IF(ISNUMBER(K118),IF($I$178&gt;$H$178,(K118-$H$178)/($I$178-$H$178),"缺失"),"缺失")</x:f>
        <x:v>0.002941537836745119</x:v>
      </x:c>
      <x:c r="AD118" s="12" t="n">
        <x:f>IF(ISNUMBER(L118),IF($I$179&gt;$H$179,(L118-$H$179)/($I$179-$H$179),"缺失"),"缺失")</x:f>
        <x:v>0.35148960172534344</x:v>
      </x:c>
      <x:c r="AE118" s="12" t="n">
        <x:f>IF(ISNUMBER(M118),IF($I$180&gt;$H$180,(M118-$H$180)/($I$180-$H$180),"缺失"),"缺失")</x:f>
        <x:v>0.34623276</x:v>
      </x:c>
      <x:c r="AF118" s="12" t="n">
        <x:f>IF(ISNUMBER(N118),IF($I$181&gt;$H$181,(N118-$H$181)/($I$181-$H$181),"缺失"),"缺失")</x:f>
        <x:v>0.026103051929700336</x:v>
      </x:c>
      <x:c r="AG118" s="12" t="n">
        <x:f>IF(ISNUMBER(O118),IF($I$182&gt;$H$182,(O118-$H$182)/($I$182-$H$182),"缺失"),"缺失")</x:f>
        <x:v>0.3406793368378488</x:v>
      </x:c>
      <x:c r="AH118" s="12" t="n">
        <x:f>IF(ISNUMBER(P118),IF($I$183&gt;$H$183,(P118-$H$183)/($I$183-$H$183),"缺失"),"缺失")</x:f>
        <x:v>0.39028472216984883</x:v>
      </x:c>
      <x:c r="AI118" s="12" t="n">
        <x:f>IF(ISNUMBER(Q118),IF($I$184&gt;$H$184,(Q118-$H$184)/($I$184-$H$184),"缺失"),"缺失")</x:f>
        <x:v>0.1761551692394269</x:v>
      </x:c>
      <x:c r="AJ118" s="12" t="n">
        <x:f>IF(ISNUMBER(R118),IF($I$185&gt;$H$185,(R118-$H$185)/($I$185-$H$185),"缺失"),"缺失")</x:f>
        <x:v>0.1268222963085144</x:v>
      </x:c>
      <x:c r="AK118" s="12" t="n">
        <x:f>IF(ISNUMBER(S118),IF($I$186&gt;$H$186,(S118-$H$186)/($I$186-$H$186),"缺失"),"缺失")</x:f>
        <x:v>0.09395971808582965</x:v>
      </x:c>
      <x:c r="AL118" s="12" t="n">
        <x:f>IF(ISNUMBER(T118),IF($I$187&gt;$H$187,(T118-$H$187)/($I$187-$H$187),"缺失"),"缺失")</x:f>
        <x:v>0</x:v>
      </x:c>
      <x:c r="AM118" s="12" t="n">
        <x:f>IF(ISNUMBER(U118),IF($I$188&gt;$H$188,(U118-$H$188)/($I$188-$H$188),"缺失"),"缺失")</x:f>
        <x:v>0</x:v>
      </x:c>
      <x:c r="AN118" s="12" t="n">
        <x:f>IF(ISNUMBER(V118),IF($I$189&gt;$H$189,(V118-$H$189)/($I$189-$H$189),"缺失"),"缺失")</x:f>
        <x:v>1</x:v>
      </x:c>
      <x:c r="AO118" s="23" t="str"/>
      <x:c r="AP118" s="23" t="str">
        <x:v>见指标口径：州级、产业、代表点代理；气候基期待核实</x:v>
      </x:c>
      <x:c r="AQ118" s="15" t="n">
        <x:v>1.0000000000000027</x:v>
      </x:c>
      <x:c r="AR118" s="15" t="n">
        <x:v>1.0000000000000027</x:v>
      </x:c>
      <x:c r="AS118" s="15" t="n">
        <x:v>1</x:v>
      </x:c>
      <x:c r="AT118" s="15" t="n">
        <x:v>1</x:v>
      </x:c>
    </x:row>
    <x:row r="119" ht="24" customHeight="1">
      <x:c r="A119" s="18" t="str">
        <x:v>13229</x:v>
      </x:c>
      <x:c r="B119" s="3" t="str">
        <x:v>Pierce County</x:v>
      </x:c>
      <x:c r="C119" s="3" t="str">
        <x:v>GA</x:v>
      </x:c>
      <x:c r="D119" s="12" t="n">
        <x:v>881.797573</x:v>
      </x:c>
      <x:c r="E119" s="12" t="n">
        <x:v>0.557</x:v>
      </x:c>
      <x:c r="F119" s="12" t="n">
        <x:v>0.240717821782178</x:v>
      </x:c>
      <x:c r="G119" s="12" t="n">
        <x:v>1.2482862615613577</x:v>
      </x:c>
      <x:c r="H119" s="12" t="n">
        <x:v>1.165489541</x:v>
      </x:c>
      <x:c r="I119" s="12" t="n">
        <x:v>0.9176152819018236</x:v>
      </x:c>
      <x:c r="J119" s="12" t="n">
        <x:v>0.03643699552002979</x:v>
      </x:c>
      <x:c r="K119" s="12" t="n">
        <x:v>0.3298030823135847</x:v>
      </x:c>
      <x:c r="L119" s="24" t="n">
        <x:v>0.712324493</x:v>
      </x:c>
      <x:c r="M119" s="24" t="n">
        <x:v>0.712324493</x:v>
      </x:c>
      <x:c r="N119" s="13" t="n">
        <x:v>8064</x:v>
      </x:c>
      <x:c r="O119" s="12" t="n">
        <x:v>0.3051</x:v>
      </x:c>
      <x:c r="P119" s="12" t="n">
        <x:v>2249.590087890625</x:v>
      </x:c>
      <x:c r="Q119" s="12" t="n">
        <x:v>80.12437006632487</x:v>
      </x:c>
      <x:c r="R119" s="12" t="n">
        <x:v>63.38914694049585</x:v>
      </x:c>
      <x:c r="S119" s="12" t="n">
        <x:v>2.150694928607896</x:v>
      </x:c>
      <x:c r="T119" s="12" t="n">
        <x:v>72.1</x:v>
      </x:c>
      <x:c r="U119" s="12" t="n">
        <x:v>211.4154781728841</x:v>
      </x:c>
      <x:c r="V119" s="12" t="n">
        <x:v>325.42757789465</x:v>
      </x:c>
      <x:c r="W119" s="12" t="n">
        <x:f>IF(ISNUMBER(E119),IF($I$172&gt;$H$172,(E119-$H$172)/($I$172-$H$172),"缺失"),"缺失")</x:f>
        <x:v>0.5891203703703703</x:v>
      </x:c>
      <x:c r="X119" s="12" t="n">
        <x:f>IF(ISNUMBER(F119),IF($I$173&gt;$H$173,(F119-$H$173)/($I$173-$H$173),"缺失"),"缺失")</x:f>
        <x:v>0.23874015748031466</x:v>
      </x:c>
      <x:c r="Y119" s="12" t="n">
        <x:f>IF(ISNUMBER(G119),IF($I$174&gt;$H$174,(G119-$H$174)/($I$174-$H$174),"缺失"),"缺失")</x:f>
        <x:v>0.3280200569846059</x:v>
      </x:c>
      <x:c r="Z119" s="12" t="n">
        <x:f>IF(ISNUMBER(H119),IF($I$175&gt;$H$175,(H119-$H$175)/($I$175-$H$175),"缺失"),"缺失")</x:f>
        <x:v>0.28689915810070277</x:v>
      </x:c>
      <x:c r="AA119" s="12" t="n">
        <x:f>IF(ISNUMBER(I119),IF($I$176&gt;$H$176,(I119-$H$176)/($I$176-$H$176),"缺失"),"缺失")</x:f>
        <x:v>0.9207700073505822</x:v>
      </x:c>
      <x:c r="AB119" s="12" t="n">
        <x:f>IF(ISNUMBER(J119),IF($I$177&gt;$H$177,(J119-$H$177)/($I$177-$H$177),"缺失"),"缺失")</x:f>
        <x:v>0.08937973069906488</x:v>
      </x:c>
      <x:c r="AC119" s="12" t="n">
        <x:f>IF(ISNUMBER(K119),IF($I$178&gt;$H$178,(K119-$H$178)/($I$178-$H$178),"缺失"),"缺失")</x:f>
        <x:v>0.5669978723070705</x:v>
      </x:c>
      <x:c r="AD119" s="12" t="n">
        <x:f>IF(ISNUMBER(L119),IF($I$179&gt;$H$179,(L119-$H$179)/($I$179-$H$179),"缺失"),"缺失")</x:f>
        <x:v>0.7122293148602848</x:v>
      </x:c>
      <x:c r="AE119" s="12" t="n">
        <x:f>IF(ISNUMBER(M119),IF($I$180&gt;$H$180,(M119-$H$180)/($I$180-$H$180),"缺失"),"缺失")</x:f>
        <x:v>0.712324493</x:v>
      </x:c>
      <x:c r="AF119" s="12" t="n">
        <x:f>IF(ISNUMBER(N119),IF($I$181&gt;$H$181,(N119-$H$181)/($I$181-$H$181),"缺失"),"缺失")</x:f>
        <x:v>0.011453665141788796</x:v>
      </x:c>
      <x:c r="AG119" s="12" t="n">
        <x:f>IF(ISNUMBER(O119),IF($I$182&gt;$H$182,(O119-$H$182)/($I$182-$H$182),"缺失"),"缺失")</x:f>
        <x:v>0.3062070359886777</x:v>
      </x:c>
      <x:c r="AH119" s="12" t="n">
        <x:f>IF(ISNUMBER(P119),IF($I$183&gt;$H$183,(P119-$H$183)/($I$183-$H$183),"缺失"),"缺失")</x:f>
        <x:v>0.8879341336027763</x:v>
      </x:c>
      <x:c r="AI119" s="12" t="n">
        <x:f>IF(ISNUMBER(Q119),IF($I$184&gt;$H$184,(Q119-$H$184)/($I$184-$H$184),"缺失"),"缺失")</x:f>
        <x:v>0.9378474103487432</x:v>
      </x:c>
      <x:c r="AJ119" s="12" t="n">
        <x:f>IF(ISNUMBER(R119),IF($I$185&gt;$H$185,(R119-$H$185)/($I$185-$H$185),"缺失"),"缺失")</x:f>
        <x:v>0.6646109912899052</x:v>
      </x:c>
      <x:c r="AK119" s="12" t="n">
        <x:f>IF(ISNUMBER(S119),IF($I$186&gt;$H$186,(S119-$H$186)/($I$186-$H$186),"缺失"),"缺失")</x:f>
        <x:v>0.041825731068662435</x:v>
      </x:c>
      <x:c r="AL119" s="12" t="n">
        <x:f>IF(ISNUMBER(T119),IF($I$187&gt;$H$187,(T119-$H$187)/($I$187-$H$187),"缺失"),"缺失")</x:f>
        <x:v>0</x:v>
      </x:c>
      <x:c r="AM119" s="12" t="n">
        <x:f>IF(ISNUMBER(U119),IF($I$188&gt;$H$188,(U119-$H$188)/($I$188-$H$188),"缺失"),"缺失")</x:f>
        <x:v>0</x:v>
      </x:c>
      <x:c r="AN119" s="12" t="n">
        <x:f>IF(ISNUMBER(V119),IF($I$189&gt;$H$189,(V119-$H$189)/($I$189-$H$189),"缺失"),"缺失")</x:f>
        <x:v>1</x:v>
      </x:c>
      <x:c r="AO119" s="23" t="str"/>
      <x:c r="AP119" s="23" t="str">
        <x:v>见指标口径：州级、产业、代表点代理；气候基期待核实</x:v>
      </x:c>
      <x:c r="AQ119" s="15" t="n">
        <x:v>0.9999999999999982</x:v>
      </x:c>
      <x:c r="AR119" s="15" t="n">
        <x:v>0.9999999999999982</x:v>
      </x:c>
      <x:c r="AS119" s="15" t="n">
        <x:v>1</x:v>
      </x:c>
      <x:c r="AT119" s="15" t="n">
        <x:v>1</x:v>
      </x:c>
    </x:row>
    <x:row r="120" ht="24" customHeight="1">
      <x:c r="A120" s="18" t="str">
        <x:v>13231</x:v>
      </x:c>
      <x:c r="B120" s="3" t="str">
        <x:v>Pike County</x:v>
      </x:c>
      <x:c r="C120" s="3" t="str">
        <x:v>GA</x:v>
      </x:c>
      <x:c r="D120" s="12" t="n">
        <x:v>559.660486</x:v>
      </x:c>
      <x:c r="E120" s="12" t="n">
        <x:v>0.674</x:v>
      </x:c>
      <x:c r="F120" s="12" t="n">
        <x:v>0.26825495049504905</x:v>
      </x:c>
      <x:c r="G120" s="12" t="n">
        <x:v>1.1652933984148754</x:v>
      </x:c>
      <x:c r="H120" s="12" t="n">
        <x:v>1.134330805</x:v>
      </x:c>
      <x:c r="I120" s="12" t="n">
        <x:v>0.9374906400212563</x:v>
      </x:c>
      <x:c r="J120" s="12" t="n">
        <x:v>0.0004416973459282789</x:v>
      </x:c>
      <x:c r="K120" s="12" t="n">
        <x:v>0.07610206201338175</x:v>
      </x:c>
      <x:c r="L120" s="24" t="n">
        <x:v>0.664111922</x:v>
      </x:c>
      <x:c r="M120" s="24" t="n">
        <x:v>0.664111922</x:v>
      </x:c>
      <x:c r="N120" s="13" t="n">
        <x:v>9550</x:v>
      </x:c>
      <x:c r="O120" s="12" t="n">
        <x:v>0.0665</x:v>
      </x:c>
      <x:c r="P120" s="12" t="n">
        <x:v>1677.4362019856771</x:v>
      </x:c>
      <x:c r="Q120" s="12" t="n">
        <x:v>42.29377161661784</x:v>
      </x:c>
      <x:c r="R120" s="12" t="n">
        <x:v>33.28517049099839</x:v>
      </x:c>
      <x:c r="S120" s="12" t="n">
        <x:v>16.105095763596044</x:v>
      </x:c>
      <x:c r="T120" s="12" t="n">
        <x:v>72.1</x:v>
      </x:c>
      <x:c r="U120" s="12" t="n">
        <x:v>211.4154781728841</x:v>
      </x:c>
      <x:c r="V120" s="12" t="n">
        <x:v>325.42757789465</x:v>
      </x:c>
      <x:c r="W120" s="12" t="n">
        <x:f>IF(ISNUMBER(E120),IF($I$172&gt;$H$172,(E120-$H$172)/($I$172-$H$172),"缺失"),"缺失")</x:f>
        <x:v>0.7245370370370371</x:v>
      </x:c>
      <x:c r="X120" s="12" t="n">
        <x:f>IF(ISNUMBER(F120),IF($I$173&gt;$H$173,(F120-$H$173)/($I$173-$H$173),"缺失"),"缺失")</x:f>
        <x:v>0.26677165354330656</x:v>
      </x:c>
      <x:c r="Y120" s="12" t="n">
        <x:f>IF(ISNUMBER(G120),IF($I$174&gt;$H$174,(G120-$H$174)/($I$174-$H$174),"缺失"),"缺失")</x:f>
        <x:v>0.3061887035903138</x:v>
      </x:c>
      <x:c r="Z120" s="12" t="n">
        <x:f>IF(ISNUMBER(H120),IF($I$175&gt;$H$175,(H120-$H$175)/($I$175-$H$175),"缺失"),"缺失")</x:f>
        <x:v>0.27921766761671174</x:v>
      </x:c>
      <x:c r="AA120" s="12" t="n">
        <x:f>IF(ISNUMBER(I120),IF($I$176&gt;$H$176,(I120-$H$176)/($I$176-$H$176),"缺失"),"缺失")</x:f>
        <x:v>0.9421067280972318</x:v>
      </x:c>
      <x:c r="AB120" s="12" t="n">
        <x:f>IF(ISNUMBER(J120),IF($I$177&gt;$H$177,(J120-$H$177)/($I$177-$H$177),"缺失"),"缺失")</x:f>
        <x:v>0.0010834809310185682</x:v>
      </x:c>
      <x:c r="AC120" s="12" t="n">
        <x:f>IF(ISNUMBER(K120),IF($I$178&gt;$H$178,(K120-$H$178)/($I$178-$H$178),"缺失"),"缺失")</x:f>
        <x:v>0.13083476035781985</x:v>
      </x:c>
      <x:c r="AD120" s="12" t="n">
        <x:f>IF(ISNUMBER(L120),IF($I$179&gt;$H$179,(L120-$H$179)/($I$179-$H$179),"缺失"),"缺失")</x:f>
        <x:v>0.6640007926141516</x:v>
      </x:c>
      <x:c r="AE120" s="12" t="n">
        <x:f>IF(ISNUMBER(M120),IF($I$180&gt;$H$180,(M120-$H$180)/($I$180-$H$180),"缺失"),"缺失")</x:f>
        <x:v>0.664111922</x:v>
      </x:c>
      <x:c r="AF120" s="12" t="n">
        <x:f>IF(ISNUMBER(N120),IF($I$181&gt;$H$181,(N120-$H$181)/($I$181-$H$181),"缺失"),"缺失")</x:f>
        <x:v>0.013761168721059154</x:v>
      </x:c>
      <x:c r="AG120" s="12" t="n">
        <x:f>IF(ISNUMBER(O120),IF($I$182&gt;$H$182,(O120-$H$182)/($I$182-$H$182),"缺失"),"缺失")</x:f>
        <x:v>0.06500202183582694</x:v>
      </x:c>
      <x:c r="AH120" s="12" t="n">
        <x:f>IF(ISNUMBER(P120),IF($I$183&gt;$H$183,(P120-$H$183)/($I$183-$H$183),"缺失"),"缺失")</x:f>
        <x:v>0.6305472483364567</x:v>
      </x:c>
      <x:c r="AI120" s="12" t="n">
        <x:f>IF(ISNUMBER(Q120),IF($I$184&gt;$H$184,(Q120-$H$184)/($I$184-$H$184),"缺失"),"缺失")</x:f>
        <x:v>0.49327751510863194</x:v>
      </x:c>
      <x:c r="AJ120" s="12" t="n">
        <x:f>IF(ISNUMBER(R120),IF($I$185&gt;$H$185,(R120-$H$185)/($I$185-$H$185),"缺失"),"缺失")</x:f>
        <x:v>0.3482648980236732</x:v>
      </x:c>
      <x:c r="AK120" s="12" t="n">
        <x:f>IF(ISNUMBER(S120),IF($I$186&gt;$H$186,(S120-$H$186)/($I$186-$H$186),"缺失"),"缺失")</x:f>
        <x:v>0.3142387982870435</x:v>
      </x:c>
      <x:c r="AL120" s="12" t="n">
        <x:f>IF(ISNUMBER(T120),IF($I$187&gt;$H$187,(T120-$H$187)/($I$187-$H$187),"缺失"),"缺失")</x:f>
        <x:v>0</x:v>
      </x:c>
      <x:c r="AM120" s="12" t="n">
        <x:f>IF(ISNUMBER(U120),IF($I$188&gt;$H$188,(U120-$H$188)/($I$188-$H$188),"缺失"),"缺失")</x:f>
        <x:v>0</x:v>
      </x:c>
      <x:c r="AN120" s="12" t="n">
        <x:f>IF(ISNUMBER(V120),IF($I$189&gt;$H$189,(V120-$H$189)/($I$189-$H$189),"缺失"),"缺失")</x:f>
        <x:v>1</x:v>
      </x:c>
      <x:c r="AO120" s="23" t="str"/>
      <x:c r="AP120" s="23" t="str">
        <x:v>见指标口径：州级、产业、代表点代理；气候基期待核实</x:v>
      </x:c>
      <x:c r="AQ120" s="15" t="n">
        <x:v>0.9999999999999998</x:v>
      </x:c>
      <x:c r="AR120" s="15" t="n">
        <x:v>0.9999999999999998</x:v>
      </x:c>
      <x:c r="AS120" s="15" t="n">
        <x:v>1</x:v>
      </x:c>
      <x:c r="AT120" s="15" t="n">
        <x:v>1</x:v>
      </x:c>
    </x:row>
    <x:row r="121" ht="24" customHeight="1">
      <x:c r="A121" s="18" t="str">
        <x:v>13233</x:v>
      </x:c>
      <x:c r="B121" s="3" t="str">
        <x:v>Polk County</x:v>
      </x:c>
      <x:c r="C121" s="3" t="str">
        <x:v>GA</x:v>
      </x:c>
      <x:c r="D121" s="12" t="n">
        <x:v>803.776466</x:v>
      </x:c>
      <x:c r="E121" s="12" t="n">
        <x:v>0.818</x:v>
      </x:c>
      <x:c r="F121" s="12" t="n">
        <x:v>0.620977722772277</x:v>
      </x:c>
      <x:c r="G121" s="12" t="n">
        <x:v>2.49546726030852</x:v>
      </x:c>
      <x:c r="H121" s="12" t="n">
        <x:v>2.1748152258987026</x:v>
      </x:c>
      <x:c r="I121" s="12" t="n">
        <x:v>0.9015867941884236</x:v>
      </x:c>
      <x:c r="J121" s="12" t="n">
        <x:v>0.03009382093128655</x:v>
      </x:c>
      <x:c r="K121" s="12" t="n">
        <x:v>0.006215512067213816</x:v>
      </x:c>
      <x:c r="L121" s="24" t="n">
        <x:v>0.316907303</x:v>
      </x:c>
      <x:c r="M121" s="24" t="n">
        <x:v>0.316802678</x:v>
      </x:c>
      <x:c r="N121" s="13" t="n">
        <x:v>19651</x:v>
      </x:c>
      <x:c r="O121" s="12" t="n">
        <x:v>0.8285</x:v>
      </x:c>
      <x:c r="P121" s="12" t="n">
        <x:v>1385.3029174804688</x:v>
      </x:c>
      <x:c r="Q121" s="12" t="n">
        <x:v>31.893498611450195</x:v>
      </x:c>
      <x:c r="R121" s="12" t="n">
        <x:v>33.99531817727886</x:v>
      </x:c>
      <x:c r="S121" s="12" t="n">
        <x:v>0.7514882433402954</x:v>
      </x:c>
      <x:c r="T121" s="12" t="n">
        <x:v>72.1</x:v>
      </x:c>
      <x:c r="U121" s="12" t="n">
        <x:v>211.4154781728841</x:v>
      </x:c>
      <x:c r="V121" s="12" t="n">
        <x:v>325.42757789465</x:v>
      </x:c>
      <x:c r="W121" s="12" t="n">
        <x:f>IF(ISNUMBER(E121),IF($I$172&gt;$H$172,(E121-$H$172)/($I$172-$H$172),"缺失"),"缺失")</x:f>
        <x:v>0.8912037037037036</x:v>
      </x:c>
      <x:c r="X121" s="12" t="n">
        <x:f>IF(ISNUMBER(F121),IF($I$173&gt;$H$173,(F121-$H$173)/($I$173-$H$173),"缺失"),"缺失")</x:f>
        <x:v>0.625826771653543</x:v>
      </x:c>
      <x:c r="Y121" s="12" t="n">
        <x:f>IF(ISNUMBER(G121),IF($I$174&gt;$H$174,(G121-$H$174)/($I$174-$H$174),"缺失"),"缺失")</x:f>
        <x:v>0.656092232085238</x:v>
      </x:c>
      <x:c r="Z121" s="12" t="n">
        <x:f>IF(ISNUMBER(H121),IF($I$175&gt;$H$175,(H121-$H$175)/($I$175-$H$175),"缺失"),"缺失")</x:f>
        <x:v>0.5357258641582643</x:v>
      </x:c>
      <x:c r="AA121" s="12" t="n">
        <x:f>IF(ISNUMBER(I121),IF($I$176&gt;$H$176,(I121-$H$176)/($I$176-$H$176),"缺失"),"缺失")</x:f>
        <x:v>0.9035630033672154</x:v>
      </x:c>
      <x:c r="AB121" s="12" t="n">
        <x:f>IF(ISNUMBER(J121),IF($I$177&gt;$H$177,(J121-$H$177)/($I$177-$H$177),"缺失"),"缺失")</x:f>
        <x:v>0.07381996161197417</x:v>
      </x:c>
      <x:c r="AC121" s="12" t="n">
        <x:f>IF(ISNUMBER(K121),IF($I$178&gt;$H$178,(K121-$H$178)/($I$178-$H$178),"缺失"),"缺失")</x:f>
        <x:v>0.01068571613305384</x:v>
      </x:c>
      <x:c r="AD121" s="12" t="n">
        <x:f>IF(ISNUMBER(L121),IF($I$179&gt;$H$179,(L121-$H$179)/($I$179-$H$179),"缺失"),"缺失")</x:f>
        <x:v>0.31668130012324663</x:v>
      </x:c>
      <x:c r="AE121" s="12" t="n">
        <x:f>IF(ISNUMBER(M121),IF($I$180&gt;$H$180,(M121-$H$180)/($I$180-$H$180),"缺失"),"缺失")</x:f>
        <x:v>0.316802678</x:v>
      </x:c>
      <x:c r="AF121" s="12" t="n">
        <x:f>IF(ISNUMBER(N121),IF($I$181&gt;$H$181,(N121-$H$181)/($I$181-$H$181),"缺失"),"缺失")</x:f>
        <x:v>0.029446292310702407</x:v>
      </x:c>
      <x:c r="AG121" s="12" t="n">
        <x:f>IF(ISNUMBER(O121),IF($I$182&gt;$H$182,(O121-$H$182)/($I$182-$H$182),"缺失"),"缺失")</x:f>
        <x:v>0.8353214718964821</x:v>
      </x:c>
      <x:c r="AH121" s="12" t="n">
        <x:f>IF(ISNUMBER(P121),IF($I$183&gt;$H$183,(P121-$H$183)/($I$183-$H$183),"缺失"),"缺失")</x:f>
        <x:v>0.4991293238343994</x:v>
      </x:c>
      <x:c r="AI121" s="12" t="n">
        <x:f>IF(ISNUMBER(Q121),IF($I$184&gt;$H$184,(Q121-$H$184)/($I$184-$H$184),"缺失"),"缺失")</x:f>
        <x:v>0.3710577123602633</x:v>
      </x:c>
      <x:c r="AJ121" s="12" t="n">
        <x:f>IF(ISNUMBER(R121),IF($I$185&gt;$H$185,(R121-$H$185)/($I$185-$H$185),"缺失"),"缺失")</x:f>
        <x:v>0.35572744857986827</x:v>
      </x:c>
      <x:c r="AK121" s="12" t="n">
        <x:f>IF(ISNUMBER(S121),IF($I$186&gt;$H$186,(S121-$H$186)/($I$186-$H$186),"缺失"),"缺失")</x:f>
        <x:v>0.014510894028112802</x:v>
      </x:c>
      <x:c r="AL121" s="12" t="n">
        <x:f>IF(ISNUMBER(T121),IF($I$187&gt;$H$187,(T121-$H$187)/($I$187-$H$187),"缺失"),"缺失")</x:f>
        <x:v>0</x:v>
      </x:c>
      <x:c r="AM121" s="12" t="n">
        <x:f>IF(ISNUMBER(U121),IF($I$188&gt;$H$188,(U121-$H$188)/($I$188-$H$188),"缺失"),"缺失")</x:f>
        <x:v>0</x:v>
      </x:c>
      <x:c r="AN121" s="12" t="n">
        <x:f>IF(ISNUMBER(V121),IF($I$189&gt;$H$189,(V121-$H$189)/($I$189-$H$189),"缺失"),"缺失")</x:f>
        <x:v>1</x:v>
      </x:c>
      <x:c r="AO121" s="23" t="str"/>
      <x:c r="AP121" s="23" t="str">
        <x:v>见指标口径：州级、产业、代表点代理；气候基期待核实</x:v>
      </x:c>
      <x:c r="AQ121" s="15" t="n">
        <x:v>1.0000000000000002</x:v>
      </x:c>
      <x:c r="AR121" s="15" t="n">
        <x:v>0.9999999999999997</x:v>
      </x:c>
      <x:c r="AS121" s="15" t="n">
        <x:v>1</x:v>
      </x:c>
      <x:c r="AT121" s="15" t="n">
        <x:v>1</x:v>
      </x:c>
    </x:row>
    <x:row r="122" ht="24" customHeight="1">
      <x:c r="A122" s="18" t="str">
        <x:v>13235</x:v>
      </x:c>
      <x:c r="B122" s="3" t="str">
        <x:v>Pulaski County</x:v>
      </x:c>
      <x:c r="C122" s="3" t="str">
        <x:v>GA</x:v>
      </x:c>
      <x:c r="D122" s="12" t="n">
        <x:v>645.583958</x:v>
      </x:c>
      <x:c r="E122" s="12" t="n">
        <x:v>0.479</x:v>
      </x:c>
      <x:c r="F122" s="12" t="n">
        <x:v>0.500928217821782</x:v>
      </x:c>
      <x:c r="G122" s="12" t="n">
        <x:v>2.5941844188976857</x:v>
      </x:c>
      <x:c r="H122" s="12" t="n">
        <x:v>2.469893082</x:v>
      </x:c>
      <x:c r="I122" s="12" t="n">
        <x:v>0.9372671510251291</x:v>
      </x:c>
      <x:c r="J122" s="12" t="n">
        <x:v>0.043799446915105254</x:v>
      </x:c>
      <x:c r="K122" s="12" t="n">
        <x:v>0.2383311844059112</x:v>
      </x:c>
      <x:c r="L122" s="24" t="n">
        <x:v>0.96021484</x:v>
      </x:c>
      <x:c r="M122" s="24" t="n">
        <x:v>0.96021484</x:v>
      </x:c>
      <x:c r="N122" s="13" t="n">
        <x:v>3857</x:v>
      </x:c>
      <x:c r="O122" s="12" t="n">
        <x:v>0.9376</x:v>
      </x:c>
      <x:c r="P122" s="12" t="n">
        <x:v>2219.582267252604</x:v>
      </x:c>
      <x:c r="Q122" s="12" t="n">
        <x:v>76.24696172078451</x:v>
      </x:c>
      <x:c r="R122" s="12" t="n">
        <x:v>24.31611900749998</x:v>
      </x:c>
      <x:c r="S122" s="12" t="n">
        <x:v>19.949893439532428</x:v>
      </x:c>
      <x:c r="T122" s="12" t="n">
        <x:v>72.1</x:v>
      </x:c>
      <x:c r="U122" s="12" t="n">
        <x:v>211.4154781728841</x:v>
      </x:c>
      <x:c r="V122" s="12" t="n">
        <x:v>325.42757789465</x:v>
      </x:c>
      <x:c r="W122" s="12" t="n">
        <x:f>IF(ISNUMBER(E122),IF($I$172&gt;$H$172,(E122-$H$172)/($I$172-$H$172),"缺失"),"缺失")</x:f>
        <x:v>0.4988425925925926</x:v>
      </x:c>
      <x:c r="X122" s="12" t="n">
        <x:f>IF(ISNUMBER(F122),IF($I$173&gt;$H$173,(F122-$H$173)/($I$173-$H$173),"缺失"),"缺失")</x:f>
        <x:v>0.5036220472440942</x:v>
      </x:c>
      <x:c r="Y122" s="12" t="n">
        <x:f>IF(ISNUMBER(G122),IF($I$174&gt;$H$174,(G122-$H$174)/($I$174-$H$174),"缺失"),"缺失")</x:f>
        <x:v>0.6820598766938673</x:v>
      </x:c>
      <x:c r="Z122" s="12" t="n">
        <x:f>IF(ISNUMBER(H122),IF($I$175&gt;$H$175,(H122-$H$175)/($I$175-$H$175),"缺失"),"缺失")</x:f>
        <x:v>0.6084707195233409</x:v>
      </x:c>
      <x:c r="AA122" s="12" t="n">
        <x:f>IF(ISNUMBER(I122),IF($I$176&gt;$H$176,(I122-$H$176)/($I$176-$H$176),"缺失"),"缺失")</x:f>
        <x:v>0.941866806769945</x:v>
      </x:c>
      <x:c r="AB122" s="12" t="n">
        <x:f>IF(ISNUMBER(J122),IF($I$177&gt;$H$177,(J122-$H$177)/($I$177-$H$177),"缺失"),"缺失")</x:f>
        <x:v>0.10743977965713719</x:v>
      </x:c>
      <x:c r="AC122" s="12" t="n">
        <x:f>IF(ISNUMBER(K122),IF($I$178&gt;$H$178,(K122-$H$178)/($I$178-$H$178),"缺失"),"缺失")</x:f>
        <x:v>0.4097392708236964</x:v>
      </x:c>
      <x:c r="AD122" s="12" t="n">
        <x:f>IF(ISNUMBER(L122),IF($I$179&gt;$H$179,(L122-$H$179)/($I$179-$H$179),"缺失"),"缺失")</x:f>
        <x:v>0.9602016769832504</x:v>
      </x:c>
      <x:c r="AE122" s="12" t="n">
        <x:f>IF(ISNUMBER(M122),IF($I$180&gt;$H$180,(M122-$H$180)/($I$180-$H$180),"缺失"),"缺失")</x:f>
        <x:v>0.96021484</x:v>
      </x:c>
      <x:c r="AF122" s="12" t="n">
        <x:f>IF(ISNUMBER(N122),IF($I$181&gt;$H$181,(N122-$H$181)/($I$181-$H$181),"缺失"),"缺失")</x:f>
        <x:v>0.004920914429816797</x:v>
      </x:c>
      <x:c r="AG122" s="12" t="n">
        <x:f>IF(ISNUMBER(O122),IF($I$182&gt;$H$182,(O122-$H$182)/($I$182-$H$182),"缺失"),"缺失")</x:f>
        <x:v>0.94561261625556</x:v>
      </x:c>
      <x:c r="AH122" s="12" t="n">
        <x:f>IF(ISNUMBER(P122),IF($I$183&gt;$H$183,(P122-$H$183)/($I$183-$H$183),"缺失"),"缺失")</x:f>
        <x:v>0.8744349340378996</x:v>
      </x:c>
      <x:c r="AI122" s="12" t="n">
        <x:f>IF(ISNUMBER(Q122),IF($I$184&gt;$H$184,(Q122-$H$184)/($I$184-$H$184),"缺失"),"缺失")</x:f>
        <x:v>0.8922816753981939</x:v>
      </x:c>
      <x:c r="AJ122" s="12" t="n">
        <x:f>IF(ISNUMBER(R122),IF($I$185&gt;$H$185,(R122-$H$185)/($I$185-$H$185),"缺失"),"缺失")</x:f>
        <x:v>0.2540140802996981</x:v>
      </x:c>
      <x:c r="AK122" s="12" t="n">
        <x:f>IF(ISNUMBER(S122),IF($I$186&gt;$H$186,(S122-$H$186)/($I$186-$H$186),"缺失"),"缺失")</x:f>
        <x:v>0.3892956309035922</x:v>
      </x:c>
      <x:c r="AL122" s="12" t="n">
        <x:f>IF(ISNUMBER(T122),IF($I$187&gt;$H$187,(T122-$H$187)/($I$187-$H$187),"缺失"),"缺失")</x:f>
        <x:v>0</x:v>
      </x:c>
      <x:c r="AM122" s="12" t="n">
        <x:f>IF(ISNUMBER(U122),IF($I$188&gt;$H$188,(U122-$H$188)/($I$188-$H$188),"缺失"),"缺失")</x:f>
        <x:v>0</x:v>
      </x:c>
      <x:c r="AN122" s="12" t="n">
        <x:f>IF(ISNUMBER(V122),IF($I$189&gt;$H$189,(V122-$H$189)/($I$189-$H$189),"缺失"),"缺失")</x:f>
        <x:v>1</x:v>
      </x:c>
      <x:c r="AO122" s="23" t="str"/>
      <x:c r="AP122" s="23" t="str">
        <x:v>见指标口径：州级、产业、代表点代理；气候基期待核实</x:v>
      </x:c>
      <x:c r="AQ122" s="15" t="n">
        <x:v>1.0000000000000002</x:v>
      </x:c>
      <x:c r="AR122" s="15" t="n">
        <x:v>1.0000000000000002</x:v>
      </x:c>
      <x:c r="AS122" s="15" t="n">
        <x:v>1</x:v>
      </x:c>
      <x:c r="AT122" s="15" t="n">
        <x:v>1</x:v>
      </x:c>
    </x:row>
    <x:row r="123" ht="24" customHeight="1">
      <x:c r="A123" s="18" t="str">
        <x:v>13237</x:v>
      </x:c>
      <x:c r="B123" s="3" t="str">
        <x:v>Putnam County</x:v>
      </x:c>
      <x:c r="C123" s="3" t="str">
        <x:v>GA</x:v>
      </x:c>
      <x:c r="D123" s="12" t="n">
        <x:v>892.721735</x:v>
      </x:c>
      <x:c r="E123" s="12" t="n">
        <x:v>0.622</x:v>
      </x:c>
      <x:c r="F123" s="12" t="n">
        <x:v>0.9112004950495051</x:v>
      </x:c>
      <x:c r="G123" s="12" t="n">
        <x:v>2.101601868026963</x:v>
      </x:c>
      <x:c r="H123" s="12" t="n">
        <x:v>1.909171031</x:v>
      </x:c>
      <x:c r="I123" s="12" t="n">
        <x:v>0.9292283765154996</x:v>
      </x:c>
      <x:c r="J123" s="12" t="n">
        <x:v>0.18358530148168561</x:v>
      </x:c>
      <x:c r="K123" s="12" t="n">
        <x:v>0.03186374263395224</x:v>
      </x:c>
      <x:c r="L123" s="24" t="n">
        <x:v>0.845989235</x:v>
      </x:c>
      <x:c r="M123" s="24" t="n">
        <x:v>0.845989235</x:v>
      </x:c>
      <x:c r="N123" s="13" t="n">
        <x:v>10118</x:v>
      </x:c>
      <x:c r="O123" s="12" t="n">
        <x:v>0.5679</x:v>
      </x:c>
      <x:c r="P123" s="12" t="n">
        <x:v>1859.2882568359375</x:v>
      </x:c>
      <x:c r="Q123" s="12" t="n">
        <x:v>60.57427876790364</x:v>
      </x:c>
      <x:c r="R123" s="12" t="n">
        <x:v>24.625543683131628</x:v>
      </x:c>
      <x:c r="S123" s="12" t="n">
        <x:v>1.3077630136658325</x:v>
      </x:c>
      <x:c r="T123" s="12" t="n">
        <x:v>72.1</x:v>
      </x:c>
      <x:c r="U123" s="12" t="n">
        <x:v>211.4154781728841</x:v>
      </x:c>
      <x:c r="V123" s="12" t="n">
        <x:v>325.42757789465</x:v>
      </x:c>
      <x:c r="W123" s="12" t="n">
        <x:f>IF(ISNUMBER(E123),IF($I$172&gt;$H$172,(E123-$H$172)/($I$172-$H$172),"缺失"),"缺失")</x:f>
        <x:v>0.6643518518518519</x:v>
      </x:c>
      <x:c r="X123" s="12" t="n">
        <x:f>IF(ISNUMBER(F123),IF($I$173&gt;$H$173,(F123-$H$173)/($I$173-$H$173),"缺失"),"缺失")</x:f>
        <x:v>0.921259842519685</x:v>
      </x:c>
      <x:c r="Y123" s="12" t="n">
        <x:f>IF(ISNUMBER(G123),IF($I$174&gt;$H$174,(G123-$H$174)/($I$174-$H$174),"缺失"),"缺失")</x:f>
        <x:v>0.5524855574546298</x:v>
      </x:c>
      <x:c r="Z123" s="12" t="n">
        <x:f>IF(ISNUMBER(H123),IF($I$175&gt;$H$175,(H123-$H$175)/($I$175-$H$175),"缺失"),"缺失")</x:f>
        <x:v>0.47023722061245893</x:v>
      </x:c>
      <x:c r="AA123" s="12" t="n">
        <x:f>IF(ISNUMBER(I123),IF($I$176&gt;$H$176,(I123-$H$176)/($I$176-$H$176),"缺失"),"缺失")</x:f>
        <x:v>0.9332369704758483</x:v>
      </x:c>
      <x:c r="AB123" s="12" t="n">
        <x:f>IF(ISNUMBER(J123),IF($I$177&gt;$H$177,(J123-$H$177)/($I$177-$H$177),"缺失"),"缺失")</x:f>
        <x:v>0.4503336395482885</x:v>
      </x:c>
      <x:c r="AC123" s="12" t="n">
        <x:f>IF(ISNUMBER(K123),IF($I$178&gt;$H$178,(K123-$H$178)/($I$178-$H$178),"缺失"),"缺失")</x:f>
        <x:v>0.05478018625675785</x:v>
      </x:c>
      <x:c r="AD123" s="12" t="n">
        <x:f>IF(ISNUMBER(L123),IF($I$179&gt;$H$179,(L123-$H$179)/($I$179-$H$179),"缺失"),"缺失")</x:f>
        <x:v>0.8459382801645965</x:v>
      </x:c>
      <x:c r="AE123" s="12" t="n">
        <x:f>IF(ISNUMBER(M123),IF($I$180&gt;$H$180,(M123-$H$180)/($I$180-$H$180),"缺失"),"缺失")</x:f>
        <x:v>0.845989235</x:v>
      </x:c>
      <x:c r="AF123" s="12" t="n">
        <x:f>IF(ISNUMBER(N123),IF($I$181&gt;$H$181,(N123-$H$181)/($I$181-$H$181),"缺失"),"缺失")</x:f>
        <x:v>0.014643175472758724</x:v>
      </x:c>
      <x:c r="AG123" s="12" t="n">
        <x:f>IF(ISNUMBER(O123),IF($I$182&gt;$H$182,(O123-$H$182)/($I$182-$H$182),"缺失"),"缺失")</x:f>
        <x:v>0.5718762636473919</x:v>
      </x:c>
      <x:c r="AH123" s="12" t="n">
        <x:f>IF(ISNUMBER(P123),IF($I$183&gt;$H$183,(P123-$H$183)/($I$183-$H$183),"缺失"),"缺失")</x:f>
        <x:v>0.7123544948312648</x:v>
      </x:c>
      <x:c r="AI123" s="12" t="n">
        <x:f>IF(ISNUMBER(Q123),IF($I$184&gt;$H$184,(Q123-$H$184)/($I$184-$H$184),"缺失"),"缺失")</x:f>
        <x:v>0.7081026429740402</x:v>
      </x:c>
      <x:c r="AJ123" s="12" t="n">
        <x:f>IF(ISNUMBER(R123),IF($I$185&gt;$H$185,(R123-$H$185)/($I$185-$H$185),"缺失"),"缺失")</x:f>
        <x:v>0.2572656536411952</x:v>
      </x:c>
      <x:c r="AK123" s="12" t="n">
        <x:f>IF(ISNUMBER(S123),IF($I$186&gt;$H$186,(S123-$H$186)/($I$186-$H$186),"缺失"),"缺失")</x:f>
        <x:v>0.025370300905735915</x:v>
      </x:c>
      <x:c r="AL123" s="12" t="n">
        <x:f>IF(ISNUMBER(T123),IF($I$187&gt;$H$187,(T123-$H$187)/($I$187-$H$187),"缺失"),"缺失")</x:f>
        <x:v>0</x:v>
      </x:c>
      <x:c r="AM123" s="12" t="n">
        <x:f>IF(ISNUMBER(U123),IF($I$188&gt;$H$188,(U123-$H$188)/($I$188-$H$188),"缺失"),"缺失")</x:f>
        <x:v>0</x:v>
      </x:c>
      <x:c r="AN123" s="12" t="n">
        <x:f>IF(ISNUMBER(V123),IF($I$189&gt;$H$189,(V123-$H$189)/($I$189-$H$189),"缺失"),"缺失")</x:f>
        <x:v>1</x:v>
      </x:c>
      <x:c r="AO123" s="23" t="str"/>
      <x:c r="AP123" s="23" t="str">
        <x:v>见指标口径：州级、产业、代表点代理；气候基期待核实</x:v>
      </x:c>
      <x:c r="AQ123" s="15" t="n">
        <x:v>0.9999999999999989</x:v>
      </x:c>
      <x:c r="AR123" s="15" t="n">
        <x:v>0.9999999999999989</x:v>
      </x:c>
      <x:c r="AS123" s="15" t="n">
        <x:v>1</x:v>
      </x:c>
      <x:c r="AT123" s="15" t="n">
        <x:v>1</x:v>
      </x:c>
    </x:row>
    <x:row r="124" ht="24" customHeight="1">
      <x:c r="A124" s="18" t="str">
        <x:v>13239</x:v>
      </x:c>
      <x:c r="B124" s="3" t="str">
        <x:v>Quitman County</x:v>
      </x:c>
      <x:c r="C124" s="3" t="str">
        <x:v>GA</x:v>
      </x:c>
      <x:c r="D124" s="12" t="n">
        <x:v>391.703077</x:v>
      </x:c>
      <x:c r="E124" s="12" t="n">
        <x:v>0.619</x:v>
      </x:c>
      <x:c r="F124" s="12" t="n">
        <x:v>0.474938118811881</x:v>
      </x:c>
      <x:c r="G124" s="12" t="n">
        <x:v>0.0013033921556378832</x:v>
      </x:c>
      <x:c r="H124" s="12" t="n">
        <x:v>0.0017290514813823935</x:v>
      </x:c>
      <x:c r="I124" s="12" t="n">
        <x:v>0.9582335452968866</x:v>
      </x:c>
      <x:c r="J124" s="12" t="n">
        <x:v>0.0028687474370313925</x:v>
      </x:c>
      <x:c r="K124" s="12" t="n">
        <x:v>0.1001803066589589</x:v>
      </x:c>
      <x:c r="L124" s="24" t="n">
        <x:v>0.012092534</x:v>
      </x:c>
      <x:c r="M124" s="24" t="n">
        <x:v>0.012092534</x:v>
      </x:c>
      <x:c r="N124" s="13" t="n">
        <x:v>696</x:v>
      </x:c>
      <x:c r="O124" s="12" t="n">
        <x:v>0.8202</x:v>
      </x:c>
      <x:c r="P124" s="12" t="n">
        <x:v>2103.099674479167</x:v>
      </x:c>
      <x:c r="Q124" s="12" t="n">
        <x:v>67.20421752929687</x:v>
      </x:c>
      <x:c r="R124" s="12" t="n">
        <x:v>60.61576878981957</x:v>
      </x:c>
      <x:c r="S124" s="12" t="n">
        <x:v>4.956004640140158</x:v>
      </x:c>
      <x:c r="T124" s="12" t="n">
        <x:v>72.1</x:v>
      </x:c>
      <x:c r="U124" s="12" t="n">
        <x:v>211.4154781728841</x:v>
      </x:c>
      <x:c r="V124" s="12" t="n">
        <x:v>325.42757789465</x:v>
      </x:c>
      <x:c r="W124" s="12" t="n">
        <x:f>IF(ISNUMBER(E124),IF($I$172&gt;$H$172,(E124-$H$172)/($I$172-$H$172),"缺失"),"缺失")</x:f>
        <x:v>0.6608796296296295</x:v>
      </x:c>
      <x:c r="X124" s="12" t="n">
        <x:f>IF(ISNUMBER(F124),IF($I$173&gt;$H$173,(F124-$H$173)/($I$173-$H$173),"缺失"),"缺失")</x:f>
        <x:v>0.4771653543307084</x:v>
      </x:c>
      <x:c r="Y124" s="12" t="n">
        <x:f>IF(ISNUMBER(G124),IF($I$174&gt;$H$174,(G124-$H$174)/($I$174-$H$174),"缺失"),"缺失")</x:f>
        <x:v>0</x:v>
      </x:c>
      <x:c r="Z124" s="12" t="n">
        <x:f>IF(ISNUMBER(H124),IF($I$175&gt;$H$175,(H124-$H$175)/($I$175-$H$175),"缺失"),"缺失")</x:f>
        <x:v>0</x:v>
      </x:c>
      <x:c r="AA124" s="12" t="n">
        <x:f>IF(ISNUMBER(I124),IF($I$176&gt;$H$176,(I124-$H$176)/($I$176-$H$176),"缺失"),"缺失")</x:f>
        <x:v>0.9643747835798449</x:v>
      </x:c>
      <x:c r="AB124" s="12" t="n">
        <x:f>IF(ISNUMBER(J124),IF($I$177&gt;$H$177,(J124-$H$177)/($I$177-$H$177),"缺失"),"缺失")</x:f>
        <x:v>0.007037020196260375</x:v>
      </x:c>
      <x:c r="AC124" s="12" t="n">
        <x:f>IF(ISNUMBER(K124),IF($I$178&gt;$H$178,(K124-$H$178)/($I$178-$H$178),"缺失"),"缺失")</x:f>
        <x:v>0.17223010871890768</x:v>
      </x:c>
      <x:c r="AD124" s="12" t="n">
        <x:f>IF(ISNUMBER(L124),IF($I$179&gt;$H$179,(L124-$H$179)/($I$179-$H$179),"缺失"),"缺失")</x:f>
        <x:v>0.011765682417099679</x:v>
      </x:c>
      <x:c r="AE124" s="12" t="n">
        <x:f>IF(ISNUMBER(M124),IF($I$180&gt;$H$180,(M124-$H$180)/($I$180-$H$180),"缺失"),"缺失")</x:f>
        <x:v>0.012092534</x:v>
      </x:c>
      <x:c r="AF124" s="12" t="n">
        <x:f>IF(ISNUMBER(N124),IF($I$181&gt;$H$181,(N124-$H$181)/($I$181-$H$181),"缺失"),"缺失")</x:f>
        <x:v>0.000012422630305627762</x:v>
      </x:c>
      <x:c r="AG124" s="12" t="n">
        <x:f>IF(ISNUMBER(O124),IF($I$182&gt;$H$182,(O124-$H$182)/($I$182-$H$182),"缺失"),"缺失")</x:f>
        <x:v>0.826930853214719</x:v>
      </x:c>
      <x:c r="AH124" s="12" t="n">
        <x:f>IF(ISNUMBER(P124),IF($I$183&gt;$H$183,(P124-$H$183)/($I$183-$H$183),"缺失"),"缺失")</x:f>
        <x:v>0.8220345353334838</x:v>
      </x:c>
      <x:c r="AI124" s="12" t="n">
        <x:f>IF(ISNUMBER(Q124),IF($I$184&gt;$H$184,(Q124-$H$184)/($I$184-$H$184),"缺失"),"缺失")</x:f>
        <x:v>0.7860150023177442</x:v>
      </x:c>
      <x:c r="AJ124" s="12" t="n">
        <x:f>IF(ISNUMBER(R124),IF($I$185&gt;$H$185,(R124-$H$185)/($I$185-$H$185),"缺失"),"缺失")</x:f>
        <x:v>0.6354670891682633</x:v>
      </x:c>
      <x:c r="AK124" s="12" t="n">
        <x:f>IF(ISNUMBER(S124),IF($I$186&gt;$H$186,(S124-$H$186)/($I$186-$H$186),"缺失"),"缺失")</x:f>
        <x:v>0.09659003317326541</x:v>
      </x:c>
      <x:c r="AL124" s="12" t="n">
        <x:f>IF(ISNUMBER(T124),IF($I$187&gt;$H$187,(T124-$H$187)/($I$187-$H$187),"缺失"),"缺失")</x:f>
        <x:v>0</x:v>
      </x:c>
      <x:c r="AM124" s="12" t="n">
        <x:f>IF(ISNUMBER(U124),IF($I$188&gt;$H$188,(U124-$H$188)/($I$188-$H$188),"缺失"),"缺失")</x:f>
        <x:v>0</x:v>
      </x:c>
      <x:c r="AN124" s="12" t="n">
        <x:f>IF(ISNUMBER(V124),IF($I$189&gt;$H$189,(V124-$H$189)/($I$189-$H$189),"缺失"),"缺失")</x:f>
        <x:v>1</x:v>
      </x:c>
      <x:c r="AO124" s="23" t="str"/>
      <x:c r="AP124" s="23" t="str">
        <x:v>见指标口径：州级、产业、代表点代理；气候基期待核实</x:v>
      </x:c>
      <x:c r="AQ124" s="15" t="n">
        <x:v>1.000000000000001</x:v>
      </x:c>
      <x:c r="AR124" s="15" t="n">
        <x:v>0.9999999999999984</x:v>
      </x:c>
      <x:c r="AS124" s="15" t="n">
        <x:v>1</x:v>
      </x:c>
      <x:c r="AT124" s="15" t="n">
        <x:v>1</x:v>
      </x:c>
    </x:row>
    <x:row r="125" ht="24" customHeight="1">
      <x:c r="A125" s="18" t="str">
        <x:v>13241</x:v>
      </x:c>
      <x:c r="B125" s="3" t="str">
        <x:v>Rabun County</x:v>
      </x:c>
      <x:c r="C125" s="3" t="str">
        <x:v>GA</x:v>
      </x:c>
      <x:c r="D125" s="12" t="n">
        <x:v>958.649647</x:v>
      </x:c>
      <x:c r="E125" s="12" t="n">
        <x:v>0.767</x:v>
      </x:c>
      <x:c r="F125" s="12" t="n">
        <x:v>0.8734529702970301</x:v>
      </x:c>
      <x:c r="G125" s="12" t="n">
        <x:v>2.562757524768069</x:v>
      </x:c>
      <x:c r="H125" s="12" t="n">
        <x:v>2.3905741498118167</x:v>
      </x:c>
      <x:c r="I125" s="12" t="n">
        <x:v>0.9692673122601864</x:v>
      </x:c>
      <x:c r="J125" s="12" t="n">
        <x:v>0.15198550665332897</x:v>
      </x:c>
      <x:c r="K125" s="12" t="n">
        <x:v>0.0007711516207770547</x:v>
      </x:c>
      <x:c r="L125" s="24" t="n">
        <x:v>0.241883826</x:v>
      </x:c>
      <x:c r="M125" s="24" t="n">
        <x:v>0.241883826</x:v>
      </x:c>
      <x:c r="N125" s="13" t="n">
        <x:v>7453</x:v>
      </x:c>
      <x:c r="O125" s="12" t="n">
        <x:v>0.441</x:v>
      </x:c>
      <x:c r="P125" s="12" t="n">
        <x:v>644.0591247558593</x:v>
      </x:c>
      <x:c r="Q125" s="12" t="n">
        <x:v>4.264108395576477</x:v>
      </x:c>
      <x:c r="R125" s="12" t="n">
        <x:v>54.79903189775408</x:v>
      </x:c>
      <x:c r="S125" s="12" t="n">
        <x:v>33.3333431616266</x:v>
      </x:c>
      <x:c r="T125" s="12" t="n">
        <x:v>72.1</x:v>
      </x:c>
      <x:c r="U125" s="12" t="n">
        <x:v>211.4154781728841</x:v>
      </x:c>
      <x:c r="V125" s="12" t="n">
        <x:v>325.42757789465</x:v>
      </x:c>
      <x:c r="W125" s="12" t="n">
        <x:f>IF(ISNUMBER(E125),IF($I$172&gt;$H$172,(E125-$H$172)/($I$172-$H$172),"缺失"),"缺失")</x:f>
        <x:v>0.8321759259259259</x:v>
      </x:c>
      <x:c r="X125" s="12" t="n">
        <x:f>IF(ISNUMBER(F125),IF($I$173&gt;$H$173,(F125-$H$173)/($I$173-$H$173),"缺失"),"缺失")</x:f>
        <x:v>0.8828346456692915</x:v>
      </x:c>
      <x:c r="Y125" s="12" t="n">
        <x:f>IF(ISNUMBER(G125),IF($I$174&gt;$H$174,(G125-$H$174)/($I$174-$H$174),"缺失"),"缺失")</x:f>
        <x:v>0.6737930016179018</x:v>
      </x:c>
      <x:c r="Z125" s="12" t="n">
        <x:f>IF(ISNUMBER(H125),IF($I$175&gt;$H$175,(H125-$H$175)/($I$175-$H$175),"缺失"),"缺失")</x:f>
        <x:v>0.5889164082443512</x:v>
      </x:c>
      <x:c r="AA125" s="12" t="n">
        <x:f>IF(ISNUMBER(I125),IF($I$176&gt;$H$176,(I125-$H$176)/($I$176-$H$176),"缺失"),"缺失")</x:f>
        <x:v>0.9762198232045324</x:v>
      </x:c>
      <x:c r="AB125" s="12" t="n">
        <x:f>IF(ISNUMBER(J125),IF($I$177&gt;$H$177,(J125-$H$177)/($I$177-$H$177),"缺失"),"缺失")</x:f>
        <x:v>0.37281953303114634</x:v>
      </x:c>
      <x:c r="AC125" s="12" t="n">
        <x:f>IF(ISNUMBER(K125),IF($I$178&gt;$H$178,(K125-$H$178)/($I$178-$H$178),"缺失"),"缺失")</x:f>
        <x:v>0.001325764832576669</x:v>
      </x:c>
      <x:c r="AD125" s="12" t="n">
        <x:f>IF(ISNUMBER(L125),IF($I$179&gt;$H$179,(L125-$H$179)/($I$179-$H$179),"缺失"),"缺失")</x:f>
        <x:v>0.2416330014237899</x:v>
      </x:c>
      <x:c r="AE125" s="12" t="n">
        <x:f>IF(ISNUMBER(M125),IF($I$180&gt;$H$180,(M125-$H$180)/($I$180-$H$180),"缺失"),"缺失")</x:f>
        <x:v>0.241883826</x:v>
      </x:c>
      <x:c r="AF125" s="12" t="n">
        <x:f>IF(ISNUMBER(N125),IF($I$181&gt;$H$181,(N125-$H$181)/($I$181-$H$181),"缺失"),"缺失")</x:f>
        <x:v>0.010504886752196477</x:v>
      </x:c>
      <x:c r="AG125" s="12" t="n">
        <x:f>IF(ISNUMBER(O125),IF($I$182&gt;$H$182,(O125-$H$182)/($I$182-$H$182),"缺失"),"缺失")</x:f>
        <x:v>0.4435907804286292</x:v>
      </x:c>
      <x:c r="AH125" s="12" t="n">
        <x:f>IF(ISNUMBER(P125),IF($I$183&gt;$H$183,(P125-$H$183)/($I$183-$H$183),"缺失"),"缺失")</x:f>
        <x:v>0.16567632153481168</x:v>
      </x:c>
      <x:c r="AI125" s="12" t="n">
        <x:f>IF(ISNUMBER(Q125),IF($I$184&gt;$H$184,(Q125-$H$184)/($I$184-$H$184),"缺失"),"缺失")</x:f>
        <x:v>0.04636829117257778</x:v>
      </x:c>
      <x:c r="AJ125" s="12" t="n">
        <x:f>IF(ISNUMBER(R125),IF($I$185&gt;$H$185,(R125-$H$185)/($I$185-$H$185),"缺失"),"缺失")</x:f>
        <x:v>0.574342207727785</x:v>
      </x:c>
      <x:c r="AK125" s="12" t="n">
        <x:f>IF(ISNUMBER(S125),IF($I$186&gt;$H$186,(S125-$H$186)/($I$186-$H$186),"缺失"),"缺失")</x:f>
        <x:v>0.6505627846761433</x:v>
      </x:c>
      <x:c r="AL125" s="12" t="n">
        <x:f>IF(ISNUMBER(T125),IF($I$187&gt;$H$187,(T125-$H$187)/($I$187-$H$187),"缺失"),"缺失")</x:f>
        <x:v>0</x:v>
      </x:c>
      <x:c r="AM125" s="12" t="n">
        <x:f>IF(ISNUMBER(U125),IF($I$188&gt;$H$188,(U125-$H$188)/($I$188-$H$188),"缺失"),"缺失")</x:f>
        <x:v>0</x:v>
      </x:c>
      <x:c r="AN125" s="12" t="n">
        <x:f>IF(ISNUMBER(V125),IF($I$189&gt;$H$189,(V125-$H$189)/($I$189-$H$189),"缺失"),"缺失")</x:f>
        <x:v>1</x:v>
      </x:c>
      <x:c r="AO125" s="23" t="str"/>
      <x:c r="AP125" s="23" t="str">
        <x:v>见指标口径：州级、产业、代表点代理；气候基期待核实</x:v>
      </x:c>
      <x:c r="AQ125" s="15" t="n">
        <x:v>0.9999999999999983</x:v>
      </x:c>
      <x:c r="AR125" s="15" t="n">
        <x:v>1</x:v>
      </x:c>
      <x:c r="AS125" s="15" t="n">
        <x:v>1</x:v>
      </x:c>
      <x:c r="AT125" s="15" t="n">
        <x:v>1</x:v>
      </x:c>
    </x:row>
    <x:row r="126" ht="24" customHeight="1">
      <x:c r="A126" s="18" t="str">
        <x:v>13243</x:v>
      </x:c>
      <x:c r="B126" s="3" t="str">
        <x:v>Randolph County</x:v>
      </x:c>
      <x:c r="C126" s="3" t="str">
        <x:v>GA</x:v>
      </x:c>
      <x:c r="D126" s="12" t="n">
        <x:v>1109.126228</x:v>
      </x:c>
      <x:c r="E126" s="12" t="n">
        <x:v>0.525</x:v>
      </x:c>
      <x:c r="F126" s="12" t="n">
        <x:v>0.107363861386139</x:v>
      </x:c>
      <x:c r="G126" s="12" t="n">
        <x:v>0.7232021005776461</x:v>
      </x:c>
      <x:c r="H126" s="12" t="n">
        <x:v>0.7038627520434281</x:v>
      </x:c>
      <x:c r="I126" s="12" t="n">
        <x:v>0.9627834506372148</x:v>
      </x:c>
      <x:c r="J126" s="12" t="n">
        <x:v>0.0019972271226032226</x:v>
      </x:c>
      <x:c r="K126" s="12" t="n">
        <x:v>0.0987498653657557</x:v>
      </x:c>
      <x:c r="L126" s="24" t="n">
        <x:v>0.538744483</x:v>
      </x:c>
      <x:c r="M126" s="24" t="n">
        <x:v>0.538744483</x:v>
      </x:c>
      <x:c r="N126" s="13" t="n">
        <x:v>2531</x:v>
      </x:c>
      <x:c r="O126" s="12" t="n">
        <x:v>0.9882</x:v>
      </x:c>
      <x:c r="P126" s="12" t="n">
        <x:v>2176.8494791666667</x:v>
      </x:c>
      <x:c r="Q126" s="12" t="n">
        <x:v>69.5423828125</x:v>
      </x:c>
      <x:c r="R126" s="12" t="n">
        <x:v>73.0972435782534</x:v>
      </x:c>
      <x:c r="S126" s="12" t="n">
        <x:v>0.533779556714249</x:v>
      </x:c>
      <x:c r="T126" s="12" t="n">
        <x:v>72.1</x:v>
      </x:c>
      <x:c r="U126" s="12" t="n">
        <x:v>211.4154781728841</x:v>
      </x:c>
      <x:c r="V126" s="12" t="n">
        <x:v>325.42757789465</x:v>
      </x:c>
      <x:c r="W126" s="12" t="n">
        <x:f>IF(ISNUMBER(E126),IF($I$172&gt;$H$172,(E126-$H$172)/($I$172-$H$172),"缺失"),"缺失")</x:f>
        <x:v>0.5520833333333334</x:v>
      </x:c>
      <x:c r="X126" s="12" t="n">
        <x:f>IF(ISNUMBER(F126),IF($I$173&gt;$H$173,(F126-$H$173)/($I$173-$H$173),"缺失"),"缺失")</x:f>
        <x:v>0.10299212598425234</x:v>
      </x:c>
      <x:c r="Y126" s="12" t="n">
        <x:f>IF(ISNUMBER(G126),IF($I$174&gt;$H$174,(G126-$H$174)/($I$174-$H$174),"缺失"),"缺失")</x:f>
        <x:v>0.18989615758438771</x:v>
      </x:c>
      <x:c r="Z126" s="12" t="n">
        <x:f>IF(ISNUMBER(H126),IF($I$175&gt;$H$175,(H126-$H$175)/($I$175-$H$175),"缺失"),"缺失")</x:f>
        <x:v>0.17309538292428792</x:v>
      </x:c>
      <x:c r="AA126" s="12" t="n">
        <x:f>IF(ISNUMBER(I126),IF($I$176&gt;$H$176,(I126-$H$176)/($I$176-$H$176),"缺失"),"缺失")</x:f>
        <x:v>0.9692592268732392</x:v>
      </x:c>
      <x:c r="AB126" s="12" t="n">
        <x:f>IF(ISNUMBER(J126),IF($I$177&gt;$H$177,(J126-$H$177)/($I$177-$H$177),"缺失"),"缺失")</x:f>
        <x:v>0.004899186110584079</x:v>
      </x:c>
      <x:c r="AC126" s="12" t="n">
        <x:f>IF(ISNUMBER(K126),IF($I$178&gt;$H$178,(K126-$H$178)/($I$178-$H$178),"缺失"),"缺失")</x:f>
        <x:v>0.16977089225550537</x:v>
      </x:c>
      <x:c r="AD126" s="12" t="n">
        <x:f>IF(ISNUMBER(L126),IF($I$179&gt;$H$179,(L126-$H$179)/($I$179-$H$179),"缺失"),"缺失")</x:f>
        <x:v>0.5385918754926761</x:v>
      </x:c>
      <x:c r="AE126" s="12" t="n">
        <x:f>IF(ISNUMBER(M126),IF($I$180&gt;$H$180,(M126-$H$180)/($I$180-$H$180),"缺失"),"缺失")</x:f>
        <x:v>0.538744483</x:v>
      </x:c>
      <x:c r="AF126" s="12" t="n">
        <x:f>IF(ISNUMBER(N126),IF($I$181&gt;$H$181,(N126-$H$181)/($I$181-$H$181),"缺失"),"缺失")</x:f>
        <x:v>0.002861863456658996</x:v>
      </x:c>
      <x:c r="AG126" s="12" t="n">
        <x:f>IF(ISNUMBER(O126),IF($I$182&gt;$H$182,(O126-$H$182)/($I$182-$H$182),"缺失"),"缺失")</x:f>
        <x:v>0.9967650626769107</x:v>
      </x:c>
      <x:c r="AH126" s="12" t="n">
        <x:f>IF(ISNUMBER(P126),IF($I$183&gt;$H$183,(P126-$H$183)/($I$183-$H$183),"缺失"),"缺失")</x:f>
        <x:v>0.8552113309214255</x:v>
      </x:c>
      <x:c r="AI126" s="12" t="n">
        <x:f>IF(ISNUMBER(Q126),IF($I$184&gt;$H$184,(Q126-$H$184)/($I$184-$H$184),"缺失"),"缺失")</x:f>
        <x:v>0.8134921752308184</x:v>
      </x:c>
      <x:c r="AJ126" s="12" t="n">
        <x:f>IF(ISNUMBER(R126),IF($I$185&gt;$H$185,(R126-$H$185)/($I$185-$H$185),"缺失"),"缺失")</x:f>
        <x:v>0.7666280271309265</x:v>
      </x:c>
      <x:c r="AK126" s="12" t="n">
        <x:f>IF(ISNUMBER(S126),IF($I$186&gt;$H$186,(S126-$H$186)/($I$186-$H$186),"缺失"),"缺失")</x:f>
        <x:v>0.010260859090375756</x:v>
      </x:c>
      <x:c r="AL126" s="12" t="n">
        <x:f>IF(ISNUMBER(T126),IF($I$187&gt;$H$187,(T126-$H$187)/($I$187-$H$187),"缺失"),"缺失")</x:f>
        <x:v>0</x:v>
      </x:c>
      <x:c r="AM126" s="12" t="n">
        <x:f>IF(ISNUMBER(U126),IF($I$188&gt;$H$188,(U126-$H$188)/($I$188-$H$188),"缺失"),"缺失")</x:f>
        <x:v>0</x:v>
      </x:c>
      <x:c r="AN126" s="12" t="n">
        <x:f>IF(ISNUMBER(V126),IF($I$189&gt;$H$189,(V126-$H$189)/($I$189-$H$189),"缺失"),"缺失")</x:f>
        <x:v>1</x:v>
      </x:c>
      <x:c r="AO126" s="23" t="str"/>
      <x:c r="AP126" s="23" t="str">
        <x:v>见指标口径：州级、产业、代表点代理；气候基期待核实</x:v>
      </x:c>
      <x:c r="AQ126" s="15" t="n">
        <x:v>1.000000000000001</x:v>
      </x:c>
      <x:c r="AR126" s="15" t="n">
        <x:v>1.000000000000003</x:v>
      </x:c>
      <x:c r="AS126" s="15" t="n">
        <x:v>1</x:v>
      </x:c>
      <x:c r="AT126" s="15" t="n">
        <x:v>1</x:v>
      </x:c>
    </x:row>
    <x:row r="127" ht="24" customHeight="1">
      <x:c r="A127" s="18" t="str">
        <x:v>13245</x:v>
      </x:c>
      <x:c r="B127" s="3" t="str">
        <x:v>Richmond County</x:v>
      </x:c>
      <x:c r="C127" s="3" t="str">
        <x:v>GA</x:v>
      </x:c>
      <x:c r="D127" s="12" t="n">
        <x:v>840.036616</x:v>
      </x:c>
      <x:c r="E127" s="12" t="n">
        <x:v>0.536</x:v>
      </x:c>
      <x:c r="F127" s="12" t="n">
        <x:v>0.194306930693069</x:v>
      </x:c>
      <x:c r="G127" s="12" t="n">
        <x:v>2.931926380780837</x:v>
      </x:c>
      <x:c r="H127" s="12" t="n">
        <x:v>2.735302759</x:v>
      </x:c>
      <x:c r="I127" s="12" t="n">
        <x:v>0.6794343669501299</x:v>
      </x:c>
      <x:c r="J127" s="12" t="n">
        <x:v>0.007806145699126107</x:v>
      </x:c>
      <x:c r="K127" s="12" t="n">
        <x:v>0.15143294424505016</x:v>
      </x:c>
      <x:c r="L127" s="24" t="n">
        <x:v>0.24769062</x:v>
      </x:c>
      <x:c r="M127" s="24" t="n">
        <x:v>0.244342019</x:v>
      </x:c>
      <x:c r="N127" s="13" t="n">
        <x:v>85806</x:v>
      </x:c>
      <x:c r="O127" s="12" t="n">
        <x:v>0.9513</x:v>
      </x:c>
      <x:c r="P127" s="12" t="n">
        <x:v>1814.769864908854</x:v>
      </x:c>
      <x:c r="Q127" s="12" t="n">
        <x:v>58.85758043924967</x:v>
      </x:c>
      <x:c r="R127" s="12" t="n">
        <x:v>6.126140138587024</x:v>
      </x:c>
      <x:c r="S127" s="12" t="n">
        <x:v>1.489185224425562</x:v>
      </x:c>
      <x:c r="T127" s="12" t="n">
        <x:v>72.1</x:v>
      </x:c>
      <x:c r="U127" s="12" t="n">
        <x:v>211.4154781728841</x:v>
      </x:c>
      <x:c r="V127" s="12" t="n">
        <x:v>325.42757789465</x:v>
      </x:c>
      <x:c r="W127" s="12" t="n">
        <x:f>IF(ISNUMBER(E127),IF($I$172&gt;$H$172,(E127-$H$172)/($I$172-$H$172),"缺失"),"缺失")</x:f>
        <x:v>0.5648148148148149</x:v>
      </x:c>
      <x:c r="X127" s="12" t="n">
        <x:f>IF(ISNUMBER(F127),IF($I$173&gt;$H$173,(F127-$H$173)/($I$173-$H$173),"缺失"),"缺失")</x:f>
        <x:v>0.19149606299212563</x:v>
      </x:c>
      <x:c r="Y127" s="12" t="n">
        <x:f>IF(ISNUMBER(G127),IF($I$174&gt;$H$174,(G127-$H$174)/($I$174-$H$174),"缺失"),"缺失")</x:f>
        <x:v>0.7709032283557884</x:v>
      </x:c>
      <x:c r="Z127" s="12" t="n">
        <x:f>IF(ISNUMBER(H127),IF($I$175&gt;$H$175,(H127-$H$175)/($I$175-$H$175),"缺失"),"缺失")</x:f>
        <x:v>0.6739015479187753</x:v>
      </x:c>
      <x:c r="AA127" s="12" t="n">
        <x:f>IF(ISNUMBER(I127),IF($I$176&gt;$H$176,(I127-$H$176)/($I$176-$H$176),"缺失"),"缺失")</x:f>
        <x:v>0.665076518007264</x:v>
      </x:c>
      <x:c r="AB127" s="12" t="n">
        <x:f>IF(ISNUMBER(J127),IF($I$177&gt;$H$177,(J127-$H$177)/($I$177-$H$177),"缺失"),"缺失")</x:f>
        <x:v>0.019148428415345496</x:v>
      </x:c>
      <x:c r="AC127" s="12" t="n">
        <x:f>IF(ISNUMBER(K127),IF($I$178&gt;$H$178,(K127-$H$178)/($I$178-$H$178),"缺失"),"缺失")</x:f>
        <x:v>0.2603437074687461</x:v>
      </x:c>
      <x:c r="AD127" s="12" t="n">
        <x:f>IF(ISNUMBER(L127),IF($I$179&gt;$H$179,(L127-$H$179)/($I$179-$H$179),"缺失"),"缺失")</x:f>
        <x:v>0.24744171661567863</x:v>
      </x:c>
      <x:c r="AE127" s="12" t="n">
        <x:f>IF(ISNUMBER(M127),IF($I$180&gt;$H$180,(M127-$H$180)/($I$180-$H$180),"缺失"),"缺失")</x:f>
        <x:v>0.244342019</x:v>
      </x:c>
      <x:c r="AF127" s="12" t="n">
        <x:f>IF(ISNUMBER(N127),IF($I$181&gt;$H$181,(N127-$H$181)/($I$181-$H$181),"缺失"),"缺失")</x:f>
        <x:v>0.13217368079430297</x:v>
      </x:c>
      <x:c r="AG127" s="12" t="n">
        <x:f>IF(ISNUMBER(O127),IF($I$182&gt;$H$182,(O127-$H$182)/($I$182-$H$182),"缺失"),"缺失")</x:f>
        <x:v>0.9594621916700364</x:v>
      </x:c>
      <x:c r="AH127" s="12" t="n">
        <x:f>IF(ISNUMBER(P127),IF($I$183&gt;$H$183,(P127-$H$183)/($I$183-$H$183),"缺失"),"缺失")</x:f>
        <x:v>0.6923276270296872</x:v>
      </x:c>
      <x:c r="AI127" s="12" t="n">
        <x:f>IF(ISNUMBER(Q127),IF($I$184&gt;$H$184,(Q127-$H$184)/($I$184-$H$184),"缺失"),"缺失")</x:f>
        <x:v>0.6879286984052496</x:v>
      </x:c>
      <x:c r="AJ127" s="12" t="n">
        <x:f>IF(ISNUMBER(R127),IF($I$185&gt;$H$185,(R127-$H$185)/($I$185-$H$185),"缺失"),"缺失")</x:f>
        <x:v>0.06286561984865398</x:v>
      </x:c>
      <x:c r="AK127" s="12" t="n">
        <x:f>IF(ISNUMBER(S127),IF($I$186&gt;$H$186,(S127-$H$186)/($I$186-$H$186),"缺失"),"缺失")</x:f>
        <x:v>0.028911963602616546</x:v>
      </x:c>
      <x:c r="AL127" s="12" t="n">
        <x:f>IF(ISNUMBER(T127),IF($I$187&gt;$H$187,(T127-$H$187)/($I$187-$H$187),"缺失"),"缺失")</x:f>
        <x:v>0</x:v>
      </x:c>
      <x:c r="AM127" s="12" t="n">
        <x:f>IF(ISNUMBER(U127),IF($I$188&gt;$H$188,(U127-$H$188)/($I$188-$H$188),"缺失"),"缺失")</x:f>
        <x:v>0</x:v>
      </x:c>
      <x:c r="AN127" s="12" t="n">
        <x:f>IF(ISNUMBER(V127),IF($I$189&gt;$H$189,(V127-$H$189)/($I$189-$H$189),"缺失"),"缺失")</x:f>
        <x:v>1</x:v>
      </x:c>
      <x:c r="AO127" s="23" t="str"/>
      <x:c r="AP127" s="23" t="str">
        <x:v>见指标口径：州级、产业、代表点代理；气候基期待核实</x:v>
      </x:c>
      <x:c r="AQ127" s="15" t="n">
        <x:v>0.999999999999999</x:v>
      </x:c>
      <x:c r="AR127" s="15" t="n">
        <x:v>0.9999999999999978</x:v>
      </x:c>
      <x:c r="AS127" s="15" t="n">
        <x:v>1</x:v>
      </x:c>
      <x:c r="AT127" s="15" t="n">
        <x:v>1</x:v>
      </x:c>
    </x:row>
    <x:row r="128" ht="24" customHeight="1">
      <x:c r="A128" s="18" t="str">
        <x:v>13247</x:v>
      </x:c>
      <x:c r="B128" s="3" t="str">
        <x:v>Rockdale County</x:v>
      </x:c>
      <x:c r="C128" s="3" t="str">
        <x:v>GA</x:v>
      </x:c>
      <x:c r="D128" s="12" t="n">
        <x:v>336.228524</x:v>
      </x:c>
      <x:c r="E128" s="12" t="n">
        <x:v>0.453</x:v>
      </x:c>
      <x:c r="F128" s="12" t="n">
        <x:v>0.220915841584158</x:v>
      </x:c>
      <x:c r="G128" s="12" t="n">
        <x:v>3.429157267494043</x:v>
      </x:c>
      <x:c r="H128" s="12" t="n">
        <x:v>3.359374222918955</x:v>
      </x:c>
      <x:c r="I128" s="12" t="n">
        <x:v>0.654324126156695</x:v>
      </x:c>
      <x:c r="J128" s="12" t="n">
        <x:v>0.021195462994391873</x:v>
      </x:c>
      <x:c r="K128" s="12" t="n">
        <x:v>0.039347701595422994</x:v>
      </x:c>
      <x:c r="L128" s="24" t="n">
        <x:v>0.545263056</x:v>
      </x:c>
      <x:c r="M128" s="24" t="n">
        <x:v>0.541994528</x:v>
      </x:c>
      <x:c r="N128" s="13" t="n">
        <x:v>48046</x:v>
      </x:c>
      <x:c r="O128" s="12" t="n">
        <x:v>0.777</x:v>
      </x:c>
      <x:c r="P128" s="12" t="n">
        <x:v>1630.24697265625</x:v>
      </x:c>
      <x:c r="Q128" s="12" t="n">
        <x:v>37.28684698740641</x:v>
      </x:c>
      <x:c r="R128" s="12" t="n">
        <x:v>0.9093601619314773</x:v>
      </x:c>
      <x:c r="S128" s="12" t="n">
        <x:v>1.700376142849657</x:v>
      </x:c>
      <x:c r="T128" s="12" t="n">
        <x:v>72.1</x:v>
      </x:c>
      <x:c r="U128" s="12" t="n">
        <x:v>211.4154781728841</x:v>
      </x:c>
      <x:c r="V128" s="12" t="n">
        <x:v>325.42757789465</x:v>
      </x:c>
      <x:c r="W128" s="12" t="n">
        <x:f>IF(ISNUMBER(E128),IF($I$172&gt;$H$172,(E128-$H$172)/($I$172-$H$172),"缺失"),"缺失")</x:f>
        <x:v>0.46875000000000006</x:v>
      </x:c>
      <x:c r="X128" s="12" t="n">
        <x:f>IF(ISNUMBER(F128),IF($I$173&gt;$H$173,(F128-$H$173)/($I$173-$H$173),"缺失"),"缺失")</x:f>
        <x:v>0.21858267716535384</x:v>
      </x:c>
      <x:c r="Y128" s="12" t="n">
        <x:f>IF(ISNUMBER(G128),IF($I$174&gt;$H$174,(G128-$H$174)/($I$174-$H$174),"缺失"),"缺失")</x:f>
        <x:v>0.9017002968607487</x:v>
      </x:c>
      <x:c r="Z128" s="12" t="n">
        <x:f>IF(ISNUMBER(H128),IF($I$175&gt;$H$175,(H128-$H$175)/($I$175-$H$175),"缺失"),"缺失")</x:f>
        <x:v>0.8277524297845813</x:v>
      </x:c>
      <x:c r="AA128" s="12" t="n">
        <x:f>IF(ISNUMBER(I128),IF($I$176&gt;$H$176,(I128-$H$176)/($I$176-$H$176),"缺失"),"缺失")</x:f>
        <x:v>0.638120012747275</x:v>
      </x:c>
      <x:c r="AB128" s="12" t="n">
        <x:f>IF(ISNUMBER(J128),IF($I$177&gt;$H$177,(J128-$H$177)/($I$177-$H$177),"缺失"),"缺失")</x:f>
        <x:v>0.051992343151326656</x:v>
      </x:c>
      <x:c r="AC128" s="12" t="n">
        <x:f>IF(ISNUMBER(K128),IF($I$178&gt;$H$178,(K128-$H$178)/($I$178-$H$178),"缺失"),"缺失")</x:f>
        <x:v>0.067646617879591</x:v>
      </x:c>
      <x:c r="AD128" s="12" t="n">
        <x:f>IF(ISNUMBER(L128),IF($I$179&gt;$H$179,(L128-$H$179)/($I$179-$H$179),"缺失"),"缺失")</x:f>
        <x:v>0.5451126051783746</x:v>
      </x:c>
      <x:c r="AE128" s="12" t="n">
        <x:f>IF(ISNUMBER(M128),IF($I$180&gt;$H$180,(M128-$H$180)/($I$180-$H$180),"缺失"),"缺失")</x:f>
        <x:v>0.541994528</x:v>
      </x:c>
      <x:c r="AF128" s="12" t="n">
        <x:f>IF(ISNUMBER(N128),IF($I$181&gt;$H$181,(N128-$H$181)/($I$181-$H$181),"缺失"),"缺失")</x:f>
        <x:v>0.07353886575173994</x:v>
      </x:c>
      <x:c r="AG128" s="12" t="n">
        <x:f>IF(ISNUMBER(O128),IF($I$182&gt;$H$182,(O128-$H$182)/($I$182-$H$182),"缺失"),"缺失")</x:f>
        <x:v>0.7832591993530126</x:v>
      </x:c>
      <x:c r="AH128" s="12" t="n">
        <x:f>IF(ISNUMBER(P128),IF($I$183&gt;$H$183,(P128-$H$183)/($I$183-$H$183),"缺失"),"缺失")</x:f>
        <x:v>0.6093188881794532</x:v>
      </x:c>
      <x:c r="AI128" s="12" t="n">
        <x:f>IF(ISNUMBER(Q128),IF($I$184&gt;$H$184,(Q128-$H$184)/($I$184-$H$184),"缺失"),"缺失")</x:f>
        <x:v>0.4344381615403065</x:v>
      </x:c>
      <x:c r="AJ128" s="12" t="n">
        <x:f>IF(ISNUMBER(R128),IF($I$185&gt;$H$185,(R128-$H$185)/($I$185-$H$185),"缺失"),"缺失")</x:f>
        <x:v>0.00804535489750874</x:v>
      </x:c>
      <x:c r="AK128" s="12" t="n">
        <x:f>IF(ISNUMBER(S128),IF($I$186&gt;$H$186,(S128-$H$186)/($I$186-$H$186),"缺失"),"缺失")</x:f>
        <x:v>0.03303476088620364</x:v>
      </x:c>
      <x:c r="AL128" s="12" t="n">
        <x:f>IF(ISNUMBER(T128),IF($I$187&gt;$H$187,(T128-$H$187)/($I$187-$H$187),"缺失"),"缺失")</x:f>
        <x:v>0</x:v>
      </x:c>
      <x:c r="AM128" s="12" t="n">
        <x:f>IF(ISNUMBER(U128),IF($I$188&gt;$H$188,(U128-$H$188)/($I$188-$H$188),"缺失"),"缺失")</x:f>
        <x:v>0</x:v>
      </x:c>
      <x:c r="AN128" s="12" t="n">
        <x:f>IF(ISNUMBER(V128),IF($I$189&gt;$H$189,(V128-$H$189)/($I$189-$H$189),"缺失"),"缺失")</x:f>
        <x:v>1</x:v>
      </x:c>
      <x:c r="AO128" s="23" t="str"/>
      <x:c r="AP128" s="23" t="str">
        <x:v>见指标口径：州级、产业、代表点代理；气候基期待核实</x:v>
      </x:c>
      <x:c r="AQ128" s="15" t="n">
        <x:v>0.9999999999999957</x:v>
      </x:c>
      <x:c r="AR128" s="15" t="n">
        <x:v>0.9999999999999957</x:v>
      </x:c>
      <x:c r="AS128" s="15" t="n">
        <x:v>1</x:v>
      </x:c>
      <x:c r="AT128" s="15" t="n">
        <x:v>1</x:v>
      </x:c>
    </x:row>
    <x:row r="129" ht="24" customHeight="1">
      <x:c r="A129" s="18" t="str">
        <x:v>13249</x:v>
      </x:c>
      <x:c r="B129" s="3" t="str">
        <x:v>Schley County</x:v>
      </x:c>
      <x:c r="C129" s="3" t="str">
        <x:v>GA</x:v>
      </x:c>
      <x:c r="D129" s="12" t="n">
        <x:v>432.291202</x:v>
      </x:c>
      <x:c r="E129" s="12" t="n">
        <x:v>0.558</x:v>
      </x:c>
      <x:c r="F129" s="12" t="n">
        <x:v>0.10983910891089099</x:v>
      </x:c>
      <x:c r="G129" s="12" t="n">
        <x:v>1.1652933984148754</x:v>
      </x:c>
      <x:c r="H129" s="12" t="n">
        <x:v>1.134330805</x:v>
      </x:c>
      <x:c r="I129" s="12" t="n">
        <x:v>0.9506225758660297</x:v>
      </x:c>
      <x:c r="J129" s="12" t="n">
        <x:v>0.0007049836846511263</x:v>
      </x:c>
      <x:c r="K129" s="12" t="n">
        <x:v>0.08880237377856941</x:v>
      </x:c>
      <x:c r="L129" s="24" t="n">
        <x:v>0.530977312</x:v>
      </x:c>
      <x:c r="M129" s="24" t="n">
        <x:v>0.529668412</x:v>
      </x:c>
      <x:c r="N129" s="13" t="n">
        <x:v>1882</x:v>
      </x:c>
      <x:c r="O129" s="12" t="n">
        <x:v>0.4973</x:v>
      </x:c>
      <x:c r="P129" s="12" t="n">
        <x:v>1928.5063598632812</x:v>
      </x:c>
      <x:c r="Q129" s="12" t="n">
        <x:v>56.47899602254232</x:v>
      </x:c>
      <x:c r="R129" s="12" t="n">
        <x:v>52.92227755323325</x:v>
      </x:c>
      <x:c r="S129" s="12" t="n">
        <x:v>1.5529751794965456</x:v>
      </x:c>
      <x:c r="T129" s="12" t="n">
        <x:v>72.1</x:v>
      </x:c>
      <x:c r="U129" s="12" t="n">
        <x:v>211.4154781728841</x:v>
      </x:c>
      <x:c r="V129" s="12" t="n">
        <x:v>325.42757789465</x:v>
      </x:c>
      <x:c r="W129" s="12" t="n">
        <x:f>IF(ISNUMBER(E129),IF($I$172&gt;$H$172,(E129-$H$172)/($I$172-$H$172),"缺失"),"缺失")</x:f>
        <x:v>0.5902777777777778</x:v>
      </x:c>
      <x:c r="X129" s="12" t="n">
        <x:f>IF(ISNUMBER(F129),IF($I$173&gt;$H$173,(F129-$H$173)/($I$173-$H$173),"缺失"),"缺失")</x:f>
        <x:v>0.10551181102362192</x:v>
      </x:c>
      <x:c r="Y129" s="12" t="n">
        <x:f>IF(ISNUMBER(G129),IF($I$174&gt;$H$174,(G129-$H$174)/($I$174-$H$174),"缺失"),"缺失")</x:f>
        <x:v>0.3061887035903138</x:v>
      </x:c>
      <x:c r="Z129" s="12" t="n">
        <x:f>IF(ISNUMBER(H129),IF($I$175&gt;$H$175,(H129-$H$175)/($I$175-$H$175),"缺失"),"缺失")</x:f>
        <x:v>0.27921766761671174</x:v>
      </x:c>
      <x:c r="AA129" s="12" t="n">
        <x:f>IF(ISNUMBER(I129),IF($I$176&gt;$H$176,(I129-$H$176)/($I$176-$H$176),"缺失"),"缺失")</x:f>
        <x:v>0.9562042073124062</x:v>
      </x:c>
      <x:c r="AB129" s="12" t="n">
        <x:f>IF(ISNUMBER(J129),IF($I$177&gt;$H$177,(J129-$H$177)/($I$177-$H$177),"缺失"),"缺失")</x:f>
        <x:v>0.0017293207352048062</x:v>
      </x:c>
      <x:c r="AC129" s="12" t="n">
        <x:f>IF(ISNUMBER(K129),IF($I$178&gt;$H$178,(K129-$H$178)/($I$178-$H$178),"缺失"),"缺失")</x:f>
        <x:v>0.15266915225610697</x:v>
      </x:c>
      <x:c r="AD129" s="12" t="n">
        <x:f>IF(ISNUMBER(L129),IF($I$179&gt;$H$179,(L129-$H$179)/($I$179-$H$179),"缺失"),"缺失")</x:f>
        <x:v>0.5308221347052988</x:v>
      </x:c>
      <x:c r="AE129" s="12" t="n">
        <x:f>IF(ISNUMBER(M129),IF($I$180&gt;$H$180,(M129-$H$180)/($I$180-$H$180),"缺失"),"缺失")</x:f>
        <x:v>0.529668412</x:v>
      </x:c>
      <x:c r="AF129" s="12" t="n">
        <x:f>IF(ISNUMBER(N129),IF($I$181&gt;$H$181,(N129-$H$181)/($I$181-$H$181),"缺失"),"缺失")</x:f>
        <x:v>0.0018540775731149435</x:v>
      </x:c>
      <x:c r="AG129" s="12" t="n">
        <x:f>IF(ISNUMBER(O129),IF($I$182&gt;$H$182,(O129-$H$182)/($I$182-$H$182),"缺失"),"缺失")</x:f>
        <x:v>0.5005054589567328</x:v>
      </x:c>
      <x:c r="AH129" s="12" t="n">
        <x:f>IF(ISNUMBER(P129),IF($I$183&gt;$H$183,(P129-$H$183)/($I$183-$H$183),"缺失"),"缺失")</x:f>
        <x:v>0.7434926770251562</x:v>
      </x:c>
      <x:c r="AI129" s="12" t="n">
        <x:f>IF(ISNUMBER(Q129),IF($I$184&gt;$H$184,(Q129-$H$184)/($I$184-$H$184),"缺失"),"缺失")</x:f>
        <x:v>0.6599765361797129</x:v>
      </x:c>
      <x:c r="AJ129" s="12" t="n">
        <x:f>IF(ISNUMBER(R129),IF($I$185&gt;$H$185,(R129-$H$185)/($I$185-$H$185),"缺失"),"缺失")</x:f>
        <x:v>0.5546204309085135</x:v>
      </x:c>
      <x:c r="AK129" s="12" t="n">
        <x:f>IF(ISNUMBER(S129),IF($I$186&gt;$H$186,(S129-$H$186)/($I$186-$H$186),"缺失"),"缺失")</x:f>
        <x:v>0.030157249410591842</x:v>
      </x:c>
      <x:c r="AL129" s="12" t="n">
        <x:f>IF(ISNUMBER(T129),IF($I$187&gt;$H$187,(T129-$H$187)/($I$187-$H$187),"缺失"),"缺失")</x:f>
        <x:v>0</x:v>
      </x:c>
      <x:c r="AM129" s="12" t="n">
        <x:f>IF(ISNUMBER(U129),IF($I$188&gt;$H$188,(U129-$H$188)/($I$188-$H$188),"缺失"),"缺失")</x:f>
        <x:v>0</x:v>
      </x:c>
      <x:c r="AN129" s="12" t="n">
        <x:f>IF(ISNUMBER(V129),IF($I$189&gt;$H$189,(V129-$H$189)/($I$189-$H$189),"缺失"),"缺失")</x:f>
        <x:v>1</x:v>
      </x:c>
      <x:c r="AO129" s="23" t="str"/>
      <x:c r="AP129" s="23" t="str">
        <x:v>见指标口径：州级、产业、代表点代理；气候基期待核实</x:v>
      </x:c>
      <x:c r="AQ129" s="15" t="n">
        <x:v>0.999999999999999</x:v>
      </x:c>
      <x:c r="AR129" s="15" t="n">
        <x:v>0.999999999999999</x:v>
      </x:c>
      <x:c r="AS129" s="15" t="n">
        <x:v>1</x:v>
      </x:c>
      <x:c r="AT129" s="15" t="n">
        <x:v>1</x:v>
      </x:c>
    </x:row>
    <x:row r="130" ht="24" customHeight="1">
      <x:c r="A130" s="18" t="str">
        <x:v>13251</x:v>
      </x:c>
      <x:c r="B130" s="3" t="str">
        <x:v>Screven County</x:v>
      </x:c>
      <x:c r="C130" s="3" t="str">
        <x:v>GA</x:v>
      </x:c>
      <x:c r="D130" s="12" t="n">
        <x:v>1672.668619</x:v>
      </x:c>
      <x:c r="E130" s="12" t="n">
        <x:v>0.561</x:v>
      </x:c>
      <x:c r="F130" s="12" t="n">
        <x:v>0.232054455445545</x:v>
      </x:c>
      <x:c r="G130" s="12" t="n">
        <x:v>2.0361139822928633</x:v>
      </x:c>
      <x:c r="H130" s="12" t="n">
        <x:v>1.8420452977656698</x:v>
      </x:c>
      <x:c r="I130" s="12" t="n">
        <x:v>0.9497417648658133</x:v>
      </x:c>
      <x:c r="J130" s="12" t="n">
        <x:v>0.04165348624776348</x:v>
      </x:c>
      <x:c r="K130" s="12" t="n">
        <x:v>0.3468576718189058</x:v>
      </x:c>
      <x:c r="L130" s="24" t="n">
        <x:v>0.212015556</x:v>
      </x:c>
      <x:c r="M130" s="24" t="n">
        <x:v>0.212015556</x:v>
      </x:c>
      <x:c r="N130" s="13" t="n">
        <x:v>5942</x:v>
      </x:c>
      <x:c r="O130" s="12" t="n">
        <x:v>0.699</x:v>
      </x:c>
      <x:c r="P130" s="12" t="n">
        <x:v>2121.504777018229</x:v>
      </x:c>
      <x:c r="Q130" s="12" t="n">
        <x:v>68.15500526428222</x:v>
      </x:c>
      <x:c r="R130" s="12" t="n">
        <x:v>53.212620415946006</x:v>
      </x:c>
      <x:c r="S130" s="12" t="n">
        <x:v>1.8581150989109443</x:v>
      </x:c>
      <x:c r="T130" s="12" t="n">
        <x:v>72.1</x:v>
      </x:c>
      <x:c r="U130" s="12" t="n">
        <x:v>211.4154781728841</x:v>
      </x:c>
      <x:c r="V130" s="12" t="n">
        <x:v>325.42757789465</x:v>
      </x:c>
      <x:c r="W130" s="12" t="n">
        <x:f>IF(ISNUMBER(E130),IF($I$172&gt;$H$172,(E130-$H$172)/($I$172-$H$172),"缺失"),"缺失")</x:f>
        <x:v>0.59375</x:v>
      </x:c>
      <x:c r="X130" s="12" t="n">
        <x:f>IF(ISNUMBER(F130),IF($I$173&gt;$H$173,(F130-$H$173)/($I$173-$H$173),"缺失"),"缺失")</x:f>
        <x:v>0.2299212598425201</x:v>
      </x:c>
      <x:c r="Y130" s="12" t="n">
        <x:f>IF(ISNUMBER(G130),IF($I$174&gt;$H$174,(G130-$H$174)/($I$174-$H$174),"缺失"),"缺失")</x:f>
        <x:v>0.5352589053992266</x:v>
      </x:c>
      <x:c r="Z130" s="12" t="n">
        <x:f>IF(ISNUMBER(H130),IF($I$175&gt;$H$175,(H130-$H$175)/($I$175-$H$175),"缺失"),"缺失")</x:f>
        <x:v>0.45368887022140225</x:v>
      </x:c>
      <x:c r="AA130" s="12" t="n">
        <x:f>IF(ISNUMBER(I130),IF($I$176&gt;$H$176,(I130-$H$176)/($I$176-$H$176),"缺失"),"缺失")</x:f>
        <x:v>0.9552586334903265</x:v>
      </x:c>
      <x:c r="AB130" s="12" t="n">
        <x:f>IF(ISNUMBER(J130),IF($I$177&gt;$H$177,(J130-$H$177)/($I$177-$H$177),"缺失"),"缺失")</x:f>
        <x:v>0.1021757510565256</x:v>
      </x:c>
      <x:c r="AC130" s="12" t="n">
        <x:f>IF(ISNUMBER(K130),IF($I$178&gt;$H$178,(K130-$H$178)/($I$178-$H$178),"缺失"),"缺失")</x:f>
        <x:v>0.5963181439514489</x:v>
      </x:c>
      <x:c r="AD130" s="12" t="n">
        <x:f>IF(ISNUMBER(L130),IF($I$179&gt;$H$179,(L130-$H$179)/($I$179-$H$179),"缺失"),"缺失")</x:f>
        <x:v>0.21175484943416642</x:v>
      </x:c>
      <x:c r="AE130" s="12" t="n">
        <x:f>IF(ISNUMBER(M130),IF($I$180&gt;$H$180,(M130-$H$180)/($I$180-$H$180),"缺失"),"缺失")</x:f>
        <x:v>0.212015556</x:v>
      </x:c>
      <x:c r="AF130" s="12" t="n">
        <x:f>IF(ISNUMBER(N130),IF($I$181&gt;$H$181,(N130-$H$181)/($I$181-$H$181),"缺失"),"缺失")</x:f>
        <x:v>0.008158562453221033</x:v>
      </x:c>
      <x:c r="AG130" s="12" t="n">
        <x:f>IF(ISNUMBER(O130),IF($I$182&gt;$H$182,(O130-$H$182)/($I$182-$H$182),"缺失"),"缺失")</x:f>
        <x:v>0.7044076021027093</x:v>
      </x:c>
      <x:c r="AH130" s="12" t="n">
        <x:f>IF(ISNUMBER(P130),IF($I$183&gt;$H$183,(P130-$H$183)/($I$183-$H$183),"缺失"),"缺失")</x:f>
        <x:v>0.8303141820023932</x:v>
      </x:c>
      <x:c r="AI130" s="12" t="n">
        <x:f>IF(ISNUMBER(Q130),IF($I$184&gt;$H$184,(Q130-$H$184)/($I$184-$H$184),"缺失"),"缺失")</x:f>
        <x:v>0.7971882753046878</x:v>
      </x:c>
      <x:c r="AJ130" s="12" t="n">
        <x:f>IF(ISNUMBER(R130),IF($I$185&gt;$H$185,(R130-$H$185)/($I$185-$H$185),"缺失"),"缺失")</x:f>
        <x:v>0.5576714839971645</x:v>
      </x:c>
      <x:c r="AK130" s="12" t="n">
        <x:f>IF(ISNUMBER(S130),IF($I$186&gt;$H$186,(S130-$H$186)/($I$186-$H$186),"缺失"),"缺失")</x:f>
        <x:v>0.03611408713952014</x:v>
      </x:c>
      <x:c r="AL130" s="12" t="n">
        <x:f>IF(ISNUMBER(T130),IF($I$187&gt;$H$187,(T130-$H$187)/($I$187-$H$187),"缺失"),"缺失")</x:f>
        <x:v>0</x:v>
      </x:c>
      <x:c r="AM130" s="12" t="n">
        <x:f>IF(ISNUMBER(U130),IF($I$188&gt;$H$188,(U130-$H$188)/($I$188-$H$188),"缺失"),"缺失")</x:f>
        <x:v>0</x:v>
      </x:c>
      <x:c r="AN130" s="12" t="n">
        <x:f>IF(ISNUMBER(V130),IF($I$189&gt;$H$189,(V130-$H$189)/($I$189-$H$189),"缺失"),"缺失")</x:f>
        <x:v>1</x:v>
      </x:c>
      <x:c r="AO130" s="23" t="str"/>
      <x:c r="AP130" s="23" t="str">
        <x:v>见指标口径：州级、产业、代表点代理；气候基期待核实</x:v>
      </x:c>
      <x:c r="AQ130" s="15" t="n">
        <x:v>0.9999999999999977</x:v>
      </x:c>
      <x:c r="AR130" s="15" t="n">
        <x:v>0.9999999999999983</x:v>
      </x:c>
      <x:c r="AS130" s="15" t="n">
        <x:v>1</x:v>
      </x:c>
      <x:c r="AT130" s="15" t="n">
        <x:v>1</x:v>
      </x:c>
    </x:row>
    <x:row r="131" ht="24" customHeight="1">
      <x:c r="A131" s="18" t="str">
        <x:v>13253</x:v>
      </x:c>
      <x:c r="B131" s="3" t="str">
        <x:v>Seminole County</x:v>
      </x:c>
      <x:c r="C131" s="3" t="str">
        <x:v>GA</x:v>
      </x:c>
      <x:c r="D131" s="12" t="n">
        <x:v>615.253333</x:v>
      </x:c>
      <x:c r="E131" s="12" t="n">
        <x:v>0.45</x:v>
      </x:c>
      <x:c r="F131" s="12" t="n">
        <x:v>0.861076732673267</x:v>
      </x:c>
      <x:c r="G131" s="12" t="n">
        <x:v>0.8782511201307867</x:v>
      </x:c>
      <x:c r="H131" s="12" t="n">
        <x:v>0.8547483836318205</x:v>
      </x:c>
      <x:c r="I131" s="12" t="n">
        <x:v>0.9237096860761067</x:v>
      </x:c>
      <x:c r="J131" s="12" t="n">
        <x:v>0.029084629353153733</x:v>
      </x:c>
      <x:c r="K131" s="12" t="n">
        <x:v>0.11275328175184957</x:v>
      </x:c>
      <x:c r="L131" s="24" t="n">
        <x:v>0.813413131</x:v>
      </x:c>
      <x:c r="M131" s="24" t="n">
        <x:v>0.811476853</x:v>
      </x:c>
      <x:c r="N131" s="13" t="n">
        <x:v>3220</x:v>
      </x:c>
      <x:c r="O131" s="12" t="n">
        <x:v>0.8813</x:v>
      </x:c>
      <x:c r="P131" s="12" t="n">
        <x:v>2368.1012939453126</x:v>
      </x:c>
      <x:c r="Q131" s="12" t="n">
        <x:v>81.10312067667643</x:v>
      </x:c>
      <x:c r="R131" s="12" t="n">
        <x:v>33.0860054395983</x:v>
      </x:c>
      <x:c r="S131" s="12" t="n">
        <x:v>10.262838995519202</x:v>
      </x:c>
      <x:c r="T131" s="12" t="n">
        <x:v>72.1</x:v>
      </x:c>
      <x:c r="U131" s="12" t="n">
        <x:v>211.4154781728841</x:v>
      </x:c>
      <x:c r="V131" s="12" t="n">
        <x:v>325.42757789465</x:v>
      </x:c>
      <x:c r="W131" s="12" t="n">
        <x:f>IF(ISNUMBER(E131),IF($I$172&gt;$H$172,(E131-$H$172)/($I$172-$H$172),"缺失"),"缺失")</x:f>
        <x:v>0.4652777777777778</x:v>
      </x:c>
      <x:c r="X131" s="12" t="n">
        <x:f>IF(ISNUMBER(F131),IF($I$173&gt;$H$173,(F131-$H$173)/($I$173-$H$173),"缺失"),"缺失")</x:f>
        <x:v>0.8702362204724404</x:v>
      </x:c>
      <x:c r="Y131" s="12" t="n">
        <x:f>IF(ISNUMBER(G131),IF($I$174&gt;$H$174,(G131-$H$174)/($I$174-$H$174),"缺失"),"缺失")</x:f>
        <x:v>0.2306819530247586</x:v>
      </x:c>
      <x:c r="Z131" s="12" t="n">
        <x:f>IF(ISNUMBER(H131),IF($I$175&gt;$H$175,(H131-$H$175)/($I$175-$H$175),"缺失"),"缺失")</x:f>
        <x:v>0.21029286562118613</x:v>
      </x:c>
      <x:c r="AA131" s="12" t="n">
        <x:f>IF(ISNUMBER(I131),IF($I$176&gt;$H$176,(I131-$H$176)/($I$176-$H$176),"缺失"),"缺失")</x:f>
        <x:v>0.9273125108467459</x:v>
      </x:c>
      <x:c r="AB131" s="12" t="n">
        <x:f>IF(ISNUMBER(J131),IF($I$177&gt;$H$177,(J131-$H$177)/($I$177-$H$177),"缺失"),"缺失")</x:f>
        <x:v>0.07134442074506347</x:v>
      </x:c>
      <x:c r="AC131" s="12" t="n">
        <x:f>IF(ISNUMBER(K131),IF($I$178&gt;$H$178,(K131-$H$178)/($I$178-$H$178),"缺失"),"缺失")</x:f>
        <x:v>0.19384558325064816</x:v>
      </x:c>
      <x:c r="AD131" s="12" t="n">
        <x:f>IF(ISNUMBER(L131),IF($I$179&gt;$H$179,(L131-$H$179)/($I$179-$H$179),"缺失"),"缺失")</x:f>
        <x:v>0.8133513982815218</x:v>
      </x:c>
      <x:c r="AE131" s="12" t="n">
        <x:f>IF(ISNUMBER(M131),IF($I$180&gt;$H$180,(M131-$H$180)/($I$180-$H$180),"缺失"),"缺失")</x:f>
        <x:v>0.811476853</x:v>
      </x:c>
      <x:c r="AF131" s="12" t="n">
        <x:f>IF(ISNUMBER(N131),IF($I$181&gt;$H$181,(N131-$H$181)/($I$181-$H$181),"缺失"),"缺失")</x:f>
        <x:v>0.003931762491731187</x:v>
      </x:c>
      <x:c r="AG131" s="12" t="n">
        <x:f>IF(ISNUMBER(O131),IF($I$182&gt;$H$182,(O131-$H$182)/($I$182-$H$182),"缺失"),"缺失")</x:f>
        <x:v>0.8886979377274565</x:v>
      </x:c>
      <x:c r="AH131" s="12" t="n">
        <x:f>IF(ISNUMBER(P131),IF($I$183&gt;$H$183,(P131-$H$183)/($I$183-$H$183),"缺失"),"缺失")</x:f>
        <x:v>0.9412471162583526</x:v>
      </x:c>
      <x:c r="AI131" s="12" t="n">
        <x:f>IF(ISNUMBER(Q131),IF($I$184&gt;$H$184,(Q131-$H$184)/($I$184-$H$184),"缺失"),"缺失")</x:f>
        <x:v>0.9493492917395081</x:v>
      </x:c>
      <x:c r="AJ131" s="12" t="n">
        <x:f>IF(ISNUMBER(R131),IF($I$185&gt;$H$185,(R131-$H$185)/($I$185-$H$185),"缺失"),"缺失")</x:f>
        <x:v>0.34617198229105284</x:v>
      </x:c>
      <x:c r="AK131" s="12" t="n">
        <x:f>IF(ISNUMBER(S131),IF($I$186&gt;$H$186,(S131-$H$186)/($I$186-$H$186),"缺失"),"缺失")</x:f>
        <x:v>0.2001882486082109</x:v>
      </x:c>
      <x:c r="AL131" s="12" t="n">
        <x:f>IF(ISNUMBER(T131),IF($I$187&gt;$H$187,(T131-$H$187)/($I$187-$H$187),"缺失"),"缺失")</x:f>
        <x:v>0</x:v>
      </x:c>
      <x:c r="AM131" s="12" t="n">
        <x:f>IF(ISNUMBER(U131),IF($I$188&gt;$H$188,(U131-$H$188)/($I$188-$H$188),"缺失"),"缺失")</x:f>
        <x:v>0</x:v>
      </x:c>
      <x:c r="AN131" s="12" t="n">
        <x:f>IF(ISNUMBER(V131),IF($I$189&gt;$H$189,(V131-$H$189)/($I$189-$H$189),"缺失"),"缺失")</x:f>
        <x:v>1</x:v>
      </x:c>
      <x:c r="AO131" s="23" t="str"/>
      <x:c r="AP131" s="23" t="str">
        <x:v>见指标口径：州级、产业、代表点代理；气候基期待核实</x:v>
      </x:c>
      <x:c r="AQ131" s="15" t="n">
        <x:v>0.9999999999999956</x:v>
      </x:c>
      <x:c r="AR131" s="15" t="n">
        <x:v>0.9999999999999993</x:v>
      </x:c>
      <x:c r="AS131" s="15" t="n">
        <x:v>1</x:v>
      </x:c>
      <x:c r="AT131" s="15" t="n">
        <x:v>1</x:v>
      </x:c>
    </x:row>
    <x:row r="132" ht="24" customHeight="1">
      <x:c r="A132" s="18" t="str">
        <x:v>13255</x:v>
      </x:c>
      <x:c r="B132" s="3" t="str">
        <x:v>Spalding County</x:v>
      </x:c>
      <x:c r="C132" s="3" t="str">
        <x:v>GA</x:v>
      </x:c>
      <x:c r="D132" s="12" t="n">
        <x:v>507.561204</x:v>
      </x:c>
      <x:c r="E132" s="12" t="n">
        <x:v>0.596</x:v>
      </x:c>
      <x:c r="F132" s="12" t="n">
        <x:v>0.197710396039604</x:v>
      </x:c>
      <x:c r="G132" s="12" t="n">
        <x:v>1.7913401833569405</x:v>
      </x:c>
      <x:c r="H132" s="12" t="n">
        <x:v>1.7197683646878836</x:v>
      </x:c>
      <x:c r="I132" s="12" t="n">
        <x:v>0.8236460223313916</x:v>
      </x:c>
      <x:c r="J132" s="12" t="n">
        <x:v>0.004233219354656153</x:v>
      </x:c>
      <x:c r="K132" s="12" t="n">
        <x:v>0.07219504776456191</x:v>
      </x:c>
      <x:c r="L132" s="24" t="n">
        <x:v>0.814293701</x:v>
      </x:c>
      <x:c r="M132" s="24" t="n">
        <x:v>0.814076283</x:v>
      </x:c>
      <x:c r="N132" s="13" t="n">
        <x:v>31375</x:v>
      </x:c>
      <x:c r="O132" s="12" t="n">
        <x:v>0.8206</x:v>
      </x:c>
      <x:c r="P132" s="12" t="n">
        <x:v>1642.705615234375</x:v>
      </x:c>
      <x:c r="Q132" s="12" t="n">
        <x:v>35.28617534637451</x:v>
      </x:c>
      <x:c r="R132" s="12" t="n">
        <x:v>16.571749710674933</x:v>
      </x:c>
      <x:c r="S132" s="12" t="n">
        <x:v>0.40234373187133565</x:v>
      </x:c>
      <x:c r="T132" s="12" t="n">
        <x:v>72.1</x:v>
      </x:c>
      <x:c r="U132" s="12" t="n">
        <x:v>211.4154781728841</x:v>
      </x:c>
      <x:c r="V132" s="12" t="n">
        <x:v>325.42757789465</x:v>
      </x:c>
      <x:c r="W132" s="12" t="n">
        <x:f>IF(ISNUMBER(E132),IF($I$172&gt;$H$172,(E132-$H$172)/($I$172-$H$172),"缺失"),"缺失")</x:f>
        <x:v>0.6342592592592592</x:v>
      </x:c>
      <x:c r="X132" s="12" t="n">
        <x:f>IF(ISNUMBER(F132),IF($I$173&gt;$H$173,(F132-$H$173)/($I$173-$H$173),"缺失"),"缺失")</x:f>
        <x:v>0.19496062992125981</x:v>
      </x:c>
      <x:c r="Y132" s="12" t="n">
        <x:f>IF(ISNUMBER(G132),IF($I$174&gt;$H$174,(G132-$H$174)/($I$174-$H$174),"缺失"),"缺失")</x:f>
        <x:v>0.47087091944913534</x:v>
      </x:c>
      <x:c r="Z132" s="12" t="n">
        <x:f>IF(ISNUMBER(H132),IF($I$175&gt;$H$175,(H132-$H$175)/($I$175-$H$175),"缺失"),"缺失")</x:f>
        <x:v>0.42354422321618906</x:v>
      </x:c>
      <x:c r="AA132" s="12" t="n">
        <x:f>IF(ISNUMBER(I132),IF($I$176&gt;$H$176,(I132-$H$176)/($I$176-$H$176),"缺失"),"缺失")</x:f>
        <x:v>0.8198915306873918</x:v>
      </x:c>
      <x:c r="AB132" s="12" t="n">
        <x:f>IF(ISNUMBER(J132),IF($I$177&gt;$H$177,(J132-$H$177)/($I$177-$H$177),"缺失"),"缺失")</x:f>
        <x:v>0.010384061597538843</x:v>
      </x:c>
      <x:c r="AC132" s="12" t="n">
        <x:f>IF(ISNUMBER(K132),IF($I$178&gt;$H$178,(K132-$H$178)/($I$178-$H$178),"缺失"),"缺失")</x:f>
        <x:v>0.12411781656634878</x:v>
      </x:c>
      <x:c r="AD132" s="12" t="n">
        <x:f>IF(ISNUMBER(L132),IF($I$179&gt;$H$179,(L132-$H$179)/($I$179-$H$179),"缺失"),"缺失")</x:f>
        <x:v>0.8142322596202436</x:v>
      </x:c>
      <x:c r="AE132" s="12" t="n">
        <x:f>IF(ISNUMBER(M132),IF($I$180&gt;$H$180,(M132-$H$180)/($I$180-$H$180),"缺失"),"缺失")</x:f>
        <x:v>0.814076283</x:v>
      </x:c>
      <x:c r="AF132" s="12" t="n">
        <x:f>IF(ISNUMBER(N132),IF($I$181&gt;$H$181,(N132-$H$181)/($I$181-$H$181),"缺失"),"缺失")</x:f>
        <x:v>0.04765165702359989</x:v>
      </x:c>
      <x:c r="AG132" s="12" t="n">
        <x:f>IF(ISNUMBER(O132),IF($I$182&gt;$H$182,(O132-$H$182)/($I$182-$H$182),"缺失"),"缺失")</x:f>
        <x:v>0.8273352203801052</x:v>
      </x:c>
      <x:c r="AH132" s="12" t="n">
        <x:f>IF(ISNUMBER(P132),IF($I$183&gt;$H$183,(P132-$H$183)/($I$183-$H$183),"缺失"),"缺失")</x:f>
        <x:v>0.6149234838779655</x:v>
      </x:c>
      <x:c r="AI132" s="12" t="n">
        <x:f>IF(ISNUMBER(Q132),IF($I$184&gt;$H$184,(Q132-$H$184)/($I$184-$H$184),"缺失"),"缺失")</x:f>
        <x:v>0.410927077436103</x:v>
      </x:c>
      <x:c r="AJ132" s="12" t="n">
        <x:f>IF(ISNUMBER(R132),IF($I$185&gt;$H$185,(R132-$H$185)/($I$185-$H$185),"缺失"),"缺失")</x:f>
        <x:v>0.17263277255214776</x:v>
      </x:c>
      <x:c r="AK132" s="12" t="n">
        <x:f>IF(ISNUMBER(S132),IF($I$186&gt;$H$186,(S132-$H$186)/($I$186-$H$186),"缺失"),"缺失")</x:f>
        <x:v>0.0076950136190272675</x:v>
      </x:c>
      <x:c r="AL132" s="12" t="n">
        <x:f>IF(ISNUMBER(T132),IF($I$187&gt;$H$187,(T132-$H$187)/($I$187-$H$187),"缺失"),"缺失")</x:f>
        <x:v>0</x:v>
      </x:c>
      <x:c r="AM132" s="12" t="n">
        <x:f>IF(ISNUMBER(U132),IF($I$188&gt;$H$188,(U132-$H$188)/($I$188-$H$188),"缺失"),"缺失")</x:f>
        <x:v>0</x:v>
      </x:c>
      <x:c r="AN132" s="12" t="n">
        <x:f>IF(ISNUMBER(V132),IF($I$189&gt;$H$189,(V132-$H$189)/($I$189-$H$189),"缺失"),"缺失")</x:f>
        <x:v>1</x:v>
      </x:c>
      <x:c r="AO132" s="23" t="str"/>
      <x:c r="AP132" s="23" t="str">
        <x:v>见指标口径：州级、产业、代表点代理；气候基期待核实</x:v>
      </x:c>
      <x:c r="AQ132" s="15" t="n">
        <x:v>1</x:v>
      </x:c>
      <x:c r="AR132" s="15" t="n">
        <x:v>1</x:v>
      </x:c>
      <x:c r="AS132" s="15" t="n">
        <x:v>1</x:v>
      </x:c>
      <x:c r="AT132" s="15" t="n">
        <x:v>1</x:v>
      </x:c>
    </x:row>
    <x:row r="133" ht="24" customHeight="1">
      <x:c r="A133" s="18" t="str">
        <x:v>13257</x:v>
      </x:c>
      <x:c r="B133" s="3" t="str">
        <x:v>Stephens County</x:v>
      </x:c>
      <x:c r="C133" s="3" t="str">
        <x:v>GA</x:v>
      </x:c>
      <x:c r="D133" s="12" t="n">
        <x:v>463.250301</x:v>
      </x:c>
      <x:c r="E133" s="12" t="n">
        <x:v>0.661</x:v>
      </x:c>
      <x:c r="F133" s="12" t="n">
        <x:v>0.297957920792079</x:v>
      </x:c>
      <x:c r="G133" s="12" t="n">
        <x:v>2.9319263807808364</x:v>
      </x:c>
      <x:c r="H133" s="12" t="n">
        <x:v>2.7353027589999996</x:v>
      </x:c>
      <x:c r="I133" s="12" t="n">
        <x:v>0.8829787644862195</x:v>
      </x:c>
      <x:c r="J133" s="12" t="n">
        <x:v>0.09196864429200224</x:v>
      </x:c>
      <x:c r="K133" s="12" t="n">
        <x:v>0.011670071402918676</x:v>
      </x:c>
      <x:c r="L133" s="24" t="n">
        <x:v>0.290189734</x:v>
      </x:c>
      <x:c r="M133" s="24" t="n">
        <x:v>0.290189734</x:v>
      </x:c>
      <x:c r="N133" s="13" t="n">
        <x:v>10554</x:v>
      </x:c>
      <x:c r="O133" s="12" t="n">
        <x:v>0.7836</x:v>
      </x:c>
      <x:c r="P133" s="12" t="n">
        <x:v>1454.659256998698</x:v>
      </x:c>
      <x:c r="Q133" s="12" t="n">
        <x:v>31.076625442504884</x:v>
      </x:c>
      <x:c r="R133" s="12" t="n">
        <x:v>18.429492018966965</x:v>
      </x:c>
      <x:c r="S133" s="12" t="n">
        <x:v>1.8707894875312596</x:v>
      </x:c>
      <x:c r="T133" s="12" t="n">
        <x:v>72.1</x:v>
      </x:c>
      <x:c r="U133" s="12" t="n">
        <x:v>211.4154781728841</x:v>
      </x:c>
      <x:c r="V133" s="12" t="n">
        <x:v>325.42757789465</x:v>
      </x:c>
      <x:c r="W133" s="12" t="n">
        <x:f>IF(ISNUMBER(E133),IF($I$172&gt;$H$172,(E133-$H$172)/($I$172-$H$172),"缺失"),"缺失")</x:f>
        <x:v>0.7094907407407407</x:v>
      </x:c>
      <x:c r="X133" s="12" t="n">
        <x:f>IF(ISNUMBER(F133),IF($I$173&gt;$H$173,(F133-$H$173)/($I$173-$H$173),"缺失"),"缺失")</x:f>
        <x:v>0.29700787401574774</x:v>
      </x:c>
      <x:c r="Y133" s="12" t="n">
        <x:f>IF(ISNUMBER(G133),IF($I$174&gt;$H$174,(G133-$H$174)/($I$174-$H$174),"缺失"),"缺失")</x:f>
        <x:v>0.7709032283557883</x:v>
      </x:c>
      <x:c r="Z133" s="12" t="n">
        <x:f>IF(ISNUMBER(H133),IF($I$175&gt;$H$175,(H133-$H$175)/($I$175-$H$175),"缺失"),"缺失")</x:f>
        <x:v>0.6739015479187752</x:v>
      </x:c>
      <x:c r="AA133" s="12" t="n">
        <x:f>IF(ISNUMBER(I133),IF($I$176&gt;$H$176,(I133-$H$176)/($I$176-$H$176),"缺失"),"缺失")</x:f>
        <x:v>0.8835867930762873</x:v>
      </x:c>
      <x:c r="AB133" s="12" t="n">
        <x:f>IF(ISNUMBER(J133),IF($I$177&gt;$H$177,(J133-$H$177)/($I$177-$H$177),"缺失"),"缺失")</x:f>
        <x:v>0.22559853089584622</x:v>
      </x:c>
      <x:c r="AC133" s="12" t="n">
        <x:f>IF(ISNUMBER(K133),IF($I$178&gt;$H$178,(K133-$H$178)/($I$178-$H$178),"缺失"),"缺失")</x:f>
        <x:v>0.020063201376738397</x:v>
      </x:c>
      <x:c r="AD133" s="12" t="n">
        <x:f>IF(ISNUMBER(L133),IF($I$179&gt;$H$179,(L133-$H$179)/($I$179-$H$179),"缺失"),"缺失")</x:f>
        <x:v>0.2899548915506961</x:v>
      </x:c>
      <x:c r="AE133" s="12" t="n">
        <x:f>IF(ISNUMBER(M133),IF($I$180&gt;$H$180,(M133-$H$180)/($I$180-$H$180),"缺失"),"缺失")</x:f>
        <x:v>0.290189734</x:v>
      </x:c>
      <x:c r="AF133" s="12" t="n">
        <x:f>IF(ISNUMBER(N133),IF($I$181&gt;$H$181,(N133-$H$181)/($I$181-$H$181),"缺失"),"缺失")</x:f>
        <x:v>0.015320208824415437</x:v>
      </x:c>
      <x:c r="AG133" s="12" t="n">
        <x:f>IF(ISNUMBER(O133),IF($I$182&gt;$H$182,(O133-$H$182)/($I$182-$H$182),"缺失"),"缺失")</x:f>
        <x:v>0.7899312575818843</x:v>
      </x:c>
      <x:c r="AH133" s="12" t="n">
        <x:f>IF(ISNUMBER(P133),IF($I$183&gt;$H$183,(P133-$H$183)/($I$183-$H$183),"缺失"),"缺失")</x:f>
        <x:v>0.530329692549602</x:v>
      </x:c>
      <x:c r="AI133" s="12" t="n">
        <x:f>IF(ISNUMBER(Q133),IF($I$184&gt;$H$184,(Q133-$H$184)/($I$184-$H$184),"缺失"),"缺失")</x:f>
        <x:v>0.3614581492017459</x:v>
      </x:c>
      <x:c r="AJ133" s="12" t="n">
        <x:f>IF(ISNUMBER(R133),IF($I$185&gt;$H$185,(R133-$H$185)/($I$185-$H$185),"缺失"),"缺失")</x:f>
        <x:v>0.19215476236334383</x:v>
      </x:c>
      <x:c r="AK133" s="12" t="n">
        <x:f>IF(ISNUMBER(S133),IF($I$186&gt;$H$186,(S133-$H$186)/($I$186-$H$186),"缺失"),"缺失")</x:f>
        <x:v>0.03636151224361497</x:v>
      </x:c>
      <x:c r="AL133" s="12" t="n">
        <x:f>IF(ISNUMBER(T133),IF($I$187&gt;$H$187,(T133-$H$187)/($I$187-$H$187),"缺失"),"缺失")</x:f>
        <x:v>0</x:v>
      </x:c>
      <x:c r="AM133" s="12" t="n">
        <x:f>IF(ISNUMBER(U133),IF($I$188&gt;$H$188,(U133-$H$188)/($I$188-$H$188),"缺失"),"缺失")</x:f>
        <x:v>0</x:v>
      </x:c>
      <x:c r="AN133" s="12" t="n">
        <x:f>IF(ISNUMBER(V133),IF($I$189&gt;$H$189,(V133-$H$189)/($I$189-$H$189),"缺失"),"缺失")</x:f>
        <x:v>1</x:v>
      </x:c>
      <x:c r="AO133" s="23" t="str"/>
      <x:c r="AP133" s="23" t="str">
        <x:v>见指标口径：州级、产业、代表点代理；气候基期待核实</x:v>
      </x:c>
      <x:c r="AQ133" s="15" t="n">
        <x:v>1</x:v>
      </x:c>
      <x:c r="AR133" s="15" t="n">
        <x:v>0.999999999999999</x:v>
      </x:c>
      <x:c r="AS133" s="15" t="n">
        <x:v>1</x:v>
      </x:c>
      <x:c r="AT133" s="15" t="n">
        <x:v>1</x:v>
      </x:c>
    </x:row>
    <x:row r="134" ht="24" customHeight="1">
      <x:c r="A134" s="18" t="str">
        <x:v>13259</x:v>
      </x:c>
      <x:c r="B134" s="3" t="str">
        <x:v>Stewart County</x:v>
      </x:c>
      <x:c r="C134" s="3" t="str">
        <x:v>GA</x:v>
      </x:c>
      <x:c r="D134" s="12" t="n">
        <x:v>1188.198306</x:v>
      </x:c>
      <x:c r="E134" s="12" t="n">
        <x:v>0.611</x:v>
      </x:c>
      <x:c r="F134" s="12" t="n">
        <x:v>0.11664603960396001</x:v>
      </x:c>
      <x:c r="G134" s="12" t="n">
        <x:v>0.10116196865574516</x:v>
      </x:c>
      <x:c r="H134" s="12" t="n">
        <x:v>0.09861893980971788</x:v>
      </x:c>
      <x:c r="I134" s="12" t="n">
        <x:v>0.9715679673171053</x:v>
      </x:c>
      <x:c r="J134" s="12" t="n">
        <x:v>0.02606283046635743</x:v>
      </x:c>
      <x:c r="K134" s="12" t="n">
        <x:v>0.08091676547559401</x:v>
      </x:c>
      <x:c r="L134" s="24" t="n">
        <x:v>0.124712203</x:v>
      </x:c>
      <x:c r="M134" s="24" t="n">
        <x:v>0.124712203</x:v>
      </x:c>
      <x:c r="N134" s="13" t="n">
        <x:v>1426</x:v>
      </x:c>
      <x:c r="O134" s="12" t="n">
        <x:v>0.9736</x:v>
      </x:c>
      <x:c r="P134" s="12" t="n">
        <x:v>2005.3450032552084</x:v>
      </x:c>
      <x:c r="Q134" s="12" t="n">
        <x:v>64.24030100504557</x:v>
      </x:c>
      <x:c r="R134" s="12" t="n">
        <x:v>37.74224514563012</x:v>
      </x:c>
      <x:c r="S134" s="12" t="n">
        <x:v>1.6145027816352586</x:v>
      </x:c>
      <x:c r="T134" s="12" t="n">
        <x:v>72.1</x:v>
      </x:c>
      <x:c r="U134" s="12" t="n">
        <x:v>211.4154781728841</x:v>
      </x:c>
      <x:c r="V134" s="12" t="n">
        <x:v>325.42757789465</x:v>
      </x:c>
      <x:c r="W134" s="12" t="n">
        <x:f>IF(ISNUMBER(E134),IF($I$172&gt;$H$172,(E134-$H$172)/($I$172-$H$172),"缺失"),"缺失")</x:f>
        <x:v>0.6516203703703703</x:v>
      </x:c>
      <x:c r="X134" s="12" t="n">
        <x:f>IF(ISNUMBER(F134),IF($I$173&gt;$H$173,(F134-$H$173)/($I$173-$H$173),"缺失"),"缺失")</x:f>
        <x:v>0.11244094488188934</x:v>
      </x:c>
      <x:c r="Y134" s="12" t="n">
        <x:f>IF(ISNUMBER(G134),IF($I$174&gt;$H$174,(G134-$H$174)/($I$174-$H$174),"缺失"),"缺失")</x:f>
        <x:v>0.026267895700585932</x:v>
      </x:c>
      <x:c r="Z134" s="12" t="n">
        <x:f>IF(ISNUMBER(H134),IF($I$175&gt;$H$175,(H134-$H$175)/($I$175-$H$175),"缺失"),"缺失")</x:f>
        <x:v>0.023886038098242086</x:v>
      </x:c>
      <x:c r="AA134" s="12" t="n">
        <x:f>IF(ISNUMBER(I134),IF($I$176&gt;$H$176,(I134-$H$176)/($I$176-$H$176),"缺失"),"缺失")</x:f>
        <x:v>0.9786896370407847</x:v>
      </x:c>
      <x:c r="AB134" s="12" t="n">
        <x:f>IF(ISNUMBER(J134),IF($I$177&gt;$H$177,(J134-$H$177)/($I$177-$H$177),"缺失"),"缺失")</x:f>
        <x:v>0.06393196626373508</x:v>
      </x:c>
      <x:c r="AC134" s="12" t="n">
        <x:f>IF(ISNUMBER(K134),IF($I$178&gt;$H$178,(K134-$H$178)/($I$178-$H$178),"缺失"),"缺失")</x:f>
        <x:v>0.13911220458215295</x:v>
      </x:c>
      <x:c r="AD134" s="12" t="n">
        <x:f>IF(ISNUMBER(L134),IF($I$179&gt;$H$179,(L134-$H$179)/($I$179-$H$179),"缺失"),"缺失")</x:f>
        <x:v>0.12442261190793026</x:v>
      </x:c>
      <x:c r="AE134" s="12" t="n">
        <x:f>IF(ISNUMBER(M134),IF($I$180&gt;$H$180,(M134-$H$180)/($I$180-$H$180),"缺失"),"缺失")</x:f>
        <x:v>0.124712203</x:v>
      </x:c>
      <x:c r="AF134" s="12" t="n">
        <x:f>IF(ISNUMBER(N134),IF($I$181&gt;$H$181,(N134-$H$181)/($I$181-$H$181),"缺失"),"缺失")</x:f>
        <x:v>0.0011459876456941611</x:v>
      </x:c>
      <x:c r="AG134" s="12" t="n">
        <x:f>IF(ISNUMBER(O134),IF($I$182&gt;$H$182,(O134-$H$182)/($I$182-$H$182),"缺失"),"缺失")</x:f>
        <x:v>0.9820056611403155</x:v>
      </x:c>
      <x:c r="AH134" s="12" t="n">
        <x:f>IF(ISNUMBER(P134),IF($I$183&gt;$H$183,(P134-$H$183)/($I$183-$H$183),"缺失"),"缺失")</x:f>
        <x:v>0.7780590053818305</x:v>
      </x:c>
      <x:c r="AI134" s="12" t="n">
        <x:f>IF(ISNUMBER(Q134),IF($I$184&gt;$H$184,(Q134-$H$184)/($I$184-$H$184),"缺失"),"缺失")</x:f>
        <x:v>0.7511842538579073</x:v>
      </x:c>
      <x:c r="AJ134" s="12" t="n">
        <x:f>IF(ISNUMBER(R134),IF($I$185&gt;$H$185,(R134-$H$185)/($I$185-$H$185),"缺失"),"缺失")</x:f>
        <x:v>0.3951018385439421</x:v>
      </x:c>
      <x:c r="AK134" s="12" t="n">
        <x:f>IF(ISNUMBER(S134),IF($I$186&gt;$H$186,(S134-$H$186)/($I$186-$H$186),"缺失"),"缺失")</x:f>
        <x:v>0.03135837033404805</x:v>
      </x:c>
      <x:c r="AL134" s="12" t="n">
        <x:f>IF(ISNUMBER(T134),IF($I$187&gt;$H$187,(T134-$H$187)/($I$187-$H$187),"缺失"),"缺失")</x:f>
        <x:v>0</x:v>
      </x:c>
      <x:c r="AM134" s="12" t="n">
        <x:f>IF(ISNUMBER(U134),IF($I$188&gt;$H$188,(U134-$H$188)/($I$188-$H$188),"缺失"),"缺失")</x:f>
        <x:v>0</x:v>
      </x:c>
      <x:c r="AN134" s="12" t="n">
        <x:f>IF(ISNUMBER(V134),IF($I$189&gt;$H$189,(V134-$H$189)/($I$189-$H$189),"缺失"),"缺失")</x:f>
        <x:v>1</x:v>
      </x:c>
      <x:c r="AO134" s="23" t="str"/>
      <x:c r="AP134" s="23" t="str">
        <x:v>见指标口径：州级、产业、代表点代理；气候基期待核实</x:v>
      </x:c>
      <x:c r="AQ134" s="15" t="n">
        <x:v>1.0000000000000007</x:v>
      </x:c>
      <x:c r="AR134" s="15" t="n">
        <x:v>1.0000000000000009</x:v>
      </x:c>
      <x:c r="AS134" s="15" t="n">
        <x:v>1</x:v>
      </x:c>
      <x:c r="AT134" s="15" t="n">
        <x:v>1</x:v>
      </x:c>
    </x:row>
    <x:row r="135" ht="24" customHeight="1">
      <x:c r="A135" s="18" t="str">
        <x:v>13261</x:v>
      </x:c>
      <x:c r="B135" s="3" t="str">
        <x:v>Sumter County</x:v>
      </x:c>
      <x:c r="C135" s="3" t="str">
        <x:v>GA</x:v>
      </x:c>
      <x:c r="D135" s="12" t="n">
        <x:v>1250.646291</x:v>
      </x:c>
      <x:c r="E135" s="12" t="n">
        <x:v>0.494</x:v>
      </x:c>
      <x:c r="F135" s="12" t="n">
        <x:v>0.286200495049505</x:v>
      </x:c>
      <x:c r="G135" s="12" t="n">
        <x:v>1.1652933984148754</x:v>
      </x:c>
      <x:c r="H135" s="12" t="n">
        <x:v>1.134330805</x:v>
      </x:c>
      <x:c r="I135" s="12" t="n">
        <x:v>0.9338165056609011</x:v>
      </x:c>
      <x:c r="J135" s="12" t="n">
        <x:v>0.0022346007079203757</x:v>
      </x:c>
      <x:c r="K135" s="12" t="n">
        <x:v>0.1308608018638078</x:v>
      </x:c>
      <x:c r="L135" s="24" t="n">
        <x:v>0.866242456</x:v>
      </x:c>
      <x:c r="M135" s="24" t="n">
        <x:v>0.859551299</x:v>
      </x:c>
      <x:c r="N135" s="13" t="n">
        <x:v>11969</x:v>
      </x:c>
      <x:c r="O135" s="12" t="n">
        <x:v>0.9631</x:v>
      </x:c>
      <x:c r="P135" s="12" t="n">
        <x:v>2059.6420166015623</x:v>
      </x:c>
      <x:c r="Q135" s="12" t="n">
        <x:v>64.18044522603353</x:v>
      </x:c>
      <x:c r="R135" s="12" t="n">
        <x:v>41.61466747338646</x:v>
      </x:c>
      <x:c r="S135" s="12" t="n">
        <x:v>0.5917436618323934</x:v>
      </x:c>
      <x:c r="T135" s="12" t="n">
        <x:v>72.1</x:v>
      </x:c>
      <x:c r="U135" s="12" t="n">
        <x:v>211.4154781728841</x:v>
      </x:c>
      <x:c r="V135" s="12" t="n">
        <x:v>325.42757789465</x:v>
      </x:c>
      <x:c r="W135" s="12" t="n">
        <x:f>IF(ISNUMBER(E135),IF($I$172&gt;$H$172,(E135-$H$172)/($I$172-$H$172),"缺失"),"缺失")</x:f>
        <x:v>0.5162037037037037</x:v>
      </x:c>
      <x:c r="X135" s="12" t="n">
        <x:f>IF(ISNUMBER(F135),IF($I$173&gt;$H$173,(F135-$H$173)/($I$173-$H$173),"缺失"),"缺失")</x:f>
        <x:v>0.28503937007874014</x:v>
      </x:c>
      <x:c r="Y135" s="12" t="n">
        <x:f>IF(ISNUMBER(G135),IF($I$174&gt;$H$174,(G135-$H$174)/($I$174-$H$174),"缺失"),"缺失")</x:f>
        <x:v>0.3061887035903138</x:v>
      </x:c>
      <x:c r="Z135" s="12" t="n">
        <x:f>IF(ISNUMBER(H135),IF($I$175&gt;$H$175,(H135-$H$175)/($I$175-$H$175),"缺失"),"缺失")</x:f>
        <x:v>0.27921766761671174</x:v>
      </x:c>
      <x:c r="AA135" s="12" t="n">
        <x:f>IF(ISNUMBER(I135),IF($I$176&gt;$H$176,(I135-$H$176)/($I$176-$H$176),"缺失"),"缺失")</x:f>
        <x:v>0.9381624480313587</x:v>
      </x:c>
      <x:c r="AB135" s="12" t="n">
        <x:f>IF(ISNUMBER(J135),IF($I$177&gt;$H$177,(J135-$H$177)/($I$177-$H$177),"缺失"),"缺失")</x:f>
        <x:v>0.0054814620866330864</x:v>
      </x:c>
      <x:c r="AC135" s="12" t="n">
        <x:f>IF(ISNUMBER(K135),IF($I$178&gt;$H$178,(K135-$H$178)/($I$178-$H$178),"缺失"),"缺失")</x:f>
        <x:v>0.22497605451312036</x:v>
      </x:c>
      <x:c r="AD135" s="12" t="n">
        <x:f>IF(ISNUMBER(L135),IF($I$179&gt;$H$179,(L135-$H$179)/($I$179-$H$179),"缺失"),"缺失")</x:f>
        <x:v>0.8661982019919214</x:v>
      </x:c>
      <x:c r="AE135" s="12" t="n">
        <x:f>IF(ISNUMBER(M135),IF($I$180&gt;$H$180,(M135-$H$180)/($I$180-$H$180),"缺失"),"缺失")</x:f>
        <x:v>0.859551299</x:v>
      </x:c>
      <x:c r="AF135" s="12" t="n">
        <x:f>IF(ISNUMBER(N135),IF($I$181&gt;$H$181,(N135-$H$181)/($I$181-$H$181),"缺失"),"缺失")</x:f>
        <x:v>0.01751746155972335</x:v>
      </x:c>
      <x:c r="AG135" s="12" t="n">
        <x:f>IF(ISNUMBER(O135),IF($I$182&gt;$H$182,(O135-$H$182)/($I$182-$H$182),"缺失"),"缺失")</x:f>
        <x:v>0.9713910230489284</x:v>
      </x:c>
      <x:c r="AH135" s="12" t="n">
        <x:f>IF(ISNUMBER(P135),IF($I$183&gt;$H$183,(P135-$H$183)/($I$183-$H$183),"缺失"),"缺失")</x:f>
        <x:v>0.8024848451580958</x:v>
      </x:c>
      <x:c r="AI135" s="12" t="n">
        <x:f>IF(ISNUMBER(Q135),IF($I$184&gt;$H$184,(Q135-$H$184)/($I$184-$H$184),"缺失"),"缺失")</x:f>
        <x:v>0.7504808529471267</x:v>
      </x:c>
      <x:c r="AJ135" s="12" t="n">
        <x:f>IF(ISNUMBER(R135),IF($I$185&gt;$H$185,(R135-$H$185)/($I$185-$H$185),"缺失"),"缺失")</x:f>
        <x:v>0.43579499005891736</x:v>
      </x:c>
      <x:c r="AK135" s="12" t="n">
        <x:f>IF(ISNUMBER(S135),IF($I$186&gt;$H$186,(S135-$H$186)/($I$186-$H$186),"缺失"),"缺失")</x:f>
        <x:v>0.011392414636939342</x:v>
      </x:c>
      <x:c r="AL135" s="12" t="n">
        <x:f>IF(ISNUMBER(T135),IF($I$187&gt;$H$187,(T135-$H$187)/($I$187-$H$187),"缺失"),"缺失")</x:f>
        <x:v>0</x:v>
      </x:c>
      <x:c r="AM135" s="12" t="n">
        <x:f>IF(ISNUMBER(U135),IF($I$188&gt;$H$188,(U135-$H$188)/($I$188-$H$188),"缺失"),"缺失")</x:f>
        <x:v>0</x:v>
      </x:c>
      <x:c r="AN135" s="12" t="n">
        <x:f>IF(ISNUMBER(V135),IF($I$189&gt;$H$189,(V135-$H$189)/($I$189-$H$189),"缺失"),"缺失")</x:f>
        <x:v>1</x:v>
      </x:c>
      <x:c r="AO135" s="23" t="str"/>
      <x:c r="AP135" s="23" t="str">
        <x:v>见指标口径：州级、产业、代表点代理；气候基期待核实</x:v>
      </x:c>
      <x:c r="AQ135" s="15" t="n">
        <x:v>0.9999999999999981</x:v>
      </x:c>
      <x:c r="AR135" s="15" t="n">
        <x:v>0.9999999999999998</x:v>
      </x:c>
      <x:c r="AS135" s="15" t="n">
        <x:v>1</x:v>
      </x:c>
      <x:c r="AT135" s="15" t="n">
        <x:v>1</x:v>
      </x:c>
    </x:row>
    <x:row r="136" ht="24" customHeight="1">
      <x:c r="A136" s="18" t="str">
        <x:v>13263</x:v>
      </x:c>
      <x:c r="B136" s="3" t="str">
        <x:v>Talbot County</x:v>
      </x:c>
      <x:c r="C136" s="3" t="str">
        <x:v>GA</x:v>
      </x:c>
      <x:c r="D136" s="12" t="n">
        <x:v>1013.662779</x:v>
      </x:c>
      <x:c r="E136" s="12" t="n">
        <x:v>0.713</x:v>
      </x:c>
      <x:c r="F136" s="12" t="n">
        <x:v>0.24535891089108902</x:v>
      </x:c>
      <x:c r="G136" s="12" t="n">
        <x:v>0.8982515420822963</x:v>
      </x:c>
      <x:c r="H136" s="12" t="n">
        <x:v>0.8713932089581732</x:v>
      </x:c>
      <x:c r="I136" s="12" t="n">
        <x:v>0.9642914509093975</x:v>
      </x:c>
      <x:c r="J136" s="12" t="n">
        <x:v>0.06674614592410592</x:v>
      </x:c>
      <x:c r="K136" s="12" t="n">
        <x:v>0.04497335480922399</x:v>
      </x:c>
      <x:c r="L136" s="24" t="n">
        <x:v>0.492031873</x:v>
      </x:c>
      <x:c r="M136" s="24" t="n">
        <x:v>0.492031873</x:v>
      </x:c>
      <x:c r="N136" s="13" t="n">
        <x:v>2358</x:v>
      </x:c>
      <x:c r="O136" s="12" t="n">
        <x:v>0.6923</x:v>
      </x:c>
      <x:c r="P136" s="12" t="n">
        <x:v>1762.5492024739583</x:v>
      </x:c>
      <x:c r="Q136" s="12" t="n">
        <x:v>50.69904123942057</x:v>
      </x:c>
      <x:c r="R136" s="12" t="n">
        <x:v>40.71610016746583</x:v>
      </x:c>
      <x:c r="S136" s="12" t="n">
        <x:v>1.761354813510595</x:v>
      </x:c>
      <x:c r="T136" s="12" t="n">
        <x:v>72.1</x:v>
      </x:c>
      <x:c r="U136" s="12" t="n">
        <x:v>211.4154781728841</x:v>
      </x:c>
      <x:c r="V136" s="12" t="n">
        <x:v>325.42757789465</x:v>
      </x:c>
      <x:c r="W136" s="12" t="n">
        <x:f>IF(ISNUMBER(E136),IF($I$172&gt;$H$172,(E136-$H$172)/($I$172-$H$172),"缺失"),"缺失")</x:f>
        <x:v>0.7696759259259258</x:v>
      </x:c>
      <x:c r="X136" s="12" t="n">
        <x:f>IF(ISNUMBER(F136),IF($I$173&gt;$H$173,(F136-$H$173)/($I$173-$H$173),"缺失"),"缺失")</x:f>
        <x:v>0.2434645669291337</x:v>
      </x:c>
      <x:c r="Y136" s="12" t="n">
        <x:f>IF(ISNUMBER(G136),IF($I$174&gt;$H$174,(G136-$H$174)/($I$174-$H$174),"缺失"),"缺失")</x:f>
        <x:v>0.23594308347747842</x:v>
      </x:c>
      <x:c r="Z136" s="12" t="n">
        <x:f>IF(ISNUMBER(H136),IF($I$175&gt;$H$175,(H136-$H$175)/($I$175-$H$175),"缺失"),"缺失")</x:f>
        <x:v>0.214396275571836</x:v>
      </x:c>
      <x:c r="AA136" s="12" t="n">
        <x:f>IF(ISNUMBER(I136),IF($I$176&gt;$H$176,(I136-$H$176)/($I$176-$H$176),"缺失"),"缺失")</x:f>
        <x:v>0.9708781049080442</x:v>
      </x:c>
      <x:c r="AB136" s="12" t="n">
        <x:f>IF(ISNUMBER(J136),IF($I$177&gt;$H$177,(J136-$H$177)/($I$177-$H$177),"缺失"),"缺失")</x:f>
        <x:v>0.1637278942117398</x:v>
      </x:c>
      <x:c r="AC136" s="12" t="n">
        <x:f>IF(ISNUMBER(K136),IF($I$178&gt;$H$178,(K136-$H$178)/($I$178-$H$178),"缺失"),"缺失")</x:f>
        <x:v>0.07731824793285327</x:v>
      </x:c>
      <x:c r="AD136" s="12" t="n">
        <x:f>IF(ISNUMBER(L136),IF($I$179&gt;$H$179,(L136-$H$179)/($I$179-$H$179),"缺失"),"缺失")</x:f>
        <x:v>0.4918638105122803</x:v>
      </x:c>
      <x:c r="AE136" s="12" t="n">
        <x:f>IF(ISNUMBER(M136),IF($I$180&gt;$H$180,(M136-$H$180)/($I$180-$H$180),"缺失"),"缺失")</x:f>
        <x:v>0.492031873</x:v>
      </x:c>
      <x:c r="AF136" s="12" t="n">
        <x:f>IF(ISNUMBER(N136),IF($I$181&gt;$H$181,(N136-$H$181)/($I$181-$H$181),"缺失"),"缺失")</x:f>
        <x:v>0.0025932240762997954</x:v>
      </x:c>
      <x:c r="AG136" s="12" t="n">
        <x:f>IF(ISNUMBER(O136),IF($I$182&gt;$H$182,(O136-$H$182)/($I$182-$H$182),"缺失"),"缺失")</x:f>
        <x:v>0.697634452082491</x:v>
      </x:c>
      <x:c r="AH136" s="12" t="n">
        <x:f>IF(ISNUMBER(P136),IF($I$183&gt;$H$183,(P136-$H$183)/($I$183-$H$183),"缺失"),"缺失")</x:f>
        <x:v>0.6688358462661906</x:v>
      </x:c>
      <x:c r="AI136" s="12" t="n">
        <x:f>IF(ISNUMBER(Q136),IF($I$184&gt;$H$184,(Q136-$H$184)/($I$184-$H$184),"缺失"),"缺失")</x:f>
        <x:v>0.5920528448365506</x:v>
      </x:c>
      <x:c r="AJ136" s="12" t="n">
        <x:f>IF(ISNUMBER(R136),IF($I$185&gt;$H$185,(R136-$H$185)/($I$185-$H$185),"缺失"),"缺失")</x:f>
        <x:v>0.42635244158889624</x:v>
      </x:c>
      <x:c r="AK136" s="12" t="n">
        <x:f>IF(ISNUMBER(S136),IF($I$186&gt;$H$186,(S136-$H$186)/($I$186-$H$186),"缺失"),"缺失")</x:f>
        <x:v>0.034225165756041946</x:v>
      </x:c>
      <x:c r="AL136" s="12" t="n">
        <x:f>IF(ISNUMBER(T136),IF($I$187&gt;$H$187,(T136-$H$187)/($I$187-$H$187),"缺失"),"缺失")</x:f>
        <x:v>0</x:v>
      </x:c>
      <x:c r="AM136" s="12" t="n">
        <x:f>IF(ISNUMBER(U136),IF($I$188&gt;$H$188,(U136-$H$188)/($I$188-$H$188),"缺失"),"缺失")</x:f>
        <x:v>0</x:v>
      </x:c>
      <x:c r="AN136" s="12" t="n">
        <x:f>IF(ISNUMBER(V136),IF($I$189&gt;$H$189,(V136-$H$189)/($I$189-$H$189),"缺失"),"缺失")</x:f>
        <x:v>1</x:v>
      </x:c>
      <x:c r="AO136" s="23" t="str"/>
      <x:c r="AP136" s="23" t="str">
        <x:v>见指标口径：州级、产业、代表点代理；气候基期待核实</x:v>
      </x:c>
      <x:c r="AQ136" s="15" t="n">
        <x:v>0.9999999999999997</x:v>
      </x:c>
      <x:c r="AR136" s="15" t="n">
        <x:v>0.9999999999999997</x:v>
      </x:c>
      <x:c r="AS136" s="15" t="n">
        <x:v>1</x:v>
      </x:c>
      <x:c r="AT136" s="15" t="n">
        <x:v>1</x:v>
      </x:c>
    </x:row>
    <x:row r="137" ht="24" customHeight="1">
      <x:c r="A137" s="18" t="str">
        <x:v>13265</x:v>
      </x:c>
      <x:c r="B137" s="3" t="str">
        <x:v>Taliaferro County</x:v>
      </x:c>
      <x:c r="C137" s="3" t="str">
        <x:v>GA</x:v>
      </x:c>
      <x:c r="D137" s="12" t="n">
        <x:v>504.029144</x:v>
      </x:c>
      <x:c r="E137" s="12" t="n">
        <x:v>0.681</x:v>
      </x:c>
      <x:c r="F137" s="12" t="n">
        <x:v>0.25990099009901</x:v>
      </x:c>
      <x:c r="G137" s="12" t="n">
        <x:v>2.167769383063446</x:v>
      </x:c>
      <x:c r="H137" s="12" t="n">
        <x:v>1.9733443217544688</x:v>
      </x:c>
      <x:c r="I137" s="12" t="n">
        <x:v>0.970068291569886</x:v>
      </x:c>
      <x:c r="J137" s="12" t="n">
        <x:v>0.0018582287664227987</x:v>
      </x:c>
      <x:c r="K137" s="12" t="n">
        <x:v>0.05347099791970081</x:v>
      </x:c>
      <x:c r="L137" s="24" t="n">
        <x:v>0.983164983</x:v>
      </x:c>
      <x:c r="M137" s="24" t="n">
        <x:v>0.983164983</x:v>
      </x:c>
      <x:c r="N137" s="13" t="n">
        <x:v>688</x:v>
      </x:c>
      <x:c r="O137" s="12" t="n">
        <x:v>0.692</x:v>
      </x:c>
      <x:c r="P137" s="12" t="n">
        <x:v>1721.379569498698</x:v>
      </x:c>
      <x:c r="Q137" s="12" t="n">
        <x:v>48.391488265991214</x:v>
      </x:c>
      <x:c r="R137" s="12" t="n">
        <x:v>3.805974018433076</x:v>
      </x:c>
      <x:c r="S137" s="12" t="n">
        <x:v>0.9675124950982116</x:v>
      </x:c>
      <x:c r="T137" s="12" t="n">
        <x:v>72.1</x:v>
      </x:c>
      <x:c r="U137" s="12" t="n">
        <x:v>211.4154781728841</x:v>
      </x:c>
      <x:c r="V137" s="12" t="n">
        <x:v>325.42757789465</x:v>
      </x:c>
      <x:c r="W137" s="12" t="n">
        <x:f>IF(ISNUMBER(E137),IF($I$172&gt;$H$172,(E137-$H$172)/($I$172-$H$172),"缺失"),"缺失")</x:f>
        <x:v>0.732638888888889</x:v>
      </x:c>
      <x:c r="X137" s="12" t="n">
        <x:f>IF(ISNUMBER(F137),IF($I$173&gt;$H$173,(F137-$H$173)/($I$173-$H$173),"缺失"),"缺失")</x:f>
        <x:v>0.2582677165354331</x:v>
      </x:c>
      <x:c r="Y137" s="12" t="n">
        <x:f>IF(ISNUMBER(G137),IF($I$174&gt;$H$174,(G137-$H$174)/($I$174-$H$174),"缺失"),"缺失")</x:f>
        <x:v>0.5698909866592352</x:v>
      </x:c>
      <x:c r="Z137" s="12" t="n">
        <x:f>IF(ISNUMBER(H137),IF($I$175&gt;$H$175,(H137-$H$175)/($I$175-$H$175),"缺失"),"缺失")</x:f>
        <x:v>0.4860577122478335</x:v>
      </x:c>
      <x:c r="AA137" s="12" t="n">
        <x:f>IF(ISNUMBER(I137),IF($I$176&gt;$H$176,(I137-$H$176)/($I$176-$H$176),"缺失"),"缺失")</x:f>
        <x:v>0.9770796956029169</x:v>
      </x:c>
      <x:c r="AB137" s="12" t="n">
        <x:f>IF(ISNUMBER(J137),IF($I$177&gt;$H$177,(J137-$H$177)/($I$177-$H$177),"缺失"),"缺失")</x:f>
        <x:v>0.004558223979494276</x:v>
      </x:c>
      <x:c r="AC137" s="12" t="n">
        <x:f>IF(ISNUMBER(K137),IF($I$178&gt;$H$178,(K137-$H$178)/($I$178-$H$178),"缺失"),"缺失")</x:f>
        <x:v>0.09192740661465111</x:v>
      </x:c>
      <x:c r="AD137" s="12" t="n">
        <x:f>IF(ISNUMBER(L137),IF($I$179&gt;$H$179,(L137-$H$179)/($I$179-$H$179),"缺失"),"缺失")</x:f>
        <x:v>0.9831594130937649</x:v>
      </x:c>
      <x:c r="AE137" s="12" t="n">
        <x:f>IF(ISNUMBER(M137),IF($I$180&gt;$H$180,(M137-$H$180)/($I$180-$H$180),"缺失"),"缺失")</x:f>
        <x:v>0.983164983</x:v>
      </x:c>
      <x:c r="AF137" s="12" t="n">
        <x:f>IF(ISNUMBER(N137),IF($I$181&gt;$H$181,(N137-$H$181)/($I$181-$H$181),"缺失"),"缺失")</x:f>
        <x:v>0</x:v>
      </x:c>
      <x:c r="AG137" s="12" t="n">
        <x:f>IF(ISNUMBER(O137),IF($I$182&gt;$H$182,(O137-$H$182)/($I$182-$H$182),"缺失"),"缺失")</x:f>
        <x:v>0.6973311767084512</x:v>
      </x:c>
      <x:c r="AH137" s="12" t="n">
        <x:f>IF(ISNUMBER(P137),IF($I$183&gt;$H$183,(P137-$H$183)/($I$183-$H$183),"缺失"),"缺失")</x:f>
        <x:v>0.6503154379283188</x:v>
      </x:c>
      <x:c r="AI137" s="12" t="n">
        <x:f>IF(ISNUMBER(Q137),IF($I$184&gt;$H$184,(Q137-$H$184)/($I$184-$H$184),"缺失"),"缺失")</x:f>
        <x:v>0.5649354154090909</x:v>
      </x:c>
      <x:c r="AJ137" s="12" t="n">
        <x:f>IF(ISNUMBER(R137),IF($I$185&gt;$H$185,(R137-$H$185)/($I$185-$H$185),"缺失"),"缺失")</x:f>
        <x:v>0.038484273116248295</x:v>
      </x:c>
      <x:c r="AK137" s="12" t="n">
        <x:f>IF(ISNUMBER(S137),IF($I$186&gt;$H$186,(S137-$H$186)/($I$186-$H$186),"缺失"),"缺失")</x:f>
        <x:v>0.018728046001229365</x:v>
      </x:c>
      <x:c r="AL137" s="12" t="n">
        <x:f>IF(ISNUMBER(T137),IF($I$187&gt;$H$187,(T137-$H$187)/($I$187-$H$187),"缺失"),"缺失")</x:f>
        <x:v>0</x:v>
      </x:c>
      <x:c r="AM137" s="12" t="n">
        <x:f>IF(ISNUMBER(U137),IF($I$188&gt;$H$188,(U137-$H$188)/($I$188-$H$188),"缺失"),"缺失")</x:f>
        <x:v>0</x:v>
      </x:c>
      <x:c r="AN137" s="12" t="n">
        <x:f>IF(ISNUMBER(V137),IF($I$189&gt;$H$189,(V137-$H$189)/($I$189-$H$189),"缺失"),"缺失")</x:f>
        <x:v>1</x:v>
      </x:c>
      <x:c r="AO137" s="23" t="str"/>
      <x:c r="AP137" s="23" t="str">
        <x:v>见指标口径：州级、产业、代表点代理；气候基期待核实</x:v>
      </x:c>
      <x:c r="AQ137" s="15" t="n">
        <x:v>1.0000000000000002</x:v>
      </x:c>
      <x:c r="AR137" s="15" t="n">
        <x:v>1.0000000000000004</x:v>
      </x:c>
      <x:c r="AS137" s="15" t="n">
        <x:v>1</x:v>
      </x:c>
      <x:c r="AT137" s="15" t="n">
        <x:v>1</x:v>
      </x:c>
    </x:row>
    <x:row r="138" ht="24" customHeight="1">
      <x:c r="A138" s="18" t="str">
        <x:v>13267</x:v>
      </x:c>
      <x:c r="B138" s="3" t="str">
        <x:v>Tattnall County</x:v>
      </x:c>
      <x:c r="C138" s="3" t="str">
        <x:v>GA</x:v>
      </x:c>
      <x:c r="D138" s="12" t="n">
        <x:v>1245.369508</x:v>
      </x:c>
      <x:c r="E138" s="12" t="n">
        <x:v>0.576</x:v>
      </x:c>
      <x:c r="F138" s="12" t="n">
        <x:v>0.245668316831683</x:v>
      </x:c>
      <x:c r="G138" s="12" t="n">
        <x:v>1.0761604079312106</x:v>
      </x:c>
      <x:c r="H138" s="12" t="n">
        <x:v>0.9777291367022928</x:v>
      </x:c>
      <x:c r="I138" s="12" t="n">
        <x:v>0.9288810635042907</x:v>
      </x:c>
      <x:c r="J138" s="12" t="n">
        <x:v>0.025414634851616994</x:v>
      </x:c>
      <x:c r="K138" s="12" t="n">
        <x:v>0.3063407911837836</x:v>
      </x:c>
      <x:c r="L138" s="24" t="n">
        <x:v>0.387440982</x:v>
      </x:c>
      <x:c r="M138" s="24" t="n">
        <x:v>0.387440982</x:v>
      </x:c>
      <x:c r="N138" s="13" t="n">
        <x:v>8489</x:v>
      </x:c>
      <x:c r="O138" s="12" t="n">
        <x:v>0.9287</x:v>
      </x:c>
      <x:c r="P138" s="12" t="n">
        <x:v>2282.7759358723956</x:v>
      </x:c>
      <x:c r="Q138" s="12" t="n">
        <x:v>73.5531494140625</x:v>
      </x:c>
      <x:c r="R138" s="12" t="n">
        <x:v>33.41071896480303</x:v>
      </x:c>
      <x:c r="S138" s="12" t="n">
        <x:v>13.405254869003315</x:v>
      </x:c>
      <x:c r="T138" s="12" t="n">
        <x:v>72.1</x:v>
      </x:c>
      <x:c r="U138" s="12" t="n">
        <x:v>211.4154781728841</x:v>
      </x:c>
      <x:c r="V138" s="12" t="n">
        <x:v>325.42757789465</x:v>
      </x:c>
      <x:c r="W138" s="12" t="n">
        <x:f>IF(ISNUMBER(E138),IF($I$172&gt;$H$172,(E138-$H$172)/($I$172-$H$172),"缺失"),"缺失")</x:f>
        <x:v>0.611111111111111</x:v>
      </x:c>
      <x:c r="X138" s="12" t="n">
        <x:f>IF(ISNUMBER(F138),IF($I$173&gt;$H$173,(F138-$H$173)/($I$173-$H$173),"缺失"),"缺失")</x:f>
        <x:v>0.24377952755905488</x:v>
      </x:c>
      <x:c r="Y138" s="12" t="n">
        <x:f>IF(ISNUMBER(G138),IF($I$174&gt;$H$174,(G138-$H$174)/($I$174-$H$174),"缺失"),"缺失")</x:f>
        <x:v>0.2827421837262567</x:v>
      </x:c>
      <x:c r="Z138" s="12" t="n">
        <x:f>IF(ISNUMBER(H138),IF($I$175&gt;$H$175,(H138-$H$175)/($I$175-$H$175),"缺失"),"缺失")</x:f>
        <x:v>0.24061102372698637</x:v>
      </x:c>
      <x:c r="AA138" s="12" t="n">
        <x:f>IF(ISNUMBER(I138),IF($I$176&gt;$H$176,(I138-$H$176)/($I$176-$H$176),"缺失"),"缺失")</x:f>
        <x:v>0.9328641208050493</x:v>
      </x:c>
      <x:c r="AB138" s="12" t="n">
        <x:f>IF(ISNUMBER(J138),IF($I$177&gt;$H$177,(J138-$H$177)/($I$177-$H$177),"缺失"),"缺失")</x:f>
        <x:v>0.06234194632221802</x:v>
      </x:c>
      <x:c r="AC138" s="12" t="n">
        <x:f>IF(ISNUMBER(K138),IF($I$178&gt;$H$178,(K138-$H$178)/($I$178-$H$178),"缺失"),"缺失")</x:f>
        <x:v>0.5266614720020019</x:v>
      </x:c>
      <x:c r="AD138" s="12" t="n">
        <x:f>IF(ISNUMBER(L138),IF($I$179&gt;$H$179,(L138-$H$179)/($I$179-$H$179),"缺失"),"缺失")</x:f>
        <x:v>0.3872383153621378</x:v>
      </x:c>
      <x:c r="AE138" s="12" t="n">
        <x:f>IF(ISNUMBER(M138),IF($I$180&gt;$H$180,(M138-$H$180)/($I$180-$H$180),"缺失"),"缺失")</x:f>
        <x:v>0.387440982</x:v>
      </x:c>
      <x:c r="AF138" s="12" t="n">
        <x:f>IF(ISNUMBER(N138),IF($I$181&gt;$H$181,(N138-$H$181)/($I$181-$H$181),"缺失"),"缺失")</x:f>
        <x:v>0.01211361737677527</x:v>
      </x:c>
      <x:c r="AG138" s="12" t="n">
        <x:f>IF(ISNUMBER(O138),IF($I$182&gt;$H$182,(O138-$H$182)/($I$182-$H$182),"缺失"),"缺失")</x:f>
        <x:v>0.9366154468257177</x:v>
      </x:c>
      <x:c r="AH138" s="12" t="n">
        <x:f>IF(ISNUMBER(P138),IF($I$183&gt;$H$183,(P138-$H$183)/($I$183-$H$183),"缺失"),"缺失")</x:f>
        <x:v>0.9028629879850893</x:v>
      </x:c>
      <x:c r="AI138" s="12" t="n">
        <x:f>IF(ISNUMBER(Q138),IF($I$184&gt;$H$184,(Q138-$H$184)/($I$184-$H$184),"缺失"),"缺失")</x:f>
        <x:v>0.8606250824794213</x:v>
      </x:c>
      <x:c r="AJ138" s="12" t="n">
        <x:f>IF(ISNUMBER(R138),IF($I$185&gt;$H$185,(R138-$H$185)/($I$185-$H$185),"缺失"),"缺失")</x:f>
        <x:v>0.34958421772451953</x:v>
      </x:c>
      <x:c r="AK138" s="12" t="n">
        <x:f>IF(ISNUMBER(S138),IF($I$186&gt;$H$186,(S138-$H$186)/($I$186-$H$186),"缺失"),"缺失")</x:f>
        <x:v>0.26153342255686096</x:v>
      </x:c>
      <x:c r="AL138" s="12" t="n">
        <x:f>IF(ISNUMBER(T138),IF($I$187&gt;$H$187,(T138-$H$187)/($I$187-$H$187),"缺失"),"缺失")</x:f>
        <x:v>0</x:v>
      </x:c>
      <x:c r="AM138" s="12" t="n">
        <x:f>IF(ISNUMBER(U138),IF($I$188&gt;$H$188,(U138-$H$188)/($I$188-$H$188),"缺失"),"缺失")</x:f>
        <x:v>0</x:v>
      </x:c>
      <x:c r="AN138" s="12" t="n">
        <x:f>IF(ISNUMBER(V138),IF($I$189&gt;$H$189,(V138-$H$189)/($I$189-$H$189),"缺失"),"缺失")</x:f>
        <x:v>1</x:v>
      </x:c>
      <x:c r="AO138" s="23" t="str"/>
      <x:c r="AP138" s="23" t="str">
        <x:v>见指标口径：州级、产业、代表点代理；气候基期待核实</x:v>
      </x:c>
      <x:c r="AQ138" s="15" t="n">
        <x:v>0.9999999999999998</x:v>
      </x:c>
      <x:c r="AR138" s="15" t="n">
        <x:v>0.9999999999999998</x:v>
      </x:c>
      <x:c r="AS138" s="15" t="n">
        <x:v>1</x:v>
      </x:c>
      <x:c r="AT138" s="15" t="n">
        <x:v>1</x:v>
      </x:c>
    </x:row>
    <x:row r="139" ht="24" customHeight="1">
      <x:c r="A139" s="18" t="str">
        <x:v>13269</x:v>
      </x:c>
      <x:c r="B139" s="3" t="str">
        <x:v>Taylor County</x:v>
      </x:c>
      <x:c r="C139" s="3" t="str">
        <x:v>GA</x:v>
      </x:c>
      <x:c r="D139" s="12" t="n">
        <x:v>975.613073</x:v>
      </x:c>
      <x:c r="E139" s="12" t="n">
        <x:v>0.615</x:v>
      </x:c>
      <x:c r="F139" s="12" t="n">
        <x:v>0.382116336633663</x:v>
      </x:c>
      <x:c r="G139" s="12" t="n">
        <x:v>1.1628286324523232</x:v>
      </x:c>
      <x:c r="H139" s="12" t="n">
        <x:v>1.1317670459021731</x:v>
      </x:c>
      <x:c r="I139" s="12" t="n">
        <x:v>0.9307183390085594</x:v>
      </x:c>
      <x:c r="J139" s="12" t="n">
        <x:v>0.014220775193700371</x:v>
      </x:c>
      <x:c r="K139" s="12" t="n">
        <x:v>0.10755696947535859</x:v>
      </x:c>
      <x:c r="L139" s="24" t="n">
        <x:v>0.724560232</x:v>
      </x:c>
      <x:c r="M139" s="24" t="n">
        <x:v>0.724560232</x:v>
      </x:c>
      <x:c r="N139" s="13" t="n">
        <x:v>2889</x:v>
      </x:c>
      <x:c r="O139" s="12" t="n">
        <x:v>0.9555</x:v>
      </x:c>
      <x:c r="P139" s="12" t="n">
        <x:v>1861.5720784505208</x:v>
      </x:c>
      <x:c r="Q139" s="12" t="n">
        <x:v>56.37840232849121</x:v>
      </x:c>
      <x:c r="R139" s="12" t="n">
        <x:v>47.651215451163594</x:v>
      </x:c>
      <x:c r="S139" s="12" t="n">
        <x:v>0.8037979256543115</x:v>
      </x:c>
      <x:c r="T139" s="12" t="n">
        <x:v>72.1</x:v>
      </x:c>
      <x:c r="U139" s="12" t="n">
        <x:v>211.4154781728841</x:v>
      </x:c>
      <x:c r="V139" s="12" t="n">
        <x:v>325.42757789465</x:v>
      </x:c>
      <x:c r="W139" s="12" t="n">
        <x:f>IF(ISNUMBER(E139),IF($I$172&gt;$H$172,(E139-$H$172)/($I$172-$H$172),"缺失"),"缺失")</x:f>
        <x:v>0.65625</x:v>
      </x:c>
      <x:c r="X139" s="12" t="n">
        <x:f>IF(ISNUMBER(F139),IF($I$173&gt;$H$173,(F139-$H$173)/($I$173-$H$173),"缺失"),"缺失")</x:f>
        <x:v>0.3826771653543303</x:v>
      </x:c>
      <x:c r="Y139" s="12" t="n">
        <x:f>IF(ISNUMBER(G139),IF($I$174&gt;$H$174,(G139-$H$174)/($I$174-$H$174),"缺失"),"缺失")</x:f>
        <x:v>0.30554034450589795</x:v>
      </x:c>
      <x:c r="Z139" s="12" t="n">
        <x:f>IF(ISNUMBER(H139),IF($I$175&gt;$H$175,(H139-$H$175)/($I$175-$H$175),"缺失"),"缺失")</x:f>
        <x:v>0.278585630068295</x:v>
      </x:c>
      <x:c r="AA139" s="12" t="n">
        <x:f>IF(ISNUMBER(I139),IF($I$176&gt;$H$176,(I139-$H$176)/($I$176-$H$176),"缺失"),"缺失")</x:f>
        <x:v>0.934836484479388</x:v>
      </x:c>
      <x:c r="AB139" s="12" t="n">
        <x:f>IF(ISNUMBER(J139),IF($I$177&gt;$H$177,(J139-$H$177)/($I$177-$H$177),"缺失"),"缺失")</x:f>
        <x:v>0.03488347595635795</x:v>
      </x:c>
      <x:c r="AC139" s="12" t="n">
        <x:f>IF(ISNUMBER(K139),IF($I$178&gt;$H$178,(K139-$H$178)/($I$178-$H$178),"缺失"),"缺失")</x:f>
        <x:v>0.18491207667470874</x:v>
      </x:c>
      <x:c r="AD139" s="12" t="n">
        <x:f>IF(ISNUMBER(L139),IF($I$179&gt;$H$179,(L139-$H$179)/($I$179-$H$179),"缺失"),"缺失")</x:f>
        <x:v>0.7244691020842307</x:v>
      </x:c>
      <x:c r="AE139" s="12" t="n">
        <x:f>IF(ISNUMBER(M139),IF($I$180&gt;$H$180,(M139-$H$180)/($I$180-$H$180),"缺失"),"缺失")</x:f>
        <x:v>0.724560232</x:v>
      </x:c>
      <x:c r="AF139" s="12" t="n">
        <x:f>IF(ISNUMBER(N139),IF($I$181&gt;$H$181,(N139-$H$181)/($I$181-$H$181),"缺失"),"缺失")</x:f>
        <x:v>0.003417776162835838</x:v>
      </x:c>
      <x:c r="AG139" s="12" t="n">
        <x:f>IF(ISNUMBER(O139),IF($I$182&gt;$H$182,(O139-$H$182)/($I$182-$H$182),"缺失"),"缺失")</x:f>
        <x:v>0.9637080469065913</x:v>
      </x:c>
      <x:c r="AH139" s="12" t="n">
        <x:f>IF(ISNUMBER(P139),IF($I$183&gt;$H$183,(P139-$H$183)/($I$183-$H$183),"缺失"),"缺失")</x:f>
        <x:v>0.7133818857943651</x:v>
      </x:c>
      <x:c r="AI139" s="12" t="n">
        <x:f>IF(ISNUMBER(Q139),IF($I$184&gt;$H$184,(Q139-$H$184)/($I$184-$H$184),"缺失"),"缺失")</x:f>
        <x:v>0.6587943997647796</x:v>
      </x:c>
      <x:c r="AJ139" s="12" t="n">
        <x:f>IF(ISNUMBER(R139),IF($I$185&gt;$H$185,(R139-$H$185)/($I$185-$H$185),"缺失"),"缺失")</x:f>
        <x:v>0.4992297450251786</x:v>
      </x:c>
      <x:c r="AK139" s="12" t="n">
        <x:f>IF(ISNUMBER(S139),IF($I$186&gt;$H$186,(S139-$H$186)/($I$186-$H$186),"缺失"),"缺失")</x:f>
        <x:v>0.015532065855759555</x:v>
      </x:c>
      <x:c r="AL139" s="12" t="n">
        <x:f>IF(ISNUMBER(T139),IF($I$187&gt;$H$187,(T139-$H$187)/($I$187-$H$187),"缺失"),"缺失")</x:f>
        <x:v>0</x:v>
      </x:c>
      <x:c r="AM139" s="12" t="n">
        <x:f>IF(ISNUMBER(U139),IF($I$188&gt;$H$188,(U139-$H$188)/($I$188-$H$188),"缺失"),"缺失")</x:f>
        <x:v>0</x:v>
      </x:c>
      <x:c r="AN139" s="12" t="n">
        <x:f>IF(ISNUMBER(V139),IF($I$189&gt;$H$189,(V139-$H$189)/($I$189-$H$189),"缺失"),"缺失")</x:f>
        <x:v>1</x:v>
      </x:c>
      <x:c r="AO139" s="23" t="str"/>
      <x:c r="AP139" s="23" t="str">
        <x:v>见指标口径：州级、产业、代表点代理；气候基期待核实</x:v>
      </x:c>
      <x:c r="AQ139" s="15" t="n">
        <x:v>0.9999999999999989</x:v>
      </x:c>
      <x:c r="AR139" s="15" t="n">
        <x:v>1</x:v>
      </x:c>
      <x:c r="AS139" s="15" t="n">
        <x:v>1</x:v>
      </x:c>
      <x:c r="AT139" s="15" t="n">
        <x:v>1</x:v>
      </x:c>
    </x:row>
    <x:row r="140" ht="24" customHeight="1">
      <x:c r="A140" s="18" t="str">
        <x:v>13271</x:v>
      </x:c>
      <x:c r="B140" s="3" t="str">
        <x:v>Telfair County</x:v>
      </x:c>
      <x:c r="C140" s="3" t="str">
        <x:v>GA</x:v>
      </x:c>
      <x:c r="D140" s="12" t="n">
        <x:v>1132.621092</x:v>
      </x:c>
      <x:c r="E140" s="12" t="n">
        <x:v>0.571</x:v>
      </x:c>
      <x:c r="F140" s="12" t="n">
        <x:v>0.32271039603960405</x:v>
      </x:c>
      <x:c r="G140" s="12" t="n">
        <x:v>2.544957488178401</x:v>
      </x:c>
      <x:c r="H140" s="12" t="n">
        <x:v>2.40952729901101</x:v>
      </x:c>
      <x:c r="I140" s="12" t="n">
        <x:v>0.9476965801367061</x:v>
      </x:c>
      <x:c r="J140" s="12" t="n">
        <x:v>0.03081986788598257</x:v>
      </x:c>
      <x:c r="K140" s="12" t="n">
        <x:v>0.2992526503190177</x:v>
      </x:c>
      <x:c r="L140" s="24" t="n">
        <x:v>0.403385049</x:v>
      </x:c>
      <x:c r="M140" s="24" t="n">
        <x:v>0.401269394</x:v>
      </x:c>
      <x:c r="N140" s="13" t="n">
        <x:v>2998</x:v>
      </x:c>
      <x:c r="O140" s="12" t="n">
        <x:v>0.9765</x:v>
      </x:c>
      <x:c r="P140" s="12" t="n">
        <x:v>2208.0450032552085</x:v>
      </x:c>
      <x:c r="Q140" s="12" t="n">
        <x:v>76.7364377339681</x:v>
      </x:c>
      <x:c r="R140" s="12" t="n">
        <x:v>61.6424258215371</x:v>
      </x:c>
      <x:c r="S140" s="12" t="n">
        <x:v>14.809350192979352</x:v>
      </x:c>
      <x:c r="T140" s="12" t="n">
        <x:v>72.1</x:v>
      </x:c>
      <x:c r="U140" s="12" t="n">
        <x:v>211.4154781728841</x:v>
      </x:c>
      <x:c r="V140" s="12" t="n">
        <x:v>325.42757789465</x:v>
      </x:c>
      <x:c r="W140" s="12" t="n">
        <x:f>IF(ISNUMBER(E140),IF($I$172&gt;$H$172,(E140-$H$172)/($I$172-$H$172),"缺失"),"缺失")</x:f>
        <x:v>0.605324074074074</x:v>
      </x:c>
      <x:c r="X140" s="12" t="n">
        <x:f>IF(ISNUMBER(F140),IF($I$173&gt;$H$173,(F140-$H$173)/($I$173-$H$173),"缺失"),"缺失")</x:f>
        <x:v>0.3222047244094488</x:v>
      </x:c>
      <x:c r="Y140" s="12" t="n">
        <x:f>IF(ISNUMBER(G140),IF($I$174&gt;$H$174,(G140-$H$174)/($I$174-$H$174),"缺失"),"缺失")</x:f>
        <x:v>0.6691106846753654</x:v>
      </x:c>
      <x:c r="Z140" s="12" t="n">
        <x:f>IF(ISNUMBER(H140),IF($I$175&gt;$H$175,(H140-$H$175)/($I$175-$H$175),"缺失"),"缺失")</x:f>
        <x:v>0.593588883893404</x:v>
      </x:c>
      <x:c r="AA140" s="12" t="n">
        <x:f>IF(ISNUMBER(I140),IF($I$176&gt;$H$176,(I140-$H$176)/($I$176-$H$176),"缺失"),"缺失")</x:f>
        <x:v>0.9530630737837767</x:v>
      </x:c>
      <x:c r="AB140" s="12" t="n">
        <x:f>IF(ISNUMBER(J140),IF($I$177&gt;$H$177,(J140-$H$177)/($I$177-$H$177),"缺失"),"缺失")</x:f>
        <x:v>0.07560095042182084</x:v>
      </x:c>
      <x:c r="AC140" s="12" t="n">
        <x:f>IF(ISNUMBER(K140),IF($I$178&gt;$H$178,(K140-$H$178)/($I$178-$H$178),"缺失"),"缺失")</x:f>
        <x:v>0.5144755313469241</x:v>
      </x:c>
      <x:c r="AD140" s="12" t="n">
        <x:f>IF(ISNUMBER(L140),IF($I$179&gt;$H$179,(L140-$H$179)/($I$179-$H$179),"缺失"),"缺失")</x:f>
        <x:v>0.403187657495403</x:v>
      </x:c>
      <x:c r="AE140" s="12" t="n">
        <x:f>IF(ISNUMBER(M140),IF($I$180&gt;$H$180,(M140-$H$180)/($I$180-$H$180),"缺失"),"缺失")</x:f>
        <x:v>0.401269394</x:v>
      </x:c>
      <x:c r="AF140" s="12" t="n">
        <x:f>IF(ISNUMBER(N140),IF($I$181&gt;$H$181,(N140-$H$181)/($I$181-$H$181),"缺失"),"缺失")</x:f>
        <x:v>0.0035870345007500163</x:v>
      </x:c>
      <x:c r="AG140" s="12" t="n">
        <x:f>IF(ISNUMBER(O140),IF($I$182&gt;$H$182,(O140-$H$182)/($I$182-$H$182),"缺失"),"缺失")</x:f>
        <x:v>0.9849373230893652</x:v>
      </x:c>
      <x:c r="AH140" s="12" t="n">
        <x:f>IF(ISNUMBER(P140),IF($I$183&gt;$H$183,(P140-$H$183)/($I$183-$H$183),"缺失"),"缺失")</x:f>
        <x:v>0.8692448260653074</x:v>
      </x:c>
      <x:c r="AI140" s="12" t="n">
        <x:f>IF(ISNUMBER(Q140),IF($I$184&gt;$H$184,(Q140-$H$184)/($I$184-$H$184),"缺失"),"缺失")</x:f>
        <x:v>0.8980337995733604</x:v>
      </x:c>
      <x:c r="AJ140" s="12" t="n">
        <x:f>IF(ISNUMBER(R140),IF($I$185&gt;$H$185,(R140-$H$185)/($I$185-$H$185),"缺失"),"缺失")</x:f>
        <x:v>0.6462556619554164</x:v>
      </x:c>
      <x:c r="AK140" s="12" t="n">
        <x:f>IF(ISNUMBER(S140),IF($I$186&gt;$H$186,(S140-$H$186)/($I$186-$H$186),"缺失"),"缺失")</x:f>
        <x:v>0.28894369393965397</x:v>
      </x:c>
      <x:c r="AL140" s="12" t="n">
        <x:f>IF(ISNUMBER(T140),IF($I$187&gt;$H$187,(T140-$H$187)/($I$187-$H$187),"缺失"),"缺失")</x:f>
        <x:v>0</x:v>
      </x:c>
      <x:c r="AM140" s="12" t="n">
        <x:f>IF(ISNUMBER(U140),IF($I$188&gt;$H$188,(U140-$H$188)/($I$188-$H$188),"缺失"),"缺失")</x:f>
        <x:v>0</x:v>
      </x:c>
      <x:c r="AN140" s="12" t="n">
        <x:f>IF(ISNUMBER(V140),IF($I$189&gt;$H$189,(V140-$H$189)/($I$189-$H$189),"缺失"),"缺失")</x:f>
        <x:v>1</x:v>
      </x:c>
      <x:c r="AO140" s="23" t="str"/>
      <x:c r="AP140" s="23" t="str">
        <x:v>见指标口径：州级、产业、代表点代理；气候基期待核实</x:v>
      </x:c>
      <x:c r="AQ140" s="15" t="n">
        <x:v>0.9999999999999973</x:v>
      </x:c>
      <x:c r="AR140" s="15" t="n">
        <x:v>0.9999999999999973</x:v>
      </x:c>
      <x:c r="AS140" s="15" t="n">
        <x:v>1</x:v>
      </x:c>
      <x:c r="AT140" s="15" t="n">
        <x:v>1</x:v>
      </x:c>
    </x:row>
    <x:row r="141" ht="24" customHeight="1">
      <x:c r="A141" s="18" t="str">
        <x:v>13273</x:v>
      </x:c>
      <x:c r="B141" s="3" t="str">
        <x:v>Terrell County</x:v>
      </x:c>
      <x:c r="C141" s="3" t="str">
        <x:v>GA</x:v>
      </x:c>
      <x:c r="D141" s="12" t="n">
        <x:v>869.69579</x:v>
      </x:c>
      <x:c r="E141" s="12" t="n">
        <x:v>0.472</x:v>
      </x:c>
      <x:c r="F141" s="12" t="n">
        <x:v>0.14944306930693102</x:v>
      </x:c>
      <x:c r="G141" s="12" t="n">
        <x:v>1.1652933984148754</x:v>
      </x:c>
      <x:c r="H141" s="12" t="n">
        <x:v>1.134330805</x:v>
      </x:c>
      <x:c r="I141" s="12" t="n">
        <x:v>0.9531279400361851</x:v>
      </x:c>
      <x:c r="J141" s="12" t="n">
        <x:v>0.006811670933776769</x:v>
      </x:c>
      <x:c r="K141" s="12" t="n">
        <x:v>0.18099870767640217</x:v>
      </x:c>
      <x:c r="L141" s="24" t="n">
        <x:v>0.711756228</x:v>
      </x:c>
      <x:c r="M141" s="24" t="n">
        <x:v>0.710520898</x:v>
      </x:c>
      <x:c r="N141" s="13" t="n">
        <x:v>3235</x:v>
      </x:c>
      <x:c r="O141" s="12" t="n">
        <x:v>0.9809</x:v>
      </x:c>
      <x:c r="P141" s="12" t="n">
        <x:v>2130.9595662434895</x:v>
      </x:c>
      <x:c r="Q141" s="12" t="n">
        <x:v>67.89384129842122</x:v>
      </x:c>
      <x:c r="R141" s="12" t="n">
        <x:v>67.72816122176704</x:v>
      </x:c>
      <x:c r="S141" s="12" t="n">
        <x:v>0.13225378073989608</x:v>
      </x:c>
      <x:c r="T141" s="12" t="n">
        <x:v>72.1</x:v>
      </x:c>
      <x:c r="U141" s="12" t="n">
        <x:v>211.4154781728841</x:v>
      </x:c>
      <x:c r="V141" s="12" t="n">
        <x:v>325.42757789465</x:v>
      </x:c>
      <x:c r="W141" s="12" t="n">
        <x:f>IF(ISNUMBER(E141),IF($I$172&gt;$H$172,(E141-$H$172)/($I$172-$H$172),"缺失"),"缺失")</x:f>
        <x:v>0.49074074074074076</x:v>
      </x:c>
      <x:c r="X141" s="12" t="n">
        <x:f>IF(ISNUMBER(F141),IF($I$173&gt;$H$173,(F141-$H$173)/($I$173-$H$173),"缺失"),"缺失")</x:f>
        <x:v>0.1458267716535436</x:v>
      </x:c>
      <x:c r="Y141" s="12" t="n">
        <x:f>IF(ISNUMBER(G141),IF($I$174&gt;$H$174,(G141-$H$174)/($I$174-$H$174),"缺失"),"缺失")</x:f>
        <x:v>0.3061887035903138</x:v>
      </x:c>
      <x:c r="Z141" s="12" t="n">
        <x:f>IF(ISNUMBER(H141),IF($I$175&gt;$H$175,(H141-$H$175)/($I$175-$H$175),"缺失"),"缺失")</x:f>
        <x:v>0.27921766761671174</x:v>
      </x:c>
      <x:c r="AA141" s="12" t="n">
        <x:f>IF(ISNUMBER(I141),IF($I$176&gt;$H$176,(I141-$H$176)/($I$176-$H$176),"缺失"),"缺失")</x:f>
        <x:v>0.9588937817767275</x:v>
      </x:c>
      <x:c r="AB141" s="12" t="n">
        <x:f>IF(ISNUMBER(J141),IF($I$177&gt;$H$177,(J141-$H$177)/($I$177-$H$177),"缺失"),"缺失")</x:f>
        <x:v>0.016708987801613277</x:v>
      </x:c>
      <x:c r="AC141" s="12" t="n">
        <x:f>IF(ISNUMBER(K141),IF($I$178&gt;$H$178,(K141-$H$178)/($I$178-$H$178),"缺失"),"缺失")</x:f>
        <x:v>0.311173205001372</x:v>
      </x:c>
      <x:c r="AD141" s="12" t="n">
        <x:f>IF(ISNUMBER(L141),IF($I$179&gt;$H$179,(L141-$H$179)/($I$179-$H$179),"缺失"),"缺失")</x:f>
        <x:v>0.7116608618484304</x:v>
      </x:c>
      <x:c r="AE141" s="12" t="n">
        <x:f>IF(ISNUMBER(M141),IF($I$180&gt;$H$180,(M141-$H$180)/($I$180-$H$180),"缺失"),"缺失")</x:f>
        <x:v>0.710520898</x:v>
      </x:c>
      <x:c r="AF141" s="12" t="n">
        <x:f>IF(ISNUMBER(N141),IF($I$181&gt;$H$181,(N141-$H$181)/($I$181-$H$181),"缺失"),"缺失")</x:f>
        <x:v>0.003955054923554239</x:v>
      </x:c>
      <x:c r="AG141" s="12" t="n">
        <x:f>IF(ISNUMBER(O141),IF($I$182&gt;$H$182,(O141-$H$182)/($I$182-$H$182),"缺失"),"缺失")</x:f>
        <x:v>0.989385361908613</x:v>
      </x:c>
      <x:c r="AH141" s="12" t="n">
        <x:f>IF(ISNUMBER(P141),IF($I$183&gt;$H$183,(P141-$H$183)/($I$183-$H$183),"缺失"),"缺失")</x:f>
        <x:v>0.8345674761064615</x:v>
      </x:c>
      <x:c r="AI141" s="12" t="n">
        <x:f>IF(ISNUMBER(Q141),IF($I$184&gt;$H$184,(Q141-$H$184)/($I$184-$H$184),"缺失"),"缺失")</x:f>
        <x:v>0.7941191819860168</x:v>
      </x:c>
      <x:c r="AJ141" s="12" t="n">
        <x:f>IF(ISNUMBER(R141),IF($I$185&gt;$H$185,(R141-$H$185)/($I$185-$H$185),"缺失"),"缺失")</x:f>
        <x:v>0.7102073004289738</x:v>
      </x:c>
      <x:c r="AK141" s="12" t="n">
        <x:f>IF(ISNUMBER(S141),IF($I$186&gt;$H$186,(S141-$H$186)/($I$186-$H$186),"缺失"),"缺失")</x:f>
        <x:v>0.00242240945044846</x:v>
      </x:c>
      <x:c r="AL141" s="12" t="n">
        <x:f>IF(ISNUMBER(T141),IF($I$187&gt;$H$187,(T141-$H$187)/($I$187-$H$187),"缺失"),"缺失")</x:f>
        <x:v>0</x:v>
      </x:c>
      <x:c r="AM141" s="12" t="n">
        <x:f>IF(ISNUMBER(U141),IF($I$188&gt;$H$188,(U141-$H$188)/($I$188-$H$188),"缺失"),"缺失")</x:f>
        <x:v>0</x:v>
      </x:c>
      <x:c r="AN141" s="12" t="n">
        <x:f>IF(ISNUMBER(V141),IF($I$189&gt;$H$189,(V141-$H$189)/($I$189-$H$189),"缺失"),"缺失")</x:f>
        <x:v>1</x:v>
      </x:c>
      <x:c r="AO141" s="23" t="str"/>
      <x:c r="AP141" s="23" t="str">
        <x:v>见指标口径：州级、产业、代表点代理；气候基期待核实</x:v>
      </x:c>
      <x:c r="AQ141" s="15" t="n">
        <x:v>0.9999999999999988</x:v>
      </x:c>
      <x:c r="AR141" s="15" t="n">
        <x:v>0.9999999999999978</x:v>
      </x:c>
      <x:c r="AS141" s="15" t="n">
        <x:v>1</x:v>
      </x:c>
      <x:c r="AT141" s="15" t="n">
        <x:v>1</x:v>
      </x:c>
    </x:row>
    <x:row r="142" ht="24" customHeight="1">
      <x:c r="A142" s="18" t="str">
        <x:v>13275</x:v>
      </x:c>
      <x:c r="B142" s="3" t="str">
        <x:v>Thomas County</x:v>
      </x:c>
      <x:c r="C142" s="3" t="str">
        <x:v>GA</x:v>
      </x:c>
      <x:c r="D142" s="12" t="n">
        <x:v>1410.592607</x:v>
      </x:c>
      <x:c r="E142" s="12" t="n">
        <x:v>0.561</x:v>
      </x:c>
      <x:c r="F142" s="12" t="n">
        <x:v>0.122215346534653</x:v>
      </x:c>
      <x:c r="G142" s="12" t="n">
        <x:v>2.731892635878871</x:v>
      </x:c>
      <x:c r="H142" s="12" t="n">
        <x:v>2.8324890371559883</x:v>
      </x:c>
      <x:c r="I142" s="12" t="n">
        <x:v>0.9270612544327029</x:v>
      </x:c>
      <x:c r="J142" s="12" t="n">
        <x:v>0.02025130121812749</x:v>
      </x:c>
      <x:c r="K142" s="12" t="n">
        <x:v>0.22131086161336425</x:v>
      </x:c>
      <x:c r="L142" s="24" t="n">
        <x:v>0.510893472</x:v>
      </x:c>
      <x:c r="M142" s="24" t="n">
        <x:v>0.434784413</x:v>
      </x:c>
      <x:c r="N142" s="13" t="n">
        <x:v>21181</x:v>
      </x:c>
      <x:c r="O142" s="12" t="n">
        <x:v>0.8158</x:v>
      </x:c>
      <x:c r="P142" s="12" t="n">
        <x:v>2307.610001627604</x:v>
      </x:c>
      <x:c r="Q142" s="12" t="n">
        <x:v>74.32741470336914</x:v>
      </x:c>
      <x:c r="R142" s="12" t="n">
        <x:v>41.99748330480869</x:v>
      </x:c>
      <x:c r="S142" s="12" t="n">
        <x:v>0.5416291290189436</x:v>
      </x:c>
      <x:c r="T142" s="12" t="n">
        <x:v>72.1</x:v>
      </x:c>
      <x:c r="U142" s="12" t="n">
        <x:v>211.4154781728841</x:v>
      </x:c>
      <x:c r="V142" s="12" t="n">
        <x:v>325.42757789465</x:v>
      </x:c>
      <x:c r="W142" s="12" t="n">
        <x:f>IF(ISNUMBER(E142),IF($I$172&gt;$H$172,(E142-$H$172)/($I$172-$H$172),"缺失"),"缺失")</x:f>
        <x:v>0.59375</x:v>
      </x:c>
      <x:c r="X142" s="12" t="n">
        <x:f>IF(ISNUMBER(F142),IF($I$173&gt;$H$173,(F142-$H$173)/($I$173-$H$173),"缺失"),"缺失")</x:f>
        <x:v>0.11811023622047194</x:v>
      </x:c>
      <x:c r="Y142" s="12" t="n">
        <x:f>IF(ISNUMBER(G142),IF($I$174&gt;$H$174,(G142-$H$174)/($I$174-$H$174),"缺失"),"缺失")</x:f>
        <x:v>0.7182841571468491</x:v>
      </x:c>
      <x:c r="Z142" s="12" t="n">
        <x:f>IF(ISNUMBER(H142),IF($I$175&gt;$H$175,(H142-$H$175)/($I$175-$H$175),"缺失"),"缺失")</x:f>
        <x:v>0.6978606543096679</x:v>
      </x:c>
      <x:c r="AA142" s="12" t="n">
        <x:f>IF(ISNUMBER(I142),IF($I$176&gt;$H$176,(I142-$H$176)/($I$176-$H$176),"缺失"),"缺失")</x:f>
        <x:v>0.9309105078065131</x:v>
      </x:c>
      <x:c r="AB142" s="12" t="n">
        <x:f>IF(ISNUMBER(J142),IF($I$177&gt;$H$177,(J142-$H$177)/($I$177-$H$177),"缺失"),"缺失")</x:f>
        <x:v>0.049676319996989696</x:v>
      </x:c>
      <x:c r="AC142" s="12" t="n">
        <x:f>IF(ISNUMBER(K142),IF($I$178&gt;$H$178,(K142-$H$178)/($I$178-$H$178),"缺失"),"缺失")</x:f>
        <x:v>0.3804779105548505</x:v>
      </x:c>
      <x:c r="AD142" s="12" t="n">
        <x:f>IF(ISNUMBER(L142),IF($I$179&gt;$H$179,(L142-$H$179)/($I$179-$H$179),"缺失"),"缺失")</x:f>
        <x:v>0.5107316499180888</x:v>
      </x:c>
      <x:c r="AE142" s="12" t="n">
        <x:f>IF(ISNUMBER(M142),IF($I$180&gt;$H$180,(M142-$H$180)/($I$180-$H$180),"缺失"),"缺失")</x:f>
        <x:v>0.434784413</x:v>
      </x:c>
      <x:c r="AF142" s="12" t="n">
        <x:f>IF(ISNUMBER(N142),IF($I$181&gt;$H$181,(N142-$H$181)/($I$181-$H$181),"缺失"),"缺失")</x:f>
        <x:v>0.031822120356653716</x:v>
      </x:c>
      <x:c r="AG142" s="12" t="n">
        <x:f>IF(ISNUMBER(O142),IF($I$182&gt;$H$182,(O142-$H$182)/($I$182-$H$182),"缺失"),"缺失")</x:f>
        <x:v>0.8224828143954711</x:v>
      </x:c>
      <x:c r="AH142" s="12" t="n">
        <x:f>IF(ISNUMBER(P142),IF($I$183&gt;$H$183,(P142-$H$183)/($I$183-$H$183),"缺失"),"缺失")</x:f>
        <x:v>0.9140347426313454</x:v>
      </x:c>
      <x:c r="AI142" s="12" t="n">
        <x:f>IF(ISNUMBER(Q142),IF($I$184&gt;$H$184,(Q142-$H$184)/($I$184-$H$184),"缺失"),"缺失")</x:f>
        <x:v>0.8697239350659781</x:v>
      </x:c>
      <x:c r="AJ142" s="12" t="n">
        <x:f>IF(ISNUMBER(R142),IF($I$185&gt;$H$185,(R142-$H$185)/($I$185-$H$185),"缺失"),"缺失")</x:f>
        <x:v>0.4398177905987081</x:v>
      </x:c>
      <x:c r="AK142" s="12" t="n">
        <x:f>IF(ISNUMBER(S142),IF($I$186&gt;$H$186,(S142-$H$186)/($I$186-$H$186),"缺失"),"缺失")</x:f>
        <x:v>0.010414095771273788</x:v>
      </x:c>
      <x:c r="AL142" s="12" t="n">
        <x:f>IF(ISNUMBER(T142),IF($I$187&gt;$H$187,(T142-$H$187)/($I$187-$H$187),"缺失"),"缺失")</x:f>
        <x:v>0</x:v>
      </x:c>
      <x:c r="AM142" s="12" t="n">
        <x:f>IF(ISNUMBER(U142),IF($I$188&gt;$H$188,(U142-$H$188)/($I$188-$H$188),"缺失"),"缺失")</x:f>
        <x:v>0</x:v>
      </x:c>
      <x:c r="AN142" s="12" t="n">
        <x:f>IF(ISNUMBER(V142),IF($I$189&gt;$H$189,(V142-$H$189)/($I$189-$H$189),"缺失"),"缺失")</x:f>
        <x:v>1</x:v>
      </x:c>
      <x:c r="AO142" s="23" t="str"/>
      <x:c r="AP142" s="23" t="str">
        <x:v>见指标口径：州级、产业、代表点代理；气候基期待核实</x:v>
      </x:c>
      <x:c r="AQ142" s="15" t="n">
        <x:v>1.0000000000000007</x:v>
      </x:c>
      <x:c r="AR142" s="15" t="n">
        <x:v>1.0000000000000004</x:v>
      </x:c>
      <x:c r="AS142" s="15" t="n">
        <x:v>1</x:v>
      </x:c>
      <x:c r="AT142" s="15" t="n">
        <x:v>1</x:v>
      </x:c>
    </x:row>
    <x:row r="143" ht="24" customHeight="1">
      <x:c r="A143" s="18" t="str">
        <x:v>13277</x:v>
      </x:c>
      <x:c r="B143" s="3" t="str">
        <x:v>Tift County</x:v>
      </x:c>
      <x:c r="C143" s="3" t="str">
        <x:v>GA</x:v>
      </x:c>
      <x:c r="D143" s="12" t="n">
        <x:v>675.702322</x:v>
      </x:c>
      <x:c r="E143" s="12" t="n">
        <x:v>0.473</x:v>
      </x:c>
      <x:c r="F143" s="12" t="n">
        <x:v>0.0798267326732673</x:v>
      </x:c>
      <x:c r="G143" s="12" t="n">
        <x:v>2.8615833765292407</x:v>
      </x:c>
      <x:c r="H143" s="12" t="n">
        <x:v>3.072920026</x:v>
      </x:c>
      <x:c r="I143" s="12" t="n">
        <x:v>0.855474444829566</x:v>
      </x:c>
      <x:c r="J143" s="12" t="n">
        <x:v>0.00000734345486938227</x:v>
      </x:c>
      <x:c r="K143" s="12" t="n">
        <x:v>0.20412253569944994</x:v>
      </x:c>
      <x:c r="L143" s="24" t="n">
        <x:v>0.433346232</x:v>
      </x:c>
      <x:c r="M143" s="24" t="n">
        <x:v>0.418835252</x:v>
      </x:c>
      <x:c r="N143" s="13" t="n">
        <x:v>19750</x:v>
      </x:c>
      <x:c r="O143" s="12" t="n">
        <x:v>0.8759</x:v>
      </x:c>
      <x:c r="P143" s="12" t="n">
        <x:v>2216.314933268229</x:v>
      </x:c>
      <x:c r="Q143" s="12" t="n">
        <x:v>66.05258814493816</x:v>
      </x:c>
      <x:c r="R143" s="12" t="n">
        <x:v>0.40324501430879095</x:v>
      </x:c>
      <x:c r="S143" s="12" t="n">
        <x:v>1.016103363042785</x:v>
      </x:c>
      <x:c r="T143" s="12" t="n">
        <x:v>72.1</x:v>
      </x:c>
      <x:c r="U143" s="12" t="n">
        <x:v>211.4154781728841</x:v>
      </x:c>
      <x:c r="V143" s="12" t="n">
        <x:v>325.42757789465</x:v>
      </x:c>
      <x:c r="W143" s="12" t="n">
        <x:f>IF(ISNUMBER(E143),IF($I$172&gt;$H$172,(E143-$H$172)/($I$172-$H$172),"缺失"),"缺失")</x:f>
        <x:v>0.49189814814814814</x:v>
      </x:c>
      <x:c r="X143" s="12" t="n">
        <x:f>IF(ISNUMBER(F143),IF($I$173&gt;$H$173,(F143-$H$173)/($I$173-$H$173),"缺失"),"缺失")</x:f>
        <x:v>0.07496062992125979</x:v>
      </x:c>
      <x:c r="Y143" s="12" t="n">
        <x:f>IF(ISNUMBER(G143),IF($I$174&gt;$H$174,(G143-$H$174)/($I$174-$H$174),"缺失"),"缺失")</x:f>
        <x:v>0.7523994326508213</x:v>
      </x:c>
      <x:c r="Z143" s="12" t="n">
        <x:f>IF(ISNUMBER(H143),IF($I$175&gt;$H$175,(H143-$H$175)/($I$175-$H$175),"缺失"),"缺失")</x:f>
        <x:v>0.7571335449963068</x:v>
      </x:c>
      <x:c r="AA143" s="12" t="n">
        <x:f>IF(ISNUMBER(I143),IF($I$176&gt;$H$176,(I143-$H$176)/($I$176-$H$176),"缺失"),"缺失")</x:f>
        <x:v>0.8540601810618442</x:v>
      </x:c>
      <x:c r="AB143" s="12" t="n">
        <x:f>IF(ISNUMBER(J143),IF($I$177&gt;$H$177,(J143-$H$177)/($I$177-$H$177),"缺失"),"缺失")</x:f>
        <x:v>0.000018013450594885584</x:v>
      </x:c>
      <x:c r="AC143" s="12" t="n">
        <x:f>IF(ISNUMBER(K143),IF($I$178&gt;$H$178,(K143-$H$178)/($I$178-$H$178),"缺失"),"缺失")</x:f>
        <x:v>0.3509277191092671</x:v>
      </x:c>
      <x:c r="AD143" s="12" t="n">
        <x:f>IF(ISNUMBER(L143),IF($I$179&gt;$H$179,(L143-$H$179)/($I$179-$H$179),"缺失"),"缺失")</x:f>
        <x:v>0.43315875322551806</x:v>
      </x:c>
      <x:c r="AE143" s="12" t="n">
        <x:f>IF(ISNUMBER(M143),IF($I$180&gt;$H$180,(M143-$H$180)/($I$180-$H$180),"缺失"),"缺失")</x:f>
        <x:v>0.418835252</x:v>
      </x:c>
      <x:c r="AF143" s="12" t="n">
        <x:f>IF(ISNUMBER(N143),IF($I$181&gt;$H$181,(N143-$H$181)/($I$181-$H$181),"缺失"),"缺失")</x:f>
        <x:v>0.02960002236073455</x:v>
      </x:c>
      <x:c r="AG143" s="12" t="n">
        <x:f>IF(ISNUMBER(O143),IF($I$182&gt;$H$182,(O143-$H$182)/($I$182-$H$182),"缺失"),"缺失")</x:f>
        <x:v>0.8832389809947433</x:v>
      </x:c>
      <x:c r="AH143" s="12" t="n">
        <x:f>IF(ISNUMBER(P143),IF($I$183&gt;$H$183,(P143-$H$183)/($I$183-$H$183),"缺失"),"缺失")</x:f>
        <x:v>0.8729651040881599</x:v>
      </x:c>
      <x:c r="AI143" s="12" t="n">
        <x:f>IF(ISNUMBER(Q143),IF($I$184&gt;$H$184,(Q143-$H$184)/($I$184-$H$184),"缺失"),"缺失")</x:f>
        <x:v>0.7724815194826675</x:v>
      </x:c>
      <x:c r="AJ143" s="12" t="n">
        <x:f>IF(ISNUMBER(R143),IF($I$185&gt;$H$185,(R143-$H$185)/($I$185-$H$185),"缺失"),"缺失")</x:f>
        <x:v>0.00272686981425417</x:v>
      </x:c>
      <x:c r="AK143" s="12" t="n">
        <x:f>IF(ISNUMBER(S143),IF($I$186&gt;$H$186,(S143-$H$186)/($I$186-$H$186),"缺失"),"缺失")</x:f>
        <x:v>0.0196766203995221</x:v>
      </x:c>
      <x:c r="AL143" s="12" t="n">
        <x:f>IF(ISNUMBER(T143),IF($I$187&gt;$H$187,(T143-$H$187)/($I$187-$H$187),"缺失"),"缺失")</x:f>
        <x:v>0</x:v>
      </x:c>
      <x:c r="AM143" s="12" t="n">
        <x:f>IF(ISNUMBER(U143),IF($I$188&gt;$H$188,(U143-$H$188)/($I$188-$H$188),"缺失"),"缺失")</x:f>
        <x:v>0</x:v>
      </x:c>
      <x:c r="AN143" s="12" t="n">
        <x:f>IF(ISNUMBER(V143),IF($I$189&gt;$H$189,(V143-$H$189)/($I$189-$H$189),"缺失"),"缺失")</x:f>
        <x:v>1</x:v>
      </x:c>
      <x:c r="AO143" s="23" t="str"/>
      <x:c r="AP143" s="23" t="str">
        <x:v>见指标口径：州级、产业、代表点代理；气候基期待核实</x:v>
      </x:c>
      <x:c r="AQ143" s="15" t="n">
        <x:v>1.0000000000000007</x:v>
      </x:c>
      <x:c r="AR143" s="15" t="n">
        <x:v>1.0000000000000007</x:v>
      </x:c>
      <x:c r="AS143" s="15" t="n">
        <x:v>1</x:v>
      </x:c>
      <x:c r="AT143" s="15" t="n">
        <x:v>1</x:v>
      </x:c>
    </x:row>
    <x:row r="144" ht="24" customHeight="1">
      <x:c r="A144" s="18" t="str">
        <x:v>13279</x:v>
      </x:c>
      <x:c r="B144" s="3" t="str">
        <x:v>Toombs County</x:v>
      </x:c>
      <x:c r="C144" s="3" t="str">
        <x:v>GA</x:v>
      </x:c>
      <x:c r="D144" s="12" t="n">
        <x:v>942.794614</x:v>
      </x:c>
      <x:c r="E144" s="12" t="n">
        <x:v>0.559</x:v>
      </x:c>
      <x:c r="F144" s="12" t="n">
        <x:v>0.150371287128713</x:v>
      </x:c>
      <x:c r="G144" s="12" t="n">
        <x:v>1.2453864981173215</x:v>
      </x:c>
      <x:c r="H144" s="12" t="n">
        <x:v>1.1602979975751078</x:v>
      </x:c>
      <x:c r="I144" s="12" t="n">
        <x:v>0.9056817436298238</x:v>
      </x:c>
      <x:c r="J144" s="12" t="n">
        <x:v>0.00045584419070123904</x:v>
      </x:c>
      <x:c r="K144" s="12" t="n">
        <x:v>0.2491136092007793</x:v>
      </x:c>
      <x:c r="L144" s="24" t="n">
        <x:v>0.921041246</x:v>
      </x:c>
      <x:c r="M144" s="24" t="n">
        <x:v>0.921041246</x:v>
      </x:c>
      <x:c r="N144" s="13" t="n">
        <x:v>11229</x:v>
      </x:c>
      <x:c r="O144" s="12" t="n">
        <x:v>0.9857</x:v>
      </x:c>
      <x:c r="P144" s="12" t="n">
        <x:v>2207.6755615234374</x:v>
      </x:c>
      <x:c r="Q144" s="12" t="n">
        <x:v>74.87873916625976</x:v>
      </x:c>
      <x:c r="R144" s="12" t="n">
        <x:v>30.48820897647509</x:v>
      </x:c>
      <x:c r="S144" s="12" t="n">
        <x:v>9.329202467944071</x:v>
      </x:c>
      <x:c r="T144" s="12" t="n">
        <x:v>72.1</x:v>
      </x:c>
      <x:c r="U144" s="12" t="n">
        <x:v>211.4154781728841</x:v>
      </x:c>
      <x:c r="V144" s="12" t="n">
        <x:v>325.42757789465</x:v>
      </x:c>
      <x:c r="W144" s="12" t="n">
        <x:f>IF(ISNUMBER(E144),IF($I$172&gt;$H$172,(E144-$H$172)/($I$172-$H$172),"缺失"),"缺失")</x:f>
        <x:v>0.5914351851851852</x:v>
      </x:c>
      <x:c r="X144" s="12" t="n">
        <x:f>IF(ISNUMBER(F144),IF($I$173&gt;$H$173,(F144-$H$173)/($I$173-$H$173),"缺失"),"缺失")</x:f>
        <x:v>0.14677165354330718</x:v>
      </x:c>
      <x:c r="Y144" s="12" t="n">
        <x:f>IF(ISNUMBER(G144),IF($I$174&gt;$H$174,(G144-$H$174)/($I$174-$H$174),"缺失"),"缺失")</x:f>
        <x:v>0.32725727138947747</x:v>
      </x:c>
      <x:c r="Z144" s="12" t="n">
        <x:f>IF(ISNUMBER(H144),IF($I$175&gt;$H$175,(H144-$H$175)/($I$175-$H$175),"缺失"),"缺失")</x:f>
        <x:v>0.2856192990134941</x:v>
      </x:c>
      <x:c r="AA144" s="12" t="n">
        <x:f>IF(ISNUMBER(I144),IF($I$176&gt;$H$176,(I144-$H$176)/($I$176-$H$176),"缺失"),"缺失")</x:f>
        <x:v>0.9079590395129681</x:v>
      </x:c>
      <x:c r="AB144" s="12" t="n">
        <x:f>IF(ISNUMBER(J144),IF($I$177&gt;$H$177,(J144-$H$177)/($I$177-$H$177),"缺失"),"缺失")</x:f>
        <x:v>0.001118183056097832</x:v>
      </x:c>
      <x:c r="AC144" s="12" t="n">
        <x:f>IF(ISNUMBER(K144),IF($I$178&gt;$H$178,(K144-$H$178)/($I$178-$H$178),"缺失"),"缺失")</x:f>
        <x:v>0.42827642903978685</x:v>
      </x:c>
      <x:c r="AD144" s="12" t="n">
        <x:f>IF(ISNUMBER(L144),IF($I$179&gt;$H$179,(L144-$H$179)/($I$179-$H$179),"缺失"),"缺失")</x:f>
        <x:v>0.9210151223045964</x:v>
      </x:c>
      <x:c r="AE144" s="12" t="n">
        <x:f>IF(ISNUMBER(M144),IF($I$180&gt;$H$180,(M144-$H$180)/($I$180-$H$180),"缺失"),"缺失")</x:f>
        <x:v>0.921041246</x:v>
      </x:c>
      <x:c r="AF144" s="12" t="n">
        <x:f>IF(ISNUMBER(N144),IF($I$181&gt;$H$181,(N144-$H$181)/($I$181-$H$181),"缺失"),"缺失")</x:f>
        <x:v>0.01636836825645278</x:v>
      </x:c>
      <x:c r="AG144" s="12" t="n">
        <x:f>IF(ISNUMBER(O144),IF($I$182&gt;$H$182,(O144-$H$182)/($I$182-$H$182),"缺失"),"缺失")</x:f>
        <x:v>0.9942377678932471</x:v>
      </x:c>
      <x:c r="AH144" s="12" t="n">
        <x:f>IF(ISNUMBER(P144),IF($I$183&gt;$H$183,(P144-$H$183)/($I$183-$H$183),"缺失"),"缺失")</x:f>
        <x:v>0.8690786304683351</x:v>
      </x:c>
      <x:c r="AI144" s="12" t="n">
        <x:f>IF(ISNUMBER(Q144),IF($I$184&gt;$H$184,(Q144-$H$184)/($I$184-$H$184),"缺失"),"缺失")</x:f>
        <x:v>0.8762028772121468</x:v>
      </x:c>
      <x:c r="AJ144" s="12" t="n">
        <x:f>IF(ISNUMBER(R144),IF($I$185&gt;$H$185,(R144-$H$185)/($I$185-$H$185),"缺失"),"缺失")</x:f>
        <x:v>0.3188731713320248</x:v>
      </x:c>
      <x:c r="AK144" s="12" t="n">
        <x:f>IF(ISNUMBER(S144),IF($I$186&gt;$H$186,(S144-$H$186)/($I$186-$H$186),"缺失"),"缺失")</x:f>
        <x:v>0.1819621138460389</x:v>
      </x:c>
      <x:c r="AL144" s="12" t="n">
        <x:f>IF(ISNUMBER(T144),IF($I$187&gt;$H$187,(T144-$H$187)/($I$187-$H$187),"缺失"),"缺失")</x:f>
        <x:v>0</x:v>
      </x:c>
      <x:c r="AM144" s="12" t="n">
        <x:f>IF(ISNUMBER(U144),IF($I$188&gt;$H$188,(U144-$H$188)/($I$188-$H$188),"缺失"),"缺失")</x:f>
        <x:v>0</x:v>
      </x:c>
      <x:c r="AN144" s="12" t="n">
        <x:f>IF(ISNUMBER(V144),IF($I$189&gt;$H$189,(V144-$H$189)/($I$189-$H$189),"缺失"),"缺失")</x:f>
        <x:v>1</x:v>
      </x:c>
      <x:c r="AO144" s="23" t="str"/>
      <x:c r="AP144" s="23" t="str">
        <x:v>见指标口径：州级、产业、代表点代理；气候基期待核实</x:v>
      </x:c>
      <x:c r="AQ144" s="15" t="n">
        <x:v>1.0000000000000016</x:v>
      </x:c>
      <x:c r="AR144" s="15" t="n">
        <x:v>1.0000000000000016</x:v>
      </x:c>
      <x:c r="AS144" s="15" t="n">
        <x:v>1</x:v>
      </x:c>
      <x:c r="AT144" s="15" t="n">
        <x:v>1</x:v>
      </x:c>
    </x:row>
    <x:row r="145" ht="24" customHeight="1">
      <x:c r="A145" s="18" t="str">
        <x:v>13281</x:v>
      </x:c>
      <x:c r="B145" s="3" t="str">
        <x:v>Towns County</x:v>
      </x:c>
      <x:c r="C145" s="3" t="str">
        <x:v>GA</x:v>
      </x:c>
      <x:c r="D145" s="12" t="n">
        <x:v>431.17809</x:v>
      </x:c>
      <x:c r="E145" s="12" t="n">
        <x:v>0.742</x:v>
      </x:c>
      <x:c r="F145" s="12" t="n">
        <x:v>0.8799504950495051</x:v>
      </x:c>
      <x:c r="G145" s="12" t="n">
        <x:v>0.18873400563709705</x:v>
      </x:c>
      <x:c r="H145" s="12" t="n">
        <x:v>0.1760954382422832</x:v>
      </x:c>
      <x:c r="I145" s="12" t="n">
        <x:v>0.9552448570151457</x:v>
      </x:c>
      <x:c r="J145" s="12" t="n">
        <x:v>0.3289024969581321</x:v>
      </x:c>
      <x:c r="K145" s="12" t="n">
        <x:v>0.0007463695048805082</x:v>
      </x:c>
      <x:c r="L145" s="24" t="n">
        <x:v>0.469975738</x:v>
      </x:c>
      <x:c r="M145" s="24" t="n">
        <x:v>0.469975738</x:v>
      </x:c>
      <x:c r="N145" s="13" t="n">
        <x:v>5196</x:v>
      </x:c>
      <x:c r="O145" s="12" t="n">
        <x:v>0.5622</x:v>
      </x:c>
      <x:c r="P145" s="12" t="n">
        <x:v>480.625639851888</x:v>
      </x:c>
      <x:c r="Q145" s="12" t="n">
        <x:v>1.7771230638027191</x:v>
      </x:c>
      <x:c r="R145" s="12" t="n">
        <x:v>64.7246138833274</x:v>
      </x:c>
      <x:c r="S145" s="12" t="n">
        <x:v>33.52117467164376</x:v>
      </x:c>
      <x:c r="T145" s="12" t="n">
        <x:v>72.1</x:v>
      </x:c>
      <x:c r="U145" s="12" t="n">
        <x:v>211.4154781728841</x:v>
      </x:c>
      <x:c r="V145" s="12" t="n">
        <x:v>325.42757789465</x:v>
      </x:c>
      <x:c r="W145" s="12" t="n">
        <x:f>IF(ISNUMBER(E145),IF($I$172&gt;$H$172,(E145-$H$172)/($I$172-$H$172),"缺失"),"缺失")</x:f>
        <x:v>0.8032407407407407</x:v>
      </x:c>
      <x:c r="X145" s="12" t="n">
        <x:f>IF(ISNUMBER(F145),IF($I$173&gt;$H$173,(F145-$H$173)/($I$173-$H$173),"缺失"),"缺失")</x:f>
        <x:v>0.8894488188976377</x:v>
      </x:c>
      <x:c r="Y145" s="12" t="n">
        <x:f>IF(ISNUMBER(G145),IF($I$174&gt;$H$174,(G145-$H$174)/($I$174-$H$174),"缺失"),"缺失")</x:f>
        <x:v>0.049303805227210666</x:v>
      </x:c>
      <x:c r="Z145" s="12" t="n">
        <x:f>IF(ISNUMBER(H145),IF($I$175&gt;$H$175,(H145-$H$175)/($I$175-$H$175),"缺失"),"缺失")</x:f>
        <x:v>0.042986138482375126</x:v>
      </x:c>
      <x:c r="AA145" s="12" t="n">
        <x:f>IF(ISNUMBER(I145),IF($I$176&gt;$H$176,(I145-$H$176)/($I$176-$H$176),"缺失"),"缺失")</x:f>
        <x:v>0.9611663479439636</x:v>
      </x:c>
      <x:c r="AB145" s="12" t="n">
        <x:f>IF(ISNUMBER(J145),IF($I$177&gt;$H$177,(J145-$H$177)/($I$177-$H$177),"缺失"),"缺失")</x:f>
        <x:v>0.8067958453986115</x:v>
      </x:c>
      <x:c r="AC145" s="12" t="n">
        <x:f>IF(ISNUMBER(K145),IF($I$178&gt;$H$178,(K145-$H$178)/($I$178-$H$178),"缺失"),"缺失")</x:f>
        <x:v>0.0012831593878790699</x:v>
      </x:c>
      <x:c r="AD145" s="12" t="n">
        <x:f>IF(ISNUMBER(L145),IF($I$179&gt;$H$179,(L145-$H$179)/($I$179-$H$179),"缺失"),"缺失")</x:f>
        <x:v>0.4698003781864825</x:v>
      </x:c>
      <x:c r="AE145" s="12" t="n">
        <x:f>IF(ISNUMBER(M145),IF($I$180&gt;$H$180,(M145-$H$180)/($I$180-$H$180),"缺失"),"缺失")</x:f>
        <x:v>0.469975738</x:v>
      </x:c>
      <x:c r="AF145" s="12" t="n">
        <x:f>IF(ISNUMBER(N145),IF($I$181&gt;$H$181,(N145-$H$181)/($I$181-$H$181),"缺失"),"缺失")</x:f>
        <x:v>0.007000152177221244</x:v>
      </x:c>
      <x:c r="AG145" s="12" t="n">
        <x:f>IF(ISNUMBER(O145),IF($I$182&gt;$H$182,(O145-$H$182)/($I$182-$H$182),"缺失"),"缺失")</x:f>
        <x:v>0.566114031540639</x:v>
      </x:c>
      <x:c r="AH145" s="12" t="n">
        <x:f>IF(ISNUMBER(P145),IF($I$183&gt;$H$183,(P145-$H$183)/($I$183-$H$183),"缺失"),"缺失")</x:f>
        <x:v>0.0921547801034884</x:v>
      </x:c>
      <x:c r="AI145" s="12" t="n">
        <x:f>IF(ISNUMBER(Q145),IF($I$184&gt;$H$184,(Q145-$H$184)/($I$184-$H$184),"缺失"),"缺失")</x:f>
        <x:v>0.017142245227779494</x:v>
      </x:c>
      <x:c r="AJ145" s="12" t="n">
        <x:f>IF(ISNUMBER(R145),IF($I$185&gt;$H$185,(R145-$H$185)/($I$185-$H$185),"缺失"),"缺失")</x:f>
        <x:v>0.6786446771971373</x:v>
      </x:c>
      <x:c r="AK145" s="12" t="n">
        <x:f>IF(ISNUMBER(S145),IF($I$186&gt;$H$186,(S145-$H$186)/($I$186-$H$186),"缺失"),"缺失")</x:f>
        <x:v>0.6542295675333292</x:v>
      </x:c>
      <x:c r="AL145" s="12" t="n">
        <x:f>IF(ISNUMBER(T145),IF($I$187&gt;$H$187,(T145-$H$187)/($I$187-$H$187),"缺失"),"缺失")</x:f>
        <x:v>0</x:v>
      </x:c>
      <x:c r="AM145" s="12" t="n">
        <x:f>IF(ISNUMBER(U145),IF($I$188&gt;$H$188,(U145-$H$188)/($I$188-$H$188),"缺失"),"缺失")</x:f>
        <x:v>0</x:v>
      </x:c>
      <x:c r="AN145" s="12" t="n">
        <x:f>IF(ISNUMBER(V145),IF($I$189&gt;$H$189,(V145-$H$189)/($I$189-$H$189),"缺失"),"缺失")</x:f>
        <x:v>1</x:v>
      </x:c>
      <x:c r="AO145" s="23" t="str"/>
      <x:c r="AP145" s="23" t="str">
        <x:v>见指标口径：州级、产业、代表点代理；气候基期待核实</x:v>
      </x:c>
      <x:c r="AQ145" s="15" t="n">
        <x:v>1.0000000000000036</x:v>
      </x:c>
      <x:c r="AR145" s="15" t="n">
        <x:v>1.0000000000000033</x:v>
      </x:c>
      <x:c r="AS145" s="15" t="n">
        <x:v>1</x:v>
      </x:c>
      <x:c r="AT145" s="15" t="n">
        <x:v>1</x:v>
      </x:c>
    </x:row>
    <x:row r="146" ht="24" customHeight="1">
      <x:c r="A146" s="18" t="str">
        <x:v>13283</x:v>
      </x:c>
      <x:c r="B146" s="3" t="str">
        <x:v>Treutlen County</x:v>
      </x:c>
      <x:c r="C146" s="3" t="str">
        <x:v>GA</x:v>
      </x:c>
      <x:c r="D146" s="12" t="n">
        <x:v>516.524094</x:v>
      </x:c>
      <x:c r="E146" s="12" t="n">
        <x:v>0.539</x:v>
      </x:c>
      <x:c r="F146" s="12" t="n">
        <x:v>0.342512376237624</x:v>
      </x:c>
      <x:c r="G146" s="12" t="n">
        <x:v>2.077462620974546</x:v>
      </x:c>
      <x:c r="H146" s="12" t="n">
        <x:v>1.9165423163765183</x:v>
      </x:c>
      <x:c r="I146" s="12" t="n">
        <x:v>0.924551540417582</x:v>
      </x:c>
      <x:c r="J146" s="12" t="n">
        <x:v>0.000043340682454747636</x:v>
      </x:c>
      <x:c r="K146" s="12" t="n">
        <x:v>0.24519019529830996</x:v>
      </x:c>
      <x:c r="L146" s="24" t="n">
        <x:v>0.999390987</x:v>
      </x:c>
      <x:c r="M146" s="24" t="n">
        <x:v>0.999390987</x:v>
      </x:c>
      <x:c r="N146" s="13" t="n">
        <x:v>2527</x:v>
      </x:c>
      <x:c r="O146" s="12" t="n">
        <x:v>0.9389</x:v>
      </x:c>
      <x:c r="P146" s="12" t="n">
        <x:v>2129.002408854167</x:v>
      </x:c>
      <x:c r="Q146" s="12" t="n">
        <x:v>74.48205693562825</x:v>
      </x:c>
      <x:c r="R146" s="12" t="n">
        <x:v>2.13314937499233</x:v>
      </x:c>
      <x:c r="S146" s="12" t="n">
        <x:v>3.9774752359670758</x:v>
      </x:c>
      <x:c r="T146" s="12" t="n">
        <x:v>72.1</x:v>
      </x:c>
      <x:c r="U146" s="12" t="n">
        <x:v>211.4154781728841</x:v>
      </x:c>
      <x:c r="V146" s="12" t="n">
        <x:v>325.42757789465</x:v>
      </x:c>
      <x:c r="W146" s="12" t="n">
        <x:f>IF(ISNUMBER(E146),IF($I$172&gt;$H$172,(E146-$H$172)/($I$172-$H$172),"缺失"),"缺失")</x:f>
        <x:v>0.5682870370370371</x:v>
      </x:c>
      <x:c r="X146" s="12" t="n">
        <x:f>IF(ISNUMBER(F146),IF($I$173&gt;$H$173,(F146-$H$173)/($I$173-$H$173),"缺失"),"缺失")</x:f>
        <x:v>0.3423622047244096</x:v>
      </x:c>
      <x:c r="Y146" s="12" t="n">
        <x:f>IF(ISNUMBER(G146),IF($I$174&gt;$H$174,(G146-$H$174)/($I$174-$H$174),"缺失"),"缺失")</x:f>
        <x:v>0.5461357050324608</x:v>
      </x:c>
      <x:c r="Z146" s="12" t="n">
        <x:f>IF(ISNUMBER(H146),IF($I$175&gt;$H$175,(H146-$H$175)/($I$175-$H$175),"缺失"),"缺失")</x:f>
        <x:v>0.4720544463970513</x:v>
      </x:c>
      <x:c r="AA146" s="12" t="n">
        <x:f>IF(ISNUMBER(I146),IF($I$176&gt;$H$176,(I146-$H$176)/($I$176-$H$176),"缺失"),"缺失")</x:f>
        <x:v>0.9282162636689832</x:v>
      </x:c>
      <x:c r="AB146" s="12" t="n">
        <x:f>IF(ISNUMBER(J146),IF($I$177&gt;$H$177,(J146-$H$177)/($I$177-$H$177),"缺失"),"缺失")</x:f>
        <x:v>0.00010631443319714914</x:v>
      </x:c>
      <x:c r="AC146" s="12" t="n">
        <x:f>IF(ISNUMBER(K146),IF($I$178&gt;$H$178,(K146-$H$178)/($I$178-$H$178),"缺失"),"缺失")</x:f>
        <x:v>0.42153129094321523</x:v>
      </x:c>
      <x:c r="AD146" s="12" t="n">
        <x:f>IF(ISNUMBER(L146),IF($I$179&gt;$H$179,(L146-$H$179)/($I$179-$H$179),"缺失"),"缺失")</x:f>
        <x:v>0.9993907855065708</x:v>
      </x:c>
      <x:c r="AE146" s="12" t="n">
        <x:f>IF(ISNUMBER(M146),IF($I$180&gt;$H$180,(M146-$H$180)/($I$180-$H$180),"缺失"),"缺失")</x:f>
        <x:v>0.999390987</x:v>
      </x:c>
      <x:c r="AF146" s="12" t="n">
        <x:f>IF(ISNUMBER(N146),IF($I$181&gt;$H$181,(N146-$H$181)/($I$181-$H$181),"缺失"),"缺失")</x:f>
        <x:v>0.002855652141506182</x:v>
      </x:c>
      <x:c r="AG146" s="12" t="n">
        <x:f>IF(ISNUMBER(O146),IF($I$182&gt;$H$182,(O146-$H$182)/($I$182-$H$182),"缺失"),"缺失")</x:f>
        <x:v>0.9469268095430651</x:v>
      </x:c>
      <x:c r="AH146" s="12" t="n">
        <x:f>IF(ISNUMBER(P146),IF($I$183&gt;$H$183,(P146-$H$183)/($I$183-$H$183),"缺失"),"缺失")</x:f>
        <x:v>0.8336870370203633</x:v>
      </x:c>
      <x:c r="AI146" s="12" t="n">
        <x:f>IF(ISNUMBER(Q146),IF($I$184&gt;$H$184,(Q146-$H$184)/($I$184-$H$184),"缺失"),"缺失")</x:f>
        <x:v>0.8715412280460647</x:v>
      </x:c>
      <x:c r="AJ146" s="12" t="n">
        <x:f>IF(ISNUMBER(R146),IF($I$185&gt;$H$185,(R146-$H$185)/($I$185-$H$185),"缺失"),"缺失")</x:f>
        <x:v>0.020905481106503962</x:v>
      </x:c>
      <x:c r="AK146" s="12" t="n">
        <x:f>IF(ISNUMBER(S146),IF($I$186&gt;$H$186,(S146-$H$186)/($I$186-$H$186),"缺失"),"缺失")</x:f>
        <x:v>0.07748751494218506</x:v>
      </x:c>
      <x:c r="AL146" s="12" t="n">
        <x:f>IF(ISNUMBER(T146),IF($I$187&gt;$H$187,(T146-$H$187)/($I$187-$H$187),"缺失"),"缺失")</x:f>
        <x:v>0</x:v>
      </x:c>
      <x:c r="AM146" s="12" t="n">
        <x:f>IF(ISNUMBER(U146),IF($I$188&gt;$H$188,(U146-$H$188)/($I$188-$H$188),"缺失"),"缺失")</x:f>
        <x:v>0</x:v>
      </x:c>
      <x:c r="AN146" s="12" t="n">
        <x:f>IF(ISNUMBER(V146),IF($I$189&gt;$H$189,(V146-$H$189)/($I$189-$H$189),"缺失"),"缺失")</x:f>
        <x:v>1</x:v>
      </x:c>
      <x:c r="AO146" s="23" t="str"/>
      <x:c r="AP146" s="23" t="str">
        <x:v>见指标口径：州级、产业、代表点代理；气候基期待核实</x:v>
      </x:c>
      <x:c r="AQ146" s="15" t="n">
        <x:v>0.9999999999999958</x:v>
      </x:c>
      <x:c r="AR146" s="15" t="n">
        <x:v>0.9999999999999966</x:v>
      </x:c>
      <x:c r="AS146" s="15" t="n">
        <x:v>1</x:v>
      </x:c>
      <x:c r="AT146" s="15" t="n">
        <x:v>1</x:v>
      </x:c>
    </x:row>
    <x:row r="147" ht="24" customHeight="1">
      <x:c r="A147" s="18" t="str">
        <x:v>13285</x:v>
      </x:c>
      <x:c r="B147" s="3" t="str">
        <x:v>Troup County</x:v>
      </x:c>
      <x:c r="C147" s="3" t="str">
        <x:v>GA</x:v>
      </x:c>
      <x:c r="D147" s="12" t="n">
        <x:v>1072.294219</x:v>
      </x:c>
      <x:c r="E147" s="12" t="n">
        <x:v>0.679</x:v>
      </x:c>
      <x:c r="F147" s="12" t="n">
        <x:v>0.192141089108911</x:v>
      </x:c>
      <x:c r="G147" s="12" t="n">
        <x:v>2.4115917257827646</x:v>
      </x:c>
      <x:c r="H147" s="12" t="n">
        <x:v>2.238973366</x:v>
      </x:c>
      <x:c r="I147" s="12" t="n">
        <x:v>0.8801884997388933</x:v>
      </x:c>
      <x:c r="J147" s="12" t="n">
        <x:v>0.018134341091842508</x:v>
      </x:c>
      <x:c r="K147" s="12" t="n">
        <x:v>0.04620959447577073</x:v>
      </x:c>
      <x:c r="L147" s="24" t="n">
        <x:v>0.309616062</x:v>
      </x:c>
      <x:c r="M147" s="24" t="n">
        <x:v>0.309616062</x:v>
      </x:c>
      <x:c r="N147" s="13" t="n">
        <x:v>39932</x:v>
      </x:c>
      <x:c r="O147" s="12" t="n">
        <x:v>0.9023</x:v>
      </x:c>
      <x:c r="P147" s="12" t="n">
        <x:v>1659.6448364257812</x:v>
      </x:c>
      <x:c r="Q147" s="12" t="n">
        <x:v>45.706186548868814</x:v>
      </x:c>
      <x:c r="R147" s="12" t="n">
        <x:v>3.8635222411817485</x:v>
      </x:c>
      <x:c r="S147" s="12" t="n">
        <x:v>0.12366032974248788</x:v>
      </x:c>
      <x:c r="T147" s="12" t="n">
        <x:v>72.1</x:v>
      </x:c>
      <x:c r="U147" s="12" t="n">
        <x:v>211.4154781728841</x:v>
      </x:c>
      <x:c r="V147" s="12" t="n">
        <x:v>325.42757789465</x:v>
      </x:c>
      <x:c r="W147" s="12" t="n">
        <x:f>IF(ISNUMBER(E147),IF($I$172&gt;$H$172,(E147-$H$172)/($I$172-$H$172),"缺失"),"缺失")</x:f>
        <x:v>0.7303240740740741</x:v>
      </x:c>
      <x:c r="X147" s="12" t="n">
        <x:f>IF(ISNUMBER(F147),IF($I$173&gt;$H$173,(F147-$H$173)/($I$173-$H$173),"缺失"),"缺失")</x:f>
        <x:v>0.18929133858267724</x:v>
      </x:c>
      <x:c r="Y147" s="12" t="n">
        <x:f>IF(ISNUMBER(G147),IF($I$174&gt;$H$174,(G147-$H$174)/($I$174-$H$174),"缺失"),"缺失")</x:f>
        <x:v>0.6340286911258786</x:v>
      </x:c>
      <x:c r="Z147" s="12" t="n">
        <x:f>IF(ISNUMBER(H147),IF($I$175&gt;$H$175,(H147-$H$175)/($I$175-$H$175),"缺失"),"缺失")</x:f>
        <x:v>0.5515426207384634</x:v>
      </x:c>
      <x:c r="AA147" s="12" t="n">
        <x:f>IF(ISNUMBER(I147),IF($I$176&gt;$H$176,(I147-$H$176)/($I$176-$H$176),"缺失"),"缺失")</x:f>
        <x:v>0.8805913703339565</x:v>
      </x:c>
      <x:c r="AB147" s="12" t="n">
        <x:f>IF(ISNUMBER(J147),IF($I$177&gt;$H$177,(J147-$H$177)/($I$177-$H$177),"缺失"),"缺失")</x:f>
        <x:v>0.044483429549038306</x:v>
      </x:c>
      <x:c r="AC147" s="12" t="n">
        <x:f>IF(ISNUMBER(K147),IF($I$178&gt;$H$178,(K147-$H$178)/($I$178-$H$178),"缺失"),"缺失")</x:f>
        <x:v>0.07944359271640242</x:v>
      </x:c>
      <x:c r="AD147" s="12" t="n">
        <x:f>IF(ISNUMBER(L147),IF($I$179&gt;$H$179,(L147-$H$179)/($I$179-$H$179),"缺失"),"缺失")</x:f>
        <x:v>0.3093876467984651</x:v>
      </x:c>
      <x:c r="AE147" s="12" t="n">
        <x:f>IF(ISNUMBER(M147),IF($I$180&gt;$H$180,(M147-$H$180)/($I$180-$H$180),"缺失"),"缺失")</x:f>
        <x:v>0.309616062</x:v>
      </x:c>
      <x:c r="AF147" s="12" t="n">
        <x:f>IF(ISNUMBER(N147),IF($I$181&gt;$H$181,(N147-$H$181)/($I$181-$H$181),"缺失"),"缺失")</x:f>
        <x:v>0.060939212964256986</x:v>
      </x:c>
      <x:c r="AG147" s="12" t="n">
        <x:f>IF(ISNUMBER(O147),IF($I$182&gt;$H$182,(O147-$H$182)/($I$182-$H$182),"缺失"),"缺失")</x:f>
        <x:v>0.9099272139102306</x:v>
      </x:c>
      <x:c r="AH147" s="12" t="n">
        <x:f>IF(ISNUMBER(P147),IF($I$183&gt;$H$183,(P147-$H$183)/($I$183-$H$183),"缺失"),"缺失")</x:f>
        <x:v>0.6225436949587614</x:v>
      </x:c>
      <x:c r="AI147" s="12" t="n">
        <x:f>IF(ISNUMBER(Q147),IF($I$184&gt;$H$184,(Q147-$H$184)/($I$184-$H$184),"缺失"),"缺失")</x:f>
        <x:v>0.5333788354978248</x:v>
      </x:c>
      <x:c r="AJ147" s="12" t="n">
        <x:f>IF(ISNUMBER(R147),IF($I$185&gt;$H$185,(R147-$H$185)/($I$185-$H$185),"缺失"),"缺失")</x:f>
        <x:v>0.039089015664844774</x:v>
      </x:c>
      <x:c r="AK147" s="12" t="n">
        <x:f>IF(ISNUMBER(S147),IF($I$186&gt;$H$186,(S147-$H$186)/($I$186-$H$186),"缺失"),"缺失")</x:f>
        <x:v>0.0022546510227039115</x:v>
      </x:c>
      <x:c r="AL147" s="12" t="n">
        <x:f>IF(ISNUMBER(T147),IF($I$187&gt;$H$187,(T147-$H$187)/($I$187-$H$187),"缺失"),"缺失")</x:f>
        <x:v>0</x:v>
      </x:c>
      <x:c r="AM147" s="12" t="n">
        <x:f>IF(ISNUMBER(U147),IF($I$188&gt;$H$188,(U147-$H$188)/($I$188-$H$188),"缺失"),"缺失")</x:f>
        <x:v>0</x:v>
      </x:c>
      <x:c r="AN147" s="12" t="n">
        <x:f>IF(ISNUMBER(V147),IF($I$189&gt;$H$189,(V147-$H$189)/($I$189-$H$189),"缺失"),"缺失")</x:f>
        <x:v>1</x:v>
      </x:c>
      <x:c r="AO147" s="23" t="str"/>
      <x:c r="AP147" s="23" t="str">
        <x:v>见指标口径：州级、产业、代表点代理；气候基期待核实</x:v>
      </x:c>
      <x:c r="AQ147" s="15" t="n">
        <x:v>0.9999999999999993</x:v>
      </x:c>
      <x:c r="AR147" s="15" t="n">
        <x:v>0.9999999999999993</x:v>
      </x:c>
      <x:c r="AS147" s="15" t="n">
        <x:v>1</x:v>
      </x:c>
      <x:c r="AT147" s="15" t="n">
        <x:v>1</x:v>
      </x:c>
    </x:row>
    <x:row r="148" ht="24" customHeight="1">
      <x:c r="A148" s="18" t="str">
        <x:v>13287</x:v>
      </x:c>
      <x:c r="B148" s="3" t="str">
        <x:v>Turner County</x:v>
      </x:c>
      <x:c r="C148" s="3" t="str">
        <x:v>GA</x:v>
      </x:c>
      <x:c r="D148" s="12" t="n">
        <x:v>739.227758</x:v>
      </x:c>
      <x:c r="E148" s="12" t="n">
        <x:v>0.524</x:v>
      </x:c>
      <x:c r="F148" s="12" t="n">
        <x:v>0.04950495049504949</x:v>
      </x:c>
      <x:c r="G148" s="12" t="n">
        <x:v>2.68080818255249</x:v>
      </x:c>
      <x:c r="H148" s="12" t="n">
        <x:v>2.8657755995858047</x:v>
      </x:c>
      <x:c r="I148" s="12" t="n">
        <x:v>0.9368580427829598</x:v>
      </x:c>
      <x:c r="J148" s="12" t="n">
        <x:v>0.005815309164274566</x:v>
      </x:c>
      <x:c r="K148" s="12" t="n">
        <x:v>0.19442775663087233</x:v>
      </x:c>
      <x:c r="L148" s="24" t="n">
        <x:v>0.853663702</x:v>
      </x:c>
      <x:c r="M148" s="24" t="n">
        <x:v>0.839474799</x:v>
      </x:c>
      <x:c r="N148" s="13" t="n">
        <x:v>3567</x:v>
      </x:c>
      <x:c r="O148" s="12" t="n">
        <x:v>0.9675</x:v>
      </x:c>
      <x:c r="P148" s="12" t="n">
        <x:v>2197.1453776041667</x:v>
      </x:c>
      <x:c r="Q148" s="12" t="n">
        <x:v>68.76929168701172</x:v>
      </x:c>
      <x:c r="R148" s="12" t="n">
        <x:v>1.9941551081850342</x:v>
      </x:c>
      <x:c r="S148" s="12" t="n">
        <x:v>3.737553038371096</x:v>
      </x:c>
      <x:c r="T148" s="12" t="n">
        <x:v>72.1</x:v>
      </x:c>
      <x:c r="U148" s="12" t="n">
        <x:v>211.4154781728841</x:v>
      </x:c>
      <x:c r="V148" s="12" t="n">
        <x:v>325.42757789465</x:v>
      </x:c>
      <x:c r="W148" s="12" t="n">
        <x:f>IF(ISNUMBER(E148),IF($I$172&gt;$H$172,(E148-$H$172)/($I$172-$H$172),"缺失"),"缺失")</x:f>
        <x:v>0.5509259259259259</x:v>
      </x:c>
      <x:c r="X148" s="12" t="n">
        <x:f>IF(ISNUMBER(F148),IF($I$173&gt;$H$173,(F148-$H$173)/($I$173-$H$173),"缺失"),"缺失")</x:f>
        <x:v>0.04409448818897635</x:v>
      </x:c>
      <x:c r="Y148" s="12" t="n">
        <x:f>IF(ISNUMBER(G148),IF($I$174&gt;$H$174,(G148-$H$174)/($I$174-$H$174),"缺失"),"缺失")</x:f>
        <x:v>0.7048463419993701</x:v>
      </x:c>
      <x:c r="Z148" s="12" t="n">
        <x:f>IF(ISNUMBER(H148),IF($I$175&gt;$H$175,(H148-$H$175)/($I$175-$H$175),"缺失"),"缺失")</x:f>
        <x:v>0.7060667128785845</x:v>
      </x:c>
      <x:c r="AA148" s="12" t="n">
        <x:f>IF(ISNUMBER(I148),IF($I$176&gt;$H$176,(I148-$H$176)/($I$176-$H$176),"缺失"),"缺失")</x:f>
        <x:v>0.9414276182901267</x:v>
      </x:c>
      <x:c r="AB148" s="12" t="n">
        <x:f>IF(ISNUMBER(J148),IF($I$177&gt;$H$177,(J148-$H$177)/($I$177-$H$177),"缺失"),"缺失")</x:f>
        <x:v>0.014264918378051819</x:v>
      </x:c>
      <x:c r="AC148" s="12" t="n">
        <x:f>IF(ISNUMBER(K148),IF($I$178&gt;$H$178,(K148-$H$178)/($I$178-$H$178),"缺失"),"缺失")</x:f>
        <x:v>0.3342604427884715</x:v>
      </x:c>
      <x:c r="AD148" s="12" t="n">
        <x:f>IF(ISNUMBER(L148),IF($I$179&gt;$H$179,(L148-$H$179)/($I$179-$H$179),"缺失"),"缺失")</x:f>
        <x:v>0.8536152862806303</x:v>
      </x:c>
      <x:c r="AE148" s="12" t="n">
        <x:f>IF(ISNUMBER(M148),IF($I$180&gt;$H$180,(M148-$H$180)/($I$180-$H$180),"缺失"),"缺失")</x:f>
        <x:v>0.839474799</x:v>
      </x:c>
      <x:c r="AF148" s="12" t="n">
        <x:f>IF(ISNUMBER(N148),IF($I$181&gt;$H$181,(N148-$H$181)/($I$181-$H$181),"缺失"),"缺失")</x:f>
        <x:v>0.004470594081237791</x:v>
      </x:c>
      <x:c r="AG148" s="12" t="n">
        <x:f>IF(ISNUMBER(O148),IF($I$182&gt;$H$182,(O148-$H$182)/($I$182-$H$182),"缺失"),"缺失")</x:f>
        <x:v>0.9758390618681764</x:v>
      </x:c>
      <x:c r="AH148" s="12" t="n">
        <x:f>IF(ISNUMBER(P148),IF($I$183&gt;$H$183,(P148-$H$183)/($I$183-$H$183),"缺失"),"缺失")</x:f>
        <x:v>0.8643415635584849</x:v>
      </x:c>
      <x:c r="AI148" s="12" t="n">
        <x:f>IF(ISNUMBER(Q148),IF($I$184&gt;$H$184,(Q148-$H$184)/($I$184-$H$184),"缺失"),"缺失")</x:f>
        <x:v>0.8044071209426528</x:v>
      </x:c>
      <x:c r="AJ148" s="12" t="n">
        <x:f>IF(ISNUMBER(R148),IF($I$185&gt;$H$185,(R148-$H$185)/($I$185-$H$185),"缺失"),"缺失")</x:f>
        <x:v>0.01944486697917573</x:v>
      </x:c>
      <x:c r="AK148" s="12" t="n">
        <x:f>IF(ISNUMBER(S148),IF($I$186&gt;$H$186,(S148-$H$186)/($I$186-$H$186),"缺失"),"缺失")</x:f>
        <x:v>0.07280383539809299</x:v>
      </x:c>
      <x:c r="AL148" s="12" t="n">
        <x:f>IF(ISNUMBER(T148),IF($I$187&gt;$H$187,(T148-$H$187)/($I$187-$H$187),"缺失"),"缺失")</x:f>
        <x:v>0</x:v>
      </x:c>
      <x:c r="AM148" s="12" t="n">
        <x:f>IF(ISNUMBER(U148),IF($I$188&gt;$H$188,(U148-$H$188)/($I$188-$H$188),"缺失"),"缺失")</x:f>
        <x:v>0</x:v>
      </x:c>
      <x:c r="AN148" s="12" t="n">
        <x:f>IF(ISNUMBER(V148),IF($I$189&gt;$H$189,(V148-$H$189)/($I$189-$H$189),"缺失"),"缺失")</x:f>
        <x:v>1</x:v>
      </x:c>
      <x:c r="AO148" s="23" t="str"/>
      <x:c r="AP148" s="23" t="str">
        <x:v>见指标口径：州级、产业、代表点代理；气候基期待核实</x:v>
      </x:c>
      <x:c r="AQ148" s="15" t="n">
        <x:v>1.0000000000000002</x:v>
      </x:c>
      <x:c r="AR148" s="15" t="n">
        <x:v>1.0000000000000013</x:v>
      </x:c>
      <x:c r="AS148" s="15" t="n">
        <x:v>1</x:v>
      </x:c>
      <x:c r="AT148" s="15" t="n">
        <x:v>1</x:v>
      </x:c>
    </x:row>
    <x:row r="149" ht="24" customHeight="1">
      <x:c r="A149" s="18" t="str">
        <x:v>13289</x:v>
      </x:c>
      <x:c r="B149" s="3" t="str">
        <x:v>Twiggs County</x:v>
      </x:c>
      <x:c r="C149" s="3" t="str">
        <x:v>GA</x:v>
      </x:c>
      <x:c r="D149" s="12" t="n">
        <x:v>930.478094</x:v>
      </x:c>
      <x:c r="E149" s="12" t="n">
        <x:v>0.507</x:v>
      </x:c>
      <x:c r="F149" s="12" t="n">
        <x:v>0.275371287128713</x:v>
      </x:c>
      <x:c r="G149" s="12" t="n">
        <x:v>2.4202759158340976</x:v>
      </x:c>
      <x:c r="H149" s="12" t="n">
        <x:v>2.2714042669118544</x:v>
      </x:c>
      <x:c r="I149" s="12" t="n">
        <x:v>0.9527598579455779</x:v>
      </x:c>
      <x:c r="J149" s="12" t="n">
        <x:v>0.035192266832628605</x:v>
      </x:c>
      <x:c r="K149" s="12" t="n">
        <x:v>0.16860419657104025</x:v>
      </x:c>
      <x:c r="L149" s="24" t="n">
        <x:v>0.728603104</x:v>
      </x:c>
      <x:c r="M149" s="24" t="n">
        <x:v>0.718181818</x:v>
      </x:c>
      <x:c r="N149" s="13" t="n">
        <x:v>2746</x:v>
      </x:c>
      <x:c r="O149" s="12" t="n">
        <x:v>0.6538</x:v>
      </x:c>
      <x:c r="P149" s="12" t="n">
        <x:v>2040.364103190104</x:v>
      </x:c>
      <x:c r="Q149" s="12" t="n">
        <x:v>67.5504758199056</x:v>
      </x:c>
      <x:c r="R149" s="12" t="n">
        <x:v>1.5931629165162493</x:v>
      </x:c>
      <x:c r="S149" s="12" t="n">
        <x:v>5.817450212845281</x:v>
      </x:c>
      <x:c r="T149" s="12" t="n">
        <x:v>72.1</x:v>
      </x:c>
      <x:c r="U149" s="12" t="n">
        <x:v>211.4154781728841</x:v>
      </x:c>
      <x:c r="V149" s="12" t="n">
        <x:v>325.42757789465</x:v>
      </x:c>
      <x:c r="W149" s="12" t="n">
        <x:f>IF(ISNUMBER(E149),IF($I$172&gt;$H$172,(E149-$H$172)/($I$172-$H$172),"缺失"),"缺失")</x:f>
        <x:v>0.53125</x:v>
      </x:c>
      <x:c r="X149" s="12" t="n">
        <x:f>IF(ISNUMBER(F149),IF($I$173&gt;$H$173,(F149-$H$173)/($I$173-$H$173),"缺失"),"缺失")</x:f>
        <x:v>0.27401574803149614</x:v>
      </x:c>
      <x:c r="Y149" s="12" t="n">
        <x:f>IF(ISNUMBER(G149),IF($I$174&gt;$H$174,(G149-$H$174)/($I$174-$H$174),"缺失"),"缺失")</x:f>
        <x:v>0.6363130757677149</x:v>
      </x:c>
      <x:c r="Z149" s="12" t="n">
        <x:f>IF(ISNUMBER(H149),IF($I$175&gt;$H$175,(H149-$H$175)/($I$175-$H$175),"缺失"),"缺失")</x:f>
        <x:v>0.5595377350698555</x:v>
      </x:c>
      <x:c r="AA149" s="12" t="n">
        <x:f>IF(ISNUMBER(I149),IF($I$176&gt;$H$176,(I149-$H$176)/($I$176-$H$176),"缺失"),"缺失")</x:f>
        <x:v>0.9584986359518355</x:v>
      </x:c>
      <x:c r="AB149" s="12" t="n">
        <x:f>IF(ISNUMBER(J149),IF($I$177&gt;$H$177,(J149-$H$177)/($I$177-$H$177),"缺失"),"缺失")</x:f>
        <x:v>0.08632641872079924</x:v>
      </x:c>
      <x:c r="AC149" s="12" t="n">
        <x:f>IF(ISNUMBER(K149),IF($I$178&gt;$H$178,(K149-$H$178)/($I$178-$H$178),"缺失"),"缺失")</x:f>
        <x:v>0.2898645459805795</x:v>
      </x:c>
      <x:c r="AD149" s="12" t="n">
        <x:f>IF(ISNUMBER(L149),IF($I$179&gt;$H$179,(L149-$H$179)/($I$179-$H$179),"缺失"),"缺失")</x:f>
        <x:v>0.7285133116782443</x:v>
      </x:c>
      <x:c r="AE149" s="12" t="n">
        <x:f>IF(ISNUMBER(M149),IF($I$180&gt;$H$180,(M149-$H$180)/($I$180-$H$180),"缺失"),"缺失")</x:f>
        <x:v>0.718181818</x:v>
      </x:c>
      <x:c r="AF149" s="12" t="n">
        <x:f>IF(ISNUMBER(N149),IF($I$181&gt;$H$181,(N149-$H$181)/($I$181-$H$181),"缺失"),"缺失")</x:f>
        <x:v>0.003195721646122742</x:v>
      </x:c>
      <x:c r="AG149" s="12" t="n">
        <x:f>IF(ISNUMBER(O149),IF($I$182&gt;$H$182,(O149-$H$182)/($I$182-$H$182),"缺失"),"缺失")</x:f>
        <x:v>0.6587141124140721</x:v>
      </x:c>
      <x:c r="AH149" s="12" t="n">
        <x:f>IF(ISNUMBER(P149),IF($I$183&gt;$H$183,(P149-$H$183)/($I$183-$H$183),"缺失"),"缺失")</x:f>
        <x:v>0.7938125592405386</x:v>
      </x:c>
      <x:c r="AI149" s="12" t="n">
        <x:f>IF(ISNUMBER(Q149),IF($I$184&gt;$H$184,(Q149-$H$184)/($I$184-$H$184),"缺失"),"缺失")</x:f>
        <x:v>0.7900840897308494</x:v>
      </x:c>
      <x:c r="AJ149" s="12" t="n">
        <x:f>IF(ISNUMBER(R149),IF($I$185&gt;$H$185,(R149-$H$185)/($I$185-$H$185),"缺失"),"缺失")</x:f>
        <x:v>0.015231061089528824</x:v>
      </x:c>
      <x:c r="AK149" s="12" t="n">
        <x:f>IF(ISNUMBER(S149),IF($I$186&gt;$H$186,(S149-$H$186)/($I$186-$H$186),"缺失"),"缺失")</x:f>
        <x:v>0.11340688066655993</x:v>
      </x:c>
      <x:c r="AL149" s="12" t="n">
        <x:f>IF(ISNUMBER(T149),IF($I$187&gt;$H$187,(T149-$H$187)/($I$187-$H$187),"缺失"),"缺失")</x:f>
        <x:v>0</x:v>
      </x:c>
      <x:c r="AM149" s="12" t="n">
        <x:f>IF(ISNUMBER(U149),IF($I$188&gt;$H$188,(U149-$H$188)/($I$188-$H$188),"缺失"),"缺失")</x:f>
        <x:v>0</x:v>
      </x:c>
      <x:c r="AN149" s="12" t="n">
        <x:f>IF(ISNUMBER(V149),IF($I$189&gt;$H$189,(V149-$H$189)/($I$189-$H$189),"缺失"),"缺失")</x:f>
        <x:v>1</x:v>
      </x:c>
      <x:c r="AO149" s="23" t="str"/>
      <x:c r="AP149" s="23" t="str">
        <x:v>见指标口径：州级、产业、代表点代理；气候基期待核实</x:v>
      </x:c>
      <x:c r="AQ149" s="15" t="n">
        <x:v>1.0000000000000033</x:v>
      </x:c>
      <x:c r="AR149" s="15" t="n">
        <x:v>1.000000000000002</x:v>
      </x:c>
      <x:c r="AS149" s="15" t="n">
        <x:v>1</x:v>
      </x:c>
      <x:c r="AT149" s="15" t="n">
        <x:v>1</x:v>
      </x:c>
    </x:row>
    <x:row r="150" ht="24" customHeight="1">
      <x:c r="A150" s="18" t="str">
        <x:v>13291</x:v>
      </x:c>
      <x:c r="B150" s="3" t="str">
        <x:v>Union County</x:v>
      </x:c>
      <x:c r="C150" s="3" t="str">
        <x:v>GA</x:v>
      </x:c>
      <x:c r="D150" s="12" t="n">
        <x:v>834.191643</x:v>
      </x:c>
      <x:c r="E150" s="12" t="n">
        <x:v>0.725</x:v>
      </x:c>
      <x:c r="F150" s="12" t="n">
        <x:v>0.70884900990099</x:v>
      </x:c>
      <x:c r="G150" s="12" t="n">
        <x:v>0.05874310465649514</x:v>
      </x:c>
      <x:c r="H150" s="12" t="n">
        <x:v>0.0559363244144689</x:v>
      </x:c>
      <x:c r="I150" s="12" t="n">
        <x:v>0.950761981129439</x:v>
      </x:c>
      <x:c r="J150" s="12" t="n">
        <x:v>0.2112667885893911</x:v>
      </x:c>
      <x:c r="K150" s="12" t="n">
        <x:v>0.0005019681019156479</x:v>
      </x:c>
      <x:c r="L150" s="24" t="n">
        <x:v>0.631467793</x:v>
      </x:c>
      <x:c r="M150" s="24" t="n">
        <x:v>0.631467793</x:v>
      </x:c>
      <x:c r="N150" s="13" t="n">
        <x:v>9693</x:v>
      </x:c>
      <x:c r="O150" s="12" t="n">
        <x:v>0.4932</x:v>
      </x:c>
      <x:c r="P150" s="12" t="n">
        <x:v>588.4759358723958</x:v>
      </x:c>
      <x:c r="Q150" s="12" t="n">
        <x:v>3.1640610218048097</x:v>
      </x:c>
      <x:c r="R150" s="12" t="n">
        <x:v>59.76612372602166</x:v>
      </x:c>
      <x:c r="S150" s="12" t="n">
        <x:v>28.388137388030593</x:v>
      </x:c>
      <x:c r="T150" s="12" t="n">
        <x:v>72.1</x:v>
      </x:c>
      <x:c r="U150" s="12" t="n">
        <x:v>211.4154781728841</x:v>
      </x:c>
      <x:c r="V150" s="12" t="n">
        <x:v>325.42757789465</x:v>
      </x:c>
      <x:c r="W150" s="12" t="n">
        <x:f>IF(ISNUMBER(E150),IF($I$172&gt;$H$172,(E150-$H$172)/($I$172-$H$172),"缺失"),"缺失")</x:f>
        <x:v>0.7835648148148148</x:v>
      </x:c>
      <x:c r="X150" s="12" t="n">
        <x:f>IF(ISNUMBER(F150),IF($I$173&gt;$H$173,(F150-$H$173)/($I$173-$H$173),"缺失"),"缺失")</x:f>
        <x:v>0.7152755905511808</x:v>
      </x:c>
      <x:c r="Y150" s="12" t="n">
        <x:f>IF(ISNUMBER(G150),IF($I$174&gt;$H$174,(G150-$H$174)/($I$174-$H$174),"缺失"),"缺失")</x:f>
        <x:v>0.015109572256345346</x:v>
      </x:c>
      <x:c r="Z150" s="12" t="n">
        <x:f>IF(ISNUMBER(H150),IF($I$175&gt;$H$175,(H150-$H$175)/($I$175-$H$175),"缺失"),"缺失")</x:f>
        <x:v>0.01336359251538994</x:v>
      </x:c>
      <x:c r="AA150" s="12" t="n">
        <x:f>IF(ISNUMBER(I150),IF($I$176&gt;$H$176,(I150-$H$176)/($I$176-$H$176),"缺失"),"缺失")</x:f>
        <x:v>0.9563538625366342</x:v>
      </x:c>
      <x:c r="AB150" s="12" t="n">
        <x:f>IF(ISNUMBER(J150),IF($I$177&gt;$H$177,(J150-$H$177)/($I$177-$H$177),"缺失"),"缺失")</x:f>
        <x:v>0.5182361608106762</x:v>
      </x:c>
      <x:c r="AC150" s="12" t="n">
        <x:f>IF(ISNUMBER(K150),IF($I$178&gt;$H$178,(K150-$H$178)/($I$178-$H$178),"缺失"),"缺失")</x:f>
        <x:v>0.0008629841897037592</x:v>
      </x:c>
      <x:c r="AD150" s="12" t="n">
        <x:f>IF(ISNUMBER(L150),IF($I$179&gt;$H$179,(L150-$H$179)/($I$179-$H$179),"缺失"),"缺失")</x:f>
        <x:v>0.6313458632248405</x:v>
      </x:c>
      <x:c r="AE150" s="12" t="n">
        <x:f>IF(ISNUMBER(M150),IF($I$180&gt;$H$180,(M150-$H$180)/($I$180-$H$180),"缺失"),"缺失")</x:f>
        <x:v>0.631467793</x:v>
      </x:c>
      <x:c r="AF150" s="12" t="n">
        <x:f>IF(ISNUMBER(N150),IF($I$181&gt;$H$181,(N150-$H$181)/($I$181-$H$181),"缺失"),"缺失")</x:f>
        <x:v>0.01398322323777225</x:v>
      </x:c>
      <x:c r="AG150" s="12" t="n">
        <x:f>IF(ISNUMBER(O150),IF($I$182&gt;$H$182,(O150-$H$182)/($I$182-$H$182),"缺失"),"缺失")</x:f>
        <x:v>0.4963606955115245</x:v>
      </x:c>
      <x:c r="AH150" s="12" t="n">
        <x:f>IF(ISNUMBER(P150),IF($I$183&gt;$H$183,(P150-$H$183)/($I$183-$H$183),"缺失"),"缺失")</x:f>
        <x:v>0.1406718879159497</x:v>
      </x:c>
      <x:c r="AI150" s="12" t="n">
        <x:f>IF(ISNUMBER(Q150),IF($I$184&gt;$H$184,(Q150-$H$184)/($I$184-$H$184),"缺失"),"缺失")</x:f>
        <x:v>0.03344097926745468</x:v>
      </x:c>
      <x:c r="AJ150" s="12" t="n">
        <x:f>IF(ISNUMBER(R150),IF($I$185&gt;$H$185,(R150-$H$185)/($I$185-$H$185),"缺失"),"缺失")</x:f>
        <x:v>0.626538637571634</x:v>
      </x:c>
      <x:c r="AK150" s="12" t="n">
        <x:f>IF(ISNUMBER(S150),IF($I$186&gt;$H$186,(S150-$H$186)/($I$186-$H$186),"缺失"),"缺失")</x:f>
        <x:v>0.5540241594251308</x:v>
      </x:c>
      <x:c r="AL150" s="12" t="n">
        <x:f>IF(ISNUMBER(T150),IF($I$187&gt;$H$187,(T150-$H$187)/($I$187-$H$187),"缺失"),"缺失")</x:f>
        <x:v>0</x:v>
      </x:c>
      <x:c r="AM150" s="12" t="n">
        <x:f>IF(ISNUMBER(U150),IF($I$188&gt;$H$188,(U150-$H$188)/($I$188-$H$188),"缺失"),"缺失")</x:f>
        <x:v>0</x:v>
      </x:c>
      <x:c r="AN150" s="12" t="n">
        <x:f>IF(ISNUMBER(V150),IF($I$189&gt;$H$189,(V150-$H$189)/($I$189-$H$189),"缺失"),"缺失")</x:f>
        <x:v>1</x:v>
      </x:c>
      <x:c r="AO150" s="23" t="str"/>
      <x:c r="AP150" s="23" t="str">
        <x:v>见指标口径：州级、产业、代表点代理；气候基期待核实</x:v>
      </x:c>
      <x:c r="AQ150" s="15" t="n">
        <x:v>1.0000000000000009</x:v>
      </x:c>
      <x:c r="AR150" s="15" t="n">
        <x:v>1.000000000000002</x:v>
      </x:c>
      <x:c r="AS150" s="15" t="n">
        <x:v>1</x:v>
      </x:c>
      <x:c r="AT150" s="15" t="n">
        <x:v>1</x:v>
      </x:c>
    </x:row>
    <x:row r="151" ht="24" customHeight="1">
      <x:c r="A151" s="18" t="str">
        <x:v>13293</x:v>
      </x:c>
      <x:c r="B151" s="3" t="str">
        <x:v>Upson County</x:v>
      </x:c>
      <x:c r="C151" s="3" t="str">
        <x:v>GA</x:v>
      </x:c>
      <x:c r="D151" s="12" t="n">
        <x:v>837.774877</x:v>
      </x:c>
      <x:c r="E151" s="12" t="n">
        <x:v>0.721</x:v>
      </x:c>
      <x:c r="F151" s="12" t="n">
        <x:v>0.212252475247525</x:v>
      </x:c>
      <x:c r="G151" s="12" t="n">
        <x:v>1.1946542934081936</x:v>
      </x:c>
      <x:c r="H151" s="12" t="n">
        <x:v>1.1617739781860903</x:v>
      </x:c>
      <x:c r="I151" s="12" t="n">
        <x:v>0.9364111787700695</x:v>
      </x:c>
      <x:c r="J151" s="12" t="n">
        <x:v>0.02333454922672512</x:v>
      </x:c>
      <x:c r="K151" s="12" t="n">
        <x:v>0.044339067492579966</x:v>
      </x:c>
      <x:c r="L151" s="24" t="n">
        <x:v>0.875433036</x:v>
      </x:c>
      <x:c r="M151" s="24" t="n">
        <x:v>0.875433036</x:v>
      </x:c>
      <x:c r="N151" s="13" t="n">
        <x:v>12734</x:v>
      </x:c>
      <x:c r="O151" s="12" t="n">
        <x:v>0.6468</x:v>
      </x:c>
      <x:c r="P151" s="12" t="n">
        <x:v>1793.17021484375</x:v>
      </x:c>
      <x:c r="Q151" s="12" t="n">
        <x:v>54.86914215087891</x:v>
      </x:c>
      <x:c r="R151" s="12" t="n">
        <x:v>35.83922944880467</x:v>
      </x:c>
      <x:c r="S151" s="12" t="n">
        <x:v>2.5916492929596555</x:v>
      </x:c>
      <x:c r="T151" s="12" t="n">
        <x:v>72.1</x:v>
      </x:c>
      <x:c r="U151" s="12" t="n">
        <x:v>211.4154781728841</x:v>
      </x:c>
      <x:c r="V151" s="12" t="n">
        <x:v>325.42757789465</x:v>
      </x:c>
      <x:c r="W151" s="12" t="n">
        <x:f>IF(ISNUMBER(E151),IF($I$172&gt;$H$172,(E151-$H$172)/($I$172-$H$172),"缺失"),"缺失")</x:f>
        <x:v>0.7789351851851851</x:v>
      </x:c>
      <x:c r="X151" s="12" t="n">
        <x:f>IF(ISNUMBER(F151),IF($I$173&gt;$H$173,(F151-$H$173)/($I$173-$H$173),"缺失"),"缺失")</x:f>
        <x:v>0.20976377952755926</x:v>
      </x:c>
      <x:c r="Y151" s="12" t="n">
        <x:f>IF(ISNUMBER(G151),IF($I$174&gt;$H$174,(G151-$H$174)/($I$174-$H$174),"缺失"),"缺失")</x:f>
        <x:v>0.313912115583469</x:v>
      </x:c>
      <x:c r="Z151" s="12" t="n">
        <x:f>IF(ISNUMBER(H151),IF($I$175&gt;$H$175,(H151-$H$175)/($I$175-$H$175),"缺失"),"缺失")</x:f>
        <x:v>0.285983169069642</x:v>
      </x:c>
      <x:c r="AA151" s="12" t="n">
        <x:f>IF(ISNUMBER(I151),IF($I$176&gt;$H$176,(I151-$H$176)/($I$176-$H$176),"缺失"),"缺失")</x:f>
        <x:v>0.9409478979954043</x:v>
      </x:c>
      <x:c r="AB151" s="12" t="n">
        <x:f>IF(ISNUMBER(J151),IF($I$177&gt;$H$177,(J151-$H$177)/($I$177-$H$177),"缺失"),"缺失")</x:f>
        <x:v>0.05723950880423905</x:v>
      </x:c>
      <x:c r="AC151" s="12" t="n">
        <x:f>IF(ISNUMBER(K151),IF($I$178&gt;$H$178,(K151-$H$178)/($I$178-$H$178),"缺失"),"缺失")</x:f>
        <x:v>0.07622778038341246</x:v>
      </x:c>
      <x:c r="AD151" s="12" t="n">
        <x:f>IF(ISNUMBER(L151),IF($I$179&gt;$H$179,(L151-$H$179)/($I$179-$H$179),"缺失"),"缺失")</x:f>
        <x:v>0.8753918227176211</x:v>
      </x:c>
      <x:c r="AE151" s="12" t="n">
        <x:f>IF(ISNUMBER(M151),IF($I$180&gt;$H$180,(M151-$H$180)/($I$180-$H$180),"缺失"),"缺失")</x:f>
        <x:v>0.875433036</x:v>
      </x:c>
      <x:c r="AF151" s="12" t="n">
        <x:f>IF(ISNUMBER(N151),IF($I$181&gt;$H$181,(N151-$H$181)/($I$181-$H$181),"缺失"),"缺失")</x:f>
        <x:v>0.018705375582699003</x:v>
      </x:c>
      <x:c r="AG151" s="12" t="n">
        <x:f>IF(ISNUMBER(O151),IF($I$182&gt;$H$182,(O151-$H$182)/($I$182-$H$182),"缺失"),"缺失")</x:f>
        <x:v>0.6516376870198141</x:v>
      </x:c>
      <x:c r="AH151" s="12" t="n">
        <x:f>IF(ISNUMBER(P151),IF($I$183&gt;$H$183,(P151-$H$183)/($I$183-$H$183),"缺失"),"缺失")</x:f>
        <x:v>0.6826108938394434</x:v>
      </x:c>
      <x:c r="AI151" s="12" t="n">
        <x:f>IF(ISNUMBER(Q151),IF($I$184&gt;$H$184,(Q151-$H$184)/($I$184-$H$184),"缺失"),"缺失")</x:f>
        <x:v>0.6410581844642688</x:v>
      </x:c>
      <x:c r="AJ151" s="12" t="n">
        <x:f>IF(ISNUMBER(R151),IF($I$185&gt;$H$185,(R151-$H$185)/($I$185-$H$185),"缺失"),"缺失")</x:f>
        <x:v>0.3751040956502422</x:v>
      </x:c>
      <x:c r="AK151" s="12" t="n">
        <x:f>IF(ISNUMBER(S151),IF($I$186&gt;$H$186,(S151-$H$186)/($I$186-$H$186),"缺失"),"缺失")</x:f>
        <x:v>0.050433892201257303</x:v>
      </x:c>
      <x:c r="AL151" s="12" t="n">
        <x:f>IF(ISNUMBER(T151),IF($I$187&gt;$H$187,(T151-$H$187)/($I$187-$H$187),"缺失"),"缺失")</x:f>
        <x:v>0</x:v>
      </x:c>
      <x:c r="AM151" s="12" t="n">
        <x:f>IF(ISNUMBER(U151),IF($I$188&gt;$H$188,(U151-$H$188)/($I$188-$H$188),"缺失"),"缺失")</x:f>
        <x:v>0</x:v>
      </x:c>
      <x:c r="AN151" s="12" t="n">
        <x:f>IF(ISNUMBER(V151),IF($I$189&gt;$H$189,(V151-$H$189)/($I$189-$H$189),"缺失"),"缺失")</x:f>
        <x:v>1</x:v>
      </x:c>
      <x:c r="AO151" s="23" t="str"/>
      <x:c r="AP151" s="23" t="str">
        <x:v>见指标口径：州级、产业、代表点代理；气候基期待核实</x:v>
      </x:c>
      <x:c r="AQ151" s="15" t="n">
        <x:v>0.9999999999999997</x:v>
      </x:c>
      <x:c r="AR151" s="15" t="n">
        <x:v>0.9999999999999997</x:v>
      </x:c>
      <x:c r="AS151" s="15" t="n">
        <x:v>1</x:v>
      </x:c>
      <x:c r="AT151" s="15" t="n">
        <x:v>1</x:v>
      </x:c>
    </x:row>
    <x:row r="152" ht="24" customHeight="1">
      <x:c r="A152" s="18" t="str">
        <x:v>13295</x:v>
      </x:c>
      <x:c r="B152" s="3" t="str">
        <x:v>Walker County</x:v>
      </x:c>
      <x:c r="C152" s="3" t="str">
        <x:v>GA</x:v>
      </x:c>
      <x:c r="D152" s="12" t="n">
        <x:v>1155.87477</x:v>
      </x:c>
      <x:c r="E152" s="12" t="n">
        <x:v>0.755</x:v>
      </x:c>
      <x:c r="F152" s="12" t="n">
        <x:v>0.6964727722772279</x:v>
      </x:c>
      <x:c r="G152" s="12" t="n">
        <x:v>1.0834408767220483</x:v>
      </x:c>
      <x:c r="H152" s="12" t="n">
        <x:v>0.9278939593851305</x:v>
      </x:c>
      <x:c r="I152" s="12" t="n">
        <x:v>0.9160450396387215</x:v>
      </x:c>
      <x:c r="J152" s="12" t="n">
        <x:v>0.1316557488874146</x:v>
      </x:c>
      <x:c r="K152" s="12" t="n">
        <x:v>0.00205080342643367</x:v>
      </x:c>
      <x:c r="L152" s="24" t="n">
        <x:v>0.599040899</x:v>
      </x:c>
      <x:c r="M152" s="24" t="n">
        <x:v>0.598949265</x:v>
      </x:c>
      <x:c r="N152" s="13" t="n">
        <x:v>32597</x:v>
      </x:c>
      <x:c r="O152" s="12" t="n">
        <x:v>0.6796</x:v>
      </x:c>
      <x:c r="P152" s="12" t="n">
        <x:v>1236.3351196289063</x:v>
      </x:c>
      <x:c r="Q152" s="12" t="n">
        <x:v>26.62314427693685</x:v>
      </x:c>
      <x:c r="R152" s="12" t="n">
        <x:v>21.3116574258162</x:v>
      </x:c>
      <x:c r="S152" s="12" t="n">
        <x:v>2.200042759384707</x:v>
      </x:c>
      <x:c r="T152" s="12" t="n">
        <x:v>72.1</x:v>
      </x:c>
      <x:c r="U152" s="12" t="n">
        <x:v>211.4154781728841</x:v>
      </x:c>
      <x:c r="V152" s="12" t="n">
        <x:v>325.42757789465</x:v>
      </x:c>
      <x:c r="W152" s="12" t="n">
        <x:f>IF(ISNUMBER(E152),IF($I$172&gt;$H$172,(E152-$H$172)/($I$172-$H$172),"缺失"),"缺失")</x:f>
        <x:v>0.818287037037037</x:v>
      </x:c>
      <x:c r="X152" s="12" t="n">
        <x:f>IF(ISNUMBER(F152),IF($I$173&gt;$H$173,(F152-$H$173)/($I$173-$H$173),"缺失"),"缺失")</x:f>
        <x:v>0.7026771653543308</x:v>
      </x:c>
      <x:c r="Y152" s="12" t="n">
        <x:f>IF(ISNUMBER(G152),IF($I$174&gt;$H$174,(G152-$H$174)/($I$174-$H$174),"缺失"),"缺失")</x:f>
        <x:v>0.2846573181248418</x:v>
      </x:c>
      <x:c r="Z152" s="12" t="n">
        <x:f>IF(ISNUMBER(H152),IF($I$175&gt;$H$175,(H152-$H$175)/($I$175-$H$175),"缺失"),"缺失")</x:f>
        <x:v>0.22832527374246228</x:v>
      </x:c>
      <x:c r="AA152" s="12" t="n">
        <x:f>IF(ISNUMBER(I152),IF($I$176&gt;$H$176,(I152-$H$176)/($I$176-$H$176),"缺失"),"缺失")</x:f>
        <x:v>0.9190843108981677</x:v>
      </x:c>
      <x:c r="AB152" s="12" t="n">
        <x:f>IF(ISNUMBER(J152),IF($I$177&gt;$H$177,(J152-$H$177)/($I$177-$H$177),"缺失"),"缺失")</x:f>
        <x:v>0.3229507595946596</x:v>
      </x:c>
      <x:c r="AC152" s="12" t="n">
        <x:f>IF(ISNUMBER(K152),IF($I$178&gt;$H$178,(K152-$H$178)/($I$178-$H$178),"缺失"),"缺失")</x:f>
        <x:v>0.003525743820072371</x:v>
      </x:c>
      <x:c r="AD152" s="12" t="n">
        <x:f>IF(ISNUMBER(L152),IF($I$179&gt;$H$179,(L152-$H$179)/($I$179-$H$179),"缺失"),"缺失")</x:f>
        <x:v>0.5989082407082565</x:v>
      </x:c>
      <x:c r="AE152" s="12" t="n">
        <x:f>IF(ISNUMBER(M152),IF($I$180&gt;$H$180,(M152-$H$180)/($I$180-$H$180),"缺失"),"缺失")</x:f>
        <x:v>0.598949265</x:v>
      </x:c>
      <x:c r="AF152" s="12" t="n">
        <x:f>IF(ISNUMBER(N152),IF($I$181&gt;$H$181,(N152-$H$181)/($I$181-$H$181),"缺失"),"缺失")</x:f>
        <x:v>0.049549213802784535</x:v>
      </x:c>
      <x:c r="AG152" s="12" t="n">
        <x:f>IF(ISNUMBER(O152),IF($I$182&gt;$H$182,(O152-$H$182)/($I$182-$H$182),"缺失"),"缺失")</x:f>
        <x:v>0.68479579458148</x:v>
      </x:c>
      <x:c r="AH152" s="12" t="n">
        <x:f>IF(ISNUMBER(P152),IF($I$183&gt;$H$183,(P152-$H$183)/($I$183-$H$183),"缺失"),"缺失")</x:f>
        <x:v>0.43211525919451294</x:v>
      </x:c>
      <x:c r="AI152" s="12" t="n">
        <x:f>IF(ISNUMBER(Q152),IF($I$184&gt;$H$184,(Q152-$H$184)/($I$184-$H$184),"缺失"),"缺失")</x:f>
        <x:v>0.30912263941956525</x:v>
      </x:c>
      <x:c r="AJ152" s="12" t="n">
        <x:f>IF(ISNUMBER(R152),IF($I$185&gt;$H$185,(R152-$H$185)/($I$185-$H$185),"缺失"),"缺失")</x:f>
        <x:v>0.22244184978959833</x:v>
      </x:c>
      <x:c r="AK152" s="12" t="n">
        <x:f>IF(ISNUMBER(S152),IF($I$186&gt;$H$186,(S152-$H$186)/($I$186-$H$186),"缺失"),"缺失")</x:f>
        <x:v>0.04278908263792357</x:v>
      </x:c>
      <x:c r="AL152" s="12" t="n">
        <x:f>IF(ISNUMBER(T152),IF($I$187&gt;$H$187,(T152-$H$187)/($I$187-$H$187),"缺失"),"缺失")</x:f>
        <x:v>0</x:v>
      </x:c>
      <x:c r="AM152" s="12" t="n">
        <x:f>IF(ISNUMBER(U152),IF($I$188&gt;$H$188,(U152-$H$188)/($I$188-$H$188),"缺失"),"缺失")</x:f>
        <x:v>0</x:v>
      </x:c>
      <x:c r="AN152" s="12" t="n">
        <x:f>IF(ISNUMBER(V152),IF($I$189&gt;$H$189,(V152-$H$189)/($I$189-$H$189),"缺失"),"缺失")</x:f>
        <x:v>1</x:v>
      </x:c>
      <x:c r="AO152" s="23" t="str"/>
      <x:c r="AP152" s="23" t="str">
        <x:v>见指标口径：州级、产业、代表点代理；气候基期待核实</x:v>
      </x:c>
      <x:c r="AQ152" s="15" t="n">
        <x:v>0.999999999999999</x:v>
      </x:c>
      <x:c r="AR152" s="15" t="n">
        <x:v>1.000000000000001</x:v>
      </x:c>
      <x:c r="AS152" s="15" t="n">
        <x:v>1</x:v>
      </x:c>
      <x:c r="AT152" s="15" t="n">
        <x:v>1</x:v>
      </x:c>
    </x:row>
    <x:row r="153" ht="24" customHeight="1">
      <x:c r="A153" s="18" t="str">
        <x:v>13297</x:v>
      </x:c>
      <x:c r="B153" s="3" t="str">
        <x:v>Walton County</x:v>
      </x:c>
      <x:c r="C153" s="3" t="str">
        <x:v>GA</x:v>
      </x:c>
      <x:c r="D153" s="12" t="n">
        <x:v>846.460828</x:v>
      </x:c>
      <x:c r="E153" s="12" t="n">
        <x:v>0.5</x:v>
      </x:c>
      <x:c r="F153" s="12" t="n">
        <x:v>0.388613861386139</x:v>
      </x:c>
      <x:c r="G153" s="12" t="n">
        <x:v>2.4202604005100596</x:v>
      </x:c>
      <x:c r="H153" s="12" t="n">
        <x:v>2.2644168899060566</x:v>
      </x:c>
      <x:c r="I153" s="12" t="n">
        <x:v>0.8329748268584783</x:v>
      </x:c>
      <x:c r="J153" s="12" t="n">
        <x:v>0.0016565754967252202</x:v>
      </x:c>
      <x:c r="K153" s="12" t="n">
        <x:v>0.05200018816244406</x:v>
      </x:c>
      <x:c r="L153" s="24" t="n">
        <x:v>0.492723145</x:v>
      </x:c>
      <x:c r="M153" s="24" t="n">
        <x:v>0.491838929</x:v>
      </x:c>
      <x:c r="N153" s="13" t="n">
        <x:v>53671</x:v>
      </x:c>
      <x:c r="O153" s="12" t="n">
        <x:v>0.4095</x:v>
      </x:c>
      <x:c r="P153" s="12" t="n">
        <x:v>1567.319921875</x:v>
      </x:c>
      <x:c r="Q153" s="12" t="n">
        <x:v>40.05561771392822</x:v>
      </x:c>
      <x:c r="R153" s="12" t="n">
        <x:v>19.061228432066503</x:v>
      </x:c>
      <x:c r="S153" s="12" t="n">
        <x:v>2.086921013875059</x:v>
      </x:c>
      <x:c r="T153" s="12" t="n">
        <x:v>72.1</x:v>
      </x:c>
      <x:c r="U153" s="12" t="n">
        <x:v>211.4154781728841</x:v>
      </x:c>
      <x:c r="V153" s="12" t="n">
        <x:v>325.42757789465</x:v>
      </x:c>
      <x:c r="W153" s="12" t="n">
        <x:f>IF(ISNUMBER(E153),IF($I$172&gt;$H$172,(E153-$H$172)/($I$172-$H$172),"缺失"),"缺失")</x:f>
        <x:v>0.5231481481481481</x:v>
      </x:c>
      <x:c r="X153" s="12" t="n">
        <x:f>IF(ISNUMBER(F153),IF($I$173&gt;$H$173,(F153-$H$173)/($I$173-$H$173),"缺失"),"缺失")</x:f>
        <x:v>0.38929133858267745</x:v>
      </x:c>
      <x:c r="Y153" s="12" t="n">
        <x:f>IF(ISNUMBER(G153),IF($I$174&gt;$H$174,(G153-$H$174)/($I$174-$H$174),"缺失"),"缺失")</x:f>
        <x:v>0.6363089944466319</x:v>
      </x:c>
      <x:c r="Z153" s="12" t="n">
        <x:f>IF(ISNUMBER(H153),IF($I$175&gt;$H$175,(H153-$H$175)/($I$175-$H$175),"缺失"),"缺失")</x:f>
        <x:v>0.5578151533201307</x:v>
      </x:c>
      <x:c r="AA153" s="12" t="n">
        <x:f>IF(ISNUMBER(I153),IF($I$176&gt;$H$176,(I153-$H$176)/($I$176-$H$176),"缺失"),"缺失")</x:f>
        <x:v>0.8299062482033454</x:v>
      </x:c>
      <x:c r="AB153" s="12" t="n">
        <x:f>IF(ISNUMBER(J153),IF($I$177&gt;$H$177,(J153-$H$177)/($I$177-$H$177),"缺失"),"缺失")</x:f>
        <x:v>0.00406356972266216</x:v>
      </x:c>
      <x:c r="AC153" s="12" t="n">
        <x:f>IF(ISNUMBER(K153),IF($I$178&gt;$H$178,(K153-$H$178)/($I$178-$H$178),"缺失"),"缺失")</x:f>
        <x:v>0.08939878863727237</x:v>
      </x:c>
      <x:c r="AD153" s="12" t="n">
        <x:f>IF(ISNUMBER(L153),IF($I$179&gt;$H$179,(L153-$H$179)/($I$179-$H$179),"缺失"),"缺失")</x:f>
        <x:v>0.49255531122129925</x:v>
      </x:c>
      <x:c r="AE153" s="12" t="n">
        <x:f>IF(ISNUMBER(M153),IF($I$180&gt;$H$180,(M153-$H$180)/($I$180-$H$180),"缺失"),"缺失")</x:f>
        <x:v>0.491838929</x:v>
      </x:c>
      <x:c r="AF153" s="12" t="n">
        <x:f>IF(ISNUMBER(N153),IF($I$181&gt;$H$181,(N153-$H$181)/($I$181-$H$181),"缺失"),"缺失")</x:f>
        <x:v>0.08227352768538447</x:v>
      </x:c>
      <x:c r="AG153" s="12" t="n">
        <x:f>IF(ISNUMBER(O153),IF($I$182&gt;$H$182,(O153-$H$182)/($I$182-$H$182),"缺失"),"缺失")</x:f>
        <x:v>0.41174686615446826</x:v>
      </x:c>
      <x:c r="AH153" s="12" t="n">
        <x:f>IF(ISNUMBER(P153),IF($I$183&gt;$H$183,(P153-$H$183)/($I$183-$H$183),"缺失"),"缺失")</x:f>
        <x:v>0.5810107738791124</x:v>
      </x:c>
      <x:c r="AI153" s="12" t="n">
        <x:f>IF(ISNUMBER(Q153),IF($I$184&gt;$H$184,(Q153-$H$184)/($I$184-$H$184),"缺失"),"缺失")</x:f>
        <x:v>0.46697563549727006</x:v>
      </x:c>
      <x:c r="AJ153" s="12" t="n">
        <x:f>IF(ISNUMBER(R153),IF($I$185&gt;$H$185,(R153-$H$185)/($I$185-$H$185),"缺失"),"缺失")</x:f>
        <x:v>0.19879333207500058</x:v>
      </x:c>
      <x:c r="AK153" s="12" t="n">
        <x:f>IF(ISNUMBER(S153),IF($I$186&gt;$H$186,(S153-$H$186)/($I$186-$H$186),"缺失"),"缺失")</x:f>
        <x:v>0.04058075839471313</x:v>
      </x:c>
      <x:c r="AL153" s="12" t="n">
        <x:f>IF(ISNUMBER(T153),IF($I$187&gt;$H$187,(T153-$H$187)/($I$187-$H$187),"缺失"),"缺失")</x:f>
        <x:v>0</x:v>
      </x:c>
      <x:c r="AM153" s="12" t="n">
        <x:f>IF(ISNUMBER(U153),IF($I$188&gt;$H$188,(U153-$H$188)/($I$188-$H$188),"缺失"),"缺失")</x:f>
        <x:v>0</x:v>
      </x:c>
      <x:c r="AN153" s="12" t="n">
        <x:f>IF(ISNUMBER(V153),IF($I$189&gt;$H$189,(V153-$H$189)/($I$189-$H$189),"缺失"),"缺失")</x:f>
        <x:v>1</x:v>
      </x:c>
      <x:c r="AO153" s="23" t="str"/>
      <x:c r="AP153" s="23" t="str">
        <x:v>见指标口径：州级、产业、代表点代理；气候基期待核实</x:v>
      </x:c>
      <x:c r="AQ153" s="15" t="n">
        <x:v>0.9999999999999996</x:v>
      </x:c>
      <x:c r="AR153" s="15" t="n">
        <x:v>0.9999999999999997</x:v>
      </x:c>
      <x:c r="AS153" s="15" t="n">
        <x:v>1</x:v>
      </x:c>
      <x:c r="AT153" s="15" t="n">
        <x:v>1</x:v>
      </x:c>
    </x:row>
    <x:row r="154" ht="24" customHeight="1">
      <x:c r="A154" s="18" t="str">
        <x:v>13299</x:v>
      </x:c>
      <x:c r="B154" s="3" t="str">
        <x:v>Ware County</x:v>
      </x:c>
      <x:c r="C154" s="3" t="str">
        <x:v>GA</x:v>
      </x:c>
      <x:c r="D154" s="12" t="n">
        <x:v>2329.024282</x:v>
      </x:c>
      <x:c r="E154" s="12" t="n">
        <x:v>0.703</x:v>
      </x:c>
      <x:c r="F154" s="12" t="n">
        <x:v>0.152846534653465</x:v>
      </x:c>
      <x:c r="G154" s="12" t="n">
        <x:v>2.1727173787124308</x:v>
      </x:c>
      <x:c r="H154" s="12" t="n">
        <x:v>2.2585422417597396</x:v>
      </x:c>
      <x:c r="I154" s="12" t="n">
        <x:v>0.9388760870382605</x:v>
      </x:c>
      <x:c r="J154" s="12" t="n">
        <x:v>0.3902817759760822</x:v>
      </x:c>
      <x:c r="K154" s="12" t="n">
        <x:v>0.5521505958040112</x:v>
      </x:c>
      <x:c r="L154" s="24" t="n">
        <x:v>0.3283378</x:v>
      </x:c>
      <x:c r="M154" s="24" t="n">
        <x:v>0.288628781</x:v>
      </x:c>
      <x:c r="N154" s="13" t="n">
        <x:v>12445</x:v>
      </x:c>
      <x:c r="O154" s="12" t="n">
        <x:v>0.9596</x:v>
      </x:c>
      <x:c r="P154" s="12" t="n">
        <x:v>2308.542903645833</x:v>
      </x:c>
      <x:c r="Q154" s="12" t="n">
        <x:v>84.32351582845052</x:v>
      </x:c>
      <x:c r="R154" s="12" t="n">
        <x:v>71.1276070562458</x:v>
      </x:c>
      <x:c r="S154" s="12" t="n">
        <x:v>11.025590654345686</x:v>
      </x:c>
      <x:c r="T154" s="12" t="n">
        <x:v>72.1</x:v>
      </x:c>
      <x:c r="U154" s="12" t="n">
        <x:v>211.4154781728841</x:v>
      </x:c>
      <x:c r="V154" s="12" t="n">
        <x:v>325.42757789465</x:v>
      </x:c>
      <x:c r="W154" s="12" t="n">
        <x:f>IF(ISNUMBER(E154),IF($I$172&gt;$H$172,(E154-$H$172)/($I$172-$H$172),"缺失"),"缺失")</x:f>
        <x:v>0.7581018518518517</x:v>
      </x:c>
      <x:c r="X154" s="12" t="n">
        <x:f>IF(ISNUMBER(F154),IF($I$173&gt;$H$173,(F154-$H$173)/($I$173-$H$173),"缺失"),"缺失")</x:f>
        <x:v>0.1492913385826768</x:v>
      </x:c>
      <x:c r="Y154" s="12" t="n">
        <x:f>IF(ISNUMBER(G154),IF($I$174&gt;$H$174,(G154-$H$174)/($I$174-$H$174),"缺失"),"缺失")</x:f>
        <x:v>0.5711925617285969</x:v>
      </x:c>
      <x:c r="Z154" s="12" t="n">
        <x:f>IF(ISNUMBER(H154),IF($I$175&gt;$H$175,(H154-$H$175)/($I$175-$H$175),"缺失"),"缺失")</x:f>
        <x:v>0.5563668900198245</x:v>
      </x:c>
      <x:c r="AA154" s="12" t="n">
        <x:f>IF(ISNUMBER(I154),IF($I$176&gt;$H$176,(I154-$H$176)/($I$176-$H$176),"缺失"),"缺失")</x:f>
        <x:v>0.9435940419827712</x:v>
      </x:c>
      <x:c r="AB154" s="12" t="n">
        <x:f>IF(ISNUMBER(J154),IF($I$177&gt;$H$177,(J154-$H$177)/($I$177-$H$177),"缺失"),"缺失")</x:f>
        <x:v>0.9573588473923241</x:v>
      </x:c>
      <x:c r="AC154" s="12" t="n">
        <x:f>IF(ISNUMBER(K154),IF($I$178&gt;$H$178,(K154-$H$178)/($I$178-$H$178),"缺失"),"缺失")</x:f>
        <x:v>0.9492579960677349</x:v>
      </x:c>
      <x:c r="AD154" s="12" t="n">
        <x:f>IF(ISNUMBER(L154),IF($I$179&gt;$H$179,(L154-$H$179)/($I$179-$H$179),"缺失"),"缺失")</x:f>
        <x:v>0.32811557893092236</x:v>
      </x:c>
      <x:c r="AE154" s="12" t="n">
        <x:f>IF(ISNUMBER(M154),IF($I$180&gt;$H$180,(M154-$H$180)/($I$180-$H$180),"缺失"),"缺失")</x:f>
        <x:v>0.288628781</x:v>
      </x:c>
      <x:c r="AF154" s="12" t="n">
        <x:f>IF(ISNUMBER(N154),IF($I$181&gt;$H$181,(N154-$H$181)/($I$181-$H$181),"缺失"),"缺失")</x:f>
        <x:v>0.0182566080629082</x:v>
      </x:c>
      <x:c r="AG154" s="12" t="n">
        <x:f>IF(ISNUMBER(O154),IF($I$182&gt;$H$182,(O154-$H$182)/($I$182-$H$182),"缺失"),"缺失")</x:f>
        <x:v>0.9678528103517995</x:v>
      </x:c>
      <x:c r="AH154" s="12" t="n">
        <x:f>IF(ISNUMBER(P154),IF($I$183&gt;$H$183,(P154-$H$183)/($I$183-$H$183),"缺失"),"缺失")</x:f>
        <x:v>0.9144544142453044</x:v>
      </x:c>
      <x:c r="AI154" s="12" t="n">
        <x:f>IF(ISNUMBER(Q154),IF($I$184&gt;$H$184,(Q154-$H$184)/($I$184-$H$184),"缺失"),"缺失")</x:f>
        <x:v>0.9871940733164979</x:v>
      </x:c>
      <x:c r="AJ154" s="12" t="n">
        <x:f>IF(ISNUMBER(R154),IF($I$185&gt;$H$185,(R154-$H$185)/($I$185-$H$185),"缺失"),"缺失")</x:f>
        <x:v>0.7459302027110567</x:v>
      </x:c>
      <x:c r="AK154" s="12" t="n">
        <x:f>IF(ISNUMBER(S154),IF($I$186&gt;$H$186,(S154-$H$186)/($I$186-$H$186),"缺失"),"缺失")</x:f>
        <x:v>0.21507842708049982</x:v>
      </x:c>
      <x:c r="AL154" s="12" t="n">
        <x:f>IF(ISNUMBER(T154),IF($I$187&gt;$H$187,(T154-$H$187)/($I$187-$H$187),"缺失"),"缺失")</x:f>
        <x:v>0</x:v>
      </x:c>
      <x:c r="AM154" s="12" t="n">
        <x:f>IF(ISNUMBER(U154),IF($I$188&gt;$H$188,(U154-$H$188)/($I$188-$H$188),"缺失"),"缺失")</x:f>
        <x:v>0</x:v>
      </x:c>
      <x:c r="AN154" s="12" t="n">
        <x:f>IF(ISNUMBER(V154),IF($I$189&gt;$H$189,(V154-$H$189)/($I$189-$H$189),"缺失"),"缺失")</x:f>
        <x:v>1</x:v>
      </x:c>
      <x:c r="AO154" s="23" t="str"/>
      <x:c r="AP154" s="23" t="str">
        <x:v>见指标口径：州级、产业、代表点代理；气候基期待核实</x:v>
      </x:c>
      <x:c r="AQ154" s="15" t="n">
        <x:v>1.0000000000000013</x:v>
      </x:c>
      <x:c r="AR154" s="15" t="n">
        <x:v>1.000000000000002</x:v>
      </x:c>
      <x:c r="AS154" s="15" t="n">
        <x:v>1</x:v>
      </x:c>
      <x:c r="AT154" s="15" t="n">
        <x:v>1</x:v>
      </x:c>
    </x:row>
    <x:row r="155" ht="24" customHeight="1">
      <x:c r="A155" s="18" t="str">
        <x:v>13301</x:v>
      </x:c>
      <x:c r="B155" s="3" t="str">
        <x:v>Warren County</x:v>
      </x:c>
      <x:c r="C155" s="3" t="str">
        <x:v>GA</x:v>
      </x:c>
      <x:c r="D155" s="12" t="n">
        <x:v>736.510932</x:v>
      </x:c>
      <x:c r="E155" s="12" t="n">
        <x:v>0.656</x:v>
      </x:c>
      <x:c r="F155" s="12" t="n">
        <x:v>0.176670792079208</x:v>
      </x:c>
      <x:c r="G155" s="12" t="n">
        <x:v>1.7657535150157868</x:v>
      </x:c>
      <x:c r="H155" s="12" t="n">
        <x:v>1.5714732222569345</x:v>
      </x:c>
      <x:c r="I155" s="12" t="n">
        <x:v>0.9491740197785574</x:v>
      </x:c>
      <x:c r="J155" s="12" t="n">
        <x:v>0.03719838231182681</x:v>
      </x:c>
      <x:c r="K155" s="12" t="n">
        <x:v>0.055013618684174835</x:v>
      </x:c>
      <x:c r="L155" s="24" t="n">
        <x:v>0.206885352</x:v>
      </x:c>
      <x:c r="M155" s="24" t="n">
        <x:v>0.206885352</x:v>
      </x:c>
      <x:c r="N155" s="13" t="n">
        <x:v>2370</x:v>
      </x:c>
      <x:c r="O155" s="12" t="n">
        <x:v>0.8123</x:v>
      </x:c>
      <x:c r="P155" s="12" t="n">
        <x:v>1728.6121907552083</x:v>
      </x:c>
      <x:c r="Q155" s="12" t="n">
        <x:v>49.92932256062826</x:v>
      </x:c>
      <x:c r="R155" s="12" t="n">
        <x:v>9.16080476222643</x:v>
      </x:c>
      <x:c r="S155" s="12" t="n">
        <x:v>0.4804754472190179</x:v>
      </x:c>
      <x:c r="T155" s="12" t="n">
        <x:v>72.1</x:v>
      </x:c>
      <x:c r="U155" s="12" t="n">
        <x:v>211.4154781728841</x:v>
      </x:c>
      <x:c r="V155" s="12" t="n">
        <x:v>325.42757789465</x:v>
      </x:c>
      <x:c r="W155" s="12" t="n">
        <x:f>IF(ISNUMBER(E155),IF($I$172&gt;$H$172,(E155-$H$172)/($I$172-$H$172),"缺失"),"缺失")</x:f>
        <x:v>0.7037037037037037</x:v>
      </x:c>
      <x:c r="X155" s="12" t="n">
        <x:f>IF(ISNUMBER(F155),IF($I$173&gt;$H$173,(F155-$H$173)/($I$173-$H$173),"缺失"),"缺失")</x:f>
        <x:v>0.1735433070866142</x:v>
      </x:c>
      <x:c r="Y155" s="12" t="n">
        <x:f>IF(ISNUMBER(G155),IF($I$174&gt;$H$174,(G155-$H$174)/($I$174-$H$174),"缺失"),"缺失")</x:f>
        <x:v>0.4641403214487705</x:v>
      </x:c>
      <x:c r="Z155" s="12" t="n">
        <x:f>IF(ISNUMBER(H155),IF($I$175&gt;$H$175,(H155-$H$175)/($I$175-$H$175),"缺失"),"缺失")</x:f>
        <x:v>0.38698536776693604</x:v>
      </x:c>
      <x:c r="AA155" s="12" t="n">
        <x:f>IF(ISNUMBER(I155),IF($I$176&gt;$H$176,(I155-$H$176)/($I$176-$H$176),"缺失"),"缺失")</x:f>
        <x:v>0.9546491441765105</x:v>
      </x:c>
      <x:c r="AB155" s="12" t="n">
        <x:f>IF(ISNUMBER(J155),IF($I$177&gt;$H$177,(J155-$H$177)/($I$177-$H$177),"缺失"),"缺失")</x:f>
        <x:v>0.09124740791661246</x:v>
      </x:c>
      <x:c r="AC155" s="12" t="n">
        <x:f>IF(ISNUMBER(K155),IF($I$178&gt;$H$178,(K155-$H$178)/($I$178-$H$178),"缺失"),"缺失")</x:f>
        <x:v>0.09457948216560619</x:v>
      </x:c>
      <x:c r="AD155" s="12" t="n">
        <x:f>IF(ISNUMBER(L155),IF($I$179&gt;$H$179,(L155-$H$179)/($I$179-$H$179),"缺失"),"缺失")</x:f>
        <x:v>0.20662294809372136</x:v>
      </x:c>
      <x:c r="AE155" s="12" t="n">
        <x:f>IF(ISNUMBER(M155),IF($I$180&gt;$H$180,(M155-$H$180)/($I$180-$H$180),"缺失"),"缺失")</x:f>
        <x:v>0.206885352</x:v>
      </x:c>
      <x:c r="AF155" s="12" t="n">
        <x:f>IF(ISNUMBER(N155),IF($I$181&gt;$H$181,(N155-$H$181)/($I$181-$H$181),"缺失"),"缺失")</x:f>
        <x:v>0.002611858021758237</x:v>
      </x:c>
      <x:c r="AG155" s="12" t="n">
        <x:f>IF(ISNUMBER(O155),IF($I$182&gt;$H$182,(O155-$H$182)/($I$182-$H$182),"缺失"),"缺失")</x:f>
        <x:v>0.8189446016983422</x:v>
      </x:c>
      <x:c r="AH155" s="12" t="n">
        <x:f>IF(ISNUMBER(P155),IF($I$183&gt;$H$183,(P155-$H$183)/($I$183-$H$183),"缺失"),"缺失")</x:f>
        <x:v>0.6535690763346713</x:v>
      </x:c>
      <x:c r="AI155" s="12" t="n">
        <x:f>IF(ISNUMBER(Q155),IF($I$184&gt;$H$184,(Q155-$H$184)/($I$184-$H$184),"缺失"),"缺失")</x:f>
        <x:v>0.5830074221782234</x:v>
      </x:c>
      <x:c r="AJ155" s="12" t="n">
        <x:f>IF(ISNUMBER(R155),IF($I$185&gt;$H$185,(R155-$H$185)/($I$185-$H$185),"缺失"),"缺失")</x:f>
        <x:v>0.09475523747681262</x:v>
      </x:c>
      <x:c r="AK155" s="12" t="n">
        <x:f>IF(ISNUMBER(S155),IF($I$186&gt;$H$186,(S155-$H$186)/($I$186-$H$186),"缺失"),"缺失")</x:f>
        <x:v>0.009220274393501333</x:v>
      </x:c>
      <x:c r="AL155" s="12" t="n">
        <x:f>IF(ISNUMBER(T155),IF($I$187&gt;$H$187,(T155-$H$187)/($I$187-$H$187),"缺失"),"缺失")</x:f>
        <x:v>0</x:v>
      </x:c>
      <x:c r="AM155" s="12" t="n">
        <x:f>IF(ISNUMBER(U155),IF($I$188&gt;$H$188,(U155-$H$188)/($I$188-$H$188),"缺失"),"缺失")</x:f>
        <x:v>0</x:v>
      </x:c>
      <x:c r="AN155" s="12" t="n">
        <x:f>IF(ISNUMBER(V155),IF($I$189&gt;$H$189,(V155-$H$189)/($I$189-$H$189),"缺失"),"缺失")</x:f>
        <x:v>1</x:v>
      </x:c>
      <x:c r="AO155" s="23" t="str"/>
      <x:c r="AP155" s="23" t="str">
        <x:v>见指标口径：州级、产业、代表点代理；气候基期待核实</x:v>
      </x:c>
      <x:c r="AQ155" s="15" t="n">
        <x:v>1.0000000000000007</x:v>
      </x:c>
      <x:c r="AR155" s="15" t="n">
        <x:v>0.9999999999999996</x:v>
      </x:c>
      <x:c r="AS155" s="15" t="n">
        <x:v>1</x:v>
      </x:c>
      <x:c r="AT155" s="15" t="n">
        <x:v>1</x:v>
      </x:c>
    </x:row>
    <x:row r="156" ht="24" customHeight="1">
      <x:c r="A156" s="18" t="str">
        <x:v>13303</x:v>
      </x:c>
      <x:c r="B156" s="3" t="str">
        <x:v>Washington County</x:v>
      </x:c>
      <x:c r="C156" s="3" t="str">
        <x:v>GA</x:v>
      </x:c>
      <x:c r="D156" s="12" t="n">
        <x:v>1757.374002</x:v>
      </x:c>
      <x:c r="E156" s="12" t="n">
        <x:v>0.546</x:v>
      </x:c>
      <x:c r="F156" s="12" t="n">
        <x:v>0.08477722772277231</x:v>
      </x:c>
      <x:c r="G156" s="12" t="n">
        <x:v>1.6048406430178825</x:v>
      </x:c>
      <x:c r="H156" s="12" t="n">
        <x:v>1.42232232410691</x:v>
      </x:c>
      <x:c r="I156" s="12" t="n">
        <x:v>0.9471472494457952</x:v>
      </x:c>
      <x:c r="J156" s="12" t="n">
        <x:v>0.0019225568683680632</x:v>
      </x:c>
      <x:c r="K156" s="12" t="n">
        <x:v>0.16716336897037692</x:v>
      </x:c>
      <x:c r="L156" s="24" t="n">
        <x:v>0.677111045</x:v>
      </x:c>
      <x:c r="M156" s="24" t="n">
        <x:v>0.676125727</x:v>
      </x:c>
      <x:c r="N156" s="13" t="n">
        <x:v>7752</x:v>
      </x:c>
      <x:c r="O156" s="12" t="n">
        <x:v>0.9115</x:v>
      </x:c>
      <x:c r="P156" s="12" t="n">
        <x:v>1906.5573364257812</x:v>
      </x:c>
      <x:c r="Q156" s="12" t="n">
        <x:v>56.21041043599447</x:v>
      </x:c>
      <x:c r="R156" s="12" t="n">
        <x:v>54.59628314357997</x:v>
      </x:c>
      <x:c r="S156" s="12" t="n">
        <x:v>0.056223079799542636</x:v>
      </x:c>
      <x:c r="T156" s="12" t="n">
        <x:v>72.1</x:v>
      </x:c>
      <x:c r="U156" s="12" t="n">
        <x:v>211.4154781728841</x:v>
      </x:c>
      <x:c r="V156" s="12" t="n">
        <x:v>325.42757789465</x:v>
      </x:c>
      <x:c r="W156" s="12" t="n">
        <x:f>IF(ISNUMBER(E156),IF($I$172&gt;$H$172,(E156-$H$172)/($I$172-$H$172),"缺失"),"缺失")</x:f>
        <x:v>0.576388888888889</x:v>
      </x:c>
      <x:c r="X156" s="12" t="n">
        <x:f>IF(ISNUMBER(F156),IF($I$173&gt;$H$173,(F156-$H$173)/($I$173-$H$173),"缺失"),"缺失")</x:f>
        <x:v>0.08000000000000002</x:v>
      </x:c>
      <x:c r="Y156" s="12" t="n">
        <x:f>IF(ISNUMBER(G156),IF($I$174&gt;$H$174,(G156-$H$174)/($I$174-$H$174),"缺失"),"缺失")</x:f>
        <x:v>0.42181203391787275</x:v>
      </x:c>
      <x:c r="Z156" s="12" t="n">
        <x:f>IF(ISNUMBER(H156),IF($I$175&gt;$H$175,(H156-$H$175)/($I$175-$H$175),"缺失"),"缺失")</x:f>
        <x:v>0.3502155448569779</x:v>
      </x:c>
      <x:c r="AA156" s="12" t="n">
        <x:f>IF(ISNUMBER(I156),IF($I$176&gt;$H$176,(I156-$H$176)/($I$176-$H$176),"缺失"),"缺失")</x:f>
        <x:v>0.9524733528097395</x:v>
      </x:c>
      <x:c r="AB156" s="12" t="n">
        <x:f>IF(ISNUMBER(J156),IF($I$177&gt;$H$177,(J156-$H$177)/($I$177-$H$177),"缺失"),"缺失")</x:f>
        <x:v>0.004716020426379945</x:v>
      </x:c>
      <x:c r="AC156" s="12" t="n">
        <x:f>IF(ISNUMBER(K156),IF($I$178&gt;$H$178,(K156-$H$178)/($I$178-$H$178),"缺失"),"缺失")</x:f>
        <x:v>0.28738747336437925</x:v>
      </x:c>
      <x:c r="AD156" s="12" t="n">
        <x:f>IF(ISNUMBER(L156),IF($I$179&gt;$H$179,(L156-$H$179)/($I$179-$H$179),"缺失"),"缺失")</x:f>
        <x:v>0.6770042164055465</x:v>
      </x:c>
      <x:c r="AE156" s="12" t="n">
        <x:f>IF(ISNUMBER(M156),IF($I$180&gt;$H$180,(M156-$H$180)/($I$180-$H$180),"缺失"),"缺失")</x:f>
        <x:v>0.676125727</x:v>
      </x:c>
      <x:c r="AF156" s="12" t="n">
        <x:f>IF(ISNUMBER(N156),IF($I$181&gt;$H$181,(N156-$H$181)/($I$181-$H$181),"缺失"),"缺失")</x:f>
        <x:v>0.010969182559869313</x:v>
      </x:c>
      <x:c r="AG156" s="12" t="n">
        <x:f>IF(ISNUMBER(O156),IF($I$182&gt;$H$182,(O156-$H$182)/($I$182-$H$182),"缺失"),"缺失")</x:f>
        <x:v>0.9192276587141125</x:v>
      </x:c>
      <x:c r="AH156" s="12" t="n">
        <x:f>IF(ISNUMBER(P156),IF($I$183&gt;$H$183,(P156-$H$183)/($I$183-$H$183),"缺失"),"缺失")</x:f>
        <x:v>0.7336187761107541</x:v>
      </x:c>
      <x:c r="AI156" s="12" t="n">
        <x:f>IF(ISNUMBER(Q156),IF($I$184&gt;$H$184,(Q156-$H$184)/($I$184-$H$184),"缺失"),"缺失")</x:f>
        <x:v>0.6568202269758465</x:v>
      </x:c>
      <x:c r="AJ156" s="12" t="n">
        <x:f>IF(ISNUMBER(R156),IF($I$185&gt;$H$185,(R156-$H$185)/($I$185-$H$185),"缺失"),"缺失")</x:f>
        <x:v>0.5722116328382791</x:v>
      </x:c>
      <x:c r="AK156" s="12" t="n">
        <x:f>IF(ISNUMBER(S156),IF($I$186&gt;$H$186,(S156-$H$186)/($I$186-$H$186),"缺失"),"缺失")</x:f>
        <x:v>0.0009381639646806922</x:v>
      </x:c>
      <x:c r="AL156" s="12" t="n">
        <x:f>IF(ISNUMBER(T156),IF($I$187&gt;$H$187,(T156-$H$187)/($I$187-$H$187),"缺失"),"缺失")</x:f>
        <x:v>0</x:v>
      </x:c>
      <x:c r="AM156" s="12" t="n">
        <x:f>IF(ISNUMBER(U156),IF($I$188&gt;$H$188,(U156-$H$188)/($I$188-$H$188),"缺失"),"缺失")</x:f>
        <x:v>0</x:v>
      </x:c>
      <x:c r="AN156" s="12" t="n">
        <x:f>IF(ISNUMBER(V156),IF($I$189&gt;$H$189,(V156-$H$189)/($I$189-$H$189),"缺失"),"缺失")</x:f>
        <x:v>1</x:v>
      </x:c>
      <x:c r="AO156" s="23" t="str"/>
      <x:c r="AP156" s="23" t="str">
        <x:v>见指标口径：州级、产业、代表点代理；气候基期待核实</x:v>
      </x:c>
      <x:c r="AQ156" s="15" t="n">
        <x:v>0.999999999999997</x:v>
      </x:c>
      <x:c r="AR156" s="15" t="n">
        <x:v>0.9999999999999963</x:v>
      </x:c>
      <x:c r="AS156" s="15" t="n">
        <x:v>1</x:v>
      </x:c>
      <x:c r="AT156" s="15" t="n">
        <x:v>1</x:v>
      </x:c>
    </x:row>
    <x:row r="157" ht="24" customHeight="1">
      <x:c r="A157" s="18" t="str">
        <x:v>13305</x:v>
      </x:c>
      <x:c r="B157" s="3" t="str">
        <x:v>Wayne County</x:v>
      </x:c>
      <x:c r="C157" s="3" t="str">
        <x:v>GA</x:v>
      </x:c>
      <x:c r="D157" s="12" t="n">
        <x:v>1662.287074</x:v>
      </x:c>
      <x:c r="E157" s="12" t="n">
        <x:v>0.624</x:v>
      </x:c>
      <x:c r="F157" s="12" t="n">
        <x:v>0.15470297029703</x:v>
      </x:c>
      <x:c r="G157" s="12" t="n">
        <x:v>0.3631924922046297</x:v>
      </x:c>
      <x:c r="H157" s="12" t="n">
        <x:v>0.3394185292626878</x:v>
      </x:c>
      <x:c r="I157" s="12" t="n">
        <x:v>0.9199206560025224</x:v>
      </x:c>
      <x:c r="J157" s="12" t="n">
        <x:v>0.12790360702669967</x:v>
      </x:c>
      <x:c r="K157" s="12" t="n">
        <x:v>0.39301032076657444</x:v>
      </x:c>
      <x:c r="L157" s="24" t="n">
        <x:v>0.585961272</x:v>
      </x:c>
      <x:c r="M157" s="24" t="n">
        <x:v>0.585961272</x:v>
      </x:c>
      <x:c r="N157" s="13" t="n">
        <x:v>13367</x:v>
      </x:c>
      <x:c r="O157" s="12" t="n">
        <x:v>0.9434</x:v>
      </x:c>
      <x:c r="P157" s="12" t="n">
        <x:v>2234.58369140625</x:v>
      </x:c>
      <x:c r="Q157" s="12" t="n">
        <x:v>72.18536516825358</x:v>
      </x:c>
      <x:c r="R157" s="12" t="n">
        <x:v>44.38516948670565</x:v>
      </x:c>
      <x:c r="S157" s="12" t="n">
        <x:v>1.0314172458955966</x:v>
      </x:c>
      <x:c r="T157" s="12" t="n">
        <x:v>72.1</x:v>
      </x:c>
      <x:c r="U157" s="12" t="n">
        <x:v>211.4154781728841</x:v>
      </x:c>
      <x:c r="V157" s="12" t="n">
        <x:v>325.42757789465</x:v>
      </x:c>
      <x:c r="W157" s="12" t="n">
        <x:f>IF(ISNUMBER(E157),IF($I$172&gt;$H$172,(E157-$H$172)/($I$172-$H$172),"缺失"),"缺失")</x:f>
        <x:v>0.6666666666666666</x:v>
      </x:c>
      <x:c r="X157" s="12" t="n">
        <x:f>IF(ISNUMBER(F157),IF($I$173&gt;$H$173,(F157-$H$173)/($I$173-$H$173),"缺失"),"缺失")</x:f>
        <x:v>0.151181102362205</x:v>
      </x:c>
      <x:c r="Y157" s="12" t="n">
        <x:f>IF(ISNUMBER(G157),IF($I$174&gt;$H$174,(G157-$H$174)/($I$174-$H$174),"缺失"),"缺失")</x:f>
        <x:v>0.09519527984915357</x:v>
      </x:c>
      <x:c r="Z157" s="12" t="n">
        <x:f>IF(ISNUMBER(H157),IF($I$175&gt;$H$175,(H157-$H$175)/($I$175-$H$175),"缺失"),"缺失")</x:f>
        <x:v>0.08324979903295864</x:v>
      </x:c>
      <x:c r="AA157" s="12" t="n">
        <x:f>IF(ISNUMBER(I157),IF($I$176&gt;$H$176,(I157-$H$176)/($I$176-$H$176),"缺失"),"缺失")</x:f>
        <x:v>0.9232448872047004</x:v>
      </x:c>
      <x:c r="AB157" s="12" t="n">
        <x:f>IF(ISNUMBER(J157),IF($I$177&gt;$H$177,(J157-$H$177)/($I$177-$H$177),"缺失"),"缺失")</x:f>
        <x:v>0.31374677819418884</x:v>
      </x:c>
      <x:c r="AC157" s="12" t="n">
        <x:f>IF(ISNUMBER(K157),IF($I$178&gt;$H$178,(K157-$H$178)/($I$178-$H$178),"缺失"),"缺失")</x:f>
        <x:v>0.675663835844594</x:v>
      </x:c>
      <x:c r="AD157" s="12" t="n">
        <x:f>IF(ISNUMBER(L157),IF($I$179&gt;$H$179,(L157-$H$179)/($I$179-$H$179),"缺失"),"缺失")</x:f>
        <x:v>0.5858242862819177</x:v>
      </x:c>
      <x:c r="AE157" s="12" t="n">
        <x:f>IF(ISNUMBER(M157),IF($I$180&gt;$H$180,(M157-$H$180)/($I$180-$H$180),"缺失"),"缺失")</x:f>
        <x:v>0.585961272</x:v>
      </x:c>
      <x:c r="AF157" s="12" t="n">
        <x:f>IF(ISNUMBER(N157),IF($I$181&gt;$H$181,(N157-$H$181)/($I$181-$H$181),"缺失"),"缺失")</x:f>
        <x:v>0.0196883162056318</x:v>
      </x:c>
      <x:c r="AG157" s="12" t="n">
        <x:f>IF(ISNUMBER(O157),IF($I$182&gt;$H$182,(O157-$H$182)/($I$182-$H$182),"缺失"),"缺失")</x:f>
        <x:v>0.9514759401536595</x:v>
      </x:c>
      <x:c r="AH157" s="12" t="n">
        <x:f>IF(ISNUMBER(P157),IF($I$183&gt;$H$183,(P157-$H$183)/($I$183-$H$183),"缺失"),"缺失")</x:f>
        <x:v>0.8811834154038155</x:v>
      </x:c>
      <x:c r="AI157" s="12" t="n">
        <x:f>IF(ISNUMBER(Q157),IF($I$184&gt;$H$184,(Q157-$H$184)/($I$184-$H$184),"缺失"),"缺失")</x:f>
        <x:v>0.8445514351201616</x:v>
      </x:c>
      <x:c r="AJ157" s="12" t="n">
        <x:f>IF(ISNUMBER(R157),IF($I$185&gt;$H$185,(R157-$H$185)/($I$185-$H$185),"缺失"),"缺失")</x:f>
        <x:v>0.4649086684385849</x:v>
      </x:c>
      <x:c r="AK157" s="12" t="n">
        <x:f>IF(ISNUMBER(S157),IF($I$186&gt;$H$186,(S157-$H$186)/($I$186-$H$186),"缺失"),"缺失")</x:f>
        <x:v>0.01997557281233352</x:v>
      </x:c>
      <x:c r="AL157" s="12" t="n">
        <x:f>IF(ISNUMBER(T157),IF($I$187&gt;$H$187,(T157-$H$187)/($I$187-$H$187),"缺失"),"缺失")</x:f>
        <x:v>0</x:v>
      </x:c>
      <x:c r="AM157" s="12" t="n">
        <x:f>IF(ISNUMBER(U157),IF($I$188&gt;$H$188,(U157-$H$188)/($I$188-$H$188),"缺失"),"缺失")</x:f>
        <x:v>0</x:v>
      </x:c>
      <x:c r="AN157" s="12" t="n">
        <x:f>IF(ISNUMBER(V157),IF($I$189&gt;$H$189,(V157-$H$189)/($I$189-$H$189),"缺失"),"缺失")</x:f>
        <x:v>1</x:v>
      </x:c>
      <x:c r="AO157" s="23" t="str"/>
      <x:c r="AP157" s="23" t="str">
        <x:v>见指标口径：州级、产业、代表点代理；气候基期待核实</x:v>
      </x:c>
      <x:c r="AQ157" s="15" t="n">
        <x:v>0.9999999999999999</x:v>
      </x:c>
      <x:c r="AR157" s="15" t="n">
        <x:v>0.9999999999999999</x:v>
      </x:c>
      <x:c r="AS157" s="15" t="n">
        <x:v>1</x:v>
      </x:c>
      <x:c r="AT157" s="15" t="n">
        <x:v>1</x:v>
      </x:c>
    </x:row>
    <x:row r="158" ht="24" customHeight="1">
      <x:c r="A158" s="18" t="str">
        <x:v>13307</x:v>
      </x:c>
      <x:c r="B158" s="3" t="str">
        <x:v>Webster County</x:v>
      </x:c>
      <x:c r="C158" s="3" t="str">
        <x:v>GA</x:v>
      </x:c>
      <x:c r="D158" s="12" t="n">
        <x:v>543.010089</x:v>
      </x:c>
      <x:c r="E158" s="12" t="n">
        <x:v>0.505</x:v>
      </x:c>
      <x:c r="F158" s="12" t="n">
        <x:v>0.0392945544554455</x:v>
      </x:c>
      <x:c r="G158" s="12" t="n">
        <x:v>1.1604117412284771</x:v>
      </x:c>
      <x:c r="H158" s="12" t="n">
        <x:v>1.1295368406416066</x:v>
      </x:c>
      <x:c r="I158" s="12" t="n">
        <x:v>0.9606546371795234</x:v>
      </x:c>
      <x:c r="J158" s="12" t="n">
        <x:v>0.03272716993567493</x:v>
      </x:c>
      <x:c r="K158" s="12" t="n">
        <x:v>0.13903811737806143</x:v>
      </x:c>
      <x:c r="L158" s="24" t="n">
        <x:v>0.605059733</x:v>
      </x:c>
      <x:c r="M158" s="24" t="n">
        <x:v>0.605059733</x:v>
      </x:c>
      <x:c r="N158" s="13" t="n">
        <x:v>952</x:v>
      </x:c>
      <x:c r="O158" s="12" t="n">
        <x:v>0.8447</x:v>
      </x:c>
      <x:c r="P158" s="12" t="n">
        <x:v>2004.554813639323</x:v>
      </x:c>
      <x:c r="Q158" s="12" t="n">
        <x:v>62.01697057088216</x:v>
      </x:c>
      <x:c r="R158" s="12" t="n">
        <x:v>52.924385441704736</x:v>
      </x:c>
      <x:c r="S158" s="12" t="n">
        <x:v>1.8400188432093585</x:v>
      </x:c>
      <x:c r="T158" s="12" t="n">
        <x:v>72.1</x:v>
      </x:c>
      <x:c r="U158" s="12" t="n">
        <x:v>211.4154781728841</x:v>
      </x:c>
      <x:c r="V158" s="12" t="n">
        <x:v>325.42757789465</x:v>
      </x:c>
      <x:c r="W158" s="12" t="n">
        <x:f>IF(ISNUMBER(E158),IF($I$172&gt;$H$172,(E158-$H$172)/($I$172-$H$172),"缺失"),"缺失")</x:f>
        <x:v>0.5289351851851852</x:v>
      </x:c>
      <x:c r="X158" s="12" t="n">
        <x:f>IF(ISNUMBER(F158),IF($I$173&gt;$H$173,(F158-$H$173)/($I$173-$H$173),"缺失"),"缺失")</x:f>
        <x:v>0.033700787401574755</x:v>
      </x:c>
      <x:c r="Y158" s="12" t="n">
        <x:f>IF(ISNUMBER(G158),IF($I$174&gt;$H$174,(G158-$H$174)/($I$174-$H$174),"缺失"),"缺失")</x:f>
        <x:v>0.30490457891807604</x:v>
      </x:c>
      <x:c r="Z158" s="12" t="n">
        <x:f>IF(ISNUMBER(H158),IF($I$175&gt;$H$175,(H158-$H$175)/($I$175-$H$175),"缺失"),"缺失")</x:f>
        <x:v>0.27803582276910327</x:v>
      </x:c>
      <x:c r="AA158" s="12" t="n">
        <x:f>IF(ISNUMBER(I158),IF($I$176&gt;$H$176,(I158-$H$176)/($I$176-$H$176),"缺失"),"缺失")</x:f>
        <x:v>0.9669738895225596</x:v>
      </x:c>
      <x:c r="AB158" s="12" t="n">
        <x:f>IF(ISNUMBER(J158),IF($I$177&gt;$H$177,(J158-$H$177)/($I$177-$H$177),"缺失"),"缺失")</x:f>
        <x:v>0.0802795508698069</x:v>
      </x:c>
      <x:c r="AC158" s="12" t="n">
        <x:f>IF(ISNUMBER(K158),IF($I$178&gt;$H$178,(K158-$H$178)/($I$178-$H$178),"缺失"),"缺失")</x:f>
        <x:v>0.2390345055901691</x:v>
      </x:c>
      <x:c r="AD158" s="12" t="n">
        <x:f>IF(ISNUMBER(L158),IF($I$179&gt;$H$179,(L158-$H$179)/($I$179-$H$179),"缺失"),"缺失")</x:f>
        <x:v>0.6049290660540939</x:v>
      </x:c>
      <x:c r="AE158" s="12" t="n">
        <x:f>IF(ISNUMBER(M158),IF($I$180&gt;$H$180,(M158-$H$180)/($I$180-$H$180),"缺失"),"缺失")</x:f>
        <x:v>0.605059733</x:v>
      </x:c>
      <x:c r="AF158" s="12" t="n">
        <x:f>IF(ISNUMBER(N158),IF($I$181&gt;$H$181,(N158-$H$181)/($I$181-$H$181),"缺失"),"缺失")</x:f>
        <x:v>0.00040994680008571617</x:v>
      </x:c>
      <x:c r="AG158" s="12" t="n">
        <x:f>IF(ISNUMBER(O158),IF($I$182&gt;$H$182,(O158-$H$182)/($I$182-$H$182),"缺失"),"缺失")</x:f>
        <x:v>0.8516983420946219</x:v>
      </x:c>
      <x:c r="AH158" s="12" t="n">
        <x:f>IF(ISNUMBER(P158),IF($I$183&gt;$H$183,(P158-$H$183)/($I$183-$H$183),"缺失"),"缺失")</x:f>
        <x:v>0.7777035338050171</x:v>
      </x:c>
      <x:c r="AI158" s="12" t="n">
        <x:f>IF(ISNUMBER(Q158),IF($I$184&gt;$H$184,(Q158-$H$184)/($I$184-$H$184),"缺失"),"缺失")</x:f>
        <x:v>0.7250565736544282</x:v>
      </x:c>
      <x:c r="AJ158" s="12" t="n">
        <x:f>IF(ISNUMBER(R158),IF($I$185&gt;$H$185,(R158-$H$185)/($I$185-$H$185),"缺失"),"缺失")</x:f>
        <x:v>0.5546425815464572</x:v>
      </x:c>
      <x:c r="AK158" s="12" t="n">
        <x:f>IF(ISNUMBER(S158),IF($I$186&gt;$H$186,(S158-$H$186)/($I$186-$H$186),"缺失"),"缺失")</x:f>
        <x:v>0.035760818190238075</x:v>
      </x:c>
      <x:c r="AL158" s="12" t="n">
        <x:f>IF(ISNUMBER(T158),IF($I$187&gt;$H$187,(T158-$H$187)/($I$187-$H$187),"缺失"),"缺失")</x:f>
        <x:v>0</x:v>
      </x:c>
      <x:c r="AM158" s="12" t="n">
        <x:f>IF(ISNUMBER(U158),IF($I$188&gt;$H$188,(U158-$H$188)/($I$188-$H$188),"缺失"),"缺失")</x:f>
        <x:v>0</x:v>
      </x:c>
      <x:c r="AN158" s="12" t="n">
        <x:f>IF(ISNUMBER(V158),IF($I$189&gt;$H$189,(V158-$H$189)/($I$189-$H$189),"缺失"),"缺失")</x:f>
        <x:v>1</x:v>
      </x:c>
      <x:c r="AO158" s="23" t="str"/>
      <x:c r="AP158" s="23" t="str">
        <x:v>见指标口径：州级、产业、代表点代理；气候基期待核实</x:v>
      </x:c>
      <x:c r="AQ158" s="15" t="n">
        <x:v>0.9999999999999993</x:v>
      </x:c>
      <x:c r="AR158" s="15" t="n">
        <x:v>0.9999999999999993</x:v>
      </x:c>
      <x:c r="AS158" s="15" t="n">
        <x:v>1</x:v>
      </x:c>
      <x:c r="AT158" s="15" t="n">
        <x:v>1</x:v>
      </x:c>
    </x:row>
    <x:row r="159" ht="24" customHeight="1">
      <x:c r="A159" s="18" t="str">
        <x:v>13309</x:v>
      </x:c>
      <x:c r="B159" s="3" t="str">
        <x:v>Wheeler County</x:v>
      </x:c>
      <x:c r="C159" s="3" t="str">
        <x:v>GA</x:v>
      </x:c>
      <x:c r="D159" s="12" t="n">
        <x:v>765.314382</x:v>
      </x:c>
      <x:c r="E159" s="12" t="n">
        <x:v>0.56</x:v>
      </x:c>
      <x:c r="F159" s="12" t="n">
        <x:v>0.47988861386138604</x:v>
      </x:c>
      <x:c r="G159" s="12" t="n">
        <x:v>2.1588190862859182</x:v>
      </x:c>
      <x:c r="H159" s="12" t="n">
        <x:v>1.9967852190263393</x:v>
      </x:c>
      <x:c r="I159" s="12" t="n">
        <x:v>0.9522460518642399</x:v>
      </x:c>
      <x:c r="J159" s="12" t="n">
        <x:v>0.02135110597800717</x:v>
      </x:c>
      <x:c r="K159" s="12" t="n">
        <x:v>0.25689966890938776</x:v>
      </x:c>
      <x:c r="L159" s="24" t="n">
        <x:v>0.913860333</x:v>
      </x:c>
      <x:c r="M159" s="24" t="n">
        <x:v>0.913505849</x:v>
      </x:c>
      <x:c r="N159" s="13" t="n">
        <x:v>2791</x:v>
      </x:c>
      <x:c r="O159" s="12" t="n">
        <x:v>0.7716</x:v>
      </x:c>
      <x:c r="P159" s="12" t="n">
        <x:v>2154.7752278645835</x:v>
      </x:c>
      <x:c r="Q159" s="12" t="n">
        <x:v>76.11628774007161</x:v>
      </x:c>
      <x:c r="R159" s="12" t="n">
        <x:v>36.556605635826294</x:v>
      </x:c>
      <x:c r="S159" s="12" t="n">
        <x:v>5.741460183993046</x:v>
      </x:c>
      <x:c r="T159" s="12" t="n">
        <x:v>72.1</x:v>
      </x:c>
      <x:c r="U159" s="12" t="n">
        <x:v>211.4154781728841</x:v>
      </x:c>
      <x:c r="V159" s="12" t="n">
        <x:v>325.42757789465</x:v>
      </x:c>
      <x:c r="W159" s="12" t="n">
        <x:f>IF(ISNUMBER(E159),IF($I$172&gt;$H$172,(E159-$H$172)/($I$172-$H$172),"缺失"),"缺失")</x:f>
        <x:v>0.5925925925925926</x:v>
      </x:c>
      <x:c r="X159" s="12" t="n">
        <x:f>IF(ISNUMBER(F159),IF($I$173&gt;$H$173,(F159-$H$173)/($I$173-$H$173),"缺失"),"缺失")</x:f>
        <x:v>0.4822047244094486</x:v>
      </x:c>
      <x:c r="Y159" s="12" t="n">
        <x:f>IF(ISNUMBER(G159),IF($I$174&gt;$H$174,(G159-$H$174)/($I$174-$H$174),"缺失"),"缺失")</x:f>
        <x:v>0.5675366023841786</x:v>
      </x:c>
      <x:c r="Z159" s="12" t="n">
        <x:f>IF(ISNUMBER(H159),IF($I$175&gt;$H$175,(H159-$H$175)/($I$175-$H$175),"缺失"),"缺失")</x:f>
        <x:v>0.4918365419580658</x:v>
      </x:c>
      <x:c r="AA159" s="12" t="n">
        <x:f>IF(ISNUMBER(I159),IF($I$176&gt;$H$176,(I159-$H$176)/($I$176-$H$176),"缺失"),"缺失")</x:f>
        <x:v>0.9579470515824087</x:v>
      </x:c>
      <x:c r="AB159" s="12" t="n">
        <x:f>IF(ISNUMBER(J159),IF($I$177&gt;$H$177,(J159-$H$177)/($I$177-$H$177),"缺失"),"缺失")</x:f>
        <x:v>0.05237413445333143</x:v>
      </x:c>
      <x:c r="AC159" s="12" t="n">
        <x:f>IF(ISNUMBER(K159),IF($I$178&gt;$H$178,(K159-$H$178)/($I$178-$H$178),"缺失"),"缺失")</x:f>
        <x:v>0.44166223264558585</x:v>
      </x:c>
      <x:c r="AD159" s="12" t="n">
        <x:f>IF(ISNUMBER(L159),IF($I$179&gt;$H$179,(L159-$H$179)/($I$179-$H$179),"缺失"),"缺失")</x:f>
        <x:v>0.9138318334821014</x:v>
      </x:c>
      <x:c r="AE159" s="12" t="n">
        <x:f>IF(ISNUMBER(M159),IF($I$180&gt;$H$180,(M159-$H$180)/($I$180-$H$180),"缺失"),"缺失")</x:f>
        <x:v>0.913505849</x:v>
      </x:c>
      <x:c r="AF159" s="12" t="n">
        <x:f>IF(ISNUMBER(N159),IF($I$181&gt;$H$181,(N159-$H$181)/($I$181-$H$181),"缺失"),"缺失")</x:f>
        <x:v>0.003265598941591898</x:v>
      </x:c>
      <x:c r="AG159" s="12" t="n">
        <x:f>IF(ISNUMBER(O159),IF($I$182&gt;$H$182,(O159-$H$182)/($I$182-$H$182),"缺失"),"缺失")</x:f>
        <x:v>0.7778002426202992</x:v>
      </x:c>
      <x:c r="AH159" s="12" t="n">
        <x:f>IF(ISNUMBER(P159),IF($I$183&gt;$H$183,(P159-$H$183)/($I$183-$H$183),"缺失"),"缺失")</x:f>
        <x:v>0.8452810954949146</x:v>
      </x:c>
      <x:c r="AI159" s="12" t="n">
        <x:f>IF(ISNUMBER(Q159),IF($I$184&gt;$H$184,(Q159-$H$184)/($I$184-$H$184),"缺失"),"缺失")</x:f>
        <x:v>0.8907460476181213</x:v>
      </x:c>
      <x:c r="AJ159" s="12" t="n">
        <x:f>IF(ISNUMBER(R159),IF($I$185&gt;$H$185,(R159-$H$185)/($I$185-$H$185),"缺失"),"缺失")</x:f>
        <x:v>0.3826426065359131</x:v>
      </x:c>
      <x:c r="AK159" s="12" t="n">
        <x:f>IF(ISNUMBER(S159),IF($I$186&gt;$H$186,(S159-$H$186)/($I$186-$H$186),"缺失"),"缺失")</x:f>
        <x:v>0.11192342916746387</x:v>
      </x:c>
      <x:c r="AL159" s="12" t="n">
        <x:f>IF(ISNUMBER(T159),IF($I$187&gt;$H$187,(T159-$H$187)/($I$187-$H$187),"缺失"),"缺失")</x:f>
        <x:v>0</x:v>
      </x:c>
      <x:c r="AM159" s="12" t="n">
        <x:f>IF(ISNUMBER(U159),IF($I$188&gt;$H$188,(U159-$H$188)/($I$188-$H$188),"缺失"),"缺失")</x:f>
        <x:v>0</x:v>
      </x:c>
      <x:c r="AN159" s="12" t="n">
        <x:f>IF(ISNUMBER(V159),IF($I$189&gt;$H$189,(V159-$H$189)/($I$189-$H$189),"缺失"),"缺失")</x:f>
        <x:v>1</x:v>
      </x:c>
      <x:c r="AO159" s="23" t="str"/>
      <x:c r="AP159" s="23" t="str">
        <x:v>见指标口径：州级、产业、代表点代理；气候基期待核实</x:v>
      </x:c>
      <x:c r="AQ159" s="15" t="n">
        <x:v>0.9999999999999997</x:v>
      </x:c>
      <x:c r="AR159" s="15" t="n">
        <x:v>1.0000000000000042</x:v>
      </x:c>
      <x:c r="AS159" s="15" t="n">
        <x:v>1</x:v>
      </x:c>
      <x:c r="AT159" s="15" t="n">
        <x:v>1</x:v>
      </x:c>
    </x:row>
    <x:row r="160" ht="24" customHeight="1">
      <x:c r="A160" s="18" t="str">
        <x:v>13311</x:v>
      </x:c>
      <x:c r="B160" s="3" t="str">
        <x:v>White County</x:v>
      </x:c>
      <x:c r="C160" s="3" t="str">
        <x:v>GA</x:v>
      </x:c>
      <x:c r="D160" s="12" t="n">
        <x:v>623.600283</x:v>
      </x:c>
      <x:c r="E160" s="12" t="n">
        <x:v>0.739</x:v>
      </x:c>
      <x:c r="F160" s="12" t="n">
        <x:v>0.511138613861386</x:v>
      </x:c>
      <x:c r="G160" s="12" t="n">
        <x:v>2.4093955531174176</x:v>
      </x:c>
      <x:c r="H160" s="12" t="n">
        <x:v>2.2365363361355914</x:v>
      </x:c>
      <x:c r="I160" s="12" t="n">
        <x:v>0.9313459671122201</x:v>
      </x:c>
      <x:c r="J160" s="12" t="n">
        <x:v>0.1998560887036593</x:v>
      </x:c>
      <x:c r="K160" s="12" t="n">
        <x:v>0.0010257621902904116</x:v>
      </x:c>
      <x:c r="L160" s="24" t="n">
        <x:v>0.845334136</x:v>
      </x:c>
      <x:c r="M160" s="24" t="n">
        <x:v>0.845334136</x:v>
      </x:c>
      <x:c r="N160" s="13" t="n">
        <x:v>13998</x:v>
      </x:c>
      <x:c r="O160" s="12" t="n">
        <x:v>0.3455</x:v>
      </x:c>
      <x:c r="P160" s="12" t="n">
        <x:v>853.7647155761719</x:v>
      </x:c>
      <x:c r="Q160" s="12" t="n">
        <x:v>10.039321025212606</x:v>
      </x:c>
      <x:c r="R160" s="12" t="n">
        <x:v>36.089557810496245</x:v>
      </x:c>
      <x:c r="S160" s="12" t="n">
        <x:v>24.451841519936654</x:v>
      </x:c>
      <x:c r="T160" s="12" t="n">
        <x:v>72.1</x:v>
      </x:c>
      <x:c r="U160" s="12" t="n">
        <x:v>211.4154781728841</x:v>
      </x:c>
      <x:c r="V160" s="12" t="n">
        <x:v>325.42757789465</x:v>
      </x:c>
      <x:c r="W160" s="12" t="n">
        <x:f>IF(ISNUMBER(E160),IF($I$172&gt;$H$172,(E160-$H$172)/($I$172-$H$172),"缺失"),"缺失")</x:f>
        <x:v>0.7997685185185185</x:v>
      </x:c>
      <x:c r="X160" s="12" t="n">
        <x:f>IF(ISNUMBER(F160),IF($I$173&gt;$H$173,(F160-$H$173)/($I$173-$H$173),"缺失"),"缺失")</x:f>
        <x:v>0.5140157480314959</x:v>
      </x:c>
      <x:c r="Y160" s="12" t="n">
        <x:f>IF(ISNUMBER(G160),IF($I$174&gt;$H$174,(G160-$H$174)/($I$174-$H$174),"缺失"),"缺失")</x:f>
        <x:v>0.6334509857696066</x:v>
      </x:c>
      <x:c r="Z160" s="12" t="n">
        <x:f>IF(ISNUMBER(H160),IF($I$175&gt;$H$175,(H160-$H$175)/($I$175-$H$175),"缺失"),"缺失")</x:f>
        <x:v>0.5509418254522663</x:v>
      </x:c>
      <x:c r="AA160" s="12" t="n">
        <x:f>IF(ISNUMBER(I160),IF($I$176&gt;$H$176,(I160-$H$176)/($I$176-$H$176),"缺失"),"缺失")</x:f>
        <x:v>0.9355102597895025</x:v>
      </x:c>
      <x:c r="AB160" s="12" t="n">
        <x:f>IF(ISNUMBER(J160),IF($I$177&gt;$H$177,(J160-$H$177)/($I$177-$H$177),"缺失"),"缺失")</x:f>
        <x:v>0.49024578267113084</x:v>
      </x:c>
      <x:c r="AC160" s="12" t="n">
        <x:f>IF(ISNUMBER(K160),IF($I$178&gt;$H$178,(K160-$H$178)/($I$178-$H$178),"缺失"),"缺失")</x:f>
        <x:v>0.001763491642672702</x:v>
      </x:c>
      <x:c r="AD160" s="12" t="n">
        <x:f>IF(ISNUMBER(L160),IF($I$179&gt;$H$179,(L160-$H$179)/($I$179-$H$179),"缺失"),"缺失")</x:f>
        <x:v>0.8452829644235023</x:v>
      </x:c>
      <x:c r="AE160" s="12" t="n">
        <x:f>IF(ISNUMBER(M160),IF($I$180&gt;$H$180,(M160-$H$180)/($I$180-$H$180),"缺失"),"缺失")</x:f>
        <x:v>0.845334136</x:v>
      </x:c>
      <x:c r="AF160" s="12" t="n">
        <x:f>IF(ISNUMBER(N160),IF($I$181&gt;$H$181,(N160-$H$181)/($I$181-$H$181),"缺失"),"缺失")</x:f>
        <x:v>0.020668151170988188</x:v>
      </x:c>
      <x:c r="AG160" s="12" t="n">
        <x:f>IF(ISNUMBER(O160),IF($I$182&gt;$H$182,(O160-$H$182)/($I$182-$H$182),"缺失"),"缺失")</x:f>
        <x:v>0.34704811969268096</x:v>
      </x:c>
      <x:c r="AH160" s="12" t="n">
        <x:f>IF(ISNUMBER(P160),IF($I$183&gt;$H$183,(P160-$H$183)/($I$183-$H$183),"缺失"),"缺失")</x:f>
        <x:v>0.2600136496101129</x:v>
      </x:c>
      <x:c r="AI160" s="12" t="n">
        <x:f>IF(ISNUMBER(Q160),IF($I$184&gt;$H$184,(Q160-$H$184)/($I$184-$H$184),"缺失"),"缺失")</x:f>
        <x:v>0.11423625464558447</x:v>
      </x:c>
      <x:c r="AJ160" s="12" t="n">
        <x:f>IF(ISNUMBER(R160),IF($I$185&gt;$H$185,(R160-$H$185)/($I$185-$H$185),"缺失"),"缺失")</x:f>
        <x:v>0.3777346584062195</x:v>
      </x:c>
      <x:c r="AK160" s="12" t="n">
        <x:f>IF(ISNUMBER(S160),IF($I$186&gt;$H$186,(S160-$H$186)/($I$186-$H$186),"缺失"),"缺失")</x:f>
        <x:v>0.4771811302197554</x:v>
      </x:c>
      <x:c r="AL160" s="12" t="n">
        <x:f>IF(ISNUMBER(T160),IF($I$187&gt;$H$187,(T160-$H$187)/($I$187-$H$187),"缺失"),"缺失")</x:f>
        <x:v>0</x:v>
      </x:c>
      <x:c r="AM160" s="12" t="n">
        <x:f>IF(ISNUMBER(U160),IF($I$188&gt;$H$188,(U160-$H$188)/($I$188-$H$188),"缺失"),"缺失")</x:f>
        <x:v>0</x:v>
      </x:c>
      <x:c r="AN160" s="12" t="n">
        <x:f>IF(ISNUMBER(V160),IF($I$189&gt;$H$189,(V160-$H$189)/($I$189-$H$189),"缺失"),"缺失")</x:f>
        <x:v>1</x:v>
      </x:c>
      <x:c r="AO160" s="23" t="str"/>
      <x:c r="AP160" s="23" t="str">
        <x:v>见指标口径：州级、产业、代表点代理；气候基期待核实</x:v>
      </x:c>
      <x:c r="AQ160" s="15" t="n">
        <x:v>0.9999999999999998</x:v>
      </x:c>
      <x:c r="AR160" s="15" t="n">
        <x:v>1.0000000000000022</x:v>
      </x:c>
      <x:c r="AS160" s="15" t="n">
        <x:v>1</x:v>
      </x:c>
      <x:c r="AT160" s="15" t="n">
        <x:v>1</x:v>
      </x:c>
    </x:row>
    <x:row r="161" ht="24" customHeight="1">
      <x:c r="A161" s="18" t="str">
        <x:v>13313</x:v>
      </x:c>
      <x:c r="B161" s="3" t="str">
        <x:v>Whitfield County</x:v>
      </x:c>
      <x:c r="C161" s="3" t="str">
        <x:v>GA</x:v>
      </x:c>
      <x:c r="D161" s="12" t="n">
        <x:v>752.24953</x:v>
      </x:c>
      <x:c r="E161" s="12" t="n">
        <x:v>0.651</x:v>
      </x:c>
      <x:c r="F161" s="12" t="n">
        <x:v>0.254950495049505</x:v>
      </x:c>
      <x:c r="G161" s="12" t="n">
        <x:v>2.1699478399850083</x:v>
      </x:c>
      <x:c r="H161" s="12" t="n">
        <x:v>2.0071918457951883</x:v>
      </x:c>
      <x:c r="I161" s="12" t="n">
        <x:v>0.7986704162817545</x:v>
      </x:c>
      <x:c r="J161" s="12" t="n">
        <x:v>0.023480187872027297</x:v>
      </x:c>
      <x:c r="K161" s="12" t="n">
        <x:v>0.011026607291087296</x:v>
      </x:c>
      <x:c r="L161" s="24" t="n">
        <x:v>0.754709319</x:v>
      </x:c>
      <x:c r="M161" s="24" t="n">
        <x:v>0.754709319</x:v>
      </x:c>
      <x:c r="N161" s="13" t="n">
        <x:v>47039</x:v>
      </x:c>
      <x:c r="O161" s="12" t="n">
        <x:v>0.8836</x:v>
      </x:c>
      <x:c r="P161" s="12" t="n">
        <x:v>1400.7787475585938</x:v>
      </x:c>
      <x:c r="Q161" s="12" t="n">
        <x:v>32.00167439778646</x:v>
      </x:c>
      <x:c r="R161" s="12" t="n">
        <x:v>3.1017563471231853</x:v>
      </x:c>
      <x:c r="S161" s="12" t="n">
        <x:v>0.3686490632161043</x:v>
      </x:c>
      <x:c r="T161" s="12" t="n">
        <x:v>72.1</x:v>
      </x:c>
      <x:c r="U161" s="12" t="n">
        <x:v>211.4154781728841</x:v>
      </x:c>
      <x:c r="V161" s="12" t="n">
        <x:v>325.42757789465</x:v>
      </x:c>
      <x:c r="W161" s="12" t="n">
        <x:f>IF(ISNUMBER(E161),IF($I$172&gt;$H$172,(E161-$H$172)/($I$172-$H$172),"缺失"),"缺失")</x:f>
        <x:v>0.6979166666666666</x:v>
      </x:c>
      <x:c r="X161" s="12" t="n">
        <x:f>IF(ISNUMBER(F161),IF($I$173&gt;$H$173,(F161-$H$173)/($I$173-$H$173),"缺失"),"缺失")</x:f>
        <x:v>0.2532283464566929</x:v>
      </x:c>
      <x:c r="Y161" s="12" t="n">
        <x:f>IF(ISNUMBER(G161),IF($I$174&gt;$H$174,(G161-$H$174)/($I$174-$H$174),"缺失"),"缺失")</x:f>
        <x:v>0.5704640318718691</x:v>
      </x:c>
      <x:c r="Z161" s="12" t="n">
        <x:f>IF(ISNUMBER(H161),IF($I$175&gt;$H$175,(H161-$H$175)/($I$175-$H$175),"缺失"),"缺失")</x:f>
        <x:v>0.4944020633738049</x:v>
      </x:c>
      <x:c r="AA161" s="12" t="n">
        <x:f>IF(ISNUMBER(I161),IF($I$176&gt;$H$176,(I161-$H$176)/($I$176-$H$176),"缺失"),"缺失")</x:f>
        <x:v>0.7930795593731034</x:v>
      </x:c>
      <x:c r="AB161" s="12" t="n">
        <x:f>IF(ISNUMBER(J161),IF($I$177&gt;$H$177,(J161-$H$177)/($I$177-$H$177),"缺失"),"缺失")</x:f>
        <x:v>0.0575967595245771</x:v>
      </x:c>
      <x:c r="AC161" s="12" t="n">
        <x:f>IF(ISNUMBER(K161),IF($I$178&gt;$H$178,(K161-$H$178)/($I$178-$H$178),"缺失"),"缺失")</x:f>
        <x:v>0.018956957069514335</x:v>
      </x:c>
      <x:c r="AD161" s="12" t="n">
        <x:f>IF(ISNUMBER(L161),IF($I$179&gt;$H$179,(L161-$H$179)/($I$179-$H$179),"缺失"),"缺失")</x:f>
        <x:v>0.7546281639828402</x:v>
      </x:c>
      <x:c r="AE161" s="12" t="n">
        <x:f>IF(ISNUMBER(M161),IF($I$180&gt;$H$180,(M161-$H$180)/($I$180-$H$180),"缺失"),"缺失")</x:f>
        <x:v>0.754709319</x:v>
      </x:c>
      <x:c r="AF161" s="12" t="n">
        <x:f>IF(ISNUMBER(N161),IF($I$181&gt;$H$181,(N161-$H$181)/($I$181-$H$181),"缺失"),"缺失")</x:f>
        <x:v>0.07197516716201904</x:v>
      </x:c>
      <x:c r="AG161" s="12" t="n">
        <x:f>IF(ISNUMBER(O161),IF($I$182&gt;$H$182,(O161-$H$182)/($I$182-$H$182),"缺失"),"缺失")</x:f>
        <x:v>0.8910230489284271</x:v>
      </x:c>
      <x:c r="AH161" s="12" t="n">
        <x:f>IF(ISNUMBER(P161),IF($I$183&gt;$H$183,(P161-$H$183)/($I$183-$H$183),"缺失"),"缺失")</x:f>
        <x:v>0.5060912195740731</x:v>
      </x:c>
      <x:c r="AI161" s="12" t="n">
        <x:f>IF(ISNUMBER(Q161),IF($I$184&gt;$H$184,(Q161-$H$184)/($I$184-$H$184),"缺失"),"缺失")</x:f>
        <x:v>0.3723289504577247</x:v>
      </x:c>
      <x:c r="AJ161" s="12" t="n">
        <x:f>IF(ISNUMBER(R161),IF($I$185&gt;$H$185,(R161-$H$185)/($I$185-$H$185),"缺失"),"缺失")</x:f>
        <x:v>0.031084037818374672</x:v>
      </x:c>
      <x:c r="AK161" s="12" t="n">
        <x:f>IF(ISNUMBER(S161),IF($I$186&gt;$H$186,(S161-$H$186)/($I$186-$H$186),"缺失"),"缺失")</x:f>
        <x:v>0.0070372377570737926</x:v>
      </x:c>
      <x:c r="AL161" s="12" t="n">
        <x:f>IF(ISNUMBER(T161),IF($I$187&gt;$H$187,(T161-$H$187)/($I$187-$H$187),"缺失"),"缺失")</x:f>
        <x:v>0</x:v>
      </x:c>
      <x:c r="AM161" s="12" t="n">
        <x:f>IF(ISNUMBER(U161),IF($I$188&gt;$H$188,(U161-$H$188)/($I$188-$H$188),"缺失"),"缺失")</x:f>
        <x:v>0</x:v>
      </x:c>
      <x:c r="AN161" s="12" t="n">
        <x:f>IF(ISNUMBER(V161),IF($I$189&gt;$H$189,(V161-$H$189)/($I$189-$H$189),"缺失"),"缺失")</x:f>
        <x:v>1</x:v>
      </x:c>
      <x:c r="AO161" s="23" t="str"/>
      <x:c r="AP161" s="23" t="str">
        <x:v>见指标口径：州级、产业、代表点代理；气候基期待核实</x:v>
      </x:c>
      <x:c r="AQ161" s="15" t="n">
        <x:v>1.000000000000003</x:v>
      </x:c>
      <x:c r="AR161" s="15" t="n">
        <x:v>1.0000000000000007</x:v>
      </x:c>
      <x:c r="AS161" s="15" t="n">
        <x:v>1</x:v>
      </x:c>
      <x:c r="AT161" s="15" t="n">
        <x:v>1</x:v>
      </x:c>
    </x:row>
    <x:row r="162" ht="24" customHeight="1">
      <x:c r="A162" s="18" t="str">
        <x:v>13315</x:v>
      </x:c>
      <x:c r="B162" s="3" t="str">
        <x:v>Wilcox County</x:v>
      </x:c>
      <x:c r="C162" s="3" t="str">
        <x:v>GA</x:v>
      </x:c>
      <x:c r="D162" s="12" t="n">
        <x:v>978.52538</x:v>
      </x:c>
      <x:c r="E162" s="12" t="n">
        <x:v>0.539</x:v>
      </x:c>
      <x:c r="F162" s="12" t="n">
        <x:v>0.32951732673267303</x:v>
      </x:c>
      <x:c r="G162" s="12" t="n">
        <x:v>2.6689279843296405</x:v>
      </x:c>
      <x:c r="H162" s="12" t="n">
        <x:v>2.638223854841617</x:v>
      </x:c>
      <x:c r="I162" s="12" t="n">
        <x:v>0.9455517333793463</x:v>
      </x:c>
      <x:c r="J162" s="12" t="n">
        <x:v>0.0019065949065374922</x:v>
      </x:c>
      <x:c r="K162" s="12" t="n">
        <x:v>0.2110315470268405</x:v>
      </x:c>
      <x:c r="L162" s="24" t="n">
        <x:v>0.684261975</x:v>
      </x:c>
      <x:c r="M162" s="24" t="n">
        <x:v>0.684261975</x:v>
      </x:c>
      <x:c r="N162" s="13" t="n">
        <x:v>2943</x:v>
      </x:c>
      <x:c r="O162" s="12" t="n">
        <x:v>0.8212</x:v>
      </x:c>
      <x:c r="P162" s="12" t="n">
        <x:v>2276.5802083333333</x:v>
      </x:c>
      <x:c r="Q162" s="12" t="n">
        <x:v>77.22322463989258</x:v>
      </x:c>
      <x:c r="R162" s="12" t="n">
        <x:v>28.832791790339027</x:v>
      </x:c>
      <x:c r="S162" s="12" t="n">
        <x:v>1.134894493193152</x:v>
      </x:c>
      <x:c r="T162" s="12" t="n">
        <x:v>72.1</x:v>
      </x:c>
      <x:c r="U162" s="12" t="n">
        <x:v>211.4154781728841</x:v>
      </x:c>
      <x:c r="V162" s="12" t="n">
        <x:v>325.42757789465</x:v>
      </x:c>
      <x:c r="W162" s="12" t="n">
        <x:f>IF(ISNUMBER(E162),IF($I$172&gt;$H$172,(E162-$H$172)/($I$172-$H$172),"缺失"),"缺失")</x:f>
        <x:v>0.5682870370370371</x:v>
      </x:c>
      <x:c r="X162" s="12" t="n">
        <x:f>IF(ISNUMBER(F162),IF($I$173&gt;$H$173,(F162-$H$173)/($I$173-$H$173),"缺失"),"缺失")</x:f>
        <x:v>0.32913385826771624</x:v>
      </x:c>
      <x:c r="Y162" s="12" t="n">
        <x:f>IF(ISNUMBER(G162),IF($I$174&gt;$H$174,(G162-$H$174)/($I$174-$H$174),"缺失"),"缺失")</x:f>
        <x:v>0.7017212442986257</x:v>
      </x:c>
      <x:c r="Z162" s="12" t="n">
        <x:f>IF(ISNUMBER(H162),IF($I$175&gt;$H$175,(H162-$H$175)/($I$175-$H$175),"缺失"),"缺失")</x:f>
        <x:v>0.6499689121889787</x:v>
      </x:c>
      <x:c r="AA162" s="12" t="n">
        <x:f>IF(ISNUMBER(I162),IF($I$176&gt;$H$176,(I162-$H$176)/($I$176-$H$176),"缺失"),"缺失")</x:f>
        <x:v>0.9507605242633533</x:v>
      </x:c>
      <x:c r="AB162" s="12" t="n">
        <x:f>IF(ISNUMBER(J162),IF($I$177&gt;$H$177,(J162-$H$177)/($I$177-$H$177),"缺失"),"缺失")</x:f>
        <x:v>0.004676865830083416</x:v>
      </x:c>
      <x:c r="AC162" s="12" t="n">
        <x:f>IF(ISNUMBER(K162),IF($I$178&gt;$H$178,(K162-$H$178)/($I$178-$H$178),"缺失"),"缺失")</x:f>
        <x:v>0.3628057000392669</x:v>
      </x:c>
      <x:c r="AD162" s="12" t="n">
        <x:f>IF(ISNUMBER(L162),IF($I$179&gt;$H$179,(L162-$H$179)/($I$179-$H$179),"缺失"),"缺失")</x:f>
        <x:v>0.6841575123080933</x:v>
      </x:c>
      <x:c r="AE162" s="12" t="n">
        <x:f>IF(ISNUMBER(M162),IF($I$180&gt;$H$180,(M162-$H$180)/($I$180-$H$180),"缺失"),"缺失")</x:f>
        <x:v>0.684261975</x:v>
      </x:c>
      <x:c r="AF162" s="12" t="n">
        <x:f>IF(ISNUMBER(N162),IF($I$181&gt;$H$181,(N162-$H$181)/($I$181-$H$181),"缺失"),"缺失")</x:f>
        <x:v>0.0035016289173988254</x:v>
      </x:c>
      <x:c r="AG162" s="12" t="n">
        <x:f>IF(ISNUMBER(O162),IF($I$182&gt;$H$182,(O162-$H$182)/($I$182-$H$182),"缺失"),"缺失")</x:f>
        <x:v>0.8279417711281845</x:v>
      </x:c>
      <x:c r="AH162" s="12" t="n">
        <x:f>IF(ISNUMBER(P162),IF($I$183&gt;$H$183,(P162-$H$183)/($I$183-$H$183),"缺失"),"缺失")</x:f>
        <x:v>0.900075802487405</x:v>
      </x:c>
      <x:c r="AI162" s="12" t="n">
        <x:f>IF(ISNUMBER(Q162),IF($I$184&gt;$H$184,(Q162-$H$184)/($I$184-$H$184),"缺失"),"缺失")</x:f>
        <x:v>0.903754322447425</x:v>
      </x:c>
      <x:c r="AJ162" s="12" t="n">
        <x:f>IF(ISNUMBER(R162),IF($I$185&gt;$H$185,(R162-$H$185)/($I$185-$H$185),"缺失"),"缺失")</x:f>
        <x:v>0.30147730469498907</x:v>
      </x:c>
      <x:c r="AK162" s="12" t="n">
        <x:f>IF(ISNUMBER(S162),IF($I$186&gt;$H$186,(S162-$H$186)/($I$186-$H$186),"缺失"),"缺失")</x:f>
        <x:v>0.02199562044153479</x:v>
      </x:c>
      <x:c r="AL162" s="12" t="n">
        <x:f>IF(ISNUMBER(T162),IF($I$187&gt;$H$187,(T162-$H$187)/($I$187-$H$187),"缺失"),"缺失")</x:f>
        <x:v>0</x:v>
      </x:c>
      <x:c r="AM162" s="12" t="n">
        <x:f>IF(ISNUMBER(U162),IF($I$188&gt;$H$188,(U162-$H$188)/($I$188-$H$188),"缺失"),"缺失")</x:f>
        <x:v>0</x:v>
      </x:c>
      <x:c r="AN162" s="12" t="n">
        <x:f>IF(ISNUMBER(V162),IF($I$189&gt;$H$189,(V162-$H$189)/($I$189-$H$189),"缺失"),"缺失")</x:f>
        <x:v>1</x:v>
      </x:c>
      <x:c r="AO162" s="23" t="str"/>
      <x:c r="AP162" s="23" t="str">
        <x:v>见指标口径：州级、产业、代表点代理；气候基期待核实</x:v>
      </x:c>
      <x:c r="AQ162" s="15" t="n">
        <x:v>0.9999999999999984</x:v>
      </x:c>
      <x:c r="AR162" s="15" t="n">
        <x:v>0.9999999999999972</x:v>
      </x:c>
      <x:c r="AS162" s="15" t="n">
        <x:v>1</x:v>
      </x:c>
      <x:c r="AT162" s="15" t="n">
        <x:v>1</x:v>
      </x:c>
    </x:row>
    <x:row r="163" ht="24" customHeight="1">
      <x:c r="A163" s="18" t="str">
        <x:v>13317</x:v>
      </x:c>
      <x:c r="B163" s="3" t="str">
        <x:v>Wilkes County</x:v>
      </x:c>
      <x:c r="C163" s="3" t="str">
        <x:v>GA</x:v>
      </x:c>
      <x:c r="D163" s="12" t="n">
        <x:v>1216.008875</x:v>
      </x:c>
      <x:c r="E163" s="12" t="n">
        <x:v>0.656</x:v>
      </x:c>
      <x:c r="F163" s="12" t="n">
        <x:v>0.11293316831683199</x:v>
      </x:c>
      <x:c r="G163" s="12" t="n">
        <x:v>2.931926380780837</x:v>
      </x:c>
      <x:c r="H163" s="12" t="n">
        <x:v>2.735302759</x:v>
      </x:c>
      <x:c r="I163" s="12" t="n">
        <x:v>0.9650357089037351</x:v>
      </x:c>
      <x:c r="J163" s="12" t="n">
        <x:v>0.03226237820349047</x:v>
      </x:c>
      <x:c r="K163" s="12" t="n">
        <x:v>0.04661511504560752</x:v>
      </x:c>
      <x:c r="L163" s="24" t="n">
        <x:v>0.998383969</x:v>
      </x:c>
      <x:c r="M163" s="24" t="n">
        <x:v>0.997737557</x:v>
      </x:c>
      <x:c r="N163" s="13" t="n">
        <x:v>3797</x:v>
      </x:c>
      <x:c r="O163" s="12" t="n">
        <x:v>0.6083</x:v>
      </x:c>
      <x:c r="P163" s="12" t="n">
        <x:v>1667.240096028646</x:v>
      </x:c>
      <x:c r="Q163" s="12" t="n">
        <x:v>46.95509045918782</x:v>
      </x:c>
      <x:c r="R163" s="12" t="n">
        <x:v>30.458941576657004</x:v>
      </x:c>
      <x:c r="S163" s="12" t="n">
        <x:v>5.188182751386752</x:v>
      </x:c>
      <x:c r="T163" s="12" t="n">
        <x:v>72.1</x:v>
      </x:c>
      <x:c r="U163" s="12" t="n">
        <x:v>211.4154781728841</x:v>
      </x:c>
      <x:c r="V163" s="12" t="n">
        <x:v>325.42757789465</x:v>
      </x:c>
      <x:c r="W163" s="12" t="n">
        <x:f>IF(ISNUMBER(E163),IF($I$172&gt;$H$172,(E163-$H$172)/($I$172-$H$172),"缺失"),"缺失")</x:f>
        <x:v>0.7037037037037037</x:v>
      </x:c>
      <x:c r="X163" s="12" t="n">
        <x:f>IF(ISNUMBER(F163),IF($I$173&gt;$H$173,(F163-$H$173)/($I$173-$H$173),"缺失"),"缺失")</x:f>
        <x:v>0.10866141732283492</x:v>
      </x:c>
      <x:c r="Y163" s="12" t="n">
        <x:f>IF(ISNUMBER(G163),IF($I$174&gt;$H$174,(G163-$H$174)/($I$174-$H$174),"缺失"),"缺失")</x:f>
        <x:v>0.7709032283557884</x:v>
      </x:c>
      <x:c r="Z163" s="12" t="n">
        <x:f>IF(ISNUMBER(H163),IF($I$175&gt;$H$175,(H163-$H$175)/($I$175-$H$175),"缺失"),"缺失")</x:f>
        <x:v>0.6739015479187753</x:v>
      </x:c>
      <x:c r="AA163" s="12" t="n">
        <x:f>IF(ISNUMBER(I163),IF($I$176&gt;$H$176,(I163-$H$176)/($I$176-$H$176),"缺失"),"缺失")</x:f>
        <x:v>0.9716770854795247</x:v>
      </x:c>
      <x:c r="AB163" s="12" t="n">
        <x:f>IF(ISNUMBER(J163),IF($I$177&gt;$H$177,(J163-$H$177)/($I$177-$H$177),"缺失"),"缺失")</x:f>
        <x:v>0.07913941954830532</x:v>
      </x:c>
      <x:c r="AC163" s="12" t="n">
        <x:f>IF(ISNUMBER(K163),IF($I$178&gt;$H$178,(K163-$H$178)/($I$178-$H$178),"缺失"),"缺失")</x:f>
        <x:v>0.080140764188122</x:v>
      </x:c>
      <x:c r="AD163" s="12" t="n">
        <x:f>IF(ISNUMBER(L163),IF($I$179&gt;$H$179,(L163-$H$179)/($I$179-$H$179),"缺失"),"缺失")</x:f>
        <x:v>0.9983834343322214</x:v>
      </x:c>
      <x:c r="AE163" s="12" t="n">
        <x:f>IF(ISNUMBER(M163),IF($I$180&gt;$H$180,(M163-$H$180)/($I$180-$H$180),"缺失"),"缺失")</x:f>
        <x:v>0.997737557</x:v>
      </x:c>
      <x:c r="AF163" s="12" t="n">
        <x:f>IF(ISNUMBER(N163),IF($I$181&gt;$H$181,(N163-$H$181)/($I$181-$H$181),"缺失"),"缺失")</x:f>
        <x:v>0.004827744702524589</x:v>
      </x:c>
      <x:c r="AG163" s="12" t="n">
        <x:f>IF(ISNUMBER(O163),IF($I$182&gt;$H$182,(O163-$H$182)/($I$182-$H$182),"缺失"),"缺失")</x:f>
        <x:v>0.612717347351395</x:v>
      </x:c>
      <x:c r="AH163" s="12" t="n">
        <x:f>IF(ISNUMBER(P163),IF($I$183&gt;$H$183,(P163-$H$183)/($I$183-$H$183),"缺失"),"缺失")</x:f>
        <x:v>0.6259604684180178</x:v>
      </x:c>
      <x:c r="AI163" s="12" t="n">
        <x:f>IF(ISNUMBER(Q163),IF($I$184&gt;$H$184,(Q163-$H$184)/($I$184-$H$184),"缺失"),"缺失")</x:f>
        <x:v>0.5480554492266195</x:v>
      </x:c>
      <x:c r="AJ163" s="12" t="n">
        <x:f>IF(ISNUMBER(R163),IF($I$185&gt;$H$185,(R163-$H$185)/($I$185-$H$185),"缺失"),"缺失")</x:f>
        <x:v>0.3185656163614034</x:v>
      </x:c>
      <x:c r="AK163" s="12" t="n">
        <x:f>IF(ISNUMBER(S163),IF($I$186&gt;$H$186,(S163-$H$186)/($I$186-$H$186),"缺失"),"缺失")</x:f>
        <x:v>0.1011225352974033</x:v>
      </x:c>
      <x:c r="AL163" s="12" t="n">
        <x:f>IF(ISNUMBER(T163),IF($I$187&gt;$H$187,(T163-$H$187)/($I$187-$H$187),"缺失"),"缺失")</x:f>
        <x:v>0</x:v>
      </x:c>
      <x:c r="AM163" s="12" t="n">
        <x:f>IF(ISNUMBER(U163),IF($I$188&gt;$H$188,(U163-$H$188)/($I$188-$H$188),"缺失"),"缺失")</x:f>
        <x:v>0</x:v>
      </x:c>
      <x:c r="AN163" s="12" t="n">
        <x:f>IF(ISNUMBER(V163),IF($I$189&gt;$H$189,(V163-$H$189)/($I$189-$H$189),"缺失"),"缺失")</x:f>
        <x:v>1</x:v>
      </x:c>
      <x:c r="AO163" s="23" t="str"/>
      <x:c r="AP163" s="23" t="str">
        <x:v>见指标口径：州级、产业、代表点代理；气候基期待核实</x:v>
      </x:c>
      <x:c r="AQ163" s="15" t="n">
        <x:v>0.9999999999999997</x:v>
      </x:c>
      <x:c r="AR163" s="15" t="n">
        <x:v>0.9999999999999997</x:v>
      </x:c>
      <x:c r="AS163" s="15" t="n">
        <x:v>1</x:v>
      </x:c>
      <x:c r="AT163" s="15" t="n">
        <x:v>1</x:v>
      </x:c>
    </x:row>
    <x:row r="164" ht="24" customHeight="1">
      <x:c r="A164" s="18" t="str">
        <x:v>13319</x:v>
      </x:c>
      <x:c r="B164" s="3" t="str">
        <x:v>Wilkinson County</x:v>
      </x:c>
      <x:c r="C164" s="3" t="str">
        <x:v>GA</x:v>
      </x:c>
      <x:c r="D164" s="12" t="n">
        <x:v>1163.481422</x:v>
      </x:c>
      <x:c r="E164" s="12" t="n">
        <x:v>0.514</x:v>
      </x:c>
      <x:c r="F164" s="12" t="n">
        <x:v>0.24721534653465302</x:v>
      </x:c>
      <x:c r="G164" s="12" t="n">
        <x:v>2.1016018680269632</x:v>
      </x:c>
      <x:c r="H164" s="12" t="n">
        <x:v>1.9091710310000003</x:v>
      </x:c>
      <x:c r="I164" s="12" t="n">
        <x:v>0.9545189178011803</x:v>
      </x:c>
      <x:c r="J164" s="12" t="n">
        <x:v>0.013128414148652113</x:v>
      </x:c>
      <x:c r="K164" s="12" t="n">
        <x:v>0.19863088773854715</x:v>
      </x:c>
      <x:c r="L164" s="24" t="n">
        <x:v>0.578657417</x:v>
      </x:c>
      <x:c r="M164" s="24" t="n">
        <x:v>0.578657417</x:v>
      </x:c>
      <x:c r="N164" s="13" t="n">
        <x:v>3149</x:v>
      </x:c>
      <x:c r="O164" s="12" t="n">
        <x:v>0.784</x:v>
      </x:c>
      <x:c r="P164" s="12" t="n">
        <x:v>2032.0775716145831</x:v>
      </x:c>
      <x:c r="Q164" s="12" t="n">
        <x:v>69.33763262430827</x:v>
      </x:c>
      <x:c r="R164" s="12" t="n">
        <x:v>26.183370878022714</x:v>
      </x:c>
      <x:c r="S164" s="12" t="n">
        <x:v>4.4361494742584275</x:v>
      </x:c>
      <x:c r="T164" s="12" t="n">
        <x:v>72.1</x:v>
      </x:c>
      <x:c r="U164" s="12" t="n">
        <x:v>211.4154781728841</x:v>
      </x:c>
      <x:c r="V164" s="12" t="n">
        <x:v>325.42757789465</x:v>
      </x:c>
      <x:c r="W164" s="12" t="n">
        <x:f>IF(ISNUMBER(E164),IF($I$172&gt;$H$172,(E164-$H$172)/($I$172-$H$172),"缺失"),"缺失")</x:f>
        <x:v>0.5393518518518519</x:v>
      </x:c>
      <x:c r="X164" s="12" t="n">
        <x:f>IF(ISNUMBER(F164),IF($I$173&gt;$H$173,(F164-$H$173)/($I$173-$H$173),"缺失"),"缺失")</x:f>
        <x:v>0.2453543307086609</x:v>
      </x:c>
      <x:c r="Y164" s="12" t="n">
        <x:f>IF(ISNUMBER(G164),IF($I$174&gt;$H$174,(G164-$H$174)/($I$174-$H$174),"缺失"),"缺失")</x:f>
        <x:v>0.5524855574546299</x:v>
      </x:c>
      <x:c r="Z164" s="12" t="n">
        <x:f>IF(ISNUMBER(H164),IF($I$175&gt;$H$175,(H164-$H$175)/($I$175-$H$175),"缺失"),"缺失")</x:f>
        <x:v>0.470237220612459</x:v>
      </x:c>
      <x:c r="AA164" s="12" t="n">
        <x:f>IF(ISNUMBER(I164),IF($I$176&gt;$H$176,(I164-$H$176)/($I$176-$H$176),"缺失"),"缺失")</x:f>
        <x:v>0.9603870330659953</x:v>
      </x:c>
      <x:c r="AB164" s="12" t="n">
        <x:f>IF(ISNUMBER(J164),IF($I$177&gt;$H$177,(J164-$H$177)/($I$177-$H$177),"缺失"),"缺失")</x:f>
        <x:v>0.03220392088769452</x:v>
      </x:c>
      <x:c r="AC164" s="12" t="n">
        <x:f>IF(ISNUMBER(K164),IF($I$178&gt;$H$178,(K164-$H$178)/($I$178-$H$178),"缺失"),"缺失")</x:f>
        <x:v>0.34148647105467583</x:v>
      </x:c>
      <x:c r="AD164" s="12" t="n">
        <x:f>IF(ISNUMBER(L164),IF($I$179&gt;$H$179,(L164-$H$179)/($I$179-$H$179),"缺失"),"缺失")</x:f>
        <x:v>0.5785180147837635</x:v>
      </x:c>
      <x:c r="AE164" s="12" t="n">
        <x:f>IF(ISNUMBER(M164),IF($I$180&gt;$H$180,(M164-$H$180)/($I$180-$H$180),"缺失"),"缺失")</x:f>
        <x:v>0.578657417</x:v>
      </x:c>
      <x:c r="AF164" s="12" t="n">
        <x:f>IF(ISNUMBER(N164),IF($I$181&gt;$H$181,(N164-$H$181)/($I$181-$H$181),"缺失"),"缺失")</x:f>
        <x:v>0.00382151164776874</x:v>
      </x:c>
      <x:c r="AG164" s="12" t="n">
        <x:f>IF(ISNUMBER(O164),IF($I$182&gt;$H$182,(O164-$H$182)/($I$182-$H$182),"缺失"),"缺失")</x:f>
        <x:v>0.7903356247472706</x:v>
      </x:c>
      <x:c r="AH164" s="12" t="n">
        <x:f>IF(ISNUMBER(P164),IF($I$183&gt;$H$183,(P164-$H$183)/($I$183-$H$183),"缺失"),"缺失")</x:f>
        <x:v>0.7900848129044095</x:v>
      </x:c>
      <x:c r="AI164" s="12" t="n">
        <x:f>IF(ISNUMBER(Q164),IF($I$184&gt;$H$184,(Q164-$H$184)/($I$184-$H$184),"缺失"),"缺失")</x:f>
        <x:v>0.8110860338150065</x:v>
      </x:c>
      <x:c r="AJ164" s="12" t="n">
        <x:f>IF(ISNUMBER(R164),IF($I$185&gt;$H$185,(R164-$H$185)/($I$185-$H$185),"缺失"),"缺失")</x:f>
        <x:v>0.27363600085809636</x:v>
      </x:c>
      <x:c r="AK164" s="12" t="n">
        <x:f>IF(ISNUMBER(S164),IF($I$186&gt;$H$186,(S164-$H$186)/($I$186-$H$186),"缺失"),"缺失")</x:f>
        <x:v>0.08644159742731153</x:v>
      </x:c>
      <x:c r="AL164" s="12" t="n">
        <x:f>IF(ISNUMBER(T164),IF($I$187&gt;$H$187,(T164-$H$187)/($I$187-$H$187),"缺失"),"缺失")</x:f>
        <x:v>0</x:v>
      </x:c>
      <x:c r="AM164" s="12" t="n">
        <x:f>IF(ISNUMBER(U164),IF($I$188&gt;$H$188,(U164-$H$188)/($I$188-$H$188),"缺失"),"缺失")</x:f>
        <x:v>0</x:v>
      </x:c>
      <x:c r="AN164" s="12" t="n">
        <x:f>IF(ISNUMBER(V164),IF($I$189&gt;$H$189,(V164-$H$189)/($I$189-$H$189),"缺失"),"缺失")</x:f>
        <x:v>1</x:v>
      </x:c>
      <x:c r="AO164" s="23" t="str"/>
      <x:c r="AP164" s="23" t="str">
        <x:v>见指标口径：州级、产业、代表点代理；气候基期待核实</x:v>
      </x:c>
      <x:c r="AQ164" s="15" t="n">
        <x:v>0.9999999999999986</x:v>
      </x:c>
      <x:c r="AR164" s="15" t="n">
        <x:v>1.0000000000000004</x:v>
      </x:c>
      <x:c r="AS164" s="15" t="n">
        <x:v>1</x:v>
      </x:c>
      <x:c r="AT164" s="15" t="n">
        <x:v>1</x:v>
      </x:c>
    </x:row>
    <x:row r="165" ht="24" customHeight="1">
      <x:c r="A165" s="18" t="str">
        <x:v>13321</x:v>
      </x:c>
      <x:c r="B165" s="3" t="str">
        <x:v>Worth County</x:v>
      </x:c>
      <x:c r="C165" s="3" t="str">
        <x:v>GA</x:v>
      </x:c>
      <x:c r="D165" s="12" t="n">
        <x:v>1478.084027</x:v>
      </x:c>
      <x:c r="E165" s="12" t="n">
        <x:v>0.526</x:v>
      </x:c>
      <x:c r="F165" s="12" t="n">
        <x:v>0.38799504950495</x:v>
      </x:c>
      <x:c r="G165" s="12" t="n">
        <x:v>1.9890324238251371</x:v>
      </x:c>
      <x:c r="H165" s="12" t="n">
        <x:v>2.067310401689847</x:v>
      </x:c>
      <x:c r="I165" s="12" t="n">
        <x:v>0.9398727841463258</x:v>
      </x:c>
      <x:c r="J165" s="12" t="n">
        <x:v>0.009951318001101144</x:v>
      </x:c>
      <x:c r="K165" s="12" t="n">
        <x:v>0.1861075242746682</x:v>
      </x:c>
      <x:c r="L165" s="24" t="n">
        <x:v>0.916034201</x:v>
      </x:c>
      <x:c r="M165" s="24" t="n">
        <x:v>0.916034201</x:v>
      </x:c>
      <x:c r="N165" s="13" t="n">
        <x:v>8630</x:v>
      </x:c>
      <x:c r="O165" s="12" t="n">
        <x:v>0.8571</x:v>
      </x:c>
      <x:c r="P165" s="12" t="n">
        <x:v>2195.385847981771</x:v>
      </x:c>
      <x:c r="Q165" s="12" t="n">
        <x:v>69.28530082702636</x:v>
      </x:c>
      <x:c r="R165" s="12" t="n">
        <x:v>26.088314039484978</x:v>
      </x:c>
      <x:c r="S165" s="12" t="n">
        <x:v>2.2897065999025226</x:v>
      </x:c>
      <x:c r="T165" s="12" t="n">
        <x:v>72.1</x:v>
      </x:c>
      <x:c r="U165" s="12" t="n">
        <x:v>211.4154781728841</x:v>
      </x:c>
      <x:c r="V165" s="12" t="n">
        <x:v>325.42757789465</x:v>
      </x:c>
      <x:c r="W165" s="12" t="n">
        <x:f>IF(ISNUMBER(E165),IF($I$172&gt;$H$172,(E165-$H$172)/($I$172-$H$172),"缺失"),"缺失")</x:f>
        <x:v>0.5532407407407408</x:v>
      </x:c>
      <x:c r="X165" s="12" t="n">
        <x:f>IF(ISNUMBER(F165),IF($I$173&gt;$H$173,(F165-$H$173)/($I$173-$H$173),"缺失"),"缺失")</x:f>
        <x:v>0.38866141732283405</x:v>
      </x:c>
      <x:c r="Y165" s="12" t="n">
        <x:f>IF(ISNUMBER(G165),IF($I$174&gt;$H$174,(G165-$H$174)/($I$174-$H$174),"缺失"),"缺失")</x:f>
        <x:v>0.5228740556387261</x:v>
      </x:c>
      <x:c r="Z165" s="12" t="n">
        <x:f>IF(ISNUMBER(H165),IF($I$175&gt;$H$175,(H165-$H$175)/($I$175-$H$175),"缺失"),"缺失")</x:f>
        <x:v>0.5092229506850267</x:v>
      </x:c>
      <x:c r="AA165" s="12" t="n">
        <x:f>IF(ISNUMBER(I165),IF($I$176&gt;$H$176,(I165-$H$176)/($I$176-$H$176),"缺失"),"缺失")</x:f>
        <x:v>0.9446640225957489</x:v>
      </x:c>
      <x:c r="AB165" s="12" t="n">
        <x:f>IF(ISNUMBER(J165),IF($I$177&gt;$H$177,(J165-$H$177)/($I$177-$H$177),"缺失"),"缺失")</x:f>
        <x:v>0.0244105231604576</x:v>
      </x:c>
      <x:c r="AC165" s="12" t="n">
        <x:f>IF(ISNUMBER(K165),IF($I$178&gt;$H$178,(K165-$H$178)/($I$178-$H$178),"缺失"),"缺失")</x:f>
        <x:v>0.31995628889768823</x:v>
      </x:c>
      <x:c r="AD165" s="12" t="n">
        <x:f>IF(ISNUMBER(L165),IF($I$179&gt;$H$179,(L165-$H$179)/($I$179-$H$179),"缺失"),"缺失")</x:f>
        <x:v>0.9160064207116054</x:v>
      </x:c>
      <x:c r="AE165" s="12" t="n">
        <x:f>IF(ISNUMBER(M165),IF($I$180&gt;$H$180,(M165-$H$180)/($I$180-$H$180),"缺失"),"缺失")</x:f>
        <x:v>0.916034201</x:v>
      </x:c>
      <x:c r="AF165" s="12" t="n">
        <x:f>IF(ISNUMBER(N165),IF($I$181&gt;$H$181,(N165-$H$181)/($I$181-$H$181),"缺失"),"缺失")</x:f>
        <x:v>0.012332566235911962</x:v>
      </x:c>
      <x:c r="AG165" s="12" t="n">
        <x:f>IF(ISNUMBER(O165),IF($I$182&gt;$H$182,(O165-$H$182)/($I$182-$H$182),"缺失"),"缺失")</x:f>
        <x:v>0.8642337242215933</x:v>
      </x:c>
      <x:c r="AH165" s="12" t="n">
        <x:f>IF(ISNUMBER(P165),IF($I$183&gt;$H$183,(P165-$H$183)/($I$183-$H$183),"缺失"),"缺失")</x:f>
        <x:v>0.8635500285183514</x:v>
      </x:c>
      <x:c r="AI165" s="12" t="n">
        <x:f>IF(ISNUMBER(Q165),IF($I$184&gt;$H$184,(Q165-$H$184)/($I$184-$H$184),"缺失"),"缺失")</x:f>
        <x:v>0.8104710516950099</x:v>
      </x:c>
      <x:c r="AJ165" s="12" t="n">
        <x:f>IF(ISNUMBER(R165),IF($I$185&gt;$H$185,(R165-$H$185)/($I$185-$H$185),"缺失"),"缺失")</x:f>
        <x:v>0.272637100943326</x:v>
      </x:c>
      <x:c r="AK165" s="12" t="n">
        <x:f>IF(ISNUMBER(S165),IF($I$186&gt;$H$186,(S165-$H$186)/($I$186-$H$186),"缺失"),"缺失")</x:f>
        <x:v>0.04453946963790103</x:v>
      </x:c>
      <x:c r="AL165" s="12" t="n">
        <x:f>IF(ISNUMBER(T165),IF($I$187&gt;$H$187,(T165-$H$187)/($I$187-$H$187),"缺失"),"缺失")</x:f>
        <x:v>0</x:v>
      </x:c>
      <x:c r="AM165" s="12" t="n">
        <x:f>IF(ISNUMBER(U165),IF($I$188&gt;$H$188,(U165-$H$188)/($I$188-$H$188),"缺失"),"缺失")</x:f>
        <x:v>0</x:v>
      </x:c>
      <x:c r="AN165" s="12" t="n">
        <x:f>IF(ISNUMBER(V165),IF($I$189&gt;$H$189,(V165-$H$189)/($I$189-$H$189),"缺失"),"缺失")</x:f>
        <x:v>1</x:v>
      </x:c>
      <x:c r="AO165" s="23" t="str"/>
      <x:c r="AP165" s="23" t="str">
        <x:v>见指标口径：州级、产业、代表点代理；气候基期待核实</x:v>
      </x:c>
      <x:c r="AQ165" s="15" t="n">
        <x:v>0.9999999999999972</x:v>
      </x:c>
      <x:c r="AR165" s="15" t="n">
        <x:v>0.999999999999999</x:v>
      </x:c>
      <x:c r="AS165" s="15" t="n">
        <x:v>1</x:v>
      </x:c>
      <x:c r="AT165" s="15" t="n">
        <x:v>1</x:v>
      </x:c>
    </x:row>
    <x:row r="171" ht="36" customHeight="1">
      <x:c r="A171" s="6" t="str">
        <x:v>指标ID</x:v>
      </x:c>
      <x:c r="B171" s="6" t="str">
        <x:v>Dimension</x:v>
      </x:c>
      <x:c r="C171" s="6" t="str">
        <x:v>名称</x:v>
      </x:c>
      <x:c r="D171" s="6" t="str">
        <x:v>单位</x:v>
      </x:c>
      <x:c r="E171" s="6" t="str">
        <x:v>数据期间</x:v>
      </x:c>
      <x:c r="F171" s="6" t="str">
        <x:v>实际空间精度</x:v>
      </x:c>
      <x:c r="G171" s="6" t="str">
        <x:v>处理／公式</x:v>
      </x:c>
      <x:c r="H171" s="6" t="str">
        <x:v>两州共同最小值</x:v>
      </x:c>
      <x:c r="I171" s="6" t="str">
        <x:v>两州共同最大值</x:v>
      </x:c>
      <x:c r="J171" s="6" t="str">
        <x:v>有效县数</x:v>
      </x:c>
      <x:c r="K171" s="6" t="str">
        <x:v>缺失县数</x:v>
      </x:c>
      <x:c r="L171" s="6" t="str">
        <x:v>来源字段</x:v>
      </x:c>
    </x:row>
    <x:row r="172" ht="46" customHeight="1">
      <x:c r="A172" s="21" t="str">
        <x:v>wildfire_bp_national_percentile</x:v>
      </x:c>
      <x:c r="B172" s="21" t="str">
        <x:v>climate_risk</x:v>
      </x:c>
      <x:c r="C172" s="21" t="str">
        <x:v>野火全国百分位</x:v>
      </x:c>
      <x:c r="D172" s="21" t="str">
        <x:v>fraction</x:v>
      </x:c>
      <x:c r="E172" s="21" t="str">
        <x:v>WRC工作簿2026-04-15；模型基期另计</x:v>
      </x:c>
      <x:c r="F172" s="21" t="str">
        <x:v>县级来源百分位</x:v>
      </x:c>
      <x:c r="G172" s="21" t="str">
        <x:v>直接读取全国百分位；不是概率</x:v>
      </x:c>
      <x:c r="H172" s="22" t="n">
        <x:f>MIN('Virginia'!E7:E139,'Georgia'!E7:E165)</x:f>
        <x:v>0.048</x:v>
      </x:c>
      <x:c r="I172" s="22" t="n">
        <x:f>MAX('Virginia'!E7:E139,'Georgia'!E7:E165)</x:f>
        <x:v>0.912</x:v>
      </x:c>
      <x:c r="J172" s="21" t="n">
        <x:v>292</x:v>
      </x:c>
      <x:c r="K172" s="21" t="n">
        <x:v>0</x:v>
      </x:c>
      <x:c r="L172" s="21" t="str">
        <x:v>WRC Counties.BP_NATIONAL_RANK</x:v>
      </x:c>
    </x:row>
    <x:row r="173" ht="46" customHeight="1">
      <x:c r="A173" s="21" t="str">
        <x:v>inland_flood_loss_rate_percentile</x:v>
      </x:c>
      <x:c r="B173" s="21" t="str">
        <x:v>climate_risk</x:v>
      </x:c>
      <x:c r="C173" s="21" t="str">
        <x:v>洪水损失率全国百分位</x:v>
      </x:c>
      <x:c r="D173" s="21" t="str">
        <x:v>fraction</x:v>
      </x:c>
      <x:c r="E173" s="21" t="str">
        <x:v>上传NRI版本，基期未核实</x:v>
      </x:c>
      <x:c r="F173" s="21" t="str">
        <x:v>县级来源百分位</x:v>
      </x:c>
      <x:c r="G173" s="21" t="str">
        <x:v>原始0–100百分位 /100</x:v>
      </x:c>
      <x:c r="H173" s="22" t="n">
        <x:f>MIN('Virginia'!F7:F139,'Georgia'!F7:F165)</x:f>
        <x:v>0.00618811881188119</x:v>
      </x:c>
      <x:c r="I173" s="22" t="n">
        <x:f>MAX('Virginia'!F7:F139,'Georgia'!F7:F165)</x:f>
        <x:v>0.98855198019802</x:v>
      </x:c>
      <x:c r="J173" s="21" t="n">
        <x:v>292</x:v>
      </x:c>
      <x:c r="K173" s="21" t="n">
        <x:v>0</x:v>
      </x:c>
      <x:c r="L173" s="21" t="str">
        <x:v>FEMA Inland Flooding - Expected Annual Loss Rate - National Percentile</x:v>
      </x:c>
    </x:row>
    <x:row r="174" ht="46" customHeight="1">
      <x:c r="A174" s="21" t="str">
        <x:v>baseline_water_stress</x:v>
      </x:c>
      <x:c r="B174" s="21" t="str">
        <x:v>water</x:v>
      </x:c>
      <x:c r="C174" s="21" t="str">
        <x:v>基线水压力</x:v>
      </x:c>
      <x:c r="D174" s="21" t="str">
        <x:v>Aqueduct index 0–5</x:v>
      </x:c>
      <x:c r="E174" s="21" t="str">
        <x:v>Aqueduct4.0基线；2023发布</x:v>
      </x:c>
      <x:c r="F174" s="21" t="str">
        <x:v>县界×水文单元代理</x:v>
      </x:c>
      <x:c r="G174" s="21" t="str">
        <x:v>Σ有效相交面积×指数 / Σ有效相交面积；无回退</x:v>
      </x:c>
      <x:c r="H174" s="22" t="n">
        <x:f>MIN('Virginia'!G7:G139,'Georgia'!G7:G165)</x:f>
        <x:v>0.0013033921556378832</x:v>
      </x:c>
      <x:c r="I174" s="22" t="n">
        <x:f>MAX('Virginia'!G7:G139,'Georgia'!G7:G165)</x:f>
        <x:v>3.802847971072168</x:v>
      </x:c>
      <x:c r="J174" s="21" t="n">
        <x:v>292</x:v>
      </x:c>
      <x:c r="K174" s="21" t="n">
        <x:v>0</x:v>
      </x:c>
      <x:c r="L174" s="21" t="str">
        <x:v>Aqueduct baseline_annual.bws_score</x:v>
      </x:c>
    </x:row>
    <x:row r="175" ht="46" customHeight="1">
      <x:c r="A175" s="21" t="str">
        <x:v>water_stress_2050_bau</x:v>
      </x:c>
      <x:c r="B175" s="21" t="str">
        <x:v>water</x:v>
      </x:c>
      <x:c r="C175" s="21" t="str">
        <x:v>2050 BAU水压力</x:v>
      </x:c>
      <x:c r="D175" s="21" t="str">
        <x:v>Aqueduct index 0–5</x:v>
      </x:c>
      <x:c r="E175" s="21" t="str">
        <x:v>2050 BAU情景</x:v>
      </x:c>
      <x:c r="F175" s="21" t="str">
        <x:v>县界×水文单元代理</x:v>
      </x:c>
      <x:c r="G175" s="21" t="str">
        <x:v>Σ有效相交面积×指数 / Σ有效相交面积；无回退</x:v>
      </x:c>
      <x:c r="H175" s="22" t="n">
        <x:f>MIN('Virginia'!H7:H139,'Georgia'!H7:H165)</x:f>
        <x:v>0.0017290514813823935</x:v>
      </x:c>
      <x:c r="I175" s="22" t="n">
        <x:f>MAX('Virginia'!H7:H139,'Georgia'!H7:H165)</x:f>
        <x:v>4.058068907</x:v>
      </x:c>
      <x:c r="J175" s="21" t="n">
        <x:v>292</x:v>
      </x:c>
      <x:c r="K175" s="21" t="n">
        <x:v>0</x:v>
      </x:c>
      <x:c r="L175" s="21" t="str">
        <x:v>Aqueduct future_annual.bau50_ws_x_s</x:v>
      </x:c>
    </x:row>
    <x:row r="176" ht="46" customHeight="1">
      <x:c r="A176" s="21" t="str">
        <x:v>low_impervious_land_share</x:v>
      </x:c>
      <x:c r="B176" s="21" t="str">
        <x:v>land_ecology</x:v>
      </x:c>
      <x:c r="C176" s="21" t="str">
        <x:v>低不透水土地比例</x:v>
      </x:c>
      <x:c r="D176" s="21" t="str">
        <x:v>fraction</x:v>
      </x:c>
      <x:c r="E176" s="21" t="str">
        <x:v>2025</x:v>
      </x:c>
      <x:c r="F176" s="21" t="str">
        <x:v>县级栅格统计代理</x:v>
      </x:c>
      <x:c r="G176" s="21" t="str">
        <x:v>有效陆地中不透水率&lt;10%像元数 / 有效陆地像元数</x:v>
      </x:c>
      <x:c r="H176" s="22" t="n">
        <x:f>MIN('Virginia'!I7:I139,'Georgia'!I7:I165)</x:f>
        <x:v>0.05990927079423049</x:v>
      </x:c>
      <x:c r="I176" s="22" t="n">
        <x:f>MAX('Virginia'!I7:I139,'Georgia'!I7:I165)</x:f>
        <x:v>0.9914187729070881</x:v>
      </x:c>
      <x:c r="J176" s="21" t="n">
        <x:v>292</x:v>
      </x:c>
      <x:c r="K176" s="21" t="n">
        <x:v>0</x:v>
      </x:c>
      <x:c r="L176" s="21" t="str">
        <x:v>NLCD2025 fractional impervious + land cover</x:v>
      </x:c>
    </x:row>
    <x:row r="177" ht="46" customHeight="1">
      <x:c r="A177" s="21" t="str">
        <x:v>gap12_protected_land_share</x:v>
      </x:c>
      <x:c r="B177" s="21" t="str">
        <x:v>land_ecology</x:v>
      </x:c>
      <x:c r="C177" s="21" t="str">
        <x:v>GAP1/2保护地比例</x:v>
      </x:c>
      <x:c r="D177" s="21" t="str">
        <x:v>fraction</x:v>
      </x:c>
      <x:c r="E177" s="21" t="str">
        <x:v>PAD-US4.1 Census2022县汇总 / Census2024土地分母</x:v>
      </x:c>
      <x:c r="F177" s="21" t="str">
        <x:v>官方县汇总派生</x:v>
      </x:c>
      <x:c r="G177" s="21" t="str">
        <x:v>ΣGAP1/2 acres ×0.0040468564224 / ALAND_km2</x:v>
      </x:c>
      <x:c r="H177" s="22" t="n">
        <x:f>MIN('Virginia'!J7:J139,'Georgia'!J7:J165)</x:f>
        <x:v>0</x:v>
      </x:c>
      <x:c r="I177" s="22" t="n">
        <x:f>MAX('Virginia'!J7:J139,'Georgia'!J7:J165)</x:f>
        <x:v>0.4076650850818798</x:v>
      </x:c>
      <x:c r="J177" s="21" t="n">
        <x:v>292</x:v>
      </x:c>
      <x:c r="K177" s="21" t="n">
        <x:v>0</x:v>
      </x:c>
      <x:c r="L177" s="21" t="str">
        <x:v>PAD-US4.1 county summary GAP_Sts,GIS_AcrsDb</x:v>
      </x:c>
    </x:row>
    <x:row r="178" ht="46" customHeight="1">
      <x:c r="A178" s="21" t="str">
        <x:v>wetland_land_share</x:v>
      </x:c>
      <x:c r="B178" s="21" t="str">
        <x:v>land_ecology</x:v>
      </x:c>
      <x:c r="C178" s="21" t="str">
        <x:v>湿地陆地比例</x:v>
      </x:c>
      <x:c r="D178" s="21" t="str">
        <x:v>fraction</x:v>
      </x:c>
      <x:c r="E178" s="21" t="str">
        <x:v>2025</x:v>
      </x:c>
      <x:c r="F178" s="21" t="str">
        <x:v>县级栅格统计代理</x:v>
      </x:c>
      <x:c r="G178" s="21" t="str">
        <x:v>有效非开放水面中类别90/95像元数 / 有效陆地像元数</x:v>
      </x:c>
      <x:c r="H178" s="22" t="n">
        <x:f>MIN('Virginia'!K7:K139,'Georgia'!K7:K165)</x:f>
        <x:v>0</x:v>
      </x:c>
      <x:c r="I178" s="22" t="n">
        <x:f>MAX('Virginia'!K7:K139,'Georgia'!K7:K165)</x:f>
        <x:v>0.5816654672294297</x:v>
      </x:c>
      <x:c r="J178" s="21" t="n">
        <x:v>292</x:v>
      </x:c>
      <x:c r="K178" s="21" t="n">
        <x:v>0</x:v>
      </x:c>
      <x:c r="L178" s="21" t="str">
        <x:v>NLCD2025 land cover classes90,95</x:v>
      </x:c>
    </x:row>
    <x:row r="179" ht="86" customHeight="1">
      <x:c r="A179" s="21" t="str">
        <x:v>fiber_business_100_20_availability</x:v>
      </x:c>
      <x:c r="B179" s="21" t="str">
        <x:v>fiber</x:v>
      </x:c>
      <x:c r="C179" s="21" t="str">
        <x:v>商业服务光纤可用占比100/20</x:v>
      </x:c>
      <x:c r="D179" s="21" t="str">
        <x:v>比例0–1</x:v>
      </x:c>
      <x:c r="E179" s="21" t="str">
        <x:v>D25（精确截止日待核实）；版本2026-09-29</x:v>
      </x:c>
      <x:c r="F179" s="21" t="str">
        <x:v>县级商业服务口径覆盖代理</x:v>
      </x:c>
      <x:c r="G179" s="21" t="str">
        <x:v>直接读取speed_100_20；已为比例，不再除total_units；不是专线或双路由证据</x:v>
      </x:c>
      <x:c r="H179" s="22" t="n">
        <x:f>MIN('Virginia'!L7:L139,'Georgia'!L7:L165)</x:f>
        <x:v>0.000330743</x:v>
      </x:c>
      <x:c r="I179" s="22" t="n">
        <x:f>MAX('Virginia'!L7:L139,'Georgia'!L7:L165)</x:f>
        <x:v>1</x:v>
      </x:c>
      <x:c r="J179" s="21" t="n">
        <x:v>292</x:v>
      </x:c>
      <x:c r="K179" s="21" t="n">
        <x:v>0</x:v>
      </x:c>
      <x:c r="L179" s="21" t="str">
        <x:v>FCC BDC; County/Total/Fiber/B; speed_100_20; https://broadbandmap.fcc.gov/data-download/nationwide-data</x:v>
      </x:c>
    </x:row>
    <x:row r="180" ht="86" customHeight="1">
      <x:c r="A180" s="21" t="str">
        <x:v>fiber_business_1000_100_availability</x:v>
      </x:c>
      <x:c r="B180" s="21" t="str">
        <x:v>fiber</x:v>
      </x:c>
      <x:c r="C180" s="21" t="str">
        <x:v>商业服务光纤可用占比1000/100</x:v>
      </x:c>
      <x:c r="D180" s="21" t="str">
        <x:v>比例0–1</x:v>
      </x:c>
      <x:c r="E180" s="21" t="str">
        <x:v>D25（精确截止日待核实）；版本2026-09-29</x:v>
      </x:c>
      <x:c r="F180" s="21" t="str">
        <x:v>县级商业服务口径覆盖代理</x:v>
      </x:c>
      <x:c r="G180" s="21" t="str">
        <x:v>直接读取speed_1000_100；已为比例，不再除total_units；不是专线或双路由证据</x:v>
      </x:c>
      <x:c r="H180" s="22" t="n">
        <x:f>MIN('Virginia'!M7:M139,'Georgia'!M7:M165)</x:f>
        <x:v>0</x:v>
      </x:c>
      <x:c r="I180" s="22" t="n">
        <x:f>MAX('Virginia'!M7:M139,'Georgia'!M7:M165)</x:f>
        <x:v>1</x:v>
      </x:c>
      <x:c r="J180" s="21" t="n">
        <x:v>292</x:v>
      </x:c>
      <x:c r="K180" s="21" t="n">
        <x:v>0</x:v>
      </x:c>
      <x:c r="L180" s="21" t="str">
        <x:v>FCC BDC; County/Total/Fiber/B; speed_1000_100; https://broadbandmap.fcc.gov/data-download/nationwide-data</x:v>
      </x:c>
    </x:row>
    <x:row r="181" ht="46" customHeight="1">
      <x:c r="A181" s="21" t="str">
        <x:v>labor_force</x:v>
      </x:c>
      <x:c r="B181" s="21" t="str">
        <x:v>workforce_community</x:v>
      </x:c>
      <x:c r="C181" s="21" t="str">
        <x:v>劳动力人数</x:v>
      </x:c>
      <x:c r="D181" s="21" t="str">
        <x:v>persons</x:v>
      </x:c>
      <x:c r="E181" s="21" t="str">
        <x:v>2025 11个月平均，排除10月</x:v>
      </x:c>
      <x:c r="F181" s="21" t="str">
        <x:v>县级直接统计</x:v>
      </x:c>
      <x:c r="G181" s="21" t="str">
        <x:v>同一全国表直接读取；不是技能人才或招聘人数</x:v>
      </x:c>
      <x:c r="H181" s="22" t="n">
        <x:f>MIN('Virginia'!N7:N139,'Georgia'!N7:N165)</x:f>
        <x:v>688</x:v>
      </x:c>
      <x:c r="I181" s="22" t="n">
        <x:f>MAX('Virginia'!N7:N139,'Georgia'!N7:N165)</x:f>
        <x:v>644674</x:v>
      </x:c>
      <x:c r="J181" s="21" t="n">
        <x:v>292</x:v>
      </x:c>
      <x:c r="K181" s="21" t="n">
        <x:v>0</x:v>
      </x:c>
      <x:c r="L181" s="21" t="str">
        <x:v>BLS LAUS2025 Labor Force</x:v>
      </x:c>
    </x:row>
    <x:row r="182" ht="46" customHeight="1">
      <x:c r="A182" s="21" t="str">
        <x:v>social_vulnerability_percentile</x:v>
      </x:c>
      <x:c r="B182" s="21" t="str">
        <x:v>workforce_community</x:v>
      </x:c>
      <x:c r="C182" s="21" t="str">
        <x:v>社会脆弱性百分位</x:v>
      </x:c>
      <x:c r="D182" s="21" t="str">
        <x:v>fraction</x:v>
      </x:c>
      <x:c r="E182" s="21" t="str">
        <x:v>2022指数；调查期间另计</x:v>
      </x:c>
      <x:c r="F182" s="21" t="str">
        <x:v>县级社区影响背景</x:v>
      </x:c>
      <x:c r="G182" s="21" t="str">
        <x:v>直接读取；不定义为接受度或越低越好的效用分</x:v>
      </x:c>
      <x:c r="H182" s="22" t="n">
        <x:f>MIN('Virginia'!O7:O139,'Georgia'!O7:O165)</x:f>
        <x:v>0.0022</x:v>
      </x:c>
      <x:c r="I182" s="22" t="n">
        <x:f>MAX('Virginia'!O7:O139,'Georgia'!O7:O165)</x:f>
        <x:v>0.9914</x:v>
      </x:c>
      <x:c r="J182" s="21" t="n">
        <x:v>292</x:v>
      </x:c>
      <x:c r="K182" s="21" t="n">
        <x:v>0</x:v>
      </x:c>
      <x:c r="L182" s="21" t="str">
        <x:v>CDC SVI2022 RPL_THEMES</x:v>
      </x:c>
    </x:row>
    <x:row r="183" ht="46" customHeight="1">
      <x:c r="A183" s="21" t="str">
        <x:v>historical_cdd65</x:v>
      </x:c>
      <x:c r="B183" s="21" t="str">
        <x:v>cooling_climate</x:v>
      </x:c>
      <x:c r="C183" s="21" t="str">
        <x:v>历史CDD65</x:v>
      </x:c>
      <x:c r="D183" s="21" t="str">
        <x:v>degF_day/year</x:v>
      </x:c>
      <x:c r="E183" s="21" t="str">
        <x:v>源HISTORIC；具体基期未核实</x:v>
      </x:c>
      <x:c r="F183" s="21" t="str">
        <x:v>县级气候模型摘要</x:v>
      </x:c>
      <x:c r="G183" s="21" t="str">
        <x:v>直接读取；官方字段定义base65°F</x:v>
      </x:c>
      <x:c r="H183" s="22" t="n">
        <x:f>MIN('Virginia'!P7:P139,'Georgia'!P7:P165)</x:f>
        <x:v>275.7717076619466</x:v>
      </x:c>
      <x:c r="I183" s="22" t="n">
        <x:f>MAX('Virginia'!P7:P139,'Georgia'!P7:P165)</x:f>
        <x:v>2498.705037434896</x:v>
      </x:c>
      <x:c r="J183" s="21" t="n">
        <x:v>292</x:v>
      </x:c>
      <x:c r="K183" s="21" t="n">
        <x:v>0</x:v>
      </x:c>
      <x:c r="L183" s="21" t="str">
        <x:v>CMRA HISTORIC_MEAN_CDD</x:v>
      </x:c>
    </x:row>
    <x:row r="184" ht="46" customHeight="1">
      <x:c r="A184" s="21" t="str">
        <x:v>historical_days_tmax_gt90f</x:v>
      </x:c>
      <x:c r="B184" s="21" t="str">
        <x:v>cooling_climate</x:v>
      </x:c>
      <x:c r="C184" s="21" t="str">
        <x:v>历史&gt;90°F天数</x:v>
      </x:c>
      <x:c r="D184" s="21" t="str">
        <x:v>days/year</x:v>
      </x:c>
      <x:c r="E184" s="21" t="str">
        <x:v>源HISTORIC；具体基期未核实</x:v>
      </x:c>
      <x:c r="F184" s="21" t="str">
        <x:v>县级气候模型摘要</x:v>
      </x:c>
      <x:c r="G184" s="21" t="str">
        <x:v>直接读取；官方字段定义严格&gt;90°F</x:v>
      </x:c>
      <x:c r="H184" s="22" t="n">
        <x:f>MIN('Virginia'!Q7:Q139,'Georgia'!Q7:Q165)</x:f>
        <x:v>0.3184066669394572</x:v>
      </x:c>
      <x:c r="I184" s="22" t="n">
        <x:f>MAX('Virginia'!Q7:Q139,'Georgia'!Q7:Q165)</x:f>
        <x:v>85.41323394775391</x:v>
      </x:c>
      <x:c r="J184" s="21" t="n">
        <x:v>292</x:v>
      </x:c>
      <x:c r="K184" s="21" t="n">
        <x:v>0</x:v>
      </x:c>
      <x:c r="L184" s="21" t="str">
        <x:v>CMRA HISTORIC_MEAN_TMAX90F</x:v>
      </x:c>
    </x:row>
    <x:row r="185" ht="46" customHeight="1">
      <x:c r="A185" s="21" t="str">
        <x:v>distance_to_interstate_km</x:v>
      </x:c>
      <x:c r="B185" s="21" t="str">
        <x:v>transportation</x:v>
      </x:c>
      <x:c r="C185" s="21" t="str">
        <x:v>到Interstate距离</x:v>
      </x:c>
      <x:c r="D185" s="21" t="str">
        <x:v>km</x:v>
      </x:c>
      <x:c r="E185" s="21" t="str">
        <x:v>2024</x:v>
      </x:c>
      <x:c r="F185" s="21" t="str">
        <x:v>县内部代表点代理</x:v>
      </x:c>
      <x:c r="G185" s="21" t="str">
        <x:v>县内部代表点到最近Interstate线段的投影距离</x:v>
      </x:c>
      <x:c r="H185" s="22" t="n">
        <x:f>MIN('Virginia'!R7:R139,'Georgia'!R7:R165)</x:f>
        <x:v>0.1437519261483259</x:v>
      </x:c>
      <x:c r="I185" s="22" t="n">
        <x:f>MAX('Virginia'!R7:R139,'Georgia'!R7:R165)</x:f>
        <x:v>95.30527625122483</x:v>
      </x:c>
      <x:c r="J185" s="21" t="n">
        <x:v>292</x:v>
      </x:c>
      <x:c r="K185" s="21" t="n">
        <x:v>0</x:v>
      </x:c>
      <x:c r="L185" s="21" t="str">
        <x:v>TIGER2024 primaryroads RTTYP=I</x:v>
      </x:c>
    </x:row>
    <x:row r="186" ht="46" customHeight="1">
      <x:c r="A186" s="21" t="str">
        <x:v>distance_to_rail_km</x:v>
      </x:c>
      <x:c r="B186" s="21" t="str">
        <x:v>transportation</x:v>
      </x:c>
      <x:c r="C186" s="21" t="str">
        <x:v>到铁路距离</x:v>
      </x:c>
      <x:c r="D186" s="21" t="str">
        <x:v>km</x:v>
      </x:c>
      <x:c r="E186" s="21" t="str">
        <x:v>上传线路快照，发布日期未核实</x:v>
      </x:c>
      <x:c r="F186" s="21" t="str">
        <x:v>县内部代表点代理</x:v>
      </x:c>
      <x:c r="G186" s="21" t="str">
        <x:v>县内部代表点到最近铁路段的投影距离</x:v>
      </x:c>
      <x:c r="H186" s="22" t="n">
        <x:f>MIN('Virginia'!S7:S139,'Georgia'!S7:S165)</x:f>
        <x:v>0.008165487901422798</x:v>
      </x:c>
      <x:c r="I186" s="22" t="n">
        <x:f>MAX('Virginia'!S7:S139,'Georgia'!S7:S165)</x:f>
        <x:v>51.23331770793625</x:v>
      </x:c>
      <x:c r="J186" s="21" t="n">
        <x:v>292</x:v>
      </x:c>
      <x:c r="K186" s="21" t="n">
        <x:v>0</x:v>
      </x:c>
      <x:c r="L186" s="21" t="str">
        <x:v>BTS North American Rail Network Lines</x:v>
      </x:c>
    </x:row>
    <x:row r="187" ht="46" customHeight="1">
      <x:c r="A187" s="21" t="str">
        <x:v>state_industrial_price</x:v>
      </x:c>
      <x:c r="B187" s="21" t="str">
        <x:v>energy_carbon</x:v>
      </x:c>
      <x:c r="C187" s="21" t="str">
        <x:v>州工业电价</x:v>
      </x:c>
      <x:c r="D187" s="21" t="str">
        <x:v>USD/MWh</x:v>
      </x:c>
      <x:c r="E187" s="21" t="str">
        <x:v>2024</x:v>
      </x:c>
      <x:c r="F187" s="21" t="str">
        <x:v>州级代理，同州各县相同</x:v>
      </x:c>
      <x:c r="G187" s="21" t="str">
        <x:v>源cent/kWh ×10</x:v>
      </x:c>
      <x:c r="H187" s="22" t="n">
        <x:f>MIN('Virginia'!T7:T139,'Georgia'!T7:T165)</x:f>
        <x:v>72.1</x:v>
      </x:c>
      <x:c r="I187" s="22" t="n">
        <x:f>MAX('Virginia'!T7:T139,'Georgia'!T7:T165)</x:f>
        <x:v>89.9</x:v>
      </x:c>
      <x:c r="J187" s="21" t="n">
        <x:v>292</x:v>
      </x:c>
      <x:c r="K187" s="21" t="n">
        <x:v>0</x:v>
      </x:c>
      <x:c r="L187" s="21" t="str">
        <x:v>EIA Table2.10 Industrial Year2024</x:v>
      </x:c>
    </x:row>
    <x:row r="188" ht="46" customHeight="1">
      <x:c r="A188" s="21" t="str">
        <x:v>state_ieee_saidi_without_med</x:v>
      </x:c>
      <x:c r="B188" s="21" t="str">
        <x:v>energy_carbon</x:v>
      </x:c>
      <x:c r="C188" s="21" t="str">
        <x:v>州SAIDI不含重大事件日</x:v>
      </x:c>
      <x:c r="D188" s="21" t="str">
        <x:v>minutes/customer/year</x:v>
      </x:c>
      <x:c r="E188" s="21" t="str">
        <x:v>2024</x:v>
      </x:c>
      <x:c r="F188" s="21" t="str">
        <x:v>州级报告企业代理，同州各县相同</x:v>
      </x:c>
      <x:c r="G188" s="21" t="str">
        <x:v>Σ有效IEEE客户数×SAIDI / Σ有效IEEE客户数</x:v>
      </x:c>
      <x:c r="H188" s="22" t="n">
        <x:f>MIN('Virginia'!U7:U139,'Georgia'!U7:U165)</x:f>
        <x:v>211.4154781728841</x:v>
      </x:c>
      <x:c r="I188" s="22" t="n">
        <x:f>MAX('Virginia'!U7:U139,'Georgia'!U7:U165)</x:f>
        <x:v>245.07712999476223</x:v>
      </x:c>
      <x:c r="J188" s="21" t="n">
        <x:v>292</x:v>
      </x:c>
      <x:c r="K188" s="21" t="n">
        <x:v>0</x:v>
      </x:c>
      <x:c r="L188" s="21" t="str">
        <x:v>EIA8612024 Reliability IEEE Without Major Event Days SAIDI</x:v>
      </x:c>
    </x:row>
    <x:row r="189" ht="46" customHeight="1">
      <x:c r="A189" s="21" t="str">
        <x:v>state_grid_co2e_intensity</x:v>
      </x:c>
      <x:c r="B189" s="21" t="str">
        <x:v>energy_carbon</x:v>
      </x:c>
      <x:c r="C189" s="21" t="str">
        <x:v>州电网CO₂e强度</x:v>
      </x:c>
      <x:c r="D189" s="21" t="str">
        <x:v>kgCO2e/MWh</x:v>
      </x:c>
      <x:c r="E189" s="21" t="str">
        <x:v>2023 rev2</x:v>
      </x:c>
      <x:c r="F189" s="21" t="str">
        <x:v>州级代理，同州各县相同</x:v>
      </x:c>
      <x:c r="G189" s="21" t="str">
        <x:v>源lb/MWh ×0.45359237</x:v>
      </x:c>
      <x:c r="H189" s="22" t="n">
        <x:f>MIN('Virginia'!V7:V139,'Georgia'!V7:V165)</x:f>
        <x:v>244.75798925963002</x:v>
      </x:c>
      <x:c r="I189" s="22" t="n">
        <x:f>MAX('Virginia'!V7:V139,'Georgia'!V7:V165)</x:f>
        <x:v>325.42757789465</x:v>
      </x:c>
      <x:c r="J189" s="21" t="n">
        <x:v>292</x:v>
      </x:c>
      <x:c r="K189" s="21" t="n">
        <x:v>0</x:v>
      </x:c>
      <x:c r="L189" s="21" t="str">
        <x:v>eGRID2023 ST23.STC2ERTA</x:v>
      </x:c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</x:row>
    <x:row r="192">
      <x:c r="A192" s="19" t="str">
        <x:v>口径：VA含独立市；LAUS2025为排除10月的11个月平均。气候HISTORIC具体期间与NRI模型版本待核实。</x:v>
      </x:c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</x:row>
    <x:row r="193">
      <x:c r="A193" s="19" t="str">
        <x:v>FCC Fiber为商业服务口径、广告速度可用单位比例；不是专线或双路由。SVI仍仅作社区背景。</x:v>
      </x:c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</x:row>
    <x:row r="194">
      <x:c r="A194" s="19" t="str">
        <x:v>水按有效县域面积汇总，无最近流域回退；覆盖&lt;99%只作诊断提示，不是行业门槛。</x:v>
      </x:c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</x:row>
    <x:row r="195">
      <x:c r="A195" s="19" t="str">
        <x:v>NLCD陆地排除开放水面11，像元中心统计。PAD-US为2022县汇总/2024土地分母，保留年份差异。</x:v>
      </x:c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</x:row>
    <x:row r="196">
      <x:c r="A196" s="19" t="str">
        <x:v>能源三项为州级代理，同州相同；交通为县代表点投影距离，不是地块接入或实际路线距离。</x:v>
      </x:c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</x:row>
    <x:row r="197">
      <x:c r="A197" s="19" t="str">
        <x:v>CMRA字段核对：https://services3.arcgis.com/0Fs3HcaFfvzXvm7w/arcgis/rest/services/CMRA_Screening_Data/FeatureServer/layers</x:v>
      </x:c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</x:row>
    <x:row r="198">
      <x:c r="A198" s="19" t="str">
        <x:v>FCC两项相关：1000/100建议主指标，100/20辅助；不新增权重。详细输入与来源见本版results.json。</x:v>
      </x:c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</x:row>
  </x:sheetData>
  <x:pageMargins left="0.7" right="0.7" top="0.75" bottom="0.75" header="0.3" footer="0.3"/>
  <x:tableParts count="1">
    <x:tablePart xmlns:r="http://schemas.openxmlformats.org/officeDocument/2006/relationships" r:id="R72049d4aafe74478"/>
  </x:tableParts>
</x:worksheet>
</file>